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5DA0A0CE-CEA9-4C0B-9E36-3D077C1C65EB}" xr6:coauthVersionLast="46" xr6:coauthVersionMax="46" xr10:uidLastSave="{00000000-0000-0000-0000-000000000000}"/>
  <bookViews>
    <workbookView xWindow="-28920" yWindow="-4815" windowWidth="29040" windowHeight="17640" tabRatio="723" xr2:uid="{00000000-000D-0000-FFFF-FFFF00000000}"/>
  </bookViews>
  <sheets>
    <sheet name="Reporting List" sheetId="6" r:id="rId1"/>
    <sheet name="Feuil3" sheetId="16" r:id="rId2"/>
    <sheet name="A - 2000.11" sheetId="15" r:id="rId3"/>
    <sheet name="A - 2000.12" sheetId="14" r:id="rId4"/>
    <sheet name="CACHE" sheetId="10" r:id="rId5"/>
    <sheet name="Planning" sheetId="4" r:id="rId6"/>
    <sheet name="History" sheetId="7" r:id="rId7"/>
    <sheet name="I18N" sheetId="2" state="hidden" r:id="rId8"/>
    <sheet name="JSON" sheetId="8" state="hidden" r:id="rId9"/>
    <sheet name="JSON (2)" sheetId="13" state="hidden" r:id="rId10"/>
  </sheets>
  <functionGroups builtInGroupCount="19"/>
  <definedNames>
    <definedName name="_xlnm._FilterDatabase" localSheetId="5" hidden="1">Planning!$F$17:$L$72</definedName>
    <definedName name="_xlnm._FilterDatabase" localSheetId="0" hidden="1">'Reporting List'!$C$10:$E$14</definedName>
    <definedName name="cell_JSON_Param" localSheetId="9">'JSON (2)'!$I$1</definedName>
    <definedName name="cell_JSON_Param">JSON!$J$1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New5___RF_Save">'A - 2000.11'!$B$2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6" l="1"/>
  <c r="K72" i="4"/>
  <c r="C3" i="15"/>
  <c r="C3" i="14"/>
  <c r="CD4" i="15"/>
  <c r="BZ4" i="15"/>
  <c r="CC4" i="15"/>
  <c r="BY4" i="15"/>
  <c r="BU4" i="15"/>
  <c r="BQ4" i="15"/>
  <c r="BM4" i="15"/>
  <c r="BI4" i="15"/>
  <c r="BE4" i="15"/>
  <c r="BA4" i="15"/>
  <c r="AW4" i="15"/>
  <c r="AS4" i="15"/>
  <c r="AO4" i="15"/>
  <c r="AK4" i="15"/>
  <c r="AG4" i="15"/>
  <c r="AC4" i="15"/>
  <c r="Y4" i="15"/>
  <c r="U4" i="15"/>
  <c r="Q4" i="15"/>
  <c r="M4" i="15"/>
  <c r="I4" i="15"/>
  <c r="E4" i="15"/>
  <c r="B2" i="15"/>
  <c r="CC4" i="14"/>
  <c r="BY4" i="14"/>
  <c r="BU4" i="14"/>
  <c r="BQ4" i="14"/>
  <c r="BM4" i="14"/>
  <c r="BI4" i="14"/>
  <c r="BE4" i="14"/>
  <c r="BA4" i="14"/>
  <c r="AW4" i="14"/>
  <c r="AS4" i="14"/>
  <c r="AO4" i="14"/>
  <c r="AK4" i="14"/>
  <c r="AG4" i="14"/>
  <c r="AC4" i="14"/>
  <c r="Y4" i="14"/>
  <c r="U4" i="14"/>
  <c r="Q4" i="14"/>
  <c r="M4" i="14"/>
  <c r="I4" i="14"/>
  <c r="E4" i="14"/>
  <c r="B2" i="14"/>
  <c r="CB4" i="15"/>
  <c r="BX4" i="15"/>
  <c r="BT4" i="15"/>
  <c r="BP4" i="15"/>
  <c r="BL4" i="15"/>
  <c r="BH4" i="15"/>
  <c r="BD4" i="15"/>
  <c r="AZ4" i="15"/>
  <c r="AV4" i="15"/>
  <c r="AR4" i="15"/>
  <c r="AN4" i="15"/>
  <c r="AJ4" i="15"/>
  <c r="AF4" i="15"/>
  <c r="AB4" i="15"/>
  <c r="X4" i="15"/>
  <c r="T4" i="15"/>
  <c r="P4" i="15"/>
  <c r="L4" i="15"/>
  <c r="H4" i="15"/>
  <c r="D4" i="15"/>
  <c r="CF4" i="14"/>
  <c r="CB4" i="14"/>
  <c r="BX4" i="14"/>
  <c r="BT4" i="14"/>
  <c r="BP4" i="14"/>
  <c r="BL4" i="14"/>
  <c r="BH4" i="14"/>
  <c r="BD4" i="14"/>
  <c r="AZ4" i="14"/>
  <c r="AV4" i="14"/>
  <c r="AR4" i="14"/>
  <c r="AN4" i="14"/>
  <c r="AJ4" i="14"/>
  <c r="AF4" i="14"/>
  <c r="AB4" i="14"/>
  <c r="X4" i="14"/>
  <c r="T4" i="14"/>
  <c r="P4" i="14"/>
  <c r="CF4" i="15"/>
  <c r="L4" i="14"/>
  <c r="H4" i="14"/>
  <c r="D4" i="14"/>
  <c r="CA4" i="15"/>
  <c r="BW4" i="15"/>
  <c r="BS4" i="15"/>
  <c r="BO4" i="15"/>
  <c r="BK4" i="15"/>
  <c r="BG4" i="15"/>
  <c r="BC4" i="15"/>
  <c r="AY4" i="15"/>
  <c r="AU4" i="15"/>
  <c r="AQ4" i="15"/>
  <c r="AM4" i="15"/>
  <c r="AI4" i="15"/>
  <c r="AE4" i="15"/>
  <c r="AA4" i="15"/>
  <c r="W4" i="15"/>
  <c r="S4" i="15"/>
  <c r="O4" i="15"/>
  <c r="K4" i="15"/>
  <c r="G4" i="15"/>
  <c r="C4" i="15"/>
  <c r="CE4" i="14"/>
  <c r="CA4" i="14"/>
  <c r="BW4" i="14"/>
  <c r="BS4" i="14"/>
  <c r="BO4" i="14"/>
  <c r="BK4" i="14"/>
  <c r="BG4" i="14"/>
  <c r="BC4" i="14"/>
  <c r="AY4" i="14"/>
  <c r="AU4" i="14"/>
  <c r="AQ4" i="14"/>
  <c r="AM4" i="14"/>
  <c r="AI4" i="14"/>
  <c r="AE4" i="14"/>
  <c r="AA4" i="14"/>
  <c r="W4" i="14"/>
  <c r="S4" i="14"/>
  <c r="O4" i="14"/>
  <c r="K4" i="14"/>
  <c r="G4" i="14"/>
  <c r="C4" i="14"/>
  <c r="BV4" i="15"/>
  <c r="BR4" i="15"/>
  <c r="BN4" i="15"/>
  <c r="BJ4" i="15"/>
  <c r="BF4" i="15"/>
  <c r="BB4" i="15"/>
  <c r="AX4" i="15"/>
  <c r="AT4" i="15"/>
  <c r="AP4" i="15"/>
  <c r="AL4" i="15"/>
  <c r="AH4" i="15"/>
  <c r="AD4" i="15"/>
  <c r="Z4" i="15"/>
  <c r="V4" i="15"/>
  <c r="R4" i="15"/>
  <c r="N4" i="15"/>
  <c r="J4" i="15"/>
  <c r="F4" i="15"/>
  <c r="B4" i="15"/>
  <c r="CD4" i="14"/>
  <c r="BZ4" i="14"/>
  <c r="BV4" i="14"/>
  <c r="BR4" i="14"/>
  <c r="BN4" i="14"/>
  <c r="BJ4" i="14"/>
  <c r="BF4" i="14"/>
  <c r="BB4" i="14"/>
  <c r="AX4" i="14"/>
  <c r="AT4" i="14"/>
  <c r="AP4" i="14"/>
  <c r="AL4" i="14"/>
  <c r="AH4" i="14"/>
  <c r="AD4" i="14"/>
  <c r="Z4" i="14"/>
  <c r="V4" i="14"/>
  <c r="R4" i="14"/>
  <c r="N4" i="14"/>
  <c r="J4" i="14"/>
  <c r="F4" i="14"/>
  <c r="B4" i="14"/>
  <c r="CE4" i="15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H24" i="6"/>
  <c r="H20" i="6"/>
  <c r="H16" i="6"/>
  <c r="H40" i="6"/>
  <c r="H38" i="6"/>
  <c r="H36" i="6"/>
  <c r="H34" i="6"/>
  <c r="H32" i="6"/>
  <c r="H30" i="6"/>
  <c r="H28" i="6"/>
  <c r="H26" i="6"/>
  <c r="H22" i="6"/>
  <c r="H18" i="6"/>
  <c r="I14" i="6"/>
  <c r="H14" i="6"/>
  <c r="F12" i="6"/>
  <c r="E12" i="6"/>
  <c r="D12" i="6"/>
  <c r="C12" i="6"/>
  <c r="D10" i="6"/>
  <c r="L72" i="4" l="1"/>
  <c r="J72" i="4"/>
  <c r="I72" i="4" l="1"/>
  <c r="H72" i="4"/>
  <c r="F72" i="4" l="1"/>
  <c r="G72" i="4"/>
  <c r="D72" i="4"/>
  <c r="C72" i="4"/>
  <c r="I4" i="6" a="1"/>
  <c r="B72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<sst xmlns="http://schemas.openxmlformats.org/spreadsheetml/2006/main" count="1635" uniqueCount="777">
  <si>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</si>
  <si>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</si>
  <si>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</si>
  <si>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</si>
  <si>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</si>
  <si>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</si>
  <si>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</si>
  <si>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</si>
  <si>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</si>
  <si>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</si>
  <si>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</si>
  <si>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</si>
  <si>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</si>
  <si>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</si>
  <si>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</si>
  <si>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</si>
  <si>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</si>
  <si>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</si>
  <si>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</si>
  <si>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</si>
  <si>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</si>
  <si>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</si>
  <si>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</si>
  <si>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</si>
  <si>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</si>
  <si>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</si>
  <si>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</si>
  <si>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</si>
  <si>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</si>
  <si>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</si>
  <si>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</si>
  <si>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</si>
  <si>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</si>
  <si>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</si>
  <si>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</si>
  <si>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</si>
  <si>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</si>
  <si>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</si>
  <si>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</si>
  <si>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</si>
  <si>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</si>
  <si>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</si>
  <si>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</si>
  <si>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</si>
  <si>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</si>
  <si>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</si>
  <si>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</si>
  <si>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</si>
  <si>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</si>
  <si>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</si>
  <si>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</si>
  <si>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</si>
  <si>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</si>
  <si>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</si>
  <si>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</si>
  <si>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</si>
  <si>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</si>
  <si>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</si>
  <si>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</si>
  <si>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</si>
  <si>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</si>
  <si>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</si>
  <si>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</si>
  <si>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</si>
  <si>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</si>
  <si>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</si>
  <si>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</si>
  <si>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</si>
  <si>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</si>
  <si>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</si>
  <si>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</si>
  <si>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</si>
  <si>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</si>
  <si>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</si>
  <si>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</si>
  <si>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</si>
  <si>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</si>
  <si>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</si>
  <si>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</si>
  <si>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</si>
  <si>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</si>
  <si>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</si>
  <si>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</si>
  <si>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</si>
  <si>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</si>
  <si>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</si>
  <si>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</si>
  <si>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</si>
  <si>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</si>
  <si>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</si>
  <si>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</si>
  <si>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</si>
  <si>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</si>
  <si>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</si>
  <si>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</si>
  <si>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</si>
  <si>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</si>
  <si>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</si>
  <si>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</si>
  <si>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</si>
  <si>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</si>
  <si>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</si>
  <si>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</si>
  <si>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</si>
  <si>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</si>
  <si>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</si>
  <si>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</si>
  <si>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</si>
  <si>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</si>
  <si>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</si>
  <si>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</si>
  <si>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</si>
  <si>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</si>
  <si>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</si>
  <si>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</si>
  <si>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</si>
  <si>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</si>
  <si>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</si>
  <si>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</si>
  <si>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</si>
  <si>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</si>
  <si>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</si>
  <si>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</si>
  <si>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</si>
  <si>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</si>
  <si>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</si>
  <si>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</si>
  <si>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</si>
  <si>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</si>
  <si>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</si>
  <si>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</si>
  <si>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</si>
  <si>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</si>
  <si>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</si>
  <si>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</si>
  <si>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</si>
  <si>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</si>
  <si>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</si>
  <si>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</si>
  <si>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</si>
  <si>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</si>
  <si>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</si>
  <si>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</si>
  <si>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</si>
  <si>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</si>
  <si>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</si>
  <si>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</si>
  <si>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</si>
  <si>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</si>
  <si>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</si>
  <si>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</si>
  <si>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</si>
  <si>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</si>
  <si>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</si>
  <si>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</si>
  <si>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</si>
  <si>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</si>
  <si>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</si>
  <si>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</si>
  <si>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</si>
  <si>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</si>
  <si>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</si>
  <si>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</si>
  <si>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</si>
  <si>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</si>
  <si>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</si>
  <si>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</si>
  <si>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</si>
  <si>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</si>
  <si>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</si>
  <si>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</si>
  <si>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</si>
  <si>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</si>
  <si>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</si>
  <si>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</si>
  <si>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</si>
  <si>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</si>
  <si>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</si>
  <si>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</si>
  <si>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</si>
  <si>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</si>
  <si>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</si>
  <si>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</si>
  <si>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</si>
  <si>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</si>
  <si>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</si>
  <si>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</si>
  <si>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</si>
  <si>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</si>
  <si>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</si>
  <si>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</si>
  <si>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</si>
  <si>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</si>
  <si>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</si>
  <si>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</si>
  <si>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</si>
  <si>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</si>
  <si>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</si>
  <si>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</si>
  <si>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</si>
  <si>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</si>
  <si>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</si>
  <si>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</si>
  <si>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</si>
  <si>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</si>
  <si>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</si>
  <si>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</si>
  <si>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</si>
  <si>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</si>
  <si>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</si>
  <si>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</si>
  <si>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</si>
  <si>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</si>
  <si>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</si>
  <si>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</si>
  <si>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</si>
  <si>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</si>
  <si>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</si>
  <si>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</si>
  <si>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</si>
  <si>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</si>
  <si>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</si>
  <si>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</si>
  <si>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</si>
  <si>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</si>
  <si>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</si>
  <si>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</si>
  <si>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</si>
  <si>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</si>
  <si>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</si>
  <si>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</si>
  <si>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</si>
  <si>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</si>
  <si>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</si>
  <si>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</si>
  <si>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</si>
  <si>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</si>
  <si>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</si>
  <si>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</si>
  <si>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</si>
  <si>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</si>
  <si>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</si>
  <si>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</si>
  <si>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</si>
  <si>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</si>
  <si>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</si>
  <si>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</si>
  <si>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</si>
  <si>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</si>
  <si>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</si>
  <si>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</si>
  <si>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</si>
  <si>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</si>
  <si>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</si>
  <si>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</si>
  <si>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</si>
  <si>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</si>
  <si>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</si>
  <si>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</si>
  <si>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</si>
  <si>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</si>
  <si>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</si>
  <si>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</si>
  <si>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</si>
  <si>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</si>
  <si>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</si>
  <si>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</si>
  <si>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</si>
  <si>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</si>
  <si>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</si>
  <si>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</si>
  <si>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</si>
  <si>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</si>
  <si>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</si>
  <si>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</si>
  <si>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</si>
  <si>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</si>
  <si>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</si>
  <si>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</si>
  <si>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</si>
  <si>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</si>
  <si>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</si>
  <si>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</si>
  <si>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</si>
  <si>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</si>
  <si>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</si>
  <si>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</si>
  <si>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</si>
  <si>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</si>
  <si>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</si>
  <si>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</si>
  <si>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</si>
  <si>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</si>
  <si>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</si>
  <si>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</si>
  <si>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</si>
  <si>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</si>
  <si>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</si>
  <si>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</si>
  <si>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</si>
  <si>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</si>
  <si>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</si>
  <si>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</si>
  <si>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</si>
  <si>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</si>
  <si>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</si>
  <si>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</si>
  <si>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</si>
  <si>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</si>
  <si>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</si>
  <si>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</si>
  <si>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</si>
  <si>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</si>
  <si>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</si>
  <si>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</si>
  <si>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</si>
  <si>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</si>
  <si>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</si>
  <si>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</si>
  <si>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</si>
  <si>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</si>
  <si>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</si>
  <si>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</si>
  <si>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</si>
  <si>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</si>
  <si>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</si>
  <si>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</si>
  <si>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</si>
  <si>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</si>
  <si>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</si>
  <si>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</si>
  <si>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</si>
  <si>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</si>
  <si>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</si>
  <si>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</si>
  <si>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</si>
  <si>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</si>
  <si>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</si>
  <si>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</si>
  <si>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</si>
  <si>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</si>
  <si>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</si>
  <si>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</si>
  <si>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</si>
  <si>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</si>
  <si>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</si>
  <si>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</si>
  <si>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</si>
  <si>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</si>
  <si>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</si>
  <si>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</si>
  <si>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</si>
  <si>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</si>
  <si>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</si>
  <si>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</si>
  <si>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</si>
  <si>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</si>
  <si>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</si>
  <si>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</si>
  <si>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</si>
  <si>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</si>
  <si>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</si>
  <si>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</si>
  <si>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</si>
  <si>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</si>
  <si>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</si>
  <si>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</si>
  <si>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</si>
  <si>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</si>
  <si>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</si>
  <si>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</si>
  <si>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</si>
  <si>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</si>
  <si>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</si>
  <si>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</si>
  <si>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</si>
  <si>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</si>
  <si>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</si>
  <si>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</si>
  <si>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</si>
  <si>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</si>
  <si>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</si>
  <si>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</si>
  <si>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</si>
  <si>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</si>
  <si>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</si>
  <si>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</si>
  <si>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</si>
  <si>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</si>
  <si>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</si>
  <si>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</si>
  <si>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</si>
  <si>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</si>
  <si>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</si>
  <si>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</si>
  <si>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</si>
  <si>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</si>
  <si>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</si>
  <si>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</si>
  <si>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</si>
  <si>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</si>
  <si>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</si>
  <si>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</si>
  <si>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</si>
  <si>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</si>
  <si>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</si>
  <si>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</si>
  <si>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</si>
  <si>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</si>
  <si>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</si>
  <si>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</si>
  <si>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</si>
  <si>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</si>
  <si>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</si>
  <si>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</si>
  <si>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</si>
  <si>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</si>
  <si>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</si>
  <si>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</si>
  <si>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</si>
  <si>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</si>
  <si>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</si>
  <si>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</si>
  <si>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</si>
  <si>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</si>
  <si>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</si>
  <si>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</si>
  <si>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</si>
  <si>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</si>
  <si>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</si>
  <si>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</si>
  <si>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</si>
  <si>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</si>
  <si>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</si>
  <si>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</si>
  <si>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</si>
  <si>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</si>
  <si>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</si>
  <si>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</si>
  <si>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</si>
  <si>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</si>
  <si>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</si>
  <si>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</si>
  <si>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</si>
  <si>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</si>
  <si>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</si>
  <si>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</si>
  <si>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</si>
  <si>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</si>
  <si>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</si>
  <si>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</si>
  <si>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</si>
  <si>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</si>
  <si>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</si>
  <si>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</si>
  <si>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</si>
  <si>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</si>
  <si>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</si>
  <si>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</si>
  <si>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</si>
  <si>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</si>
  <si>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</si>
  <si>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</si>
  <si>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</si>
  <si>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</si>
  <si>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</si>
  <si>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</si>
  <si>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</si>
  <si>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</si>
  <si>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</si>
  <si>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</si>
  <si>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</si>
  <si>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</si>
  <si>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</si>
  <si>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</si>
  <si>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</si>
  <si>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</si>
  <si>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</si>
  <si>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</si>
  <si>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</si>
  <si>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</si>
  <si>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</si>
  <si>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</si>
  <si>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</si>
  <si>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</si>
  <si>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</si>
  <si>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</si>
  <si>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</si>
  <si>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</si>
  <si>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</si>
  <si>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</si>
  <si>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</si>
  <si>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</si>
  <si>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</si>
  <si>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</si>
  <si>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</si>
  <si>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</si>
  <si>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</si>
  <si>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</si>
  <si>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</si>
  <si>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</si>
  <si>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</si>
  <si>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</si>
  <si>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</si>
  <si>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</si>
  <si>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</si>
  <si>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</si>
  <si>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</si>
  <si>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</si>
  <si>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</si>
  <si>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</si>
  <si>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</si>
  <si>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</si>
  <si>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</si>
  <si>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</si>
  <si>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</si>
  <si>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</si>
  <si>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</si>
  <si>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</si>
  <si>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</si>
  <si>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</si>
  <si>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</si>
  <si>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</si>
  <si>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</si>
  <si>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</si>
  <si>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</si>
  <si>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</si>
  <si>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</si>
  <si>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</si>
  <si>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</si>
  <si>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</si>
  <si>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</si>
  <si>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</si>
  <si>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</si>
  <si>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</si>
  <si>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</si>
  <si>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</si>
  <si>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</si>
  <si>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</si>
  <si>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</si>
  <si>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</si>
  <si>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</si>
  <si>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</si>
  <si>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</si>
  <si>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</si>
  <si>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</si>
  <si>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</si>
  <si>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</si>
  <si>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</si>
  <si>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</si>
  <si>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</si>
  <si>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</si>
  <si>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</si>
  <si>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</si>
  <si>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</si>
  <si>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</si>
  <si>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</si>
  <si>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</si>
  <si>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</si>
  <si>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</si>
  <si>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</si>
  <si>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</si>
  <si>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</si>
  <si>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</si>
  <si>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</si>
  <si>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</si>
  <si>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</si>
  <si>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</si>
  <si>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</si>
  <si>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</si>
  <si>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</si>
  <si>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</si>
  <si>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</si>
  <si>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</si>
  <si>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</si>
  <si>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</si>
  <si>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</si>
  <si>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</si>
  <si>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</si>
  <si>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</si>
  <si>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</si>
  <si>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</si>
  <si>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</si>
  <si>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</si>
  <si>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</si>
  <si>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</si>
  <si>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</si>
  <si>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</si>
  <si>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</si>
  <si>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</si>
  <si>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</si>
  <si>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</si>
  <si>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</si>
  <si>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</si>
  <si>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</si>
  <si>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</si>
  <si>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</si>
  <si>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</si>
  <si>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</si>
  <si>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</si>
  <si>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</si>
  <si>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</si>
  <si>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</si>
  <si>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</si>
  <si>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</si>
  <si>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</si>
  <si>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</si>
  <si>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</si>
  <si>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</si>
  <si>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</si>
  <si>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</si>
  <si>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</si>
  <si>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</si>
  <si>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</si>
  <si>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</si>
  <si>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</si>
  <si>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</si>
  <si>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</si>
  <si>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</si>
  <si>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</si>
  <si>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</si>
  <si>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</si>
  <si>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</si>
  <si>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</si>
  <si>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</si>
  <si>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</si>
  <si>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</si>
  <si>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</si>
  <si>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</si>
  <si>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</si>
  <si>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</si>
  <si>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</si>
  <si>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</si>
  <si>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</si>
  <si>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</si>
  <si>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</si>
  <si>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</si>
  <si>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</si>
  <si>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</si>
  <si>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</si>
  <si>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</si>
  <si>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</si>
  <si>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</si>
  <si>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</si>
  <si>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</si>
  <si>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</si>
  <si>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</si>
  <si>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</si>
  <si>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</si>
  <si>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</si>
  <si>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</si>
  <si>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</si>
  <si>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</si>
  <si>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</si>
  <si>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</si>
  <si>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</si>
  <si>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</si>
  <si>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</si>
  <si>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</si>
  <si>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</si>
  <si>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</si>
  <si>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</si>
  <si>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</si>
  <si>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</si>
  <si>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</si>
  <si>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</si>
  <si>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</si>
  <si>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</si>
  <si>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</si>
  <si>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</si>
  <si>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</si>
  <si>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</si>
  <si>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</si>
  <si>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</si>
  <si>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</si>
  <si>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</si>
  <si>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</si>
  <si>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</si>
  <si>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</si>
  <si>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</si>
  <si>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</si>
  <si>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</si>
  <si>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</si>
  <si>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</si>
  <si>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</si>
  <si>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</si>
  <si>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</si>
  <si>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</si>
  <si>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</si>
  <si>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</si>
  <si>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</si>
  <si>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</si>
  <si>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</si>
  <si>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</si>
  <si>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</si>
  <si>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</si>
  <si>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</si>
  <si>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</si>
  <si>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</si>
  <si>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</si>
  <si>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</si>
  <si>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</si>
  <si>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</si>
  <si>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</si>
  <si>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</si>
  <si>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</si>
  <si>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</si>
  <si>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</si>
  <si>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</si>
  <si>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</si>
  <si>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</si>
  <si>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</si>
  <si>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</si>
  <si>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</si>
  <si>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</si>
  <si>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</si>
  <si>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</si>
  <si>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</si>
  <si>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</si>
  <si>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</si>
  <si>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</si>
  <si>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</si>
  <si>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</si>
  <si>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</si>
  <si>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</si>
  <si>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</si>
  <si>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</si>
  <si>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</si>
  <si>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</si>
  <si>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</si>
  <si>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</si>
  <si>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</si>
  <si>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</si>
  <si>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</si>
  <si>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</si>
  <si>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</si>
  <si>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</si>
  <si>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</si>
  <si>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</si>
  <si>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</si>
  <si>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</si>
  <si>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</si>
  <si>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</si>
  <si>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</si>
  <si>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</si>
  <si>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</si>
  <si>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</si>
  <si>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</si>
  <si>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</si>
  <si>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</si>
  <si>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</si>
  <si>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</si>
  <si>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</si>
  <si>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</si>
  <si>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</si>
  <si>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</si>
  <si>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</si>
  <si>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</si>
  <si>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</si>
  <si>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</si>
  <si>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</si>
  <si>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</si>
  <si>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</si>
  <si>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</si>
  <si>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</si>
  <si>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</si>
  <si>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</si>
  <si>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2000.11</t>
  </si>
  <si>
    <t>V1</t>
  </si>
  <si>
    <t>3/9/2021</t>
  </si>
  <si>
    <t>3/20/2021</t>
  </si>
  <si>
    <t>3/13/2021</t>
  </si>
  <si>
    <t>S002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</si>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</sst>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3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22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#VALEUR!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#VALEUR!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8" name="tReportings_1">
          <a:extLst>
            <a:ext uri="{FF2B5EF4-FFF2-40B4-BE49-F238E27FC236}">
              <a16:creationId xmlns:a16="http://schemas.microsoft.com/office/drawing/2014/main" id="{5B0D4BE0-D6DB-49DE-BA8B-D424C24F8145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C09CD6-0C13-4782-94A0-22A47655164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10" name="tReportings_2">
          <a:extLst>
            <a:ext uri="{FF2B5EF4-FFF2-40B4-BE49-F238E27FC236}">
              <a16:creationId xmlns:a16="http://schemas.microsoft.com/office/drawing/2014/main" id="{64BB78B6-C3CC-453D-A776-0CF85B0B8B16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AA2363-DA1D-4417-84AC-65C353FD30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11" name="tReportings_3">
          <a:extLst>
            <a:ext uri="{FF2B5EF4-FFF2-40B4-BE49-F238E27FC236}">
              <a16:creationId xmlns:a16="http://schemas.microsoft.com/office/drawing/2014/main" id="{F49A3D2B-C17B-4CF9-BE07-AC746815944F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3B0E0BE-890E-4EAA-B3D7-5E8773A18E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12" name="tReportings_4">
          <a:extLst>
            <a:ext uri="{FF2B5EF4-FFF2-40B4-BE49-F238E27FC236}">
              <a16:creationId xmlns:a16="http://schemas.microsoft.com/office/drawing/2014/main" id="{260C4D1A-6976-46FB-B082-71C0B69C5508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482F63-C882-467C-AA09-7D4AD89AF1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#VALEUR!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5_1">
          <a:extLst>
            <a:ext uri="{FF2B5EF4-FFF2-40B4-BE49-F238E27FC236}">
              <a16:creationId xmlns:a16="http://schemas.microsoft.com/office/drawing/2014/main" id="{3DDE1852-624D-4A99-A9F4-6EEB98C51950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C48F3FA-C8DF-4326-851C-1D64A67103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5_2">
          <a:extLst>
            <a:ext uri="{FF2B5EF4-FFF2-40B4-BE49-F238E27FC236}">
              <a16:creationId xmlns:a16="http://schemas.microsoft.com/office/drawing/2014/main" id="{73B3685A-E819-4599-9A9F-05A1995F93A7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63165-DEF0-47C5-9140-B473B80A36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5_3">
          <a:extLst>
            <a:ext uri="{FF2B5EF4-FFF2-40B4-BE49-F238E27FC236}">
              <a16:creationId xmlns:a16="http://schemas.microsoft.com/office/drawing/2014/main" id="{47FC77FC-79C2-4FCC-892C-3DE3BCB8A37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A30542-80CE-4BF1-A800-7C82C68E86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5_4">
          <a:extLst>
            <a:ext uri="{FF2B5EF4-FFF2-40B4-BE49-F238E27FC236}">
              <a16:creationId xmlns:a16="http://schemas.microsoft.com/office/drawing/2014/main" id="{09BAC800-EF64-4D87-89CB-1DE05B59E180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118A472-70F1-4C61-9859-9F4A3B2B6E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5_5">
          <a:extLst>
            <a:ext uri="{FF2B5EF4-FFF2-40B4-BE49-F238E27FC236}">
              <a16:creationId xmlns:a16="http://schemas.microsoft.com/office/drawing/2014/main" id="{FFA59E6C-AD50-4B91-B168-FF9B08BA7F23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1FD3E4-A2D4-40B5-B380-04D92EAF53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5_6">
          <a:extLst>
            <a:ext uri="{FF2B5EF4-FFF2-40B4-BE49-F238E27FC236}">
              <a16:creationId xmlns:a16="http://schemas.microsoft.com/office/drawing/2014/main" id="{095D8D03-75CD-4C72-9B27-F2C9268E5C33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E7758B-4BDC-47D5-84DF-1C02F76951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5_7">
          <a:extLst>
            <a:ext uri="{FF2B5EF4-FFF2-40B4-BE49-F238E27FC236}">
              <a16:creationId xmlns:a16="http://schemas.microsoft.com/office/drawing/2014/main" id="{759D69FE-5147-4D52-A401-E8829A424729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EC8062D-C40C-4ED9-A7B8-515A656897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5_8">
          <a:extLst>
            <a:ext uri="{FF2B5EF4-FFF2-40B4-BE49-F238E27FC236}">
              <a16:creationId xmlns:a16="http://schemas.microsoft.com/office/drawing/2014/main" id="{BBAA82A9-E77D-4A15-86CF-7BFD34043526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1F3BC9-3ACD-44CB-B6CA-51062DC0D35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5_9">
          <a:extLst>
            <a:ext uri="{FF2B5EF4-FFF2-40B4-BE49-F238E27FC236}">
              <a16:creationId xmlns:a16="http://schemas.microsoft.com/office/drawing/2014/main" id="{CFB635D7-69B3-478E-AE02-2FF9A68283C0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B53C87-1910-4278-AE6D-DC19DDBC35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5_10">
          <a:extLst>
            <a:ext uri="{FF2B5EF4-FFF2-40B4-BE49-F238E27FC236}">
              <a16:creationId xmlns:a16="http://schemas.microsoft.com/office/drawing/2014/main" id="{5307978E-FDD9-4787-904A-8C7ECB5313FA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4EE5DB-B43F-47EC-BE86-ED426F42BC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5_11">
          <a:extLst>
            <a:ext uri="{FF2B5EF4-FFF2-40B4-BE49-F238E27FC236}">
              <a16:creationId xmlns:a16="http://schemas.microsoft.com/office/drawing/2014/main" id="{66006FC3-1AC3-4EB4-ABCF-84ED3AB24158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BCBF8B-DE20-4897-B23E-829E82EFEB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5_12">
          <a:extLst>
            <a:ext uri="{FF2B5EF4-FFF2-40B4-BE49-F238E27FC236}">
              <a16:creationId xmlns:a16="http://schemas.microsoft.com/office/drawing/2014/main" id="{C90E32B1-218E-4216-9DC8-20BF91C054F3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00AB2B-AD87-4B39-BA52-8B72746C1C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5_13">
          <a:extLst>
            <a:ext uri="{FF2B5EF4-FFF2-40B4-BE49-F238E27FC236}">
              <a16:creationId xmlns:a16="http://schemas.microsoft.com/office/drawing/2014/main" id="{04418E60-6763-4F19-947C-867F3B770304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1F1C5F-FDF5-4D2D-82B0-B8957A983D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5_14">
          <a:extLst>
            <a:ext uri="{FF2B5EF4-FFF2-40B4-BE49-F238E27FC236}">
              <a16:creationId xmlns:a16="http://schemas.microsoft.com/office/drawing/2014/main" id="{74ABF494-D3D8-4CF0-AED0-CF623DBFCAB6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87392C-65B2-4624-85F2-E1131EC41A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5_15">
          <a:extLst>
            <a:ext uri="{FF2B5EF4-FFF2-40B4-BE49-F238E27FC236}">
              <a16:creationId xmlns:a16="http://schemas.microsoft.com/office/drawing/2014/main" id="{C7E1C5F0-B8B0-40D4-AB83-0AACFAA53A25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6E54B0-6068-427E-A63C-B9D23016E2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5_16">
          <a:extLst>
            <a:ext uri="{FF2B5EF4-FFF2-40B4-BE49-F238E27FC236}">
              <a16:creationId xmlns:a16="http://schemas.microsoft.com/office/drawing/2014/main" id="{DFE30128-8AA5-44AB-B685-E1B0437D85EA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8FA290-A65E-40FF-893E-FC099A7AED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5_17">
          <a:extLst>
            <a:ext uri="{FF2B5EF4-FFF2-40B4-BE49-F238E27FC236}">
              <a16:creationId xmlns:a16="http://schemas.microsoft.com/office/drawing/2014/main" id="{6A572649-2C77-45B6-814A-5876E58F141B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75B6D1-97B5-4E8A-B297-B7436FA6C0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5_18">
          <a:extLst>
            <a:ext uri="{FF2B5EF4-FFF2-40B4-BE49-F238E27FC236}">
              <a16:creationId xmlns:a16="http://schemas.microsoft.com/office/drawing/2014/main" id="{C3A49CF7-028F-4D93-889C-4F2BE8F23A42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FBE9A1-7231-41D8-9CAB-E78BFD6192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5_19">
          <a:extLst>
            <a:ext uri="{FF2B5EF4-FFF2-40B4-BE49-F238E27FC236}">
              <a16:creationId xmlns:a16="http://schemas.microsoft.com/office/drawing/2014/main" id="{98A6DF20-DF51-4296-9B97-D5FCF3BF1C29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F7196D9-58C5-4575-B746-CA90FBE1E6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5_20">
          <a:extLst>
            <a:ext uri="{FF2B5EF4-FFF2-40B4-BE49-F238E27FC236}">
              <a16:creationId xmlns:a16="http://schemas.microsoft.com/office/drawing/2014/main" id="{0344076D-2815-49B4-9DEA-31F1B8A4C248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EC7CDD-DAEB-4B48-A04F-CA4478E655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5_21">
          <a:extLst>
            <a:ext uri="{FF2B5EF4-FFF2-40B4-BE49-F238E27FC236}">
              <a16:creationId xmlns:a16="http://schemas.microsoft.com/office/drawing/2014/main" id="{26ED3FFA-FA39-4679-8A8B-AE5ABDB06B3C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617C015-04AC-4172-BF4E-6BAEFE9669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5_22">
          <a:extLst>
            <a:ext uri="{FF2B5EF4-FFF2-40B4-BE49-F238E27FC236}">
              <a16:creationId xmlns:a16="http://schemas.microsoft.com/office/drawing/2014/main" id="{6477CC12-DE14-4D12-AC23-46470BEB73E5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1500A2-1AFA-418B-85F1-39852A7B4B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5_23">
          <a:extLst>
            <a:ext uri="{FF2B5EF4-FFF2-40B4-BE49-F238E27FC236}">
              <a16:creationId xmlns:a16="http://schemas.microsoft.com/office/drawing/2014/main" id="{2F6AEA5C-43EA-4176-8450-95F0F4859BE2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937DB0-A9BD-4BA2-9A70-74F356106C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5_24">
          <a:extLst>
            <a:ext uri="{FF2B5EF4-FFF2-40B4-BE49-F238E27FC236}">
              <a16:creationId xmlns:a16="http://schemas.microsoft.com/office/drawing/2014/main" id="{88159328-1202-46A3-BCC5-F5D6706E879C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3074EB-202E-46AD-8684-1EB072535A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5_25">
          <a:extLst>
            <a:ext uri="{FF2B5EF4-FFF2-40B4-BE49-F238E27FC236}">
              <a16:creationId xmlns:a16="http://schemas.microsoft.com/office/drawing/2014/main" id="{F4BD382B-6E31-480B-BE02-F5627EBAE184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22FE53-FD1A-4B92-A719-EF782E0DCB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5_26">
          <a:extLst>
            <a:ext uri="{FF2B5EF4-FFF2-40B4-BE49-F238E27FC236}">
              <a16:creationId xmlns:a16="http://schemas.microsoft.com/office/drawing/2014/main" id="{C8AEA6E2-2A82-4411-9D9A-0DCF1893A21C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44E362-F6E3-49AA-96BD-46A27D20FD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5_27">
          <a:extLst>
            <a:ext uri="{FF2B5EF4-FFF2-40B4-BE49-F238E27FC236}">
              <a16:creationId xmlns:a16="http://schemas.microsoft.com/office/drawing/2014/main" id="{097BD14E-3053-485E-B69C-E2DFE34A1D6F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33793E2-1922-4C44-9442-0AA17C2F2EA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5_28">
          <a:extLst>
            <a:ext uri="{FF2B5EF4-FFF2-40B4-BE49-F238E27FC236}">
              <a16:creationId xmlns:a16="http://schemas.microsoft.com/office/drawing/2014/main" id="{4914C314-9E8C-4EC2-BE65-3C3F655F68D4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23E40F-C08D-418A-8918-BF2E1C1BE8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5_29">
          <a:extLst>
            <a:ext uri="{FF2B5EF4-FFF2-40B4-BE49-F238E27FC236}">
              <a16:creationId xmlns:a16="http://schemas.microsoft.com/office/drawing/2014/main" id="{67332DF1-1D0C-4A4B-B1A4-BE2B531C1941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BB86847-FF63-4A06-908D-A2F9951040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5_30">
          <a:extLst>
            <a:ext uri="{FF2B5EF4-FFF2-40B4-BE49-F238E27FC236}">
              <a16:creationId xmlns:a16="http://schemas.microsoft.com/office/drawing/2014/main" id="{D9BDEB0C-2678-4FA5-AFCD-C66E7043DB2E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E8825B-624A-4B85-9B86-C6412F8121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5_31">
          <a:extLst>
            <a:ext uri="{FF2B5EF4-FFF2-40B4-BE49-F238E27FC236}">
              <a16:creationId xmlns:a16="http://schemas.microsoft.com/office/drawing/2014/main" id="{99035D95-2BB5-49D8-8B01-C396C36FC876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9FFC8F-C3A6-4AF6-80D0-B0CD0E21F0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5_32">
          <a:extLst>
            <a:ext uri="{FF2B5EF4-FFF2-40B4-BE49-F238E27FC236}">
              <a16:creationId xmlns:a16="http://schemas.microsoft.com/office/drawing/2014/main" id="{ED8FEAAF-04EA-4C70-8AB2-A24B51E878ED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8E9850-106F-4D52-889D-70504AFE5E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5_33">
          <a:extLst>
            <a:ext uri="{FF2B5EF4-FFF2-40B4-BE49-F238E27FC236}">
              <a16:creationId xmlns:a16="http://schemas.microsoft.com/office/drawing/2014/main" id="{400E144B-5F02-4EFC-83FA-32E08A0BA54A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54F2D8-7C8E-41F3-A915-06A7306442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5_34">
          <a:extLst>
            <a:ext uri="{FF2B5EF4-FFF2-40B4-BE49-F238E27FC236}">
              <a16:creationId xmlns:a16="http://schemas.microsoft.com/office/drawing/2014/main" id="{361806B0-2418-4935-A627-9BFEC31CCCCB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120462-D59C-4515-BD60-AA2EE22762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5_35">
          <a:extLst>
            <a:ext uri="{FF2B5EF4-FFF2-40B4-BE49-F238E27FC236}">
              <a16:creationId xmlns:a16="http://schemas.microsoft.com/office/drawing/2014/main" id="{B1459140-60CB-4BF3-99C3-592CD52078AB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319BAF-6933-4D35-97B7-3EDC18F394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5_36">
          <a:extLst>
            <a:ext uri="{FF2B5EF4-FFF2-40B4-BE49-F238E27FC236}">
              <a16:creationId xmlns:a16="http://schemas.microsoft.com/office/drawing/2014/main" id="{286A46D8-6F6B-4C9A-B548-618FC7462142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9C7E6C-981A-493A-AFCA-351AE98AAC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5_37">
          <a:extLst>
            <a:ext uri="{FF2B5EF4-FFF2-40B4-BE49-F238E27FC236}">
              <a16:creationId xmlns:a16="http://schemas.microsoft.com/office/drawing/2014/main" id="{2A0498B0-2D04-42C6-A185-F0EA5E3C4B8C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01517B2-D6CD-41E4-B3C4-91BBD6A793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5_38">
          <a:extLst>
            <a:ext uri="{FF2B5EF4-FFF2-40B4-BE49-F238E27FC236}">
              <a16:creationId xmlns:a16="http://schemas.microsoft.com/office/drawing/2014/main" id="{3908A626-EE8A-4EDE-B1D0-EC4D94AE8588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B89974-D1EA-4A61-B361-43DD08F2E0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5_39">
          <a:extLst>
            <a:ext uri="{FF2B5EF4-FFF2-40B4-BE49-F238E27FC236}">
              <a16:creationId xmlns:a16="http://schemas.microsoft.com/office/drawing/2014/main" id="{1B475197-B2C7-4F8F-B921-A954D2B7A707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027EF5-6FB3-4742-B915-2E4A1E0AAF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5_40">
          <a:extLst>
            <a:ext uri="{FF2B5EF4-FFF2-40B4-BE49-F238E27FC236}">
              <a16:creationId xmlns:a16="http://schemas.microsoft.com/office/drawing/2014/main" id="{3C3CB857-E489-4A28-82AF-5F8A5AD35F21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3318CB-C2A9-4847-B14C-C4CFF8842D9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5_41">
          <a:extLst>
            <a:ext uri="{FF2B5EF4-FFF2-40B4-BE49-F238E27FC236}">
              <a16:creationId xmlns:a16="http://schemas.microsoft.com/office/drawing/2014/main" id="{6AA17823-70CC-404D-933D-F4089160B286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B76A61-67CD-4AA7-B3F2-4CD2BA47EB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5_42">
          <a:extLst>
            <a:ext uri="{FF2B5EF4-FFF2-40B4-BE49-F238E27FC236}">
              <a16:creationId xmlns:a16="http://schemas.microsoft.com/office/drawing/2014/main" id="{50C87559-2C1D-4D6B-9220-FB47F40AA279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B798E5-3F11-441E-BB9A-2AB1051221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5_43">
          <a:extLst>
            <a:ext uri="{FF2B5EF4-FFF2-40B4-BE49-F238E27FC236}">
              <a16:creationId xmlns:a16="http://schemas.microsoft.com/office/drawing/2014/main" id="{7BDC28C9-530A-49EE-A587-075606136DF6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BE5F4F-572E-4AB6-BB38-0783ECE3F7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5_44">
          <a:extLst>
            <a:ext uri="{FF2B5EF4-FFF2-40B4-BE49-F238E27FC236}">
              <a16:creationId xmlns:a16="http://schemas.microsoft.com/office/drawing/2014/main" id="{4D3DB4ED-FC96-43C9-9770-CA4D33BF316F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F29DB01-45EE-47AE-88CD-EDF326E170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5_45">
          <a:extLst>
            <a:ext uri="{FF2B5EF4-FFF2-40B4-BE49-F238E27FC236}">
              <a16:creationId xmlns:a16="http://schemas.microsoft.com/office/drawing/2014/main" id="{B464C08A-98A1-4043-8ECE-28E8E4563468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8A2D0-E340-4F4C-93CA-A7393F4FA0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5_46">
          <a:extLst>
            <a:ext uri="{FF2B5EF4-FFF2-40B4-BE49-F238E27FC236}">
              <a16:creationId xmlns:a16="http://schemas.microsoft.com/office/drawing/2014/main" id="{82F597D6-E559-4280-B154-0B7F353352BB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9590A4-25B0-49A9-9DEC-55C951ED90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5_47">
          <a:extLst>
            <a:ext uri="{FF2B5EF4-FFF2-40B4-BE49-F238E27FC236}">
              <a16:creationId xmlns:a16="http://schemas.microsoft.com/office/drawing/2014/main" id="{7A06DA1F-6EF6-4CB0-A157-40AFA0B6FDA0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9AE6E53-4668-4BA7-AE6B-6CE62B5D0D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5_48">
          <a:extLst>
            <a:ext uri="{FF2B5EF4-FFF2-40B4-BE49-F238E27FC236}">
              <a16:creationId xmlns:a16="http://schemas.microsoft.com/office/drawing/2014/main" id="{0B765C82-2ED4-46CE-AED5-38384DF0091E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8ACFA8-06E5-4D87-BF12-3B5F3781B3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5_49">
          <a:extLst>
            <a:ext uri="{FF2B5EF4-FFF2-40B4-BE49-F238E27FC236}">
              <a16:creationId xmlns:a16="http://schemas.microsoft.com/office/drawing/2014/main" id="{184AD490-B363-4C15-ADB1-75813C73C123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0A3CEA-ED0E-4E91-B4B0-D03FE6CF5E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5_50">
          <a:extLst>
            <a:ext uri="{FF2B5EF4-FFF2-40B4-BE49-F238E27FC236}">
              <a16:creationId xmlns:a16="http://schemas.microsoft.com/office/drawing/2014/main" id="{44C97989-73CA-40DE-BACA-195D8EDC9A5F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F93DA0-7A6E-4271-B821-898BCC43E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5_51">
          <a:extLst>
            <a:ext uri="{FF2B5EF4-FFF2-40B4-BE49-F238E27FC236}">
              <a16:creationId xmlns:a16="http://schemas.microsoft.com/office/drawing/2014/main" id="{F3A3D4B4-3B01-43EC-99FC-1F7EE02CD2BE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22965B-4590-4F5C-A77E-1D8DFC38F0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5_52">
          <a:extLst>
            <a:ext uri="{FF2B5EF4-FFF2-40B4-BE49-F238E27FC236}">
              <a16:creationId xmlns:a16="http://schemas.microsoft.com/office/drawing/2014/main" id="{98194761-3058-4928-8D4E-F673D2E00F92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47C2E7-E130-4EF9-A236-CF8A534685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5_53">
          <a:extLst>
            <a:ext uri="{FF2B5EF4-FFF2-40B4-BE49-F238E27FC236}">
              <a16:creationId xmlns:a16="http://schemas.microsoft.com/office/drawing/2014/main" id="{19A69309-5922-4136-B0EF-58552262B6F7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7B30D9-F165-4DBB-BBE5-50AAFF4827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5_54">
          <a:extLst>
            <a:ext uri="{FF2B5EF4-FFF2-40B4-BE49-F238E27FC236}">
              <a16:creationId xmlns:a16="http://schemas.microsoft.com/office/drawing/2014/main" id="{364C6DD1-101B-46CA-86B9-8404594445FA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28D134-ADFC-4D2B-9A0D-77AD67C6EE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5_55">
          <a:extLst>
            <a:ext uri="{FF2B5EF4-FFF2-40B4-BE49-F238E27FC236}">
              <a16:creationId xmlns:a16="http://schemas.microsoft.com/office/drawing/2014/main" id="{AD5DC71C-94C4-4E12-BB32-5D1A8186B146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7DF26F-4868-4188-BE22-3C9BD75F755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5_56">
          <a:extLst>
            <a:ext uri="{FF2B5EF4-FFF2-40B4-BE49-F238E27FC236}">
              <a16:creationId xmlns:a16="http://schemas.microsoft.com/office/drawing/2014/main" id="{0C95C325-7D1A-41DE-A5E1-B7097BC3A717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D2F7024-1B97-43A6-9AAD-85AF5715CB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5_57">
          <a:extLst>
            <a:ext uri="{FF2B5EF4-FFF2-40B4-BE49-F238E27FC236}">
              <a16:creationId xmlns:a16="http://schemas.microsoft.com/office/drawing/2014/main" id="{9456FDBD-328F-48CA-9E80-3E229846452F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022FC8-FE2B-48A4-B7AA-8F95BB7AB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5_58">
          <a:extLst>
            <a:ext uri="{FF2B5EF4-FFF2-40B4-BE49-F238E27FC236}">
              <a16:creationId xmlns:a16="http://schemas.microsoft.com/office/drawing/2014/main" id="{DA3B2198-6D40-4B9F-B22F-74B93D7C42EA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2F7509-32F7-4666-A329-B570BC124B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5_59">
          <a:extLst>
            <a:ext uri="{FF2B5EF4-FFF2-40B4-BE49-F238E27FC236}">
              <a16:creationId xmlns:a16="http://schemas.microsoft.com/office/drawing/2014/main" id="{CA9D0C8E-A902-461F-930C-D7F87D650BF1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749040-02B4-4D0D-99C3-75075EC755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5_60">
          <a:extLst>
            <a:ext uri="{FF2B5EF4-FFF2-40B4-BE49-F238E27FC236}">
              <a16:creationId xmlns:a16="http://schemas.microsoft.com/office/drawing/2014/main" id="{3A029941-1D45-42BF-B2C3-20807A532DFC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E5C78B-E209-464F-83FA-08560A11FD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5_61">
          <a:extLst>
            <a:ext uri="{FF2B5EF4-FFF2-40B4-BE49-F238E27FC236}">
              <a16:creationId xmlns:a16="http://schemas.microsoft.com/office/drawing/2014/main" id="{4CC669FD-6110-4CF4-ABF8-B9952725F247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CECE47-F9A0-412C-BB8B-727D06BA009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5_62">
          <a:extLst>
            <a:ext uri="{FF2B5EF4-FFF2-40B4-BE49-F238E27FC236}">
              <a16:creationId xmlns:a16="http://schemas.microsoft.com/office/drawing/2014/main" id="{94D8EFE3-EFB0-48EC-AEF3-5C92B434AC76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833DDD-B149-4055-8999-D3FDC91B71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5_63">
          <a:extLst>
            <a:ext uri="{FF2B5EF4-FFF2-40B4-BE49-F238E27FC236}">
              <a16:creationId xmlns:a16="http://schemas.microsoft.com/office/drawing/2014/main" id="{31112C05-6EA2-4E83-9FE2-AA708825CE48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EB8F2B-F852-471B-8955-88B6165EAA5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5_64">
          <a:extLst>
            <a:ext uri="{FF2B5EF4-FFF2-40B4-BE49-F238E27FC236}">
              <a16:creationId xmlns:a16="http://schemas.microsoft.com/office/drawing/2014/main" id="{FCD10604-C5A1-45C4-9357-59A43355C5D0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AEB9BA-E8C1-4B14-804E-4A1AE51269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5_65">
          <a:extLst>
            <a:ext uri="{FF2B5EF4-FFF2-40B4-BE49-F238E27FC236}">
              <a16:creationId xmlns:a16="http://schemas.microsoft.com/office/drawing/2014/main" id="{D7BDCE4A-73D8-4E17-AC68-5A5A85859027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DF5C7B-9D5D-4B7B-8FC5-40D3137F36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5_66">
          <a:extLst>
            <a:ext uri="{FF2B5EF4-FFF2-40B4-BE49-F238E27FC236}">
              <a16:creationId xmlns:a16="http://schemas.microsoft.com/office/drawing/2014/main" id="{9783BE67-AF8D-4CFF-87ED-20A393494503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414225A-6E58-4C1D-BDB3-748FC220C4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5_67">
          <a:extLst>
            <a:ext uri="{FF2B5EF4-FFF2-40B4-BE49-F238E27FC236}">
              <a16:creationId xmlns:a16="http://schemas.microsoft.com/office/drawing/2014/main" id="{71C3E88E-F3AF-42C5-85E0-A43577DA59B3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47E602-753A-40D5-8ABA-3155605FED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5_68">
          <a:extLst>
            <a:ext uri="{FF2B5EF4-FFF2-40B4-BE49-F238E27FC236}">
              <a16:creationId xmlns:a16="http://schemas.microsoft.com/office/drawing/2014/main" id="{2B312066-8FF2-4C61-BA15-9BFD4DD15E07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9BC5297-E406-4CAF-A323-805278ED8B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5_69">
          <a:extLst>
            <a:ext uri="{FF2B5EF4-FFF2-40B4-BE49-F238E27FC236}">
              <a16:creationId xmlns:a16="http://schemas.microsoft.com/office/drawing/2014/main" id="{2787781D-C302-4020-A8A4-1D522B5D755F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2567A4-461D-4ED7-B751-A862DE8128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5_70">
          <a:extLst>
            <a:ext uri="{FF2B5EF4-FFF2-40B4-BE49-F238E27FC236}">
              <a16:creationId xmlns:a16="http://schemas.microsoft.com/office/drawing/2014/main" id="{534B1C23-5119-402D-93D0-6A151747358D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92C86C-6140-483A-BAC2-4F7F836C49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5_71">
          <a:extLst>
            <a:ext uri="{FF2B5EF4-FFF2-40B4-BE49-F238E27FC236}">
              <a16:creationId xmlns:a16="http://schemas.microsoft.com/office/drawing/2014/main" id="{658D4E81-6ECF-4B4E-9D18-8B3289919296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77B63D-1618-4A33-919D-42C3EB06A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5_72">
          <a:extLst>
            <a:ext uri="{FF2B5EF4-FFF2-40B4-BE49-F238E27FC236}">
              <a16:creationId xmlns:a16="http://schemas.microsoft.com/office/drawing/2014/main" id="{183B94C0-388F-4DE3-9CCE-71976BF38752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5133C87-03ED-4D19-910E-B873B91E98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5_73">
          <a:extLst>
            <a:ext uri="{FF2B5EF4-FFF2-40B4-BE49-F238E27FC236}">
              <a16:creationId xmlns:a16="http://schemas.microsoft.com/office/drawing/2014/main" id="{B3A6B91A-45A5-4473-9151-0FA867F071DD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B07CD8-A91C-4FCE-A52C-32FC2495B6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5_74">
          <a:extLst>
            <a:ext uri="{FF2B5EF4-FFF2-40B4-BE49-F238E27FC236}">
              <a16:creationId xmlns:a16="http://schemas.microsoft.com/office/drawing/2014/main" id="{8D39B57E-1BA0-4491-8E05-4E4A18EE03D4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B77C5-C097-4F9C-8063-BADE0040FF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5_75">
          <a:extLst>
            <a:ext uri="{FF2B5EF4-FFF2-40B4-BE49-F238E27FC236}">
              <a16:creationId xmlns:a16="http://schemas.microsoft.com/office/drawing/2014/main" id="{770B684C-72BA-4588-87AC-921DFD7BF5BD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7C30D7-5453-48A7-BD9B-F86A9B9242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5_76">
          <a:extLst>
            <a:ext uri="{FF2B5EF4-FFF2-40B4-BE49-F238E27FC236}">
              <a16:creationId xmlns:a16="http://schemas.microsoft.com/office/drawing/2014/main" id="{B12D5E00-BD91-4FC1-BD02-621322888AAA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0BD8A5B-D425-4C20-B51D-72B689A83E8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5_77">
          <a:extLst>
            <a:ext uri="{FF2B5EF4-FFF2-40B4-BE49-F238E27FC236}">
              <a16:creationId xmlns:a16="http://schemas.microsoft.com/office/drawing/2014/main" id="{464FB5D0-0669-4AEF-A442-9A41CAA0FBF7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9F7FAE-282B-4BD9-BA25-D8BB144E67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5_78">
          <a:extLst>
            <a:ext uri="{FF2B5EF4-FFF2-40B4-BE49-F238E27FC236}">
              <a16:creationId xmlns:a16="http://schemas.microsoft.com/office/drawing/2014/main" id="{7C53E0E3-4F61-493E-8FD4-8375606625F9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EB17C0-4BA2-4AAD-BC9E-FE4FA4AE71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5_79">
          <a:extLst>
            <a:ext uri="{FF2B5EF4-FFF2-40B4-BE49-F238E27FC236}">
              <a16:creationId xmlns:a16="http://schemas.microsoft.com/office/drawing/2014/main" id="{D835FFA8-9233-4D9F-A644-746CC3E1CDA9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3C1150-ADD6-434E-B21E-C41503FF0C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5_80">
          <a:extLst>
            <a:ext uri="{FF2B5EF4-FFF2-40B4-BE49-F238E27FC236}">
              <a16:creationId xmlns:a16="http://schemas.microsoft.com/office/drawing/2014/main" id="{F7AE1014-0614-45D7-8F74-CFC96AC8F58B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CE8870-3203-4D96-BA7B-52BCA05B92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5_81">
          <a:extLst>
            <a:ext uri="{FF2B5EF4-FFF2-40B4-BE49-F238E27FC236}">
              <a16:creationId xmlns:a16="http://schemas.microsoft.com/office/drawing/2014/main" id="{19420AD3-D0DE-4F29-8D0C-E77428F26121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F69806-ECB9-45BC-A1C2-7C30BAA96F5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5_82">
          <a:extLst>
            <a:ext uri="{FF2B5EF4-FFF2-40B4-BE49-F238E27FC236}">
              <a16:creationId xmlns:a16="http://schemas.microsoft.com/office/drawing/2014/main" id="{8C8E2F6F-B0C8-4DF3-852C-C2DA44A98612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8F8FEB-C18A-4D7D-AD80-4CAC0F4843C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5_83">
          <a:extLst>
            <a:ext uri="{FF2B5EF4-FFF2-40B4-BE49-F238E27FC236}">
              <a16:creationId xmlns:a16="http://schemas.microsoft.com/office/drawing/2014/main" id="{E52515B4-529E-4926-95E7-12539E301693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092AC6-30BC-4268-887A-2BAD0C930D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65936F92-CCD9-4253-8A30-A5340DEA11E9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33ED80-6AB2-4BBC-8307-C2F962639B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8B67FEC6-8C1D-4D71-AF2C-E5627F8E0E2F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7DB3B6-ACEA-4E1B-B2AD-ED61E5FDA3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FCE2920D-1FE9-48E0-8F40-B77B8EA0570A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51ED1-768B-4F30-A78D-51D414FD25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C1A06548-BDB5-4991-93D4-6D7BC86FA4E2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6241C98-469B-4E94-B613-08102216AF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2C90C9B2-6506-4AD4-975B-A5C1837DB9E2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9F40F5-FD5F-4F9B-874F-E15BC90D67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20455607-C332-44A3-8E94-09B5686EAE56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6A8AC3D-BF3C-4E88-A6FF-42A58BBD53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D0307738-CF66-475C-84BA-BCE39F6BA3FC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71E7ED-D8B5-48B4-9FAE-B5D69692D9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DB075C7B-5F94-4BD4-A993-6B4F67E8AF65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895948E-2912-4A85-B533-1FACFB2390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57CA1DAB-A622-433B-A135-85131EDED207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1A1F2E-2F72-4472-A49E-1CA11237A3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55CE8E71-A8AB-4290-B2BE-55EFE636F13A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8A1008-BFA6-46C5-8AF6-6CA1B54AA9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85A0CF7F-E0C1-430D-AD6A-2B967373E084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1BE2FC-1F86-4DA2-B801-AE5EC3A274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45190ECB-5306-4B3E-B820-44DC24439481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1BE802-0D9F-4843-AC49-EFF09477B4C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42AB6B60-067A-4F60-A652-9EA0633FD53A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8A2013-335B-4DC2-BE56-817EFAC34C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0A4A7AC6-2BCF-420E-9B6C-3132CF5A2600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660F53-6E1F-43E3-955B-FD4307B064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286EEEEB-17E6-45C0-A7B9-62F7EABC009F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7F5BE9E-010C-44ED-91F8-E00971499AC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9A544BD6-946C-4886-A8E0-302FCAC1A20D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88230E-7B02-421D-BA0D-737A6AB653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D4ACFE58-4FED-4A10-9F9C-27174C1D5954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EC405B-0F59-4246-B6D2-DD01F25C7F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45257199-F366-4C2E-8CE1-04C85BA23BE7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60E47D-AD8B-4A49-9196-6ED73151B2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DD0AAC45-9366-4BE5-B3A3-8C0E1260B177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6EDC55-FD41-4BD4-B324-71E7FE666F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5239AD21-691C-4C61-806A-A9B158BD5784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B9D3A0-323F-4C1A-A104-23D4B0FA05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A79D9E80-896F-44F6-ADF5-363A62B368EF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5F4D26-5C26-466A-85C0-ED4A65F685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509BE20C-4DA5-457A-8DD0-2D8CA1E5310A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8BCBA-B6A7-4F1D-AC61-DE5C5C93AE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D64E8236-DC36-4FD2-B1B3-207E6EADE538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A6F5E6-DA2C-4418-B3C4-810F091677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CC98D334-FFD7-4F39-8B5B-FB311501A264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438777-4BA0-4FF9-AC3F-580E7FE6BD7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70C84172-AB52-495E-9A0E-CEA597F4CEE9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9A64CD-84AF-4C35-A517-1BE7D78136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975DBF5B-E6A2-4F9E-8DA9-379E992F3249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EC66CB-4675-4077-8760-DA6E65BBAA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2F412165-EB3B-4FB8-BD42-ADE52521C0DB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CA74BC-6A5A-4333-B429-30F61AB315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7D3DAC98-968B-4898-9B97-52442091A96C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B1F512-AEC4-40C4-B7B6-E0055E1086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132E9C70-9C63-431C-992D-22DBA6E4413A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480D808-944B-4207-B134-D8618562C5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0B1EC7FC-2A9C-47B5-8EA5-FEA32A98328B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1AFB60-586D-4636-936F-B505A837C3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52428888_31">
          <a:extLst>
            <a:ext uri="{FF2B5EF4-FFF2-40B4-BE49-F238E27FC236}">
              <a16:creationId xmlns:a16="http://schemas.microsoft.com/office/drawing/2014/main" id="{42467EBF-E3F7-48AB-A4C0-5319973AB092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2488E7-8EFB-44FE-9046-1C95C25A2A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52428888_32">
          <a:extLst>
            <a:ext uri="{FF2B5EF4-FFF2-40B4-BE49-F238E27FC236}">
              <a16:creationId xmlns:a16="http://schemas.microsoft.com/office/drawing/2014/main" id="{28D3DCE8-0D88-40C1-AC63-0237526EF7EA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633C28F-082D-48DE-A9F6-9E5459DFD7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52428888_33">
          <a:extLst>
            <a:ext uri="{FF2B5EF4-FFF2-40B4-BE49-F238E27FC236}">
              <a16:creationId xmlns:a16="http://schemas.microsoft.com/office/drawing/2014/main" id="{0C79BAF4-3BAB-46E5-A008-C5ADF4C781FE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DD676-0A05-49B4-B3F9-0B69A1EB92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52428888_34">
          <a:extLst>
            <a:ext uri="{FF2B5EF4-FFF2-40B4-BE49-F238E27FC236}">
              <a16:creationId xmlns:a16="http://schemas.microsoft.com/office/drawing/2014/main" id="{54839DE9-F4DC-4D22-8B84-16F0DB111A41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6B980C-4EF1-4D5E-9A01-FA8F852A8C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52428888_35">
          <a:extLst>
            <a:ext uri="{FF2B5EF4-FFF2-40B4-BE49-F238E27FC236}">
              <a16:creationId xmlns:a16="http://schemas.microsoft.com/office/drawing/2014/main" id="{DFA0E2A3-37B6-43F7-B2A0-4453D72551F0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031256-C2C2-497D-A6E1-D572CAB694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52428888_36">
          <a:extLst>
            <a:ext uri="{FF2B5EF4-FFF2-40B4-BE49-F238E27FC236}">
              <a16:creationId xmlns:a16="http://schemas.microsoft.com/office/drawing/2014/main" id="{12FD1721-D7EB-49B6-9E0A-0788C2E3557E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064FE3-B232-4674-A84F-A790BB681F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52428888_37">
          <a:extLst>
            <a:ext uri="{FF2B5EF4-FFF2-40B4-BE49-F238E27FC236}">
              <a16:creationId xmlns:a16="http://schemas.microsoft.com/office/drawing/2014/main" id="{E79AD1FC-E483-4F47-AB60-8B9732DC60F6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E473399-89FD-4FF5-990F-2439CEB0DC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52428888_38">
          <a:extLst>
            <a:ext uri="{FF2B5EF4-FFF2-40B4-BE49-F238E27FC236}">
              <a16:creationId xmlns:a16="http://schemas.microsoft.com/office/drawing/2014/main" id="{40A664E0-BBFB-42D3-9016-447D24AA1C57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567BEC-1F40-4200-B185-817B6EB7FF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52428888_39">
          <a:extLst>
            <a:ext uri="{FF2B5EF4-FFF2-40B4-BE49-F238E27FC236}">
              <a16:creationId xmlns:a16="http://schemas.microsoft.com/office/drawing/2014/main" id="{5321B400-4B9C-4C9C-A56A-B2E2029E1DE7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F23642-71A1-48E2-A06A-EE71043C03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52428888_40">
          <a:extLst>
            <a:ext uri="{FF2B5EF4-FFF2-40B4-BE49-F238E27FC236}">
              <a16:creationId xmlns:a16="http://schemas.microsoft.com/office/drawing/2014/main" id="{E7B0F115-E159-4D70-B8A9-06BB624D1AF8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A6479C-1CA6-4DD1-BD97-CED2D90026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52428888_41">
          <a:extLst>
            <a:ext uri="{FF2B5EF4-FFF2-40B4-BE49-F238E27FC236}">
              <a16:creationId xmlns:a16="http://schemas.microsoft.com/office/drawing/2014/main" id="{B9AC5B51-6991-42BE-A8F6-E0880580DEA7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EFC55E3-A130-44AF-ABE0-28EEBB306B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52428888_42">
          <a:extLst>
            <a:ext uri="{FF2B5EF4-FFF2-40B4-BE49-F238E27FC236}">
              <a16:creationId xmlns:a16="http://schemas.microsoft.com/office/drawing/2014/main" id="{30E7B635-84AF-46E9-8D2E-E4BDDBD9ED54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E4621D-9EB1-4C26-B23F-F9607BADD0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52428888_43">
          <a:extLst>
            <a:ext uri="{FF2B5EF4-FFF2-40B4-BE49-F238E27FC236}">
              <a16:creationId xmlns:a16="http://schemas.microsoft.com/office/drawing/2014/main" id="{D88398AC-B817-4135-9667-47074807753E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798435-4AB3-494D-8BD8-1284482EA7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52428888_44">
          <a:extLst>
            <a:ext uri="{FF2B5EF4-FFF2-40B4-BE49-F238E27FC236}">
              <a16:creationId xmlns:a16="http://schemas.microsoft.com/office/drawing/2014/main" id="{2B52F1D0-CA8A-48D8-AD4E-F05D0C33A2E5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576520-5EF3-4D5C-845C-A517FC337C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52428888_45">
          <a:extLst>
            <a:ext uri="{FF2B5EF4-FFF2-40B4-BE49-F238E27FC236}">
              <a16:creationId xmlns:a16="http://schemas.microsoft.com/office/drawing/2014/main" id="{FD19AA70-6576-4D77-B5CE-D3C119FFDBCE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9DF3D4-B9E5-4341-8048-BB6FE24DF89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52428888_46">
          <a:extLst>
            <a:ext uri="{FF2B5EF4-FFF2-40B4-BE49-F238E27FC236}">
              <a16:creationId xmlns:a16="http://schemas.microsoft.com/office/drawing/2014/main" id="{B6DC3B06-3775-43F7-AEB4-D8CC0E6DD3F1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AB0D5C-8672-4145-8ADF-41F21EE653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52428888_47">
          <a:extLst>
            <a:ext uri="{FF2B5EF4-FFF2-40B4-BE49-F238E27FC236}">
              <a16:creationId xmlns:a16="http://schemas.microsoft.com/office/drawing/2014/main" id="{AACFC902-9481-4388-A231-5FC118CCF739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24F53B7-4A8C-4199-8273-71B7CD9D76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52428888_48">
          <a:extLst>
            <a:ext uri="{FF2B5EF4-FFF2-40B4-BE49-F238E27FC236}">
              <a16:creationId xmlns:a16="http://schemas.microsoft.com/office/drawing/2014/main" id="{3141E8E2-13FA-4662-A236-DDD3CCF63930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3A60C0-6607-4B2C-9565-B6ADE9ED78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52428888_49">
          <a:extLst>
            <a:ext uri="{FF2B5EF4-FFF2-40B4-BE49-F238E27FC236}">
              <a16:creationId xmlns:a16="http://schemas.microsoft.com/office/drawing/2014/main" id="{731D79D2-118D-4170-82C4-B07944BA0D07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71E64C-9E5E-49C8-8393-72A5FF47C9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52428888_50">
          <a:extLst>
            <a:ext uri="{FF2B5EF4-FFF2-40B4-BE49-F238E27FC236}">
              <a16:creationId xmlns:a16="http://schemas.microsoft.com/office/drawing/2014/main" id="{D41186CC-80BE-4E06-8600-4965BA2C604C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08DE2A-5ACC-4B8A-B5EA-D0978A467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52428888_51">
          <a:extLst>
            <a:ext uri="{FF2B5EF4-FFF2-40B4-BE49-F238E27FC236}">
              <a16:creationId xmlns:a16="http://schemas.microsoft.com/office/drawing/2014/main" id="{98CE5256-4C16-4110-92A5-ED3A722C0BC4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81454F-9199-4E39-B05B-1752DA31E0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52428888_52">
          <a:extLst>
            <a:ext uri="{FF2B5EF4-FFF2-40B4-BE49-F238E27FC236}">
              <a16:creationId xmlns:a16="http://schemas.microsoft.com/office/drawing/2014/main" id="{F6EB6D05-739C-4712-9DCF-C34B42009D8A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D5D76B-717A-4A28-B0B1-22BFD4F89D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52428888_53">
          <a:extLst>
            <a:ext uri="{FF2B5EF4-FFF2-40B4-BE49-F238E27FC236}">
              <a16:creationId xmlns:a16="http://schemas.microsoft.com/office/drawing/2014/main" id="{BB485FB1-5FB7-4A08-9438-B0C1E048DD18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726F90-0493-476F-BCCC-F38CD891FF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52428888_54">
          <a:extLst>
            <a:ext uri="{FF2B5EF4-FFF2-40B4-BE49-F238E27FC236}">
              <a16:creationId xmlns:a16="http://schemas.microsoft.com/office/drawing/2014/main" id="{B6A4DFE3-30A3-4308-A93F-B27A38D3F21D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D4BEA3-FB10-41A1-9B87-19ADA04BD5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52428888_55">
          <a:extLst>
            <a:ext uri="{FF2B5EF4-FFF2-40B4-BE49-F238E27FC236}">
              <a16:creationId xmlns:a16="http://schemas.microsoft.com/office/drawing/2014/main" id="{035EC56B-F56F-4BB5-9CD3-218A550E238D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4A61F7-5BB4-4117-BCC1-1A33DF65F7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52428888_56">
          <a:extLst>
            <a:ext uri="{FF2B5EF4-FFF2-40B4-BE49-F238E27FC236}">
              <a16:creationId xmlns:a16="http://schemas.microsoft.com/office/drawing/2014/main" id="{CC1A49FD-213C-4E66-8795-E09A456C6AEF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E7D4A7-3067-49A3-B18A-19FA7B0688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52428888_57">
          <a:extLst>
            <a:ext uri="{FF2B5EF4-FFF2-40B4-BE49-F238E27FC236}">
              <a16:creationId xmlns:a16="http://schemas.microsoft.com/office/drawing/2014/main" id="{7F987713-7638-448D-B2F2-06C20875FF9C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D9814A-21A1-435E-A712-1F02CE17AC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52428888_58">
          <a:extLst>
            <a:ext uri="{FF2B5EF4-FFF2-40B4-BE49-F238E27FC236}">
              <a16:creationId xmlns:a16="http://schemas.microsoft.com/office/drawing/2014/main" id="{933AA7B2-C48C-4E72-B530-10EA3BCE69DA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FAC7E2-5EF6-406F-8AAA-373CE61829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52428888_59">
          <a:extLst>
            <a:ext uri="{FF2B5EF4-FFF2-40B4-BE49-F238E27FC236}">
              <a16:creationId xmlns:a16="http://schemas.microsoft.com/office/drawing/2014/main" id="{909C8AF9-5D22-4B09-9C59-19603D0AF813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1C05C7-F9B1-4F20-B5A0-0148044B37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52428888_60">
          <a:extLst>
            <a:ext uri="{FF2B5EF4-FFF2-40B4-BE49-F238E27FC236}">
              <a16:creationId xmlns:a16="http://schemas.microsoft.com/office/drawing/2014/main" id="{26524E53-13AC-4B27-BC47-CEA19D04089E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BDFCD7-1E57-4071-B260-6C81BF80B8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52428888_61">
          <a:extLst>
            <a:ext uri="{FF2B5EF4-FFF2-40B4-BE49-F238E27FC236}">
              <a16:creationId xmlns:a16="http://schemas.microsoft.com/office/drawing/2014/main" id="{0D851C0C-FF19-48A2-888F-26DC1C54D50B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CD159B-6075-4D1C-8800-9BD9E83A51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52428888_62">
          <a:extLst>
            <a:ext uri="{FF2B5EF4-FFF2-40B4-BE49-F238E27FC236}">
              <a16:creationId xmlns:a16="http://schemas.microsoft.com/office/drawing/2014/main" id="{7864F759-AE67-4F8C-80DD-CF744ADE934F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4D469B-E097-40CD-8340-7EA0B946F6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52428888_63">
          <a:extLst>
            <a:ext uri="{FF2B5EF4-FFF2-40B4-BE49-F238E27FC236}">
              <a16:creationId xmlns:a16="http://schemas.microsoft.com/office/drawing/2014/main" id="{981755A7-CBF0-4975-BF55-310DC60F6CBA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C8667B-FAC8-4F6F-AB24-57CB32A70F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52428888_64">
          <a:extLst>
            <a:ext uri="{FF2B5EF4-FFF2-40B4-BE49-F238E27FC236}">
              <a16:creationId xmlns:a16="http://schemas.microsoft.com/office/drawing/2014/main" id="{6CDDF6A1-E925-4CB1-AB8E-E08E0ED1B2ED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E5D728-428E-434A-9D7B-F4E7D18B32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52428888_65">
          <a:extLst>
            <a:ext uri="{FF2B5EF4-FFF2-40B4-BE49-F238E27FC236}">
              <a16:creationId xmlns:a16="http://schemas.microsoft.com/office/drawing/2014/main" id="{B1CCFFCE-215B-4C4E-ABA2-6415F1121F1E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04B0FA-9563-4CA2-ABCA-DA5C29BF52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52428888_66">
          <a:extLst>
            <a:ext uri="{FF2B5EF4-FFF2-40B4-BE49-F238E27FC236}">
              <a16:creationId xmlns:a16="http://schemas.microsoft.com/office/drawing/2014/main" id="{77667CA2-020E-41F8-88BC-6800C8554445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8B0C64-6410-4F0F-8901-2869D1B3665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52428888_67">
          <a:extLst>
            <a:ext uri="{FF2B5EF4-FFF2-40B4-BE49-F238E27FC236}">
              <a16:creationId xmlns:a16="http://schemas.microsoft.com/office/drawing/2014/main" id="{0FCCA077-A6B9-498C-B9EB-BC65D8D47B23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44A2581-47BF-434D-B3CE-33C44ECE4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52428888_68">
          <a:extLst>
            <a:ext uri="{FF2B5EF4-FFF2-40B4-BE49-F238E27FC236}">
              <a16:creationId xmlns:a16="http://schemas.microsoft.com/office/drawing/2014/main" id="{0F293E1D-0A35-43CD-B665-487D02814E98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CCB9A98-500F-4D13-97AA-064774BC62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52428888_69">
          <a:extLst>
            <a:ext uri="{FF2B5EF4-FFF2-40B4-BE49-F238E27FC236}">
              <a16:creationId xmlns:a16="http://schemas.microsoft.com/office/drawing/2014/main" id="{8130861D-8F1F-4353-96C9-41D0374A4485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265FEC-4C88-4B69-8D53-F7C0DB5BA3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52428888_70">
          <a:extLst>
            <a:ext uri="{FF2B5EF4-FFF2-40B4-BE49-F238E27FC236}">
              <a16:creationId xmlns:a16="http://schemas.microsoft.com/office/drawing/2014/main" id="{1665E012-E9E2-48AA-9260-970B66FBA4A0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B3D383-BB9A-47A4-9280-B54E064470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52428888_71">
          <a:extLst>
            <a:ext uri="{FF2B5EF4-FFF2-40B4-BE49-F238E27FC236}">
              <a16:creationId xmlns:a16="http://schemas.microsoft.com/office/drawing/2014/main" id="{3556C33F-C833-4B00-9B2F-BDA5029BC291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168D39-8676-4EB7-8484-A70766B73D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52428888_72">
          <a:extLst>
            <a:ext uri="{FF2B5EF4-FFF2-40B4-BE49-F238E27FC236}">
              <a16:creationId xmlns:a16="http://schemas.microsoft.com/office/drawing/2014/main" id="{940AAF05-3698-4D5D-B523-FABFFB1F3EF6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F5764E-0745-4945-8A60-834C1EA19E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52428888_73">
          <a:extLst>
            <a:ext uri="{FF2B5EF4-FFF2-40B4-BE49-F238E27FC236}">
              <a16:creationId xmlns:a16="http://schemas.microsoft.com/office/drawing/2014/main" id="{86FFFE95-085E-4AFD-8AFB-9C0D889274E7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EBA590-4D48-4A60-BA59-3B9BFC1E26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52428888_74">
          <a:extLst>
            <a:ext uri="{FF2B5EF4-FFF2-40B4-BE49-F238E27FC236}">
              <a16:creationId xmlns:a16="http://schemas.microsoft.com/office/drawing/2014/main" id="{1A29070F-1386-4D83-82F6-EC5DD3D47C15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15CB5E-9C78-4929-8417-B500A0A857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52428888_75">
          <a:extLst>
            <a:ext uri="{FF2B5EF4-FFF2-40B4-BE49-F238E27FC236}">
              <a16:creationId xmlns:a16="http://schemas.microsoft.com/office/drawing/2014/main" id="{D748EC0D-9DC4-4EB7-A7E9-768B518484E1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963DE0-E270-4D2A-A0E5-4244C18AA7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52428888_76">
          <a:extLst>
            <a:ext uri="{FF2B5EF4-FFF2-40B4-BE49-F238E27FC236}">
              <a16:creationId xmlns:a16="http://schemas.microsoft.com/office/drawing/2014/main" id="{CAFE5B6B-BB60-4C59-B11D-94CEF698739E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55BF15-9D09-46D3-9444-83258F0D07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52428888_77">
          <a:extLst>
            <a:ext uri="{FF2B5EF4-FFF2-40B4-BE49-F238E27FC236}">
              <a16:creationId xmlns:a16="http://schemas.microsoft.com/office/drawing/2014/main" id="{F89841B1-9F84-454E-8ADC-1C06C1A8BD29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952318-A7CC-4200-841A-679F78A7D7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52428888_78">
          <a:extLst>
            <a:ext uri="{FF2B5EF4-FFF2-40B4-BE49-F238E27FC236}">
              <a16:creationId xmlns:a16="http://schemas.microsoft.com/office/drawing/2014/main" id="{39D378E1-E1D3-4A20-9507-3DED2B80694E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47B97F2-F1FA-4C6B-9CF2-9F45A0D55B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52428888_79">
          <a:extLst>
            <a:ext uri="{FF2B5EF4-FFF2-40B4-BE49-F238E27FC236}">
              <a16:creationId xmlns:a16="http://schemas.microsoft.com/office/drawing/2014/main" id="{91E5AA48-8983-44F0-8628-96271E526666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482091-28CF-4B29-8A0C-422DB350CB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52428888_80">
          <a:extLst>
            <a:ext uri="{FF2B5EF4-FFF2-40B4-BE49-F238E27FC236}">
              <a16:creationId xmlns:a16="http://schemas.microsoft.com/office/drawing/2014/main" id="{BD149A24-AB90-42AE-B0A9-9EA18A66A6B5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8637F3-980E-4431-AAFB-A58D1A0450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52428888_81">
          <a:extLst>
            <a:ext uri="{FF2B5EF4-FFF2-40B4-BE49-F238E27FC236}">
              <a16:creationId xmlns:a16="http://schemas.microsoft.com/office/drawing/2014/main" id="{63756378-5A77-467A-9F5A-5CC01ACF88CB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7E1AAA-53AD-4844-8B2B-E0F59ABF06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52428888_82">
          <a:extLst>
            <a:ext uri="{FF2B5EF4-FFF2-40B4-BE49-F238E27FC236}">
              <a16:creationId xmlns:a16="http://schemas.microsoft.com/office/drawing/2014/main" id="{0DF20486-2B14-4D13-A7D3-0DA581F3C043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5057FB-3501-4479-9F58-17D58DFA7B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52428888_83">
          <a:extLst>
            <a:ext uri="{FF2B5EF4-FFF2-40B4-BE49-F238E27FC236}">
              <a16:creationId xmlns:a16="http://schemas.microsoft.com/office/drawing/2014/main" id="{7D4AFF92-43AD-48F5-98A9-C7F094979CFF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351011-42AD-4A4A-A530-4E590CF4D0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#VALEUR!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4351F1-627C-49D3-BEC4-FD1E9C7FA3B1}" name="tReportings" displayName="tReportings" ref="C13:F41" totalsRowShown="0" headerRowDxfId="5" dataDxfId="0" tableBorderDxfId="6">
  <autoFilter ref="C13:F41" xr:uid="{636FFD7A-06F7-4D2D-9840-8D0FA3568D5D}"/>
  <tableColumns count="4">
    <tableColumn id="1" xr3:uid="{09E06756-11CD-47D1-A50C-CA5B45E9C470}" name=" 1" dataDxfId="4"/>
    <tableColumn id="2" xr3:uid="{60CCF53F-4E9C-49F1-86AA-641815A106E5}" name=" 2" dataDxfId="3"/>
    <tableColumn id="3" xr3:uid="{D7C41283-EEB7-48FB-8304-8017FA340424}" name=" 3" dataDxfId="2"/>
    <tableColumn id="4" xr3:uid="{538A72D1-B1E7-4405-822B-1D3FEB57E18B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AB1A78-412C-43E6-B975-B13104696F69}" name="tReportingNew5" displayName="tReportingNew5" ref="B5:CF7" totalsRowShown="0" headerRowDxfId="221" dataDxfId="220">
  <autoFilter ref="B5:CF7" xr:uid="{079C5C50-975F-4821-9131-FD6FCBCEC310}"/>
  <tableColumns count="83">
    <tableColumn id="1" xr3:uid="{6EDF8137-BFF3-4B6A-99B4-3F6994ACF90A}" name=" 1" dataDxfId="219"/>
    <tableColumn id="2" xr3:uid="{FD9935D8-4AF3-43B3-91A1-941169F0993C}" name=" 2" dataDxfId="218"/>
    <tableColumn id="3" xr3:uid="{9A22F937-53AA-4E20-8997-ECAF644B49F2}" name=" 3" dataDxfId="217"/>
    <tableColumn id="4" xr3:uid="{92CB258B-D576-4929-983E-087C26C6D7CF}" name=" 4" dataDxfId="216"/>
    <tableColumn id="5" xr3:uid="{039EA799-87B0-4C0C-ABD4-E2E66880E2EC}" name=" 5" dataDxfId="215"/>
    <tableColumn id="6" xr3:uid="{49218E16-E77C-46B6-AC27-9EDA357BD167}" name=" 6" dataDxfId="214"/>
    <tableColumn id="7" xr3:uid="{6F4B6CE7-D026-4015-99D7-CBC8C47793BA}" name=" 7" dataDxfId="213"/>
    <tableColumn id="8" xr3:uid="{5074F954-4F77-4596-AC08-BCE216F55A59}" name=" 8" dataDxfId="212"/>
    <tableColumn id="9" xr3:uid="{F3930EAC-4ACD-4034-893A-6A28F50A5BD4}" name=" 9" dataDxfId="211"/>
    <tableColumn id="10" xr3:uid="{B112EFE1-01F1-48C5-85D6-E59094AE344D}" name=" 10" dataDxfId="210"/>
    <tableColumn id="11" xr3:uid="{A2D20E2D-CA85-4244-AC0E-8C5903F39DEB}" name=" 11" dataDxfId="209"/>
    <tableColumn id="12" xr3:uid="{B138E8E1-22B5-41E8-A571-FB1985DF64A9}" name=" 12" dataDxfId="208"/>
    <tableColumn id="13" xr3:uid="{F76EC9CA-828D-4811-A938-666F764FBCA2}" name=" 13" dataDxfId="207"/>
    <tableColumn id="14" xr3:uid="{17769CC6-F734-4FFE-9E24-0C80CE934141}" name=" 14" dataDxfId="206"/>
    <tableColumn id="15" xr3:uid="{ABEC7A67-70A0-41D2-9A9F-F647D8C893F9}" name=" 15" dataDxfId="205"/>
    <tableColumn id="16" xr3:uid="{CB80D96B-7C6C-4803-BA5F-5554118E8D05}" name=" 16" dataDxfId="204"/>
    <tableColumn id="17" xr3:uid="{E0D5CE7A-F4AF-47C0-AD79-4B4C2947AD00}" name=" 17" dataDxfId="203"/>
    <tableColumn id="18" xr3:uid="{AC556FBA-C5AA-4B7C-9E37-A2FC1D421709}" name=" 18" dataDxfId="202"/>
    <tableColumn id="19" xr3:uid="{2F6E2A93-5378-4E14-A08F-B9B855A3F36A}" name=" 19" dataDxfId="201"/>
    <tableColumn id="20" xr3:uid="{B7CE7726-8BCA-4A55-AB02-0FFA609865AD}" name=" 20" dataDxfId="200"/>
    <tableColumn id="21" xr3:uid="{4E22C52C-30FD-4D05-B153-CFA84AD48E12}" name=" 21" dataDxfId="199"/>
    <tableColumn id="22" xr3:uid="{42E7AA3B-2B34-407D-A766-43153D6E0734}" name=" 22" dataDxfId="198"/>
    <tableColumn id="23" xr3:uid="{A7F5C492-8F09-4EFC-95B9-9FBE24C14A73}" name=" 23" dataDxfId="197"/>
    <tableColumn id="24" xr3:uid="{19F011AE-0E0E-445C-9CB1-797D31D8197F}" name=" 24" dataDxfId="196"/>
    <tableColumn id="25" xr3:uid="{9F2A155C-D5D2-4D4A-BF01-5B7970847F3E}" name=" 25" dataDxfId="195"/>
    <tableColumn id="26" xr3:uid="{FCF20718-FD9A-4ABB-8EE9-2351CDEB88A7}" name=" 26" dataDxfId="194"/>
    <tableColumn id="27" xr3:uid="{8AE8AB0A-C4EA-4AAD-A41B-9027A9703B78}" name=" 27" dataDxfId="193"/>
    <tableColumn id="28" xr3:uid="{6159772B-1EFE-4662-9B33-DAF9FC2758E3}" name=" 28" dataDxfId="192"/>
    <tableColumn id="29" xr3:uid="{A078BE11-6E8E-4BB1-9E0F-3B08870AC6B5}" name=" 29" dataDxfId="191"/>
    <tableColumn id="30" xr3:uid="{21BDAEF4-4884-4295-AD53-2C2609E32D55}" name=" 30" dataDxfId="190"/>
    <tableColumn id="31" xr3:uid="{064A05C9-23D3-4200-B678-FDA49FF51741}" name=" 31" dataDxfId="189"/>
    <tableColumn id="32" xr3:uid="{5C0B504D-EF78-4BD6-9586-7B1C62E6A33D}" name=" 32" dataDxfId="188"/>
    <tableColumn id="33" xr3:uid="{53A81186-A689-4E63-8304-98E342CD0730}" name=" 33" dataDxfId="187"/>
    <tableColumn id="34" xr3:uid="{8FA0E5BB-144A-489F-B550-A6FA256C147A}" name=" 34" dataDxfId="186"/>
    <tableColumn id="35" xr3:uid="{58CEBA5B-A9C6-4CB5-A371-6D352CD798A2}" name=" 35" dataDxfId="185"/>
    <tableColumn id="36" xr3:uid="{DCBA4423-0CF2-4C4B-ADB3-BEF717CE14BD}" name=" 36" dataDxfId="184"/>
    <tableColumn id="37" xr3:uid="{DE980B11-D965-466E-BF59-BF749498D55C}" name=" 37" dataDxfId="183"/>
    <tableColumn id="38" xr3:uid="{48586BAF-839C-49B6-8683-643D623D172C}" name=" 38" dataDxfId="182"/>
    <tableColumn id="39" xr3:uid="{4D7167E0-2CB8-4097-9AF0-6CF9963A3085}" name=" 39" dataDxfId="181"/>
    <tableColumn id="40" xr3:uid="{430F2038-1646-4A7D-97C4-E02EA489E670}" name=" 40" dataDxfId="180"/>
    <tableColumn id="41" xr3:uid="{AEA8069A-55C7-4DF1-BAB9-E1A9B1EB93F1}" name=" 41" dataDxfId="179"/>
    <tableColumn id="42" xr3:uid="{C775A358-4367-41E3-95C9-0522EE39900C}" name=" 42" dataDxfId="178"/>
    <tableColumn id="43" xr3:uid="{B4A0B099-C399-4CA9-8609-B994944CC325}" name=" 43" dataDxfId="177"/>
    <tableColumn id="44" xr3:uid="{9D8E2250-9835-437A-AB0C-DE274E610ADE}" name=" 44" dataDxfId="176"/>
    <tableColumn id="45" xr3:uid="{0C67C86C-9B0D-4259-AEF0-F594E6631B9B}" name=" 45" dataDxfId="175"/>
    <tableColumn id="46" xr3:uid="{D101E33D-4AD5-41FE-8EF6-AAC6444575CA}" name=" 46" dataDxfId="174"/>
    <tableColumn id="47" xr3:uid="{B908C223-1051-410D-927F-2A7D5448E4C9}" name=" 47" dataDxfId="173"/>
    <tableColumn id="48" xr3:uid="{CB8BA31C-CC9E-428F-BB06-7FB921B6DEC2}" name=" 48" dataDxfId="172"/>
    <tableColumn id="49" xr3:uid="{DCC62F3C-9C18-4507-AD64-7322A3C07052}" name=" 49" dataDxfId="171"/>
    <tableColumn id="50" xr3:uid="{7D2439E7-D383-45B1-8787-8F0C65BA38DF}" name=" 50" dataDxfId="170"/>
    <tableColumn id="51" xr3:uid="{C485A7CA-FBC6-467B-BADB-1DECC8B28F21}" name=" 51" dataDxfId="169"/>
    <tableColumn id="52" xr3:uid="{33181188-BAF1-4A0A-BD95-7DC2F7DA0E74}" name=" 52" dataDxfId="168"/>
    <tableColumn id="53" xr3:uid="{CEABD349-7008-4A7F-859A-105738707FAC}" name=" 53" dataDxfId="167"/>
    <tableColumn id="54" xr3:uid="{21AB2FE8-6ED0-42D8-A0C3-B5E2D1BAADEB}" name=" 54" dataDxfId="166"/>
    <tableColumn id="55" xr3:uid="{6D1AB189-AB0B-4F7B-8C74-6EDA38732937}" name=" 55" dataDxfId="165"/>
    <tableColumn id="56" xr3:uid="{3E97F3C7-66FF-4445-A162-C6FE7D4DA356}" name=" 56" dataDxfId="164"/>
    <tableColumn id="57" xr3:uid="{BA57926F-0DFB-45B7-89B2-F777148A6A72}" name=" 57" dataDxfId="163"/>
    <tableColumn id="58" xr3:uid="{4EFD50BF-1EE7-4DEF-A6E1-60B6C9D7A512}" name=" 58" dataDxfId="162"/>
    <tableColumn id="59" xr3:uid="{8EF9D070-E681-4F9D-A368-529EF1234276}" name=" 59" dataDxfId="161"/>
    <tableColumn id="60" xr3:uid="{0D011C12-0DA2-49CF-AB02-C0BDFB96D69F}" name=" 60" dataDxfId="160"/>
    <tableColumn id="61" xr3:uid="{2F799CA9-E9C3-4D9B-9075-4654E9CCAAF3}" name=" 61" dataDxfId="159"/>
    <tableColumn id="62" xr3:uid="{51D977B5-53CF-4C23-95F6-A34E23F92949}" name=" 62" dataDxfId="158"/>
    <tableColumn id="63" xr3:uid="{435DF073-F041-4E7F-B3F0-244318818C99}" name=" 63" dataDxfId="157"/>
    <tableColumn id="64" xr3:uid="{3960A730-5BB6-4E2D-8CA0-85DC666BD0FE}" name=" 64" dataDxfId="156"/>
    <tableColumn id="65" xr3:uid="{FDB4118F-73B7-4D7C-B13C-4814935C7AB3}" name=" 65" dataDxfId="155"/>
    <tableColumn id="66" xr3:uid="{84483156-649E-4FB2-BB47-ADC15ED1E298}" name=" 66" dataDxfId="154"/>
    <tableColumn id="67" xr3:uid="{CA6EC4D5-516A-4A2C-9FC2-0D8F9782BB71}" name=" 67" dataDxfId="153"/>
    <tableColumn id="68" xr3:uid="{3CB951C0-36E8-4E2F-B131-479F4CAD6E78}" name=" 68" dataDxfId="152"/>
    <tableColumn id="69" xr3:uid="{BF6A636D-CCA7-404D-B397-070EC60DF20F}" name=" 69" dataDxfId="151"/>
    <tableColumn id="70" xr3:uid="{60BEB33B-FAFC-498D-BCD0-D1AE1CCEAB64}" name=" 70" dataDxfId="150"/>
    <tableColumn id="71" xr3:uid="{3BE2914F-8448-4B69-B47A-5CD90C559896}" name=" 71" dataDxfId="149"/>
    <tableColumn id="72" xr3:uid="{FC7641C7-B319-4DE1-ACB9-88861A217F01}" name=" 72" dataDxfId="148"/>
    <tableColumn id="73" xr3:uid="{5C89F8B4-D3D5-40BC-831F-0B61115946B2}" name=" 73" dataDxfId="147"/>
    <tableColumn id="74" xr3:uid="{AA772C46-5931-460A-836C-26B60D12B5BB}" name=" 74" dataDxfId="146"/>
    <tableColumn id="75" xr3:uid="{F3451341-6464-4924-AC90-F3E38276520B}" name=" 75" dataDxfId="145"/>
    <tableColumn id="76" xr3:uid="{555134D0-D4AD-40A7-9DA0-53EE852F7161}" name=" 76" dataDxfId="144"/>
    <tableColumn id="77" xr3:uid="{EDA4A4BC-FBE3-4107-B724-29770D66AA8D}" name=" 77" dataDxfId="143"/>
    <tableColumn id="78" xr3:uid="{66DFF0E8-A75E-49CA-83C2-E287F4F7667C}" name=" 78" dataDxfId="142"/>
    <tableColumn id="79" xr3:uid="{BADC0D73-A851-4E41-BC07-EAD245E0E9CD}" name=" 79" dataDxfId="141"/>
    <tableColumn id="80" xr3:uid="{9D31BED4-9781-417E-B6E0-80537A178464}" name=" 80" dataDxfId="140"/>
    <tableColumn id="81" xr3:uid="{39FABE48-0C6D-4B08-AADB-2CEC269CE1EE}" name=" 81" dataDxfId="139"/>
    <tableColumn id="82" xr3:uid="{973ECCC6-7F38-43F5-8826-B62A79F69B96}" name=" 82" dataDxfId="138"/>
    <tableColumn id="83" xr3:uid="{8E35751D-9567-419C-BF81-D585FDA71841}" name=" 83" dataDxfId="1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446D2-9F6B-4550-9AED-744CAD0B63AD}" name="tReporting52428888" displayName="tReporting52428888" ref="B5:CF6" totalsRowShown="0" headerRowDxfId="136" dataDxfId="135">
  <autoFilter ref="B5:CF6" xr:uid="{009CD131-6D8A-4799-8DA0-5AE65C69ADD7}"/>
  <tableColumns count="83">
    <tableColumn id="1" xr3:uid="{86ED3EC3-B42C-4CF2-92ED-4B622A33E4CB}" name=" 1" dataDxfId="134"/>
    <tableColumn id="2" xr3:uid="{AE79E4E4-8C49-41F8-9906-730F48632702}" name=" 2" dataDxfId="133"/>
    <tableColumn id="3" xr3:uid="{7153DA51-E8D1-4DD3-B266-455649C65671}" name=" 3" dataDxfId="132"/>
    <tableColumn id="4" xr3:uid="{6175F3D0-8448-48C7-A316-2F80083E4716}" name=" 4" dataDxfId="131"/>
    <tableColumn id="5" xr3:uid="{7FCB01C6-80C3-4AA5-B85B-1DDA044094C1}" name=" 5" dataDxfId="130"/>
    <tableColumn id="6" xr3:uid="{0EB686AF-27A8-4839-B725-71F937F438A6}" name=" 6" dataDxfId="129"/>
    <tableColumn id="7" xr3:uid="{1092DE6B-71B5-48F4-BD2A-3E12692C5346}" name=" 7" dataDxfId="128"/>
    <tableColumn id="8" xr3:uid="{37BE3DFB-6BAE-425E-BED9-915F65461296}" name=" 8" dataDxfId="127"/>
    <tableColumn id="9" xr3:uid="{A030DE82-3588-41C6-AF3E-72D478A9BF44}" name=" 9" dataDxfId="126"/>
    <tableColumn id="10" xr3:uid="{BB289FBD-C350-4F06-B388-CB7CE163E984}" name=" 10" dataDxfId="125"/>
    <tableColumn id="11" xr3:uid="{EA6A665B-9B2C-4398-A64F-18C5AEF3D80C}" name=" 11" dataDxfId="124"/>
    <tableColumn id="12" xr3:uid="{232DCC76-3426-4592-AB8D-218DE2AF3E81}" name=" 12" dataDxfId="123"/>
    <tableColumn id="13" xr3:uid="{FDD56D4D-5142-4380-8D28-75C9AEBC0461}" name=" 13" dataDxfId="122"/>
    <tableColumn id="14" xr3:uid="{B8E9C3FB-B628-484B-AC1C-9710E153E25C}" name=" 14" dataDxfId="121"/>
    <tableColumn id="15" xr3:uid="{4F083F21-4B12-4514-AECD-8322336D8063}" name=" 15" dataDxfId="120"/>
    <tableColumn id="16" xr3:uid="{CC4596AB-C18B-48BF-8520-CAF0A946EFDF}" name=" 16" dataDxfId="119"/>
    <tableColumn id="17" xr3:uid="{E7CB0B26-89F3-446F-9BEE-F8115EF56B5A}" name=" 17" dataDxfId="118"/>
    <tableColumn id="18" xr3:uid="{7E0699CE-F6FF-44A0-B2FF-B1B2656DFDD1}" name=" 18" dataDxfId="117"/>
    <tableColumn id="19" xr3:uid="{CEA3CB5A-A162-4875-980A-40C45CFF9BCF}" name=" 19" dataDxfId="116"/>
    <tableColumn id="20" xr3:uid="{1F371A3F-B7C6-445A-B2E8-0FF08F2C3D37}" name=" 20" dataDxfId="115"/>
    <tableColumn id="21" xr3:uid="{520566F3-020E-43FE-89BE-0FD102B617D5}" name=" 21" dataDxfId="114"/>
    <tableColumn id="22" xr3:uid="{65058823-BE07-4F58-9F00-B030444D945E}" name=" 22" dataDxfId="113"/>
    <tableColumn id="23" xr3:uid="{F3099F57-3018-43A2-A5BE-3805A9D29E24}" name=" 23" dataDxfId="112"/>
    <tableColumn id="24" xr3:uid="{A99CA00A-C71C-431F-B9BA-29A41E9D8134}" name=" 24" dataDxfId="111"/>
    <tableColumn id="25" xr3:uid="{617BCDC0-1F83-426E-8529-A3ADA61D0978}" name=" 25" dataDxfId="110"/>
    <tableColumn id="26" xr3:uid="{B2A92392-791B-4171-BD7A-386D074AE135}" name=" 26" dataDxfId="109"/>
    <tableColumn id="27" xr3:uid="{6DB1B331-3FCF-4ADB-835F-C5CE45771528}" name=" 27" dataDxfId="108"/>
    <tableColumn id="28" xr3:uid="{D266D625-E26F-46F2-9E80-4A60AC7E2CC2}" name=" 28" dataDxfId="107"/>
    <tableColumn id="29" xr3:uid="{FCDEEEC1-8589-462B-B05A-9F8EC3BAAEBD}" name=" 29" dataDxfId="106"/>
    <tableColumn id="30" xr3:uid="{C3CDAFAC-457A-4C12-9634-9645A9BEB2A4}" name=" 30" dataDxfId="105"/>
    <tableColumn id="31" xr3:uid="{3852EB12-505F-4ED2-9AF1-E4BEEE6B8E06}" name=" 31" dataDxfId="104"/>
    <tableColumn id="32" xr3:uid="{E464871D-A698-4CAA-8A1F-9F53203D107C}" name=" 32" dataDxfId="103"/>
    <tableColumn id="33" xr3:uid="{C84544B4-154E-4D3A-A04B-945A4B35F4CD}" name=" 33" dataDxfId="102"/>
    <tableColumn id="34" xr3:uid="{60AA15F3-C90C-47C8-A652-00CDCA5E828E}" name=" 34" dataDxfId="101"/>
    <tableColumn id="35" xr3:uid="{EE2A4FB1-9BAA-4A82-9368-4154427F848D}" name=" 35" dataDxfId="100"/>
    <tableColumn id="36" xr3:uid="{A148FBFC-0408-420A-85A6-3873856B0875}" name=" 36" dataDxfId="99"/>
    <tableColumn id="37" xr3:uid="{1B25B497-E56C-40F2-B977-7A7BCE0BEB15}" name=" 37" dataDxfId="98"/>
    <tableColumn id="38" xr3:uid="{F91604B3-D0C3-4B06-8457-FAD5D5230D9B}" name=" 38" dataDxfId="97"/>
    <tableColumn id="39" xr3:uid="{C5F3A5F4-C9FF-481B-A9E5-23E03027798B}" name=" 39" dataDxfId="96"/>
    <tableColumn id="40" xr3:uid="{54BCE2C7-1E7C-48CF-AE83-F774CCCFFEB5}" name=" 40" dataDxfId="95"/>
    <tableColumn id="41" xr3:uid="{6BA6C0CF-6E93-47E0-AD6D-2A0488145552}" name=" 41" dataDxfId="94"/>
    <tableColumn id="42" xr3:uid="{AA0199C2-9970-4E36-BCDE-0AC14F2A42D0}" name=" 42" dataDxfId="93"/>
    <tableColumn id="43" xr3:uid="{FB00F8BE-92F0-443C-9D3C-C8B24F7ABEF3}" name=" 43" dataDxfId="92"/>
    <tableColumn id="44" xr3:uid="{521A9702-D7CA-4161-9906-F25AE9B03AFA}" name=" 44" dataDxfId="91"/>
    <tableColumn id="45" xr3:uid="{C9657CC3-65E7-4430-AD22-EC17D8B35140}" name=" 45" dataDxfId="90"/>
    <tableColumn id="46" xr3:uid="{6F8637FC-602A-4EBD-A263-75A0A6736E4F}" name=" 46" dataDxfId="89"/>
    <tableColumn id="47" xr3:uid="{67EA76B9-EA36-4729-9FB2-0E4EC0AC566A}" name=" 47" dataDxfId="88"/>
    <tableColumn id="48" xr3:uid="{9C1222F0-40F3-4723-904D-CE95854E8D0F}" name=" 48" dataDxfId="87"/>
    <tableColumn id="49" xr3:uid="{09D9909D-5E25-44D1-A42B-30762650A7F2}" name=" 49" dataDxfId="86"/>
    <tableColumn id="50" xr3:uid="{F4E8AF7B-18D1-4CC7-8B22-379ECF093156}" name=" 50" dataDxfId="85"/>
    <tableColumn id="51" xr3:uid="{FAB4DF86-52E0-4846-BD39-D3B352F78032}" name=" 51" dataDxfId="84"/>
    <tableColumn id="52" xr3:uid="{AB0CEAEC-A612-41ED-9CC3-AAC710D2E056}" name=" 52" dataDxfId="83"/>
    <tableColumn id="53" xr3:uid="{38C01C38-0FD0-4D1D-A1C6-753E5BF59089}" name=" 53" dataDxfId="82"/>
    <tableColumn id="54" xr3:uid="{A308B7FE-E287-4751-8E5B-8CAC7131B348}" name=" 54" dataDxfId="81"/>
    <tableColumn id="55" xr3:uid="{16C3523E-7EBF-48F3-AAAC-AF01E7C167C0}" name=" 55" dataDxfId="80"/>
    <tableColumn id="56" xr3:uid="{1B0F2F78-6C8D-4820-8E8C-258C162C68A1}" name=" 56" dataDxfId="79"/>
    <tableColumn id="57" xr3:uid="{6D7BD520-3477-46B3-A879-ADA3E6E141DE}" name=" 57" dataDxfId="78"/>
    <tableColumn id="58" xr3:uid="{CE419086-242C-4844-8D18-FEE408A8B4EE}" name=" 58" dataDxfId="77"/>
    <tableColumn id="59" xr3:uid="{175BD957-C41B-45D0-A552-E74E0FE6F9A6}" name=" 59" dataDxfId="76"/>
    <tableColumn id="60" xr3:uid="{07E9A09C-36D8-408B-BE2A-4504072D282B}" name=" 60" dataDxfId="75"/>
    <tableColumn id="61" xr3:uid="{8D351767-9D85-484F-9A0B-FC027BC4EF1C}" name=" 61" dataDxfId="74"/>
    <tableColumn id="62" xr3:uid="{11904FC7-73C5-443A-9D39-6D5C4289FEAD}" name=" 62" dataDxfId="73"/>
    <tableColumn id="63" xr3:uid="{281853AF-0FF7-4A7C-8903-DF64780A49D4}" name=" 63" dataDxfId="72"/>
    <tableColumn id="64" xr3:uid="{8CC71881-DABF-49BE-89AF-517E044BC87C}" name=" 64" dataDxfId="71"/>
    <tableColumn id="65" xr3:uid="{3A869FCB-A51A-471E-B877-D90405E99543}" name=" 65" dataDxfId="70"/>
    <tableColumn id="66" xr3:uid="{48DE6845-F493-4152-9D6C-49CE5839157C}" name=" 66" dataDxfId="69"/>
    <tableColumn id="67" xr3:uid="{960A59A5-5C94-4019-B48E-8953CE6B09F1}" name=" 67" dataDxfId="68"/>
    <tableColumn id="68" xr3:uid="{09BF1238-359B-4E28-AC86-C420A6CD7AC9}" name=" 68" dataDxfId="67"/>
    <tableColumn id="69" xr3:uid="{6F619176-EE72-4D1A-9840-5923E8EFF7EA}" name=" 69" dataDxfId="66"/>
    <tableColumn id="70" xr3:uid="{493EFAC1-63A5-472B-BEC2-745672677E6D}" name=" 70" dataDxfId="65"/>
    <tableColumn id="71" xr3:uid="{1FA1E9B3-EF9D-48B8-BD94-FE77336F0419}" name=" 71" dataDxfId="64"/>
    <tableColumn id="72" xr3:uid="{7FBB604C-8C49-4CE5-AFD2-DB55CEB35A00}" name=" 72" dataDxfId="63"/>
    <tableColumn id="73" xr3:uid="{E6F66D8B-A57E-44EB-A0CB-49539B8A070A}" name=" 73" dataDxfId="62"/>
    <tableColumn id="74" xr3:uid="{148FFC55-CC87-4C7B-B05C-55D422AD4331}" name=" 74" dataDxfId="61"/>
    <tableColumn id="75" xr3:uid="{FDC8BAB7-7D34-4830-BB09-D4A6D88B490D}" name=" 75" dataDxfId="60"/>
    <tableColumn id="76" xr3:uid="{A2AF4171-5D30-4EDE-90A9-2D7D84A691F7}" name=" 76" dataDxfId="59"/>
    <tableColumn id="77" xr3:uid="{280885A4-8562-4AB6-AFF4-7173E2831F05}" name=" 77" dataDxfId="58"/>
    <tableColumn id="78" xr3:uid="{26211D0A-8E04-4B66-9A27-FB3829DECC1D}" name=" 78" dataDxfId="57"/>
    <tableColumn id="79" xr3:uid="{4F39B450-3F36-44C7-A41B-EB78EB5C9F73}" name=" 79" dataDxfId="56"/>
    <tableColumn id="80" xr3:uid="{D7A54280-DA81-419F-A73E-BC1FF9A4A43C}" name=" 80" dataDxfId="55"/>
    <tableColumn id="81" xr3:uid="{33F1E268-D0C4-4833-ACAA-B8E30419D894}" name=" 81" dataDxfId="54"/>
    <tableColumn id="82" xr3:uid="{DB7A39A6-9585-4D3B-B3E6-73C5B0F0C7FF}" name=" 82" dataDxfId="53"/>
    <tableColumn id="83" xr3:uid="{1C1179CD-1D45-4F9D-AE32-C7F3023118C4}" name=" 83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7">
  <autoFilter ref="A3:H114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1">
  <autoFilter ref="B3:S91" xr:uid="{D9E8808B-D9E1-4272-8694-E8D5F2C45F29}"/>
  <tableColumns count="18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2" xr3:uid="{DFC5B263-91CC-4653-8ADC-74A0368CD202}" name="JSON Column" dataDxfId="45"/>
    <tableColumn id="3" xr3:uid="{D5540814-CF2F-4ACB-B92D-22093C535E0C}" name="JSON Type" dataDxfId="44"/>
    <tableColumn id="11" xr3:uid="{EDC8EA7C-C33C-4E55-9909-B09F730AE94B}" name="Required" dataDxfId="43"/>
    <tableColumn id="4" xr3:uid="{8D0A36EB-752B-47BA-B4F5-009678ACFDD0}" name="Title" dataDxfId="42"/>
    <tableColumn id="12" xr3:uid="{B7222461-457D-4B90-9925-68BAF8D1E421}" name="Editor" dataDxfId="41"/>
    <tableColumn id="14" xr3:uid="{C8DD975C-C222-4560-AD83-9B3E4EF275CD}" name="Format" dataDxfId="40"/>
    <tableColumn id="15" xr3:uid="{30CC9560-5D67-406A-B687-D2883B19A560}" name="Level" dataDxfId="39"/>
    <tableColumn id="18" xr3:uid="{9414E3E8-B630-435F-9660-16EFF4CAEFD7}" name="Width" dataDxfId="38"/>
    <tableColumn id="5" xr3:uid="{3613A1E0-361B-4D77-AB85-A190D3D733FC}" name="Hidden" dataDxfId="37"/>
    <tableColumn id="6" xr3:uid="{4FC768DF-246E-41E4-8A37-38EE7A822849}" name="Command" dataDxfId="36"/>
    <tableColumn id="10" xr3:uid="{08F0F3AA-70C9-46BE-9E8F-F9089FF43A15}" name="Params" dataDxfId="35"/>
    <tableColumn id="7" xr3:uid="{C3148FB9-B4AC-439B-977D-F7DC6FE2F875}" name="Position" dataDxfId="34"/>
    <tableColumn id="17" xr3:uid="{AAA7A96E-0AF3-43EB-9CAA-11C66E543F5D}" name="ReturnCol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2">
  <autoFilter ref="B3:Q4" xr:uid="{D9E8808B-D9E1-4272-8694-E8D5F2C45F29}"/>
  <tableColumns count="16">
    <tableColumn id="1" xr3:uid="{848A5172-BE10-4671-A96C-19CB95280C30}" name="Query" dataDxfId="31"/>
    <tableColumn id="9" xr3:uid="{D4503C74-5BC6-42E3-9059-14AE6DF0435F}" name="Table" dataDxfId="30"/>
    <tableColumn id="8" xr3:uid="{6B1E570F-3015-4379-A06B-47DE792E9FF7}" name="I18N" dataDxfId="29"/>
    <tableColumn id="13" xr3:uid="{1F3DA983-C15A-44A1-9F86-08FE41BABCC4}" name="JSON Row Array" dataDxfId="28"/>
    <tableColumn id="2" xr3:uid="{2146287D-FA7C-4DC4-A184-861C99FB53FA}" name="JSON Column" dataDxfId="27"/>
    <tableColumn id="3" xr3:uid="{41F1B5AB-7B7D-4E20-9599-A4A18E607AC2}" name="JSON Type" dataDxfId="26"/>
    <tableColumn id="11" xr3:uid="{6B6D5F65-9066-427A-9E8E-83BC24FDA24E}" name="Required" dataDxfId="25"/>
    <tableColumn id="4" xr3:uid="{5632F87F-624C-41CA-9F02-FC8191282D24}" name="Title" dataDxfId="24"/>
    <tableColumn id="12" xr3:uid="{42F4ED45-AB09-422F-A7F0-D0219F6C21FB}" name="Editor" dataDxfId="23"/>
    <tableColumn id="14" xr3:uid="{2AA5569E-51E1-495E-B26C-0E3F01504CAF}" name="Format" dataDxfId="22"/>
    <tableColumn id="15" xr3:uid="{9FF31EFB-98A5-441C-AEEE-A8D70F766993}" name="Level" dataDxfId="21"/>
    <tableColumn id="5" xr3:uid="{AAEEF1F0-17A9-4995-BF9B-AB4346088E71}" name="Hidden" dataDxfId="20"/>
    <tableColumn id="6" xr3:uid="{7BDF45C7-3CB9-461B-82E3-465AF4328F16}" name="Command" dataDxfId="19"/>
    <tableColumn id="10" xr3:uid="{CC86848F-2654-487A-90EA-707ECEAFF905}" name="Params" dataDxfId="18"/>
    <tableColumn id="7" xr3:uid="{EB4FA941-2795-46FC-8CA9-7D002B610299}" name="Position" dataDxfId="17"/>
    <tableColumn id="17" xr3:uid="{CA1F3260-0D6C-4F7F-B7AE-4DFA8A856532}" name="ReturnCol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tabSelected="1" zoomScaleNormal="100" workbookViewId="0">
      <selection activeCell="J11" sqref="J11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e" cm="1">
        <f t="array" ref="B4">I18N_T(cellLanguage, "RF_Title")</f>
        <v>#VALUE!</v>
      </c>
      <c r="F4" s="11"/>
      <c r="I4" s="5" t="e" cm="1">
        <f t="array" ref="I4">I18N_Version(cellLanguage)</f>
        <v>#VALUE!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e">
        <f>I18N_T(cellLanguage, "RF_Refresh")</f>
        <v>#VALUE!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e">
        <f>I18N_T(cellLanguage, "RF_ID")</f>
        <v>#VALUE!</v>
      </c>
      <c r="D12" s="21" t="e">
        <f>I18N_T(cellLanguage, "RF_Phase")</f>
        <v>#VALUE!</v>
      </c>
      <c r="E12" s="21" t="e">
        <f>I18N_T(cellLanguage, "RF_UpdatePeriod")</f>
        <v>#VALUE!</v>
      </c>
      <c r="F12" s="22" t="e">
        <f>I18N_T(cellLanguage, "RF_CreationDate")</f>
        <v>#VALUE!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612</v>
      </c>
      <c r="F14" s="43" t="s">
        <v>613</v>
      </c>
      <c r="H14" s="10" t="e">
        <f>I18N_T(cellLanguage, "RF_Modify")</f>
        <v>#VALUE!</v>
      </c>
      <c r="I14" s="10" t="e">
        <f>I18N_T(cellLanguage, "RF_Duplicate")</f>
        <v>#VALUE!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614</v>
      </c>
      <c r="F15" s="43" t="s">
        <v>615</v>
      </c>
      <c r="H15" s="10" t="e">
        <f>I18N_T(cellLanguage, "RF_Modify")</f>
        <v>#VALUE!</v>
      </c>
      <c r="I15" s="10" t="e">
        <f>I18N_T(cellLanguage, "RF_Duplicate")</f>
        <v>#VALUE!</v>
      </c>
      <c r="J15" s="12"/>
    </row>
    <row r="16" spans="2:12" x14ac:dyDescent="0.25">
      <c r="C16" s="43">
        <v>52428858</v>
      </c>
      <c r="D16" s="43" t="s">
        <v>21</v>
      </c>
      <c r="E16" s="43" t="s">
        <v>616</v>
      </c>
      <c r="F16" s="43" t="s">
        <v>617</v>
      </c>
      <c r="H16" s="10" t="e">
        <f>I18N_T(cellLanguage, "RF_Modify")</f>
        <v>#VALUE!</v>
      </c>
      <c r="I16" s="10" t="e">
        <f>I18N_T(cellLanguage, "RF_Duplicate")</f>
        <v>#VALUE!</v>
      </c>
      <c r="J16" s="12"/>
    </row>
    <row r="17" spans="3:10" x14ac:dyDescent="0.25">
      <c r="C17" s="43">
        <v>52428847</v>
      </c>
      <c r="D17" s="43" t="s">
        <v>21</v>
      </c>
      <c r="E17" s="43" t="s">
        <v>618</v>
      </c>
      <c r="F17" s="43" t="s">
        <v>619</v>
      </c>
      <c r="H17" s="10" t="e">
        <f>I18N_T(cellLanguage, "RF_Modify")</f>
        <v>#VALUE!</v>
      </c>
      <c r="I17" s="10" t="e">
        <f>I18N_T(cellLanguage, "RF_Duplicate")</f>
        <v>#VALUE!</v>
      </c>
      <c r="J17" s="12"/>
    </row>
    <row r="18" spans="3:10" x14ac:dyDescent="0.25">
      <c r="C18" s="43">
        <v>52428855</v>
      </c>
      <c r="D18" s="43" t="s">
        <v>21</v>
      </c>
      <c r="E18" s="43" t="s">
        <v>620</v>
      </c>
      <c r="F18" s="43" t="s">
        <v>621</v>
      </c>
      <c r="H18" s="10" t="e">
        <f>I18N_T(cellLanguage, "RF_Modify")</f>
        <v>#VALUE!</v>
      </c>
      <c r="I18" s="10" t="e">
        <f>I18N_T(cellLanguage, "RF_Duplicate")</f>
        <v>#VALUE!</v>
      </c>
      <c r="J18" s="12"/>
    </row>
    <row r="19" spans="3:10" x14ac:dyDescent="0.25">
      <c r="C19" s="43">
        <v>52428853</v>
      </c>
      <c r="D19" s="43" t="s">
        <v>21</v>
      </c>
      <c r="E19" s="43" t="s">
        <v>622</v>
      </c>
      <c r="F19" s="43" t="s">
        <v>623</v>
      </c>
      <c r="H19" s="10" t="e">
        <f>I18N_T(cellLanguage, "RF_Modify")</f>
        <v>#VALUE!</v>
      </c>
      <c r="I19" s="10" t="e">
        <f>I18N_T(cellLanguage, "RF_Duplicate")</f>
        <v>#VALUE!</v>
      </c>
      <c r="J19" s="12"/>
    </row>
    <row r="20" spans="3:10" x14ac:dyDescent="0.25">
      <c r="C20" s="43">
        <v>52428851</v>
      </c>
      <c r="D20" s="43" t="s">
        <v>21</v>
      </c>
      <c r="E20" s="43" t="s">
        <v>624</v>
      </c>
      <c r="F20" s="43" t="s">
        <v>625</v>
      </c>
      <c r="H20" s="10" t="e">
        <f>I18N_T(cellLanguage, "RF_Modify")</f>
        <v>#VALUE!</v>
      </c>
      <c r="I20" s="10" t="e">
        <f>I18N_T(cellLanguage, "RF_Duplicate")</f>
        <v>#VALUE!</v>
      </c>
      <c r="J20" s="12"/>
    </row>
    <row r="21" spans="3:10" x14ac:dyDescent="0.25">
      <c r="C21" s="43">
        <v>52428848</v>
      </c>
      <c r="D21" s="43" t="s">
        <v>21</v>
      </c>
      <c r="E21" s="43" t="s">
        <v>626</v>
      </c>
      <c r="F21" s="43" t="s">
        <v>627</v>
      </c>
      <c r="H21" s="10" t="e">
        <f>I18N_T(cellLanguage, "RF_Modify")</f>
        <v>#VALUE!</v>
      </c>
      <c r="I21" s="10" t="e">
        <f>I18N_T(cellLanguage, "RF_Duplicate")</f>
        <v>#VALUE!</v>
      </c>
      <c r="J21" s="12"/>
    </row>
    <row r="22" spans="3:10" x14ac:dyDescent="0.25">
      <c r="C22" s="43">
        <v>52428841</v>
      </c>
      <c r="D22" s="43" t="s">
        <v>21</v>
      </c>
      <c r="E22" s="43" t="s">
        <v>628</v>
      </c>
      <c r="F22" s="43" t="s">
        <v>629</v>
      </c>
      <c r="H22" s="10" t="e">
        <f>I18N_T(cellLanguage, "RF_Modify")</f>
        <v>#VALUE!</v>
      </c>
      <c r="I22" s="10" t="e">
        <f>I18N_T(cellLanguage, "RF_Duplicate")</f>
        <v>#VALUE!</v>
      </c>
      <c r="J22" s="12"/>
    </row>
    <row r="23" spans="3:10" x14ac:dyDescent="0.25">
      <c r="C23" s="43">
        <v>52428840</v>
      </c>
      <c r="D23" s="43" t="s">
        <v>21</v>
      </c>
      <c r="E23" s="43" t="s">
        <v>630</v>
      </c>
      <c r="F23" s="43" t="s">
        <v>631</v>
      </c>
      <c r="H23" s="10" t="e">
        <f>I18N_T(cellLanguage, "RF_Modify")</f>
        <v>#VALUE!</v>
      </c>
      <c r="I23" s="10" t="e">
        <f>I18N_T(cellLanguage, "RF_Duplicate")</f>
        <v>#VALUE!</v>
      </c>
      <c r="J23" s="12"/>
    </row>
    <row r="24" spans="3:10" x14ac:dyDescent="0.25">
      <c r="C24" s="43">
        <v>52428838</v>
      </c>
      <c r="D24" s="43" t="s">
        <v>21</v>
      </c>
      <c r="E24" s="43" t="s">
        <v>632</v>
      </c>
      <c r="F24" s="43" t="s">
        <v>633</v>
      </c>
      <c r="H24" s="10" t="e">
        <f>I18N_T(cellLanguage, "RF_Modify")</f>
        <v>#VALUE!</v>
      </c>
      <c r="I24" s="10" t="e">
        <f>I18N_T(cellLanguage, "RF_Duplicate")</f>
        <v>#VALUE!</v>
      </c>
      <c r="J24" s="12"/>
    </row>
    <row r="25" spans="3:10" x14ac:dyDescent="0.25">
      <c r="C25" s="43">
        <v>52428832</v>
      </c>
      <c r="D25" s="43" t="s">
        <v>21</v>
      </c>
      <c r="E25" s="43" t="s">
        <v>634</v>
      </c>
      <c r="F25" s="43" t="s">
        <v>635</v>
      </c>
      <c r="H25" s="10" t="e">
        <f>I18N_T(cellLanguage, "RF_Modify")</f>
        <v>#VALUE!</v>
      </c>
      <c r="I25" s="10" t="e">
        <f>I18N_T(cellLanguage, "RF_Duplicate")</f>
        <v>#VALUE!</v>
      </c>
      <c r="J25" s="12"/>
    </row>
    <row r="26" spans="3:10" x14ac:dyDescent="0.25">
      <c r="C26" s="43">
        <v>52428830</v>
      </c>
      <c r="D26" s="43" t="s">
        <v>21</v>
      </c>
      <c r="E26" s="43" t="s">
        <v>636</v>
      </c>
      <c r="F26" s="43" t="s">
        <v>637</v>
      </c>
      <c r="H26" s="10" t="e">
        <f>I18N_T(cellLanguage, "RF_Modify")</f>
        <v>#VALUE!</v>
      </c>
      <c r="I26" s="10" t="e">
        <f>I18N_T(cellLanguage, "RF_Duplicate")</f>
        <v>#VALUE!</v>
      </c>
      <c r="J26" s="12"/>
    </row>
    <row r="27" spans="3:10" x14ac:dyDescent="0.25">
      <c r="C27" s="43">
        <v>52428829</v>
      </c>
      <c r="D27" s="43" t="s">
        <v>21</v>
      </c>
      <c r="E27" s="43" t="s">
        <v>638</v>
      </c>
      <c r="F27" s="43" t="s">
        <v>639</v>
      </c>
      <c r="H27" s="10" t="e">
        <f>I18N_T(cellLanguage, "RF_Modify")</f>
        <v>#VALUE!</v>
      </c>
      <c r="I27" s="10" t="e">
        <f>I18N_T(cellLanguage, "RF_Duplicate")</f>
        <v>#VALUE!</v>
      </c>
      <c r="J27" s="12"/>
    </row>
    <row r="28" spans="3:10" x14ac:dyDescent="0.25">
      <c r="C28" s="43">
        <v>52428827</v>
      </c>
      <c r="D28" s="43" t="s">
        <v>21</v>
      </c>
      <c r="E28" s="43" t="s">
        <v>640</v>
      </c>
      <c r="F28" s="43" t="s">
        <v>641</v>
      </c>
      <c r="H28" s="10" t="e">
        <f>I18N_T(cellLanguage, "RF_Modify")</f>
        <v>#VALUE!</v>
      </c>
      <c r="I28" s="10" t="e">
        <f>I18N_T(cellLanguage, "RF_Duplicate")</f>
        <v>#VALUE!</v>
      </c>
      <c r="J28" s="12"/>
    </row>
    <row r="29" spans="3:10" x14ac:dyDescent="0.25">
      <c r="C29" s="43">
        <v>79</v>
      </c>
      <c r="D29" s="43" t="s">
        <v>21</v>
      </c>
      <c r="E29" s="43" t="s">
        <v>642</v>
      </c>
      <c r="F29" s="43" t="s">
        <v>643</v>
      </c>
      <c r="H29" s="10" t="e">
        <f>I18N_T(cellLanguage, "RF_Modify")</f>
        <v>#VALUE!</v>
      </c>
      <c r="I29" s="10" t="e">
        <f>I18N_T(cellLanguage, "RF_Duplicate")</f>
        <v>#VALUE!</v>
      </c>
      <c r="J29" s="12"/>
    </row>
    <row r="30" spans="3:10" x14ac:dyDescent="0.25">
      <c r="C30" s="43">
        <v>77</v>
      </c>
      <c r="D30" s="43" t="s">
        <v>21</v>
      </c>
      <c r="E30" s="43" t="s">
        <v>644</v>
      </c>
      <c r="F30" s="43" t="s">
        <v>645</v>
      </c>
      <c r="H30" s="10" t="e">
        <f>I18N_T(cellLanguage, "RF_Modify")</f>
        <v>#VALUE!</v>
      </c>
      <c r="I30" s="10" t="e">
        <f>I18N_T(cellLanguage, "RF_Duplicate")</f>
        <v>#VALUE!</v>
      </c>
      <c r="J30" s="12"/>
    </row>
    <row r="31" spans="3:10" x14ac:dyDescent="0.25">
      <c r="C31" s="43">
        <v>55</v>
      </c>
      <c r="D31" s="43" t="s">
        <v>21</v>
      </c>
      <c r="E31" s="43" t="s">
        <v>646</v>
      </c>
      <c r="F31" s="43" t="s">
        <v>647</v>
      </c>
      <c r="H31" s="10" t="e">
        <f>I18N_T(cellLanguage, "RF_Modify")</f>
        <v>#VALUE!</v>
      </c>
      <c r="I31" s="10" t="e">
        <f>I18N_T(cellLanguage, "RF_Duplicate")</f>
        <v>#VALUE!</v>
      </c>
      <c r="J31" s="12"/>
    </row>
    <row r="32" spans="3:10" x14ac:dyDescent="0.25">
      <c r="C32" s="43">
        <v>67</v>
      </c>
      <c r="D32" s="43" t="s">
        <v>21</v>
      </c>
      <c r="E32" s="43" t="s">
        <v>648</v>
      </c>
      <c r="F32" s="43" t="s">
        <v>649</v>
      </c>
      <c r="H32" s="10" t="e">
        <f>I18N_T(cellLanguage, "RF_Modify")</f>
        <v>#VALUE!</v>
      </c>
      <c r="I32" s="10" t="e">
        <f>I18N_T(cellLanguage, "RF_Duplicate")</f>
        <v>#VALUE!</v>
      </c>
      <c r="J32" s="12"/>
    </row>
    <row r="33" spans="3:10" x14ac:dyDescent="0.25">
      <c r="C33" s="43">
        <v>68</v>
      </c>
      <c r="D33" s="43" t="s">
        <v>21</v>
      </c>
      <c r="E33" s="43" t="s">
        <v>650</v>
      </c>
      <c r="F33" s="43" t="s">
        <v>651</v>
      </c>
      <c r="H33" s="10" t="e">
        <f>I18N_T(cellLanguage, "RF_Modify")</f>
        <v>#VALUE!</v>
      </c>
      <c r="I33" s="10" t="e">
        <f>I18N_T(cellLanguage, "RF_Duplicate")</f>
        <v>#VALUE!</v>
      </c>
      <c r="J33" s="12"/>
    </row>
    <row r="34" spans="3:10" x14ac:dyDescent="0.25">
      <c r="C34" s="43">
        <v>69</v>
      </c>
      <c r="D34" s="43" t="s">
        <v>21</v>
      </c>
      <c r="E34" s="43" t="s">
        <v>652</v>
      </c>
      <c r="F34" s="43" t="s">
        <v>653</v>
      </c>
      <c r="H34" s="10" t="e">
        <f>I18N_T(cellLanguage, "RF_Modify")</f>
        <v>#VALUE!</v>
      </c>
      <c r="I34" s="10" t="e">
        <f>I18N_T(cellLanguage, "RF_Duplicate")</f>
        <v>#VALUE!</v>
      </c>
      <c r="J34" s="12"/>
    </row>
    <row r="35" spans="3:10" x14ac:dyDescent="0.25">
      <c r="C35" s="43">
        <v>56</v>
      </c>
      <c r="D35" s="43" t="s">
        <v>21</v>
      </c>
      <c r="E35" s="43" t="s">
        <v>654</v>
      </c>
      <c r="F35" s="43" t="s">
        <v>655</v>
      </c>
      <c r="H35" s="10" t="e">
        <f>I18N_T(cellLanguage, "RF_Modify")</f>
        <v>#VALUE!</v>
      </c>
      <c r="I35" s="10" t="e">
        <f>I18N_T(cellLanguage, "RF_Duplicate")</f>
        <v>#VALUE!</v>
      </c>
      <c r="J35" s="12"/>
    </row>
    <row r="36" spans="3:10" x14ac:dyDescent="0.25">
      <c r="C36" s="43">
        <v>52428802</v>
      </c>
      <c r="D36" s="43" t="s">
        <v>21</v>
      </c>
      <c r="E36" s="43" t="s">
        <v>656</v>
      </c>
      <c r="F36" s="43" t="s">
        <v>657</v>
      </c>
      <c r="H36" s="10" t="e">
        <f>I18N_T(cellLanguage, "RF_Modify")</f>
        <v>#VALUE!</v>
      </c>
      <c r="I36" s="10" t="e">
        <f>I18N_T(cellLanguage, "RF_Duplicate")</f>
        <v>#VALUE!</v>
      </c>
      <c r="J36" s="12"/>
    </row>
    <row r="37" spans="3:10" x14ac:dyDescent="0.25">
      <c r="C37" s="43">
        <v>71</v>
      </c>
      <c r="D37" s="43" t="s">
        <v>21</v>
      </c>
      <c r="E37" s="43" t="s">
        <v>658</v>
      </c>
      <c r="F37" s="43" t="s">
        <v>659</v>
      </c>
      <c r="H37" s="10" t="e">
        <f>I18N_T(cellLanguage, "RF_Modify")</f>
        <v>#VALUE!</v>
      </c>
      <c r="I37" s="10" t="e">
        <f>I18N_T(cellLanguage, "RF_Duplicate")</f>
        <v>#VALUE!</v>
      </c>
      <c r="J37" s="12"/>
    </row>
    <row r="38" spans="3:10" x14ac:dyDescent="0.25">
      <c r="C38" s="43">
        <v>73</v>
      </c>
      <c r="D38" s="43" t="s">
        <v>21</v>
      </c>
      <c r="E38" s="43" t="s">
        <v>660</v>
      </c>
      <c r="F38" s="43" t="s">
        <v>661</v>
      </c>
      <c r="H38" s="10" t="e">
        <f>I18N_T(cellLanguage, "RF_Modify")</f>
        <v>#VALUE!</v>
      </c>
      <c r="I38" s="10" t="e">
        <f>I18N_T(cellLanguage, "RF_Duplicate")</f>
        <v>#VALUE!</v>
      </c>
      <c r="J38" s="12"/>
    </row>
    <row r="39" spans="3:10" x14ac:dyDescent="0.25">
      <c r="C39" s="43">
        <v>61</v>
      </c>
      <c r="D39" s="43" t="s">
        <v>21</v>
      </c>
      <c r="E39" s="43" t="s">
        <v>662</v>
      </c>
      <c r="F39" s="43" t="s">
        <v>663</v>
      </c>
      <c r="H39" s="10" t="e">
        <f>I18N_T(cellLanguage, "RF_Modify")</f>
        <v>#VALUE!</v>
      </c>
      <c r="I39" s="10" t="e">
        <f>I18N_T(cellLanguage, "RF_Duplicate")</f>
        <v>#VALUE!</v>
      </c>
      <c r="J39" s="12"/>
    </row>
    <row r="40" spans="3:10" x14ac:dyDescent="0.25">
      <c r="C40" s="43">
        <v>59</v>
      </c>
      <c r="D40" s="43" t="s">
        <v>21</v>
      </c>
      <c r="E40" s="43" t="s">
        <v>664</v>
      </c>
      <c r="F40" s="43" t="s">
        <v>665</v>
      </c>
      <c r="H40" s="10" t="e">
        <f>I18N_T(cellLanguage, "RF_Modify")</f>
        <v>#VALUE!</v>
      </c>
      <c r="I40" s="10" t="e">
        <f>I18N_T(cellLanguage, "RF_Duplicate")</f>
        <v>#VALUE!</v>
      </c>
      <c r="J40" s="12"/>
    </row>
    <row r="41" spans="3:10" x14ac:dyDescent="0.25">
      <c r="C41" s="43">
        <v>60</v>
      </c>
      <c r="D41" s="43" t="s">
        <v>21</v>
      </c>
      <c r="E41" s="43" t="s">
        <v>666</v>
      </c>
      <c r="F41" s="43" t="s">
        <v>667</v>
      </c>
      <c r="H41" s="10" t="e">
        <f>I18N_T(cellLanguage, "RF_Modify")</f>
        <v>#VALUE!</v>
      </c>
      <c r="I41" s="10" t="e">
        <f>I18N_T(cellLanguage, "RF_Duplicate")</f>
        <v>#VALUE!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C2E7F7A0-3D85-428F-BC9B-66B16F39D964}"/>
    <hyperlink ref="H14" location="C3" tooltip=" " display="C3" xr:uid="{447330A5-51D7-4FF1-8C34-0BB934EA4A70}"/>
    <hyperlink ref="I14" location="C3" tooltip=" " display="C3" xr:uid="{0FC0601D-EFFC-4DC8-AB83-C502B7C7EF55}"/>
    <hyperlink ref="H15" location="C3" tooltip=" " display="C3" xr:uid="{E98B3566-339C-40B9-9A54-A8DAFE2F1F59}"/>
    <hyperlink ref="H16" location="C3" tooltip=" " display="C3" xr:uid="{A9369B45-82D7-43AA-9EAC-90737B883D1A}"/>
    <hyperlink ref="H17" location="C3" tooltip=" " display="C3" xr:uid="{68D20459-0BB1-449A-A3CB-BB0CA4A54FD2}"/>
    <hyperlink ref="H18" location="C3" tooltip=" " display="C3" xr:uid="{7F9AD29A-30D3-44B5-8007-5728ACBD4F54}"/>
    <hyperlink ref="H19" location="C3" tooltip=" " display="C3" xr:uid="{9E894929-7A42-4729-9050-626184985CD8}"/>
    <hyperlink ref="H20" location="C3" tooltip=" " display="C3" xr:uid="{F5B66E55-1776-4DF5-BE91-23C1445612CF}"/>
    <hyperlink ref="H21" location="C3" tooltip=" " display="C3" xr:uid="{104D51DC-9193-4FD3-8FB6-6F590ECD7BB2}"/>
    <hyperlink ref="H22" location="C3" tooltip=" " display="C3" xr:uid="{BAE2FDDB-13FB-4195-BA50-DF49FC5DC64F}"/>
    <hyperlink ref="H23" location="C3" tooltip=" " display="C3" xr:uid="{0360BF8E-E22F-40C8-9287-F45CD72B7B01}"/>
    <hyperlink ref="H24" location="C3" tooltip=" " display="C3" xr:uid="{F4DD9BE9-3D96-459B-BF5A-6F197EB8C2E6}"/>
    <hyperlink ref="H25" location="C3" tooltip=" " display="C3" xr:uid="{EB05D472-A482-4AEE-B015-1454498DB0BA}"/>
    <hyperlink ref="H26" location="C3" tooltip=" " display="C3" xr:uid="{AE1E9B80-BD99-4D64-8E74-0222D58290B6}"/>
    <hyperlink ref="H27" location="C3" tooltip=" " display="C3" xr:uid="{E476D3CA-0EDD-4064-9149-130ED790EDE9}"/>
    <hyperlink ref="H28" location="C3" tooltip=" " display="C3" xr:uid="{84DC8380-098C-49DF-8F7F-BFBA63931EFE}"/>
    <hyperlink ref="H29" location="C3" tooltip=" " display="C3" xr:uid="{818349B2-1FF0-4506-8698-CF50B6CFEA46}"/>
    <hyperlink ref="H30" location="C3" tooltip=" " display="C3" xr:uid="{69423DF1-10D0-4EA8-A053-EA1B68D2EF9C}"/>
    <hyperlink ref="H31" location="C3" tooltip=" " display="C3" xr:uid="{E7A8F4C0-9D1A-41CB-AA37-EFDB18EF0DE9}"/>
    <hyperlink ref="H32" location="C3" tooltip=" " display="C3" xr:uid="{D65C485A-C149-41EB-B468-71A1C57B2528}"/>
    <hyperlink ref="H33" location="C3" tooltip=" " display="C3" xr:uid="{998CDF01-593E-4C2B-B048-8E11C7AA769C}"/>
    <hyperlink ref="H34" location="C3" tooltip=" " display="C3" xr:uid="{17C6CD1A-175D-4C03-8525-BAB20983406A}"/>
    <hyperlink ref="H35" location="C3" tooltip=" " display="C3" xr:uid="{FDF0A767-4536-4642-AE87-8C4F8FEDB807}"/>
    <hyperlink ref="H36" location="C3" tooltip=" " display="C3" xr:uid="{72BE0C1C-063E-4E8C-AB31-1424236D2009}"/>
    <hyperlink ref="H37" location="C3" tooltip=" " display="C3" xr:uid="{A5A03881-A510-46BB-A5C6-41149C8EDD13}"/>
    <hyperlink ref="H38" location="C3" tooltip=" " display="C3" xr:uid="{25CBF94B-B2A7-416C-9315-3CF719176DB7}"/>
    <hyperlink ref="H39" location="C3" tooltip=" " display="C3" xr:uid="{A10463E8-EB84-4728-B2D5-90A878A0C77C}"/>
    <hyperlink ref="H40" location="C3" tooltip=" " display="C3" xr:uid="{4DD990EA-6AF2-40D6-B151-E138D6AA2D22}"/>
    <hyperlink ref="H41" location="C3" tooltip=" " display="C3" xr:uid="{F65BC258-50FD-40C6-8352-FB30FAA8A0E0}"/>
    <hyperlink ref="I15" location="C3" tooltip=" " display="C3" xr:uid="{EA04B6BF-0CCB-4ACA-AD35-C3CC97BDF075}"/>
    <hyperlink ref="I16" location="C3" tooltip=" " display="C3" xr:uid="{CA7F0DAC-112D-484F-B8A4-BB68F996DEEE}"/>
    <hyperlink ref="I17" location="C3" tooltip=" " display="C3" xr:uid="{239C54E2-EDAE-4DA0-8339-A338E3F88FED}"/>
    <hyperlink ref="I18" location="C3" tooltip=" " display="C3" xr:uid="{3FBCD4E7-3BDD-4364-BF95-3262C59F0033}"/>
    <hyperlink ref="I19" location="C3" tooltip=" " display="C3" xr:uid="{53542875-B29E-44BA-A801-812FE4D1F830}"/>
    <hyperlink ref="I20" location="C3" tooltip=" " display="C3" xr:uid="{1F8A00A6-F570-4AAB-9A5D-364789FD8AAB}"/>
    <hyperlink ref="I21" location="C3" tooltip=" " display="C3" xr:uid="{3170ED9A-E2ED-4D33-8D5D-70CB97C493D3}"/>
    <hyperlink ref="I22" location="C3" tooltip=" " display="C3" xr:uid="{8381A03E-D72C-4576-B6CB-124FDBC1EFA0}"/>
    <hyperlink ref="I23" location="C3" tooltip=" " display="C3" xr:uid="{4AD0FBD3-20D3-43D2-B97A-8C0407B40992}"/>
    <hyperlink ref="I24" location="C3" tooltip=" " display="C3" xr:uid="{4E48BC06-4D1D-416F-980D-BA79A64A1C34}"/>
    <hyperlink ref="I25" location="C3" tooltip=" " display="C3" xr:uid="{7AED3949-4D16-4F28-BACF-35E88A1E6C97}"/>
    <hyperlink ref="I26" location="C3" tooltip=" " display="C3" xr:uid="{31F01569-889A-42B5-8DDA-97056ED8BFCD}"/>
    <hyperlink ref="I27" location="C3" tooltip=" " display="C3" xr:uid="{D1C2CBC8-BA56-4C1A-A2B0-877EE790BEB5}"/>
    <hyperlink ref="I28" location="C3" tooltip=" " display="C3" xr:uid="{BF17F02E-8AC2-49B8-A86B-78E05EE74600}"/>
    <hyperlink ref="I29" location="C3" tooltip=" " display="C3" xr:uid="{C6F67D92-1EAF-4509-AF78-C0914ABA32B7}"/>
    <hyperlink ref="I30" location="C3" tooltip=" " display="C3" xr:uid="{C9802395-8AB4-4553-8CAA-ACDFDAC845FE}"/>
    <hyperlink ref="I31" location="C3" tooltip=" " display="C3" xr:uid="{AC67521E-1B6A-40C7-8E33-FCE2924E296E}"/>
    <hyperlink ref="I32" location="C3" tooltip=" " display="C3" xr:uid="{CA12E38D-C7D9-4E5A-8C3B-873CC092E4FF}"/>
    <hyperlink ref="I33" location="C3" tooltip=" " display="C3" xr:uid="{FBB49648-52B7-41B3-8717-4A4C5052D876}"/>
    <hyperlink ref="I34" location="C3" tooltip=" " display="C3" xr:uid="{7124B76F-3955-4BB9-9E45-B7197956A95E}"/>
    <hyperlink ref="I35" location="C3" tooltip=" " display="C3" xr:uid="{8BC18D3C-BA99-4D0F-9228-55CC2A3D4B9E}"/>
    <hyperlink ref="I36" location="C3" tooltip=" " display="C3" xr:uid="{D01DD7BB-B5F5-4D58-AF07-801C9B78F3BE}"/>
    <hyperlink ref="I37" location="C3" tooltip=" " display="C3" xr:uid="{CEF47AA9-4FDE-44B1-8629-8EF5525B43FB}"/>
    <hyperlink ref="I38" location="C3" tooltip=" " display="C3" xr:uid="{A6B333BD-E604-41CF-BD17-6A48DDC2E6BC}"/>
    <hyperlink ref="I39" location="C3" tooltip=" " display="C3" xr:uid="{944F6601-8207-4035-AC16-5FB15CE50CAB}"/>
    <hyperlink ref="I40" location="C3" tooltip=" " display="C3" xr:uid="{A5288CF4-64DC-4C86-A844-571E14BF0216}"/>
    <hyperlink ref="I41" location="C3" tooltip=" " display="C3" xr:uid="{3E143124-DE31-4D0F-A696-E05672D9EBBF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C1627-8981-40C8-A2D5-60D8BA450C87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8328-FD3C-448C-85F7-5B63B0B872F1}">
  <sheetPr codeName="Feuil2">
    <outlinePr summaryRight="0"/>
  </sheetPr>
  <dimension ref="B2:CF7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44" t="e">
        <f>I18N_T(cellLanguage, "RF_Save")</f>
        <v>#VALUE!</v>
      </c>
    </row>
    <row r="3" spans="2:84" x14ac:dyDescent="0.25">
      <c r="C3" s="41">
        <f>SUBTOTAL(103, tReportingNew5[[ 2]])</f>
        <v>2</v>
      </c>
    </row>
    <row r="4" spans="2:84" hidden="1" x14ac:dyDescent="0.25">
      <c r="B4" s="46" t="e">
        <f>I18N_T(cellLanguage, "RF_Reporting")</f>
        <v>#VALUE!</v>
      </c>
      <c r="C4" s="47" t="e">
        <f>I18N_T(cellLanguage, "RF_Phase")</f>
        <v>#VALUE!</v>
      </c>
      <c r="D4" s="47" t="e">
        <f>I18N_T(cellLanguage, "RF_UpdatePeriod")</f>
        <v>#VALUE!</v>
      </c>
      <c r="E4" s="47" t="e">
        <f>I18N_T(cellLanguage, "RF_FrameworkVersion")</f>
        <v>#VALUE!</v>
      </c>
      <c r="F4" s="47" t="e">
        <f>I18N_T(cellLanguage, "RF_Start")</f>
        <v>#VALUE!</v>
      </c>
      <c r="G4" s="47" t="e">
        <f>I18N_T(cellLanguage, "RF_End")</f>
        <v>#VALUE!</v>
      </c>
      <c r="H4" s="47" t="e">
        <f>I18N_T(cellLanguage, "RF_RepDesc")</f>
        <v>#VALUE!</v>
      </c>
      <c r="I4" s="47" t="e">
        <f>I18N_T(cellLanguage, "RF_RepPack")</f>
        <v>#VALUE!</v>
      </c>
      <c r="J4" s="47" t="e">
        <f>I18N_T(cellLanguage, "RF_UseDefaultWindowsFolder")</f>
        <v>#VALUE!</v>
      </c>
      <c r="K4" s="47" t="e">
        <f>I18N_T(cellLanguage, "RF_WindowsFolder")</f>
        <v>#VALUE!</v>
      </c>
      <c r="L4" s="47" t="e">
        <f>I18N_T(cellLanguage, "RF_UseDefaultInternetFolder")</f>
        <v>#VALUE!</v>
      </c>
      <c r="M4" s="47" t="e">
        <f>I18N_T(cellLanguage, "RF_InternetFolder")</f>
        <v>#VALUE!</v>
      </c>
      <c r="N4" s="47" t="e">
        <f>I18N_T(cellLanguage, "RF_UseDefaultSetOfControls")</f>
        <v>#VALUE!</v>
      </c>
      <c r="O4" s="47" t="e">
        <f>I18N_T(cellLanguage, "RF_SetOfControls")</f>
        <v>#VALUE!</v>
      </c>
      <c r="P4" s="47" t="e">
        <f>I18N_T(cellLanguage, "RF_UseDefaultLevel")</f>
        <v>#VALUE!</v>
      </c>
      <c r="Q4" s="47" t="e">
        <f>I18N_T(cellLanguage, "RF_LevelToReach")</f>
        <v>#VALUE!</v>
      </c>
      <c r="R4" s="47" t="e">
        <f>I18N_T(cellLanguage, "RF_Blocking")</f>
        <v>#VALUE!</v>
      </c>
      <c r="S4" s="47" t="e">
        <f>I18N_T(cellLanguage, "RF_UseDefaultLock")</f>
        <v>#VALUE!</v>
      </c>
      <c r="T4" s="47" t="e">
        <f>I18N_T(cellLanguage, "RF_LockOnPublication")</f>
        <v>#VALUE!</v>
      </c>
      <c r="U4" s="47" t="e">
        <f>I18N_T(cellLanguage, "RF_UseDefaultRuleSet")</f>
        <v>#VALUE!</v>
      </c>
      <c r="V4" s="47" t="e">
        <f>I18N_T(cellLanguage, "RF_RuleSet")</f>
        <v>#VALUE!</v>
      </c>
      <c r="W4" s="47" t="e">
        <f>I18N_T(cellLanguage, "RF_UseDefaultOpbal")</f>
        <v>#VALUE!</v>
      </c>
      <c r="X4" s="47" t="e">
        <f>I18N_T(cellLanguage, "RF_HasOpBal")</f>
        <v>#VALUE!</v>
      </c>
      <c r="Y4" s="47" t="e">
        <f>I18N_T(cellLanguage, "RF_OpbPhase")</f>
        <v>#VALUE!</v>
      </c>
      <c r="Z4" s="47" t="e">
        <f>I18N_T(cellLanguage, "RF_OpbUpdatePeriod")</f>
        <v>#VALUE!</v>
      </c>
      <c r="AA4" s="47" t="e">
        <f>I18N_T(cellLanguage, "RF_OpbScope")</f>
        <v>#VALUE!</v>
      </c>
      <c r="AB4" s="47" t="e">
        <f>I18N_T(cellLanguage, "RF_OpbVariant")</f>
        <v>#VALUE!</v>
      </c>
      <c r="AC4" s="47" t="e">
        <f>I18N_T(cellLanguage, "RF_OpbConsCurrency")</f>
        <v>#VALUE!</v>
      </c>
      <c r="AD4" s="47" t="e">
        <f>I18N_T(cellLanguage, "RF_RepOp")</f>
        <v>#VALUE!</v>
      </c>
      <c r="AE4" s="47" t="e">
        <f>I18N_T(cellLanguage, "RF_CutoffDate")</f>
        <v>#VALUE!</v>
      </c>
      <c r="AF4" s="47" t="e">
        <f>I18N_T(cellLanguage, "RF_EarlyPublishing")</f>
        <v>#VALUE!</v>
      </c>
      <c r="AG4" s="47" t="e">
        <f>I18N_T(cellLanguage, "RF_RepOpAftPub")</f>
        <v>#VALUE!</v>
      </c>
      <c r="AH4" s="47" t="e">
        <f>I18N_T(cellLanguage, "RF_RepOpAftPubStd")</f>
        <v>#VALUE!</v>
      </c>
      <c r="AI4" s="47" t="e">
        <f>I18N_T(cellLanguage, "RF_RepOpAftPubSpe")</f>
        <v>#VALUE!</v>
      </c>
      <c r="AJ4" s="47" t="e">
        <f>I18N_T(cellLanguage, "RF_RepOpAftPubAdv")</f>
        <v>#VALUE!</v>
      </c>
      <c r="AK4" s="47" t="e">
        <f>I18N_T(cellLanguage, "RF_RepOpAftPubLvl")</f>
        <v>#VALUE!</v>
      </c>
      <c r="AL4" s="47" t="e">
        <f>I18N_T(cellLanguage, "RF_RepOpAftTran")</f>
        <v>#VALUE!</v>
      </c>
      <c r="AM4" s="47" t="e">
        <f>I18N_T(cellLanguage, "RF_RepOpAftTranStd")</f>
        <v>#VALUE!</v>
      </c>
      <c r="AN4" s="47" t="e">
        <f>I18N_T(cellLanguage, "RF_RepOpAftTranSpe")</f>
        <v>#VALUE!</v>
      </c>
      <c r="AO4" s="47" t="e">
        <f>I18N_T(cellLanguage, "RF_RepOpAftTranAdv")</f>
        <v>#VALUE!</v>
      </c>
      <c r="AP4" s="47" t="e">
        <f>I18N_T(cellLanguage, "RF_RepOpAftTranLvl")</f>
        <v>#VALUE!</v>
      </c>
      <c r="AQ4" s="47" t="e">
        <f>I18N_T(cellLanguage, "RF_Entity")</f>
        <v>#VALUE!</v>
      </c>
      <c r="AR4" s="47" t="e">
        <f>I18N_T(cellLanguage, "RF_Entity2")</f>
        <v>#VALUE!</v>
      </c>
      <c r="AS4" s="47" t="e">
        <f>I18N_T(cellLanguage, "RF_InputCurrency")</f>
        <v>#VALUE!</v>
      </c>
      <c r="AT4" s="47" t="e">
        <f>I18N_T(cellLanguage, "RF_InputSite")</f>
        <v>#VALUE!</v>
      </c>
      <c r="AU4" s="47" t="e">
        <f>I18N_T(cellLanguage, "RF_PublicationSite")</f>
        <v>#VALUE!</v>
      </c>
      <c r="AV4" s="47" t="e">
        <f>I18N_T(cellLanguage, "RF_EntPack")</f>
        <v>#VALUE!</v>
      </c>
      <c r="AW4" s="47" t="e">
        <f>I18N_T(cellLanguage, "RF_EntUseDefaultWindowsFolder")</f>
        <v>#VALUE!</v>
      </c>
      <c r="AX4" s="47" t="e">
        <f>I18N_T(cellLanguage, "RF_EntWindowsFolder")</f>
        <v>#VALUE!</v>
      </c>
      <c r="AY4" s="47" t="e">
        <f>I18N_T(cellLanguage, "RF_EntUseDefaultInternetFolder")</f>
        <v>#VALUE!</v>
      </c>
      <c r="AZ4" s="47" t="e">
        <f>I18N_T(cellLanguage, "RF_EntInternetFolder")</f>
        <v>#VALUE!</v>
      </c>
      <c r="BA4" s="47" t="e">
        <f>I18N_T(cellLanguage, "RF_EntUseDefaultSetOfControls")</f>
        <v>#VALUE!</v>
      </c>
      <c r="BB4" s="47" t="e">
        <f>I18N_T(cellLanguage, "RF_EntSetOfControls")</f>
        <v>#VALUE!</v>
      </c>
      <c r="BC4" s="47" t="e">
        <f>I18N_T(cellLanguage, "RF_EntUseDefaultLevel")</f>
        <v>#VALUE!</v>
      </c>
      <c r="BD4" s="47" t="e">
        <f>I18N_T(cellLanguage, "RF_EntLevelToReach")</f>
        <v>#VALUE!</v>
      </c>
      <c r="BE4" s="47" t="e">
        <f>I18N_T(cellLanguage, "RF_EntBlocking")</f>
        <v>#VALUE!</v>
      </c>
      <c r="BF4" s="47" t="e">
        <f>I18N_T(cellLanguage, "RF_EntUseDefaultLock")</f>
        <v>#VALUE!</v>
      </c>
      <c r="BG4" s="47" t="e">
        <f>I18N_T(cellLanguage, "RF_EntLockOnPublication")</f>
        <v>#VALUE!</v>
      </c>
      <c r="BH4" s="47" t="e">
        <f>I18N_T(cellLanguage, "RF_EntUseDefaultRuleSet")</f>
        <v>#VALUE!</v>
      </c>
      <c r="BI4" s="47" t="e">
        <f>I18N_T(cellLanguage, "RF_EntRuleSet")</f>
        <v>#VALUE!</v>
      </c>
      <c r="BJ4" s="47" t="e">
        <f>I18N_T(cellLanguage, "RF_EntUseDefaultOpbal")</f>
        <v>#VALUE!</v>
      </c>
      <c r="BK4" s="47" t="e">
        <f>I18N_T(cellLanguage, "RF_EntHasOpBal")</f>
        <v>#VALUE!</v>
      </c>
      <c r="BL4" s="47" t="e">
        <f>I18N_T(cellLanguage, "RF_EntOpbPhase")</f>
        <v>#VALUE!</v>
      </c>
      <c r="BM4" s="47" t="e">
        <f>I18N_T(cellLanguage, "RF_EntOpbUpdatePeriod")</f>
        <v>#VALUE!</v>
      </c>
      <c r="BN4" s="47" t="e">
        <f>I18N_T(cellLanguage, "RF_EntOpbScope")</f>
        <v>#VALUE!</v>
      </c>
      <c r="BO4" s="47" t="e">
        <f>I18N_T(cellLanguage, "RF_EntOpbVariant")</f>
        <v>#VALUE!</v>
      </c>
      <c r="BP4" s="47" t="e">
        <f>I18N_T(cellLanguage, "RF_EntOpbConsCurrency")</f>
        <v>#VALUE!</v>
      </c>
      <c r="BQ4" s="47" t="e">
        <f>I18N_T(cellLanguage, "RF_EntOp")</f>
        <v>#VALUE!</v>
      </c>
      <c r="BR4" s="47" t="e">
        <f>I18N_T(cellLanguage, "RF_EntUseDefaultPublish")</f>
        <v>#VALUE!</v>
      </c>
      <c r="BS4" s="47" t="e">
        <f>I18N_T(cellLanguage, "RF_EntPackPublishingCutOffDate")</f>
        <v>#VALUE!</v>
      </c>
      <c r="BT4" s="47" t="e">
        <f>I18N_T(cellLanguage, "RF_EntAllowEarlyPublishing")</f>
        <v>#VALUE!</v>
      </c>
      <c r="BU4" s="47" t="e">
        <f>I18N_T(cellLanguage, "RF_EntOpAftPub")</f>
        <v>#VALUE!</v>
      </c>
      <c r="BV4" s="47" t="e">
        <f>I18N_T(cellLanguage, "RF_EntUseDefaultAfterPub")</f>
        <v>#VALUE!</v>
      </c>
      <c r="BW4" s="47" t="e">
        <f>I18N_T(cellLanguage, "RF_EntAftPubStandard")</f>
        <v>#VALUE!</v>
      </c>
      <c r="BX4" s="47" t="e">
        <f>I18N_T(cellLanguage, "RF_EntAftPubSpecial")</f>
        <v>#VALUE!</v>
      </c>
      <c r="BY4" s="47" t="e">
        <f>I18N_T(cellLanguage, "RF_EntAftPubAdvanced")</f>
        <v>#VALUE!</v>
      </c>
      <c r="BZ4" s="47" t="e">
        <f>I18N_T(cellLanguage, "RF_EntAftPubLevel")</f>
        <v>#VALUE!</v>
      </c>
      <c r="CA4" s="47" t="e">
        <f>I18N_T(cellLanguage, "RF_EntOpAftTran")</f>
        <v>#VALUE!</v>
      </c>
      <c r="CB4" s="47" t="e">
        <f>I18N_T(cellLanguage, "RF_EntUseDefaultAfterTran")</f>
        <v>#VALUE!</v>
      </c>
      <c r="CC4" s="47" t="e">
        <f>I18N_T(cellLanguage, "RF_EntAftTranStandard")</f>
        <v>#VALUE!</v>
      </c>
      <c r="CD4" s="47" t="e">
        <f>I18N_T(cellLanguage, "RF_EntAftTranSpecial")</f>
        <v>#VALUE!</v>
      </c>
      <c r="CE4" s="47" t="e">
        <f>I18N_T(cellLanguage, "RF_EntAftTranAdvanced")</f>
        <v>#VALUE!</v>
      </c>
      <c r="CF4" s="48" t="e">
        <f>I18N_T(cellLanguage, "RF_EntAftTranLevel")</f>
        <v>#VALUE!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676</v>
      </c>
      <c r="G5" s="45" t="s">
        <v>677</v>
      </c>
      <c r="H5" s="45" t="s">
        <v>678</v>
      </c>
      <c r="I5" s="45" t="s">
        <v>679</v>
      </c>
      <c r="J5" s="45" t="s">
        <v>680</v>
      </c>
      <c r="K5" s="45" t="s">
        <v>681</v>
      </c>
      <c r="L5" s="45" t="s">
        <v>682</v>
      </c>
      <c r="M5" s="45" t="s">
        <v>683</v>
      </c>
      <c r="N5" s="45" t="s">
        <v>684</v>
      </c>
      <c r="O5" s="45" t="s">
        <v>685</v>
      </c>
      <c r="P5" s="45" t="s">
        <v>686</v>
      </c>
      <c r="Q5" s="45" t="s">
        <v>687</v>
      </c>
      <c r="R5" s="45" t="s">
        <v>688</v>
      </c>
      <c r="S5" s="45" t="s">
        <v>689</v>
      </c>
      <c r="T5" s="45" t="s">
        <v>690</v>
      </c>
      <c r="U5" s="45" t="s">
        <v>691</v>
      </c>
      <c r="V5" s="45" t="s">
        <v>692</v>
      </c>
      <c r="W5" s="45" t="s">
        <v>693</v>
      </c>
      <c r="X5" s="45" t="s">
        <v>694</v>
      </c>
      <c r="Y5" s="45" t="s">
        <v>695</v>
      </c>
      <c r="Z5" s="45" t="s">
        <v>696</v>
      </c>
      <c r="AA5" s="45" t="s">
        <v>697</v>
      </c>
      <c r="AB5" s="45" t="s">
        <v>698</v>
      </c>
      <c r="AC5" s="45" t="s">
        <v>699</v>
      </c>
      <c r="AD5" s="45" t="s">
        <v>700</v>
      </c>
      <c r="AE5" s="45" t="s">
        <v>701</v>
      </c>
      <c r="AF5" s="45" t="s">
        <v>702</v>
      </c>
      <c r="AG5" s="45" t="s">
        <v>703</v>
      </c>
      <c r="AH5" s="45" t="s">
        <v>704</v>
      </c>
      <c r="AI5" s="45" t="s">
        <v>705</v>
      </c>
      <c r="AJ5" s="45" t="s">
        <v>706</v>
      </c>
      <c r="AK5" s="45" t="s">
        <v>707</v>
      </c>
      <c r="AL5" s="45" t="s">
        <v>708</v>
      </c>
      <c r="AM5" s="45" t="s">
        <v>709</v>
      </c>
      <c r="AN5" s="45" t="s">
        <v>710</v>
      </c>
      <c r="AO5" s="45" t="s">
        <v>711</v>
      </c>
      <c r="AP5" s="45" t="s">
        <v>712</v>
      </c>
      <c r="AQ5" s="45" t="s">
        <v>713</v>
      </c>
      <c r="AR5" s="45" t="s">
        <v>714</v>
      </c>
      <c r="AS5" s="45" t="s">
        <v>715</v>
      </c>
      <c r="AT5" s="45" t="s">
        <v>716</v>
      </c>
      <c r="AU5" s="45" t="s">
        <v>717</v>
      </c>
      <c r="AV5" s="45" t="s">
        <v>718</v>
      </c>
      <c r="AW5" s="45" t="s">
        <v>719</v>
      </c>
      <c r="AX5" s="45" t="s">
        <v>720</v>
      </c>
      <c r="AY5" s="45" t="s">
        <v>721</v>
      </c>
      <c r="AZ5" s="45" t="s">
        <v>722</v>
      </c>
      <c r="BA5" s="45" t="s">
        <v>723</v>
      </c>
      <c r="BB5" s="45" t="s">
        <v>724</v>
      </c>
      <c r="BC5" s="45" t="s">
        <v>725</v>
      </c>
      <c r="BD5" s="45" t="s">
        <v>726</v>
      </c>
      <c r="BE5" s="45" t="s">
        <v>727</v>
      </c>
      <c r="BF5" s="45" t="s">
        <v>728</v>
      </c>
      <c r="BG5" s="45" t="s">
        <v>729</v>
      </c>
      <c r="BH5" s="45" t="s">
        <v>730</v>
      </c>
      <c r="BI5" s="45" t="s">
        <v>731</v>
      </c>
      <c r="BJ5" s="45" t="s">
        <v>732</v>
      </c>
      <c r="BK5" s="45" t="s">
        <v>733</v>
      </c>
      <c r="BL5" s="45" t="s">
        <v>734</v>
      </c>
      <c r="BM5" s="45" t="s">
        <v>735</v>
      </c>
      <c r="BN5" s="45" t="s">
        <v>736</v>
      </c>
      <c r="BO5" s="45" t="s">
        <v>737</v>
      </c>
      <c r="BP5" s="45" t="s">
        <v>738</v>
      </c>
      <c r="BQ5" s="45" t="s">
        <v>739</v>
      </c>
      <c r="BR5" s="45" t="s">
        <v>740</v>
      </c>
      <c r="BS5" s="45" t="s">
        <v>741</v>
      </c>
      <c r="BT5" s="45" t="s">
        <v>742</v>
      </c>
      <c r="BU5" s="45" t="s">
        <v>743</v>
      </c>
      <c r="BV5" s="45" t="s">
        <v>744</v>
      </c>
      <c r="BW5" s="45" t="s">
        <v>745</v>
      </c>
      <c r="BX5" s="45" t="s">
        <v>746</v>
      </c>
      <c r="BY5" s="45" t="s">
        <v>747</v>
      </c>
      <c r="BZ5" s="45" t="s">
        <v>748</v>
      </c>
      <c r="CA5" s="45" t="s">
        <v>749</v>
      </c>
      <c r="CB5" s="45" t="s">
        <v>750</v>
      </c>
      <c r="CC5" s="45" t="s">
        <v>751</v>
      </c>
      <c r="CD5" s="45" t="s">
        <v>752</v>
      </c>
      <c r="CE5" s="45" t="s">
        <v>753</v>
      </c>
      <c r="CF5" s="45" t="s">
        <v>754</v>
      </c>
    </row>
    <row r="6" spans="2:84" ht="66" customHeight="1" x14ac:dyDescent="0.25">
      <c r="B6" s="49"/>
      <c r="C6" s="49" t="s">
        <v>21</v>
      </c>
      <c r="D6" s="49" t="s">
        <v>767</v>
      </c>
      <c r="E6" s="49" t="s">
        <v>768</v>
      </c>
      <c r="F6" s="49" t="s">
        <v>769</v>
      </c>
      <c r="G6" s="49" t="s">
        <v>770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771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759</v>
      </c>
      <c r="AS6" s="49" t="s">
        <v>760</v>
      </c>
      <c r="AT6" s="49" t="s">
        <v>761</v>
      </c>
      <c r="AU6" s="49" t="s">
        <v>761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771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/>
      <c r="CC6" s="49"/>
      <c r="CD6" s="49"/>
      <c r="CE6" s="49"/>
      <c r="CF6" s="49"/>
    </row>
    <row r="7" spans="2:84" x14ac:dyDescent="0.25">
      <c r="B7" s="49"/>
      <c r="C7" s="49" t="s">
        <v>21</v>
      </c>
      <c r="D7" s="49" t="s">
        <v>767</v>
      </c>
      <c r="E7" s="49" t="s">
        <v>768</v>
      </c>
      <c r="F7" s="49" t="s">
        <v>769</v>
      </c>
      <c r="G7" s="49" t="s">
        <v>770</v>
      </c>
      <c r="H7" s="49"/>
      <c r="I7" s="49"/>
      <c r="J7" s="49" t="b">
        <v>1</v>
      </c>
      <c r="K7" s="49"/>
      <c r="L7" s="49" t="b">
        <v>1</v>
      </c>
      <c r="M7" s="49"/>
      <c r="N7" s="49" t="b">
        <v>1</v>
      </c>
      <c r="O7" s="49"/>
      <c r="P7" s="49" t="b">
        <v>1</v>
      </c>
      <c r="Q7" s="49"/>
      <c r="R7" s="49" t="b">
        <v>0</v>
      </c>
      <c r="S7" s="49" t="b">
        <v>1</v>
      </c>
      <c r="T7" s="49">
        <v>0</v>
      </c>
      <c r="U7" s="49" t="b">
        <v>1</v>
      </c>
      <c r="V7" s="49"/>
      <c r="W7" s="49" t="b">
        <v>1</v>
      </c>
      <c r="X7" s="49" t="b">
        <v>0</v>
      </c>
      <c r="Y7" s="49"/>
      <c r="Z7" s="49"/>
      <c r="AA7" s="49"/>
      <c r="AB7" s="49"/>
      <c r="AC7" s="49"/>
      <c r="AD7" s="49"/>
      <c r="AE7" s="49" t="s">
        <v>771</v>
      </c>
      <c r="AF7" s="49" t="b">
        <v>1</v>
      </c>
      <c r="AG7" s="49"/>
      <c r="AH7" s="49" t="b">
        <v>1</v>
      </c>
      <c r="AI7" s="49" t="b">
        <v>1</v>
      </c>
      <c r="AJ7" s="49" t="b">
        <v>1</v>
      </c>
      <c r="AK7" s="49">
        <v>2</v>
      </c>
      <c r="AL7" s="49"/>
      <c r="AM7" s="49" t="b">
        <v>0</v>
      </c>
      <c r="AN7" s="49" t="b">
        <v>1</v>
      </c>
      <c r="AO7" s="49" t="b">
        <v>0</v>
      </c>
      <c r="AP7" s="49"/>
      <c r="AQ7" s="49"/>
      <c r="AR7" s="49" t="s">
        <v>772</v>
      </c>
      <c r="AS7" s="49" t="s">
        <v>760</v>
      </c>
      <c r="AT7" s="49" t="s">
        <v>761</v>
      </c>
      <c r="AU7" s="49" t="s">
        <v>761</v>
      </c>
      <c r="AV7" s="49"/>
      <c r="AW7" s="49" t="b">
        <v>1</v>
      </c>
      <c r="AX7" s="49"/>
      <c r="AY7" s="49" t="b">
        <v>1</v>
      </c>
      <c r="AZ7" s="49"/>
      <c r="BA7" s="49" t="b">
        <v>1</v>
      </c>
      <c r="BB7" s="49"/>
      <c r="BC7" s="49" t="b">
        <v>1</v>
      </c>
      <c r="BD7" s="49"/>
      <c r="BE7" s="49" t="b">
        <v>0</v>
      </c>
      <c r="BF7" s="49" t="b">
        <v>1</v>
      </c>
      <c r="BG7" s="49">
        <v>0</v>
      </c>
      <c r="BH7" s="49" t="b">
        <v>1</v>
      </c>
      <c r="BI7" s="49"/>
      <c r="BJ7" s="49" t="b">
        <v>1</v>
      </c>
      <c r="BK7" s="49" t="b">
        <v>0</v>
      </c>
      <c r="BL7" s="49"/>
      <c r="BM7" s="49"/>
      <c r="BN7" s="49"/>
      <c r="BO7" s="49"/>
      <c r="BP7" s="49"/>
      <c r="BQ7" s="49"/>
      <c r="BR7" s="49" t="b">
        <v>1</v>
      </c>
      <c r="BS7" s="49" t="s">
        <v>771</v>
      </c>
      <c r="BT7" s="49" t="b">
        <v>0</v>
      </c>
      <c r="BU7" s="49"/>
      <c r="BV7" s="49" t="b">
        <v>1</v>
      </c>
      <c r="BW7" s="49" t="b">
        <v>0</v>
      </c>
      <c r="BX7" s="49" t="b">
        <v>0</v>
      </c>
      <c r="BY7" s="49" t="b">
        <v>0</v>
      </c>
      <c r="BZ7" s="49"/>
      <c r="CA7" s="49"/>
      <c r="CB7" s="49" t="b">
        <v>1</v>
      </c>
      <c r="CC7" s="49" t="b">
        <v>0</v>
      </c>
      <c r="CD7" s="49" t="b">
        <v>0</v>
      </c>
      <c r="CE7" s="49" t="b">
        <v>0</v>
      </c>
      <c r="CF7" s="49"/>
    </row>
  </sheetData>
  <sheetProtection sheet="1" objects="1" scenarios="1" formatCells="0" formatColumns="0" formatRows="0" insertRows="0" sort="0" autoFilter="0"/>
  <hyperlinks>
    <hyperlink ref="B2" location="C3" tooltip=" " display="C3" xr:uid="{DC23AF7B-2AE7-480D-A84A-FB1E07DE4FB8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DA81-52D6-46DF-9997-E2A6C971C500}">
  <sheetPr codeName="Feuil3">
    <outlinePr summaryRight="0"/>
  </sheetPr>
  <dimension ref="B2:CF6"/>
  <sheetViews>
    <sheetView showGridLines="0" workbookViewId="0">
      <selection activeCell="C3" sqref="C3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44" t="e">
        <f>I18N_T(cellLanguage, "RF_Save")</f>
        <v>#VALUE!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e">
        <f>I18N_T(cellLanguage, "RF_Reporting")</f>
        <v>#VALUE!</v>
      </c>
      <c r="C4" s="47" t="e">
        <f>I18N_T(cellLanguage, "RF_Phase")</f>
        <v>#VALUE!</v>
      </c>
      <c r="D4" s="47" t="e">
        <f>I18N_T(cellLanguage, "RF_UpdatePeriod")</f>
        <v>#VALUE!</v>
      </c>
      <c r="E4" s="47" t="e">
        <f>I18N_T(cellLanguage, "RF_FrameworkVersion")</f>
        <v>#VALUE!</v>
      </c>
      <c r="F4" s="47" t="e">
        <f>I18N_T(cellLanguage, "RF_Start")</f>
        <v>#VALUE!</v>
      </c>
      <c r="G4" s="47" t="e">
        <f>I18N_T(cellLanguage, "RF_End")</f>
        <v>#VALUE!</v>
      </c>
      <c r="H4" s="47" t="e">
        <f>I18N_T(cellLanguage, "RF_RepDesc")</f>
        <v>#VALUE!</v>
      </c>
      <c r="I4" s="47" t="e">
        <f>I18N_T(cellLanguage, "RF_RepPack")</f>
        <v>#VALUE!</v>
      </c>
      <c r="J4" s="47" t="e">
        <f>I18N_T(cellLanguage, "RF_UseDefaultWindowsFolder")</f>
        <v>#VALUE!</v>
      </c>
      <c r="K4" s="47" t="e">
        <f>I18N_T(cellLanguage, "RF_WindowsFolder")</f>
        <v>#VALUE!</v>
      </c>
      <c r="L4" s="47" t="e">
        <f>I18N_T(cellLanguage, "RF_UseDefaultInternetFolder")</f>
        <v>#VALUE!</v>
      </c>
      <c r="M4" s="47" t="e">
        <f>I18N_T(cellLanguage, "RF_InternetFolder")</f>
        <v>#VALUE!</v>
      </c>
      <c r="N4" s="47" t="e">
        <f>I18N_T(cellLanguage, "RF_UseDefaultSetOfControls")</f>
        <v>#VALUE!</v>
      </c>
      <c r="O4" s="47" t="e">
        <f>I18N_T(cellLanguage, "RF_SetOfControls")</f>
        <v>#VALUE!</v>
      </c>
      <c r="P4" s="47" t="e">
        <f>I18N_T(cellLanguage, "RF_UseDefaultLevel")</f>
        <v>#VALUE!</v>
      </c>
      <c r="Q4" s="47" t="e">
        <f>I18N_T(cellLanguage, "RF_LevelToReach")</f>
        <v>#VALUE!</v>
      </c>
      <c r="R4" s="47" t="e">
        <f>I18N_T(cellLanguage, "RF_Blocking")</f>
        <v>#VALUE!</v>
      </c>
      <c r="S4" s="47" t="e">
        <f>I18N_T(cellLanguage, "RF_UseDefaultLock")</f>
        <v>#VALUE!</v>
      </c>
      <c r="T4" s="47" t="e">
        <f>I18N_T(cellLanguage, "RF_LockOnPublication")</f>
        <v>#VALUE!</v>
      </c>
      <c r="U4" s="47" t="e">
        <f>I18N_T(cellLanguage, "RF_UseDefaultRuleSet")</f>
        <v>#VALUE!</v>
      </c>
      <c r="V4" s="47" t="e">
        <f>I18N_T(cellLanguage, "RF_RuleSet")</f>
        <v>#VALUE!</v>
      </c>
      <c r="W4" s="47" t="e">
        <f>I18N_T(cellLanguage, "RF_UseDefaultOpbal")</f>
        <v>#VALUE!</v>
      </c>
      <c r="X4" s="47" t="e">
        <f>I18N_T(cellLanguage, "RF_HasOpBal")</f>
        <v>#VALUE!</v>
      </c>
      <c r="Y4" s="47" t="e">
        <f>I18N_T(cellLanguage, "RF_OpbPhase")</f>
        <v>#VALUE!</v>
      </c>
      <c r="Z4" s="47" t="e">
        <f>I18N_T(cellLanguage, "RF_OpbUpdatePeriod")</f>
        <v>#VALUE!</v>
      </c>
      <c r="AA4" s="47" t="e">
        <f>I18N_T(cellLanguage, "RF_OpbScope")</f>
        <v>#VALUE!</v>
      </c>
      <c r="AB4" s="47" t="e">
        <f>I18N_T(cellLanguage, "RF_OpbVariant")</f>
        <v>#VALUE!</v>
      </c>
      <c r="AC4" s="47" t="e">
        <f>I18N_T(cellLanguage, "RF_OpbConsCurrency")</f>
        <v>#VALUE!</v>
      </c>
      <c r="AD4" s="47" t="e">
        <f>I18N_T(cellLanguage, "RF_RepOp")</f>
        <v>#VALUE!</v>
      </c>
      <c r="AE4" s="47" t="e">
        <f>I18N_T(cellLanguage, "RF_CutoffDate")</f>
        <v>#VALUE!</v>
      </c>
      <c r="AF4" s="47" t="e">
        <f>I18N_T(cellLanguage, "RF_EarlyPublishing")</f>
        <v>#VALUE!</v>
      </c>
      <c r="AG4" s="47" t="e">
        <f>I18N_T(cellLanguage, "RF_RepOpAftPub")</f>
        <v>#VALUE!</v>
      </c>
      <c r="AH4" s="47" t="e">
        <f>I18N_T(cellLanguage, "RF_RepOpAftPubStd")</f>
        <v>#VALUE!</v>
      </c>
      <c r="AI4" s="47" t="e">
        <f>I18N_T(cellLanguage, "RF_RepOpAftPubSpe")</f>
        <v>#VALUE!</v>
      </c>
      <c r="AJ4" s="47" t="e">
        <f>I18N_T(cellLanguage, "RF_RepOpAftPubAdv")</f>
        <v>#VALUE!</v>
      </c>
      <c r="AK4" s="47" t="e">
        <f>I18N_T(cellLanguage, "RF_RepOpAftPubLvl")</f>
        <v>#VALUE!</v>
      </c>
      <c r="AL4" s="47" t="e">
        <f>I18N_T(cellLanguage, "RF_RepOpAftTran")</f>
        <v>#VALUE!</v>
      </c>
      <c r="AM4" s="47" t="e">
        <f>I18N_T(cellLanguage, "RF_RepOpAftTranStd")</f>
        <v>#VALUE!</v>
      </c>
      <c r="AN4" s="47" t="e">
        <f>I18N_T(cellLanguage, "RF_RepOpAftTranSpe")</f>
        <v>#VALUE!</v>
      </c>
      <c r="AO4" s="47" t="e">
        <f>I18N_T(cellLanguage, "RF_RepOpAftTranAdv")</f>
        <v>#VALUE!</v>
      </c>
      <c r="AP4" s="47" t="e">
        <f>I18N_T(cellLanguage, "RF_RepOpAftTranLvl")</f>
        <v>#VALUE!</v>
      </c>
      <c r="AQ4" s="47" t="e">
        <f>I18N_T(cellLanguage, "RF_Entity")</f>
        <v>#VALUE!</v>
      </c>
      <c r="AR4" s="47" t="e">
        <f>I18N_T(cellLanguage, "RF_Entity2")</f>
        <v>#VALUE!</v>
      </c>
      <c r="AS4" s="47" t="e">
        <f>I18N_T(cellLanguage, "RF_InputCurrency")</f>
        <v>#VALUE!</v>
      </c>
      <c r="AT4" s="47" t="e">
        <f>I18N_T(cellLanguage, "RF_InputSite")</f>
        <v>#VALUE!</v>
      </c>
      <c r="AU4" s="47" t="e">
        <f>I18N_T(cellLanguage, "RF_PublicationSite")</f>
        <v>#VALUE!</v>
      </c>
      <c r="AV4" s="47" t="e">
        <f>I18N_T(cellLanguage, "RF_EntPack")</f>
        <v>#VALUE!</v>
      </c>
      <c r="AW4" s="47" t="e">
        <f>I18N_T(cellLanguage, "RF_EntUseDefaultWindowsFolder")</f>
        <v>#VALUE!</v>
      </c>
      <c r="AX4" s="47" t="e">
        <f>I18N_T(cellLanguage, "RF_EntWindowsFolder")</f>
        <v>#VALUE!</v>
      </c>
      <c r="AY4" s="47" t="e">
        <f>I18N_T(cellLanguage, "RF_EntUseDefaultInternetFolder")</f>
        <v>#VALUE!</v>
      </c>
      <c r="AZ4" s="47" t="e">
        <f>I18N_T(cellLanguage, "RF_EntInternetFolder")</f>
        <v>#VALUE!</v>
      </c>
      <c r="BA4" s="47" t="e">
        <f>I18N_T(cellLanguage, "RF_EntUseDefaultSetOfControls")</f>
        <v>#VALUE!</v>
      </c>
      <c r="BB4" s="47" t="e">
        <f>I18N_T(cellLanguage, "RF_EntSetOfControls")</f>
        <v>#VALUE!</v>
      </c>
      <c r="BC4" s="47" t="e">
        <f>I18N_T(cellLanguage, "RF_EntUseDefaultLevel")</f>
        <v>#VALUE!</v>
      </c>
      <c r="BD4" s="47" t="e">
        <f>I18N_T(cellLanguage, "RF_EntLevelToReach")</f>
        <v>#VALUE!</v>
      </c>
      <c r="BE4" s="47" t="e">
        <f>I18N_T(cellLanguage, "RF_EntBlocking")</f>
        <v>#VALUE!</v>
      </c>
      <c r="BF4" s="47" t="e">
        <f>I18N_T(cellLanguage, "RF_EntUseDefaultLock")</f>
        <v>#VALUE!</v>
      </c>
      <c r="BG4" s="47" t="e">
        <f>I18N_T(cellLanguage, "RF_EntLockOnPublication")</f>
        <v>#VALUE!</v>
      </c>
      <c r="BH4" s="47" t="e">
        <f>I18N_T(cellLanguage, "RF_EntUseDefaultRuleSet")</f>
        <v>#VALUE!</v>
      </c>
      <c r="BI4" s="47" t="e">
        <f>I18N_T(cellLanguage, "RF_EntRuleSet")</f>
        <v>#VALUE!</v>
      </c>
      <c r="BJ4" s="47" t="e">
        <f>I18N_T(cellLanguage, "RF_EntUseDefaultOpbal")</f>
        <v>#VALUE!</v>
      </c>
      <c r="BK4" s="47" t="e">
        <f>I18N_T(cellLanguage, "RF_EntHasOpBal")</f>
        <v>#VALUE!</v>
      </c>
      <c r="BL4" s="47" t="e">
        <f>I18N_T(cellLanguage, "RF_EntOpbPhase")</f>
        <v>#VALUE!</v>
      </c>
      <c r="BM4" s="47" t="e">
        <f>I18N_T(cellLanguage, "RF_EntOpbUpdatePeriod")</f>
        <v>#VALUE!</v>
      </c>
      <c r="BN4" s="47" t="e">
        <f>I18N_T(cellLanguage, "RF_EntOpbScope")</f>
        <v>#VALUE!</v>
      </c>
      <c r="BO4" s="47" t="e">
        <f>I18N_T(cellLanguage, "RF_EntOpbVariant")</f>
        <v>#VALUE!</v>
      </c>
      <c r="BP4" s="47" t="e">
        <f>I18N_T(cellLanguage, "RF_EntOpbConsCurrency")</f>
        <v>#VALUE!</v>
      </c>
      <c r="BQ4" s="47" t="e">
        <f>I18N_T(cellLanguage, "RF_EntOp")</f>
        <v>#VALUE!</v>
      </c>
      <c r="BR4" s="47" t="e">
        <f>I18N_T(cellLanguage, "RF_EntUseDefaultPublish")</f>
        <v>#VALUE!</v>
      </c>
      <c r="BS4" s="47" t="e">
        <f>I18N_T(cellLanguage, "RF_EntPackPublishingCutOffDate")</f>
        <v>#VALUE!</v>
      </c>
      <c r="BT4" s="47" t="e">
        <f>I18N_T(cellLanguage, "RF_EntAllowEarlyPublishing")</f>
        <v>#VALUE!</v>
      </c>
      <c r="BU4" s="47" t="e">
        <f>I18N_T(cellLanguage, "RF_EntOpAftPub")</f>
        <v>#VALUE!</v>
      </c>
      <c r="BV4" s="47" t="e">
        <f>I18N_T(cellLanguage, "RF_EntUseDefaultAfterPub")</f>
        <v>#VALUE!</v>
      </c>
      <c r="BW4" s="47" t="e">
        <f>I18N_T(cellLanguage, "RF_EntAftPubStandard")</f>
        <v>#VALUE!</v>
      </c>
      <c r="BX4" s="47" t="e">
        <f>I18N_T(cellLanguage, "RF_EntAftPubSpecial")</f>
        <v>#VALUE!</v>
      </c>
      <c r="BY4" s="47" t="e">
        <f>I18N_T(cellLanguage, "RF_EntAftPubAdvanced")</f>
        <v>#VALUE!</v>
      </c>
      <c r="BZ4" s="47" t="e">
        <f>I18N_T(cellLanguage, "RF_EntAftPubLevel")</f>
        <v>#VALUE!</v>
      </c>
      <c r="CA4" s="47" t="e">
        <f>I18N_T(cellLanguage, "RF_EntOpAftTran")</f>
        <v>#VALUE!</v>
      </c>
      <c r="CB4" s="47" t="e">
        <f>I18N_T(cellLanguage, "RF_EntUseDefaultAfterTran")</f>
        <v>#VALUE!</v>
      </c>
      <c r="CC4" s="47" t="e">
        <f>I18N_T(cellLanguage, "RF_EntAftTranStandard")</f>
        <v>#VALUE!</v>
      </c>
      <c r="CD4" s="47" t="e">
        <f>I18N_T(cellLanguage, "RF_EntAftTranSpecial")</f>
        <v>#VALUE!</v>
      </c>
      <c r="CE4" s="47" t="e">
        <f>I18N_T(cellLanguage, "RF_EntAftTranAdvanced")</f>
        <v>#VALUE!</v>
      </c>
      <c r="CF4" s="48" t="e">
        <f>I18N_T(cellLanguage, "RF_EntAftTranLevel")</f>
        <v>#VALUE!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676</v>
      </c>
      <c r="G5" s="45" t="s">
        <v>677</v>
      </c>
      <c r="H5" s="45" t="s">
        <v>678</v>
      </c>
      <c r="I5" s="45" t="s">
        <v>679</v>
      </c>
      <c r="J5" s="45" t="s">
        <v>680</v>
      </c>
      <c r="K5" s="45" t="s">
        <v>681</v>
      </c>
      <c r="L5" s="45" t="s">
        <v>682</v>
      </c>
      <c r="M5" s="45" t="s">
        <v>683</v>
      </c>
      <c r="N5" s="45" t="s">
        <v>684</v>
      </c>
      <c r="O5" s="45" t="s">
        <v>685</v>
      </c>
      <c r="P5" s="45" t="s">
        <v>686</v>
      </c>
      <c r="Q5" s="45" t="s">
        <v>687</v>
      </c>
      <c r="R5" s="45" t="s">
        <v>688</v>
      </c>
      <c r="S5" s="45" t="s">
        <v>689</v>
      </c>
      <c r="T5" s="45" t="s">
        <v>690</v>
      </c>
      <c r="U5" s="45" t="s">
        <v>691</v>
      </c>
      <c r="V5" s="45" t="s">
        <v>692</v>
      </c>
      <c r="W5" s="45" t="s">
        <v>693</v>
      </c>
      <c r="X5" s="45" t="s">
        <v>694</v>
      </c>
      <c r="Y5" s="45" t="s">
        <v>695</v>
      </c>
      <c r="Z5" s="45" t="s">
        <v>696</v>
      </c>
      <c r="AA5" s="45" t="s">
        <v>697</v>
      </c>
      <c r="AB5" s="45" t="s">
        <v>698</v>
      </c>
      <c r="AC5" s="45" t="s">
        <v>699</v>
      </c>
      <c r="AD5" s="45" t="s">
        <v>700</v>
      </c>
      <c r="AE5" s="45" t="s">
        <v>701</v>
      </c>
      <c r="AF5" s="45" t="s">
        <v>702</v>
      </c>
      <c r="AG5" s="45" t="s">
        <v>703</v>
      </c>
      <c r="AH5" s="45" t="s">
        <v>704</v>
      </c>
      <c r="AI5" s="45" t="s">
        <v>705</v>
      </c>
      <c r="AJ5" s="45" t="s">
        <v>706</v>
      </c>
      <c r="AK5" s="45" t="s">
        <v>707</v>
      </c>
      <c r="AL5" s="45" t="s">
        <v>708</v>
      </c>
      <c r="AM5" s="45" t="s">
        <v>709</v>
      </c>
      <c r="AN5" s="45" t="s">
        <v>710</v>
      </c>
      <c r="AO5" s="45" t="s">
        <v>711</v>
      </c>
      <c r="AP5" s="45" t="s">
        <v>712</v>
      </c>
      <c r="AQ5" s="45" t="s">
        <v>713</v>
      </c>
      <c r="AR5" s="45" t="s">
        <v>714</v>
      </c>
      <c r="AS5" s="45" t="s">
        <v>715</v>
      </c>
      <c r="AT5" s="45" t="s">
        <v>716</v>
      </c>
      <c r="AU5" s="45" t="s">
        <v>717</v>
      </c>
      <c r="AV5" s="45" t="s">
        <v>718</v>
      </c>
      <c r="AW5" s="45" t="s">
        <v>719</v>
      </c>
      <c r="AX5" s="45" t="s">
        <v>720</v>
      </c>
      <c r="AY5" s="45" t="s">
        <v>721</v>
      </c>
      <c r="AZ5" s="45" t="s">
        <v>722</v>
      </c>
      <c r="BA5" s="45" t="s">
        <v>723</v>
      </c>
      <c r="BB5" s="45" t="s">
        <v>724</v>
      </c>
      <c r="BC5" s="45" t="s">
        <v>725</v>
      </c>
      <c r="BD5" s="45" t="s">
        <v>726</v>
      </c>
      <c r="BE5" s="45" t="s">
        <v>727</v>
      </c>
      <c r="BF5" s="45" t="s">
        <v>728</v>
      </c>
      <c r="BG5" s="45" t="s">
        <v>729</v>
      </c>
      <c r="BH5" s="45" t="s">
        <v>730</v>
      </c>
      <c r="BI5" s="45" t="s">
        <v>731</v>
      </c>
      <c r="BJ5" s="45" t="s">
        <v>732</v>
      </c>
      <c r="BK5" s="45" t="s">
        <v>733</v>
      </c>
      <c r="BL5" s="45" t="s">
        <v>734</v>
      </c>
      <c r="BM5" s="45" t="s">
        <v>735</v>
      </c>
      <c r="BN5" s="45" t="s">
        <v>736</v>
      </c>
      <c r="BO5" s="45" t="s">
        <v>737</v>
      </c>
      <c r="BP5" s="45" t="s">
        <v>738</v>
      </c>
      <c r="BQ5" s="45" t="s">
        <v>739</v>
      </c>
      <c r="BR5" s="45" t="s">
        <v>740</v>
      </c>
      <c r="BS5" s="45" t="s">
        <v>741</v>
      </c>
      <c r="BT5" s="45" t="s">
        <v>742</v>
      </c>
      <c r="BU5" s="45" t="s">
        <v>743</v>
      </c>
      <c r="BV5" s="45" t="s">
        <v>744</v>
      </c>
      <c r="BW5" s="45" t="s">
        <v>745</v>
      </c>
      <c r="BX5" s="45" t="s">
        <v>746</v>
      </c>
      <c r="BY5" s="45" t="s">
        <v>747</v>
      </c>
      <c r="BZ5" s="45" t="s">
        <v>748</v>
      </c>
      <c r="CA5" s="45" t="s">
        <v>749</v>
      </c>
      <c r="CB5" s="45" t="s">
        <v>750</v>
      </c>
      <c r="CC5" s="45" t="s">
        <v>751</v>
      </c>
      <c r="CD5" s="45" t="s">
        <v>752</v>
      </c>
      <c r="CE5" s="45" t="s">
        <v>753</v>
      </c>
      <c r="CF5" s="45" t="s">
        <v>754</v>
      </c>
    </row>
    <row r="6" spans="2:84" x14ac:dyDescent="0.25">
      <c r="B6" s="49"/>
      <c r="C6" s="49" t="s">
        <v>21</v>
      </c>
      <c r="D6" s="49" t="s">
        <v>612</v>
      </c>
      <c r="E6" s="49" t="s">
        <v>22</v>
      </c>
      <c r="F6" s="49" t="s">
        <v>756</v>
      </c>
      <c r="G6" s="49" t="s">
        <v>757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758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759</v>
      </c>
      <c r="AS6" s="49" t="s">
        <v>760</v>
      </c>
      <c r="AT6" s="49" t="s">
        <v>761</v>
      </c>
      <c r="AU6" s="49" t="s">
        <v>761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762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3F0BFC70-A70F-40A9-9EAB-DF338E69535E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0"/>
  <sheetViews>
    <sheetView topLeftCell="A22" workbookViewId="0">
      <selection activeCell="E50" sqref="E50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5</v>
      </c>
      <c r="F1" s="37" t="s">
        <v>505</v>
      </c>
      <c r="G1" s="37" t="s">
        <v>506</v>
      </c>
      <c r="H1" s="37" t="s">
        <v>507</v>
      </c>
      <c r="I1" s="37" t="s">
        <v>508</v>
      </c>
      <c r="J1" s="37" t="s">
        <v>509</v>
      </c>
      <c r="K1" s="37" t="s">
        <v>510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501</v>
      </c>
      <c r="B4" s="2" t="s">
        <v>113</v>
      </c>
      <c r="C4" s="2" t="s">
        <v>527</v>
      </c>
      <c r="D4" s="30">
        <v>44262.77579861111</v>
      </c>
      <c r="E4" s="2" t="s">
        <v>528</v>
      </c>
    </row>
    <row r="5" spans="1:11" x14ac:dyDescent="0.25">
      <c r="A5" s="2" t="s">
        <v>529</v>
      </c>
      <c r="B5" s="2" t="s">
        <v>530</v>
      </c>
      <c r="C5" s="2" t="s">
        <v>531</v>
      </c>
      <c r="D5" s="30">
        <v>44262.775925925926</v>
      </c>
      <c r="E5" s="2" t="s">
        <v>532</v>
      </c>
    </row>
    <row r="6" spans="1:11" x14ac:dyDescent="0.25">
      <c r="A6" s="2" t="s">
        <v>529</v>
      </c>
      <c r="B6" s="2" t="s">
        <v>530</v>
      </c>
      <c r="C6" s="2" t="s">
        <v>531</v>
      </c>
      <c r="D6" s="30">
        <v>44262.77615740741</v>
      </c>
      <c r="E6" s="2" t="s">
        <v>532</v>
      </c>
    </row>
    <row r="7" spans="1:11" x14ac:dyDescent="0.25">
      <c r="A7" s="2" t="s">
        <v>529</v>
      </c>
      <c r="B7" s="2" t="s">
        <v>533</v>
      </c>
      <c r="C7" s="2" t="s">
        <v>527</v>
      </c>
      <c r="D7" s="30">
        <v>44262.776192129626</v>
      </c>
      <c r="E7" s="2" t="s">
        <v>534</v>
      </c>
    </row>
    <row r="8" spans="1:11" x14ac:dyDescent="0.25">
      <c r="A8" s="2" t="s">
        <v>501</v>
      </c>
      <c r="B8" s="2" t="s">
        <v>113</v>
      </c>
      <c r="C8" s="2" t="s">
        <v>527</v>
      </c>
      <c r="D8" s="30">
        <v>44262.792280092595</v>
      </c>
      <c r="E8" s="2" t="s">
        <v>528</v>
      </c>
    </row>
    <row r="9" spans="1:11" x14ac:dyDescent="0.25">
      <c r="A9" s="2" t="s">
        <v>535</v>
      </c>
      <c r="B9" s="2" t="s">
        <v>536</v>
      </c>
      <c r="C9" s="2" t="s">
        <v>527</v>
      </c>
      <c r="D9" s="30">
        <v>44262.792395833334</v>
      </c>
      <c r="E9" s="2" t="s">
        <v>537</v>
      </c>
    </row>
    <row r="10" spans="1:11" x14ac:dyDescent="0.25">
      <c r="A10" s="2" t="s">
        <v>529</v>
      </c>
      <c r="B10" s="2" t="s">
        <v>530</v>
      </c>
      <c r="C10" s="2" t="s">
        <v>531</v>
      </c>
      <c r="D10" s="30">
        <v>44262.792453703703</v>
      </c>
      <c r="E10" s="2" t="s">
        <v>538</v>
      </c>
    </row>
    <row r="11" spans="1:11" x14ac:dyDescent="0.25">
      <c r="A11" s="2" t="s">
        <v>529</v>
      </c>
      <c r="B11" s="2" t="s">
        <v>533</v>
      </c>
      <c r="C11" s="2" t="s">
        <v>527</v>
      </c>
      <c r="D11" s="30">
        <v>44262.792488425926</v>
      </c>
      <c r="E11" s="2" t="s">
        <v>539</v>
      </c>
    </row>
    <row r="12" spans="1:11" x14ac:dyDescent="0.25">
      <c r="A12" s="2" t="s">
        <v>529</v>
      </c>
      <c r="B12" s="2" t="s">
        <v>530</v>
      </c>
      <c r="C12" s="2" t="s">
        <v>531</v>
      </c>
      <c r="D12" s="30">
        <v>44262.793749999997</v>
      </c>
      <c r="E12" s="2" t="s">
        <v>540</v>
      </c>
    </row>
    <row r="13" spans="1:11" x14ac:dyDescent="0.25">
      <c r="A13" s="2" t="s">
        <v>529</v>
      </c>
      <c r="B13" s="2" t="s">
        <v>530</v>
      </c>
      <c r="C13" s="2" t="s">
        <v>531</v>
      </c>
      <c r="D13" s="30">
        <v>44262.79614583333</v>
      </c>
      <c r="E13" s="2" t="s">
        <v>540</v>
      </c>
    </row>
    <row r="14" spans="1:11" x14ac:dyDescent="0.25">
      <c r="A14" s="2" t="s">
        <v>529</v>
      </c>
      <c r="B14" s="2" t="s">
        <v>530</v>
      </c>
      <c r="C14" s="2" t="s">
        <v>531</v>
      </c>
      <c r="D14" s="30">
        <v>44262.796886574077</v>
      </c>
      <c r="E14" s="2" t="s">
        <v>540</v>
      </c>
    </row>
    <row r="15" spans="1:11" x14ac:dyDescent="0.25">
      <c r="A15" s="2" t="s">
        <v>529</v>
      </c>
      <c r="B15" s="2" t="s">
        <v>530</v>
      </c>
      <c r="C15" s="2" t="s">
        <v>531</v>
      </c>
      <c r="D15" s="30">
        <v>44262.798067129632</v>
      </c>
      <c r="E15" s="2" t="s">
        <v>540</v>
      </c>
    </row>
    <row r="16" spans="1:11" x14ac:dyDescent="0.25">
      <c r="A16" s="2" t="s">
        <v>529</v>
      </c>
      <c r="B16" s="2" t="s">
        <v>530</v>
      </c>
      <c r="C16" s="2" t="s">
        <v>531</v>
      </c>
      <c r="D16" s="30">
        <v>44262.799444444441</v>
      </c>
      <c r="E16" s="2" t="s">
        <v>540</v>
      </c>
    </row>
    <row r="17" spans="1:5" x14ac:dyDescent="0.25">
      <c r="A17" s="2" t="s">
        <v>529</v>
      </c>
      <c r="B17" s="2" t="s">
        <v>530</v>
      </c>
      <c r="C17" s="2" t="s">
        <v>531</v>
      </c>
      <c r="D17" s="30">
        <v>44262.801377314812</v>
      </c>
      <c r="E17" s="2" t="s">
        <v>540</v>
      </c>
    </row>
    <row r="18" spans="1:5" x14ac:dyDescent="0.25">
      <c r="A18" s="2" t="s">
        <v>501</v>
      </c>
      <c r="B18" s="2" t="s">
        <v>113</v>
      </c>
      <c r="C18" s="2" t="s">
        <v>527</v>
      </c>
      <c r="D18" s="30">
        <v>44262.802071759259</v>
      </c>
      <c r="E18" s="2" t="s">
        <v>528</v>
      </c>
    </row>
    <row r="19" spans="1:5" x14ac:dyDescent="0.25">
      <c r="A19" s="2" t="s">
        <v>529</v>
      </c>
      <c r="B19" s="2" t="s">
        <v>530</v>
      </c>
      <c r="C19" s="2" t="s">
        <v>531</v>
      </c>
      <c r="D19" s="30">
        <v>44262.802222222221</v>
      </c>
      <c r="E19" s="2" t="s">
        <v>540</v>
      </c>
    </row>
    <row r="20" spans="1:5" x14ac:dyDescent="0.25">
      <c r="A20" s="2" t="s">
        <v>529</v>
      </c>
      <c r="B20" s="2" t="s">
        <v>530</v>
      </c>
      <c r="C20" s="2" t="s">
        <v>531</v>
      </c>
      <c r="D20" s="30">
        <v>44262.804849537039</v>
      </c>
      <c r="E20" s="2" t="s">
        <v>540</v>
      </c>
    </row>
    <row r="21" spans="1:5" x14ac:dyDescent="0.25">
      <c r="A21" s="2" t="s">
        <v>501</v>
      </c>
      <c r="B21" s="2" t="s">
        <v>113</v>
      </c>
      <c r="C21" s="2" t="s">
        <v>527</v>
      </c>
      <c r="D21" s="30">
        <v>44262.805937500001</v>
      </c>
      <c r="E21" s="2" t="s">
        <v>528</v>
      </c>
    </row>
    <row r="22" spans="1:5" x14ac:dyDescent="0.25">
      <c r="A22" s="2" t="s">
        <v>529</v>
      </c>
      <c r="B22" s="2" t="s">
        <v>530</v>
      </c>
      <c r="C22" s="2" t="s">
        <v>531</v>
      </c>
      <c r="D22" s="30">
        <v>44262.806064814817</v>
      </c>
      <c r="E22" s="2" t="s">
        <v>540</v>
      </c>
    </row>
    <row r="23" spans="1:5" x14ac:dyDescent="0.25">
      <c r="A23" s="2" t="s">
        <v>529</v>
      </c>
      <c r="B23" s="2" t="s">
        <v>533</v>
      </c>
      <c r="C23" s="2" t="s">
        <v>527</v>
      </c>
      <c r="D23" s="30">
        <v>44262.80609953704</v>
      </c>
      <c r="E23" s="2" t="s">
        <v>541</v>
      </c>
    </row>
    <row r="24" spans="1:5" x14ac:dyDescent="0.25">
      <c r="A24" s="2" t="s">
        <v>501</v>
      </c>
      <c r="B24" s="2" t="s">
        <v>113</v>
      </c>
      <c r="C24" s="2" t="s">
        <v>527</v>
      </c>
      <c r="D24" s="30">
        <v>44262.813148148147</v>
      </c>
      <c r="E24" s="2" t="s">
        <v>542</v>
      </c>
    </row>
    <row r="25" spans="1:5" x14ac:dyDescent="0.25">
      <c r="A25" s="2" t="s">
        <v>529</v>
      </c>
      <c r="B25" s="2" t="s">
        <v>530</v>
      </c>
      <c r="C25" s="2" t="s">
        <v>531</v>
      </c>
      <c r="D25" s="30">
        <v>44262.813275462962</v>
      </c>
      <c r="E25" s="2" t="s">
        <v>540</v>
      </c>
    </row>
    <row r="26" spans="1:5" x14ac:dyDescent="0.25">
      <c r="A26" s="2" t="s">
        <v>501</v>
      </c>
      <c r="B26" s="2" t="s">
        <v>113</v>
      </c>
      <c r="C26" s="2" t="s">
        <v>527</v>
      </c>
      <c r="D26" s="30">
        <v>44262.813773148147</v>
      </c>
      <c r="E26" s="2" t="s">
        <v>528</v>
      </c>
    </row>
    <row r="27" spans="1:5" x14ac:dyDescent="0.25">
      <c r="A27" s="2" t="s">
        <v>529</v>
      </c>
      <c r="B27" s="2" t="s">
        <v>530</v>
      </c>
      <c r="C27" s="2" t="s">
        <v>531</v>
      </c>
      <c r="D27" s="30">
        <v>44262.813877314817</v>
      </c>
      <c r="E27" s="2" t="s">
        <v>540</v>
      </c>
    </row>
    <row r="28" spans="1:5" x14ac:dyDescent="0.25">
      <c r="A28" s="2" t="s">
        <v>501</v>
      </c>
      <c r="B28" s="2" t="s">
        <v>113</v>
      </c>
      <c r="C28" s="2" t="s">
        <v>527</v>
      </c>
      <c r="D28" s="30">
        <v>44262.816469907404</v>
      </c>
      <c r="E28" s="2" t="s">
        <v>542</v>
      </c>
    </row>
    <row r="29" spans="1:5" x14ac:dyDescent="0.25">
      <c r="A29" s="2" t="s">
        <v>529</v>
      </c>
      <c r="B29" s="2" t="s">
        <v>530</v>
      </c>
      <c r="C29" s="2" t="s">
        <v>531</v>
      </c>
      <c r="D29" s="30">
        <v>44262.816550925927</v>
      </c>
      <c r="E29" s="2" t="s">
        <v>540</v>
      </c>
    </row>
    <row r="30" spans="1:5" x14ac:dyDescent="0.25">
      <c r="A30" s="2" t="s">
        <v>529</v>
      </c>
      <c r="B30" s="2" t="s">
        <v>530</v>
      </c>
      <c r="C30" s="2" t="s">
        <v>531</v>
      </c>
      <c r="D30" s="30">
        <v>44262.820439814815</v>
      </c>
      <c r="E30" s="2" t="s">
        <v>540</v>
      </c>
    </row>
    <row r="31" spans="1:5" x14ac:dyDescent="0.25">
      <c r="A31" s="2" t="s">
        <v>529</v>
      </c>
      <c r="B31" s="2" t="s">
        <v>533</v>
      </c>
      <c r="C31" s="2" t="s">
        <v>527</v>
      </c>
      <c r="D31" s="30">
        <v>44262.820439814815</v>
      </c>
      <c r="E31" s="2" t="s">
        <v>541</v>
      </c>
    </row>
    <row r="32" spans="1:5" x14ac:dyDescent="0.25">
      <c r="A32" s="2" t="s">
        <v>529</v>
      </c>
      <c r="B32" s="2" t="s">
        <v>530</v>
      </c>
      <c r="C32" s="2" t="s">
        <v>531</v>
      </c>
      <c r="D32" s="30">
        <v>44262.821435185186</v>
      </c>
      <c r="E32" s="2" t="s">
        <v>540</v>
      </c>
    </row>
    <row r="33" spans="1:5" x14ac:dyDescent="0.25">
      <c r="A33" s="2" t="s">
        <v>529</v>
      </c>
      <c r="B33" s="2" t="s">
        <v>533</v>
      </c>
      <c r="C33" s="2" t="s">
        <v>527</v>
      </c>
      <c r="D33" s="30">
        <v>44262.821435185186</v>
      </c>
      <c r="E33" s="2" t="s">
        <v>541</v>
      </c>
    </row>
    <row r="34" spans="1:5" x14ac:dyDescent="0.25">
      <c r="A34" s="2" t="s">
        <v>529</v>
      </c>
      <c r="B34" s="2" t="s">
        <v>530</v>
      </c>
      <c r="C34" s="2" t="s">
        <v>531</v>
      </c>
      <c r="D34" s="30">
        <v>44262.821643518517</v>
      </c>
      <c r="E34" s="2" t="s">
        <v>540</v>
      </c>
    </row>
    <row r="35" spans="1:5" x14ac:dyDescent="0.25">
      <c r="A35" s="2" t="s">
        <v>529</v>
      </c>
      <c r="B35" s="2" t="s">
        <v>533</v>
      </c>
      <c r="C35" s="2" t="s">
        <v>527</v>
      </c>
      <c r="D35" s="30">
        <v>44262.821643518517</v>
      </c>
      <c r="E35" s="2" t="s">
        <v>541</v>
      </c>
    </row>
    <row r="36" spans="1:5" x14ac:dyDescent="0.25">
      <c r="A36" s="2" t="s">
        <v>529</v>
      </c>
      <c r="B36" s="2" t="s">
        <v>530</v>
      </c>
      <c r="C36" s="2" t="s">
        <v>531</v>
      </c>
      <c r="D36" s="30">
        <v>44262.822534722225</v>
      </c>
      <c r="E36" s="2" t="s">
        <v>540</v>
      </c>
    </row>
    <row r="37" spans="1:5" x14ac:dyDescent="0.25">
      <c r="A37" s="2" t="s">
        <v>501</v>
      </c>
      <c r="B37" s="2" t="s">
        <v>113</v>
      </c>
      <c r="C37" s="2" t="s">
        <v>527</v>
      </c>
      <c r="D37" s="30">
        <v>44262.827407407407</v>
      </c>
      <c r="E37" s="2" t="s">
        <v>528</v>
      </c>
    </row>
    <row r="38" spans="1:5" x14ac:dyDescent="0.25">
      <c r="A38" s="2" t="s">
        <v>529</v>
      </c>
      <c r="B38" s="2" t="s">
        <v>530</v>
      </c>
      <c r="C38" s="2" t="s">
        <v>531</v>
      </c>
      <c r="D38" s="30">
        <v>44262.827523148146</v>
      </c>
      <c r="E38" s="2" t="s">
        <v>540</v>
      </c>
    </row>
    <row r="39" spans="1:5" x14ac:dyDescent="0.25">
      <c r="A39" s="2" t="s">
        <v>529</v>
      </c>
      <c r="B39" s="2" t="s">
        <v>530</v>
      </c>
      <c r="C39" s="2" t="s">
        <v>531</v>
      </c>
      <c r="D39" s="30">
        <v>44262.827708333331</v>
      </c>
      <c r="E39" s="2" t="s">
        <v>540</v>
      </c>
    </row>
    <row r="40" spans="1:5" x14ac:dyDescent="0.25">
      <c r="A40" s="2" t="s">
        <v>501</v>
      </c>
      <c r="B40" s="2" t="s">
        <v>113</v>
      </c>
      <c r="C40" s="2" t="s">
        <v>527</v>
      </c>
      <c r="D40" s="30">
        <v>44262.8280787037</v>
      </c>
      <c r="E40" s="2" t="s">
        <v>543</v>
      </c>
    </row>
    <row r="41" spans="1:5" x14ac:dyDescent="0.25">
      <c r="A41" s="2" t="s">
        <v>529</v>
      </c>
      <c r="B41" s="2" t="s">
        <v>530</v>
      </c>
      <c r="C41" s="2" t="s">
        <v>531</v>
      </c>
      <c r="D41" s="30">
        <v>44262.828159722223</v>
      </c>
      <c r="E41" s="2" t="s">
        <v>540</v>
      </c>
    </row>
    <row r="42" spans="1:5" x14ac:dyDescent="0.25">
      <c r="A42" s="2" t="s">
        <v>529</v>
      </c>
      <c r="B42" s="2" t="s">
        <v>533</v>
      </c>
      <c r="C42" s="2" t="s">
        <v>527</v>
      </c>
      <c r="D42" s="30">
        <v>44262.828206018516</v>
      </c>
      <c r="E42" s="2" t="s">
        <v>544</v>
      </c>
    </row>
    <row r="43" spans="1:5" x14ac:dyDescent="0.25">
      <c r="A43" s="2" t="s">
        <v>669</v>
      </c>
      <c r="B43" s="2" t="s">
        <v>670</v>
      </c>
      <c r="C43" s="2" t="s">
        <v>527</v>
      </c>
      <c r="D43" s="30">
        <v>44265.385289351849</v>
      </c>
      <c r="E43" s="2" t="s">
        <v>671</v>
      </c>
    </row>
    <row r="44" spans="1:5" x14ac:dyDescent="0.25">
      <c r="A44" s="2" t="s">
        <v>672</v>
      </c>
      <c r="B44" s="2" t="s">
        <v>673</v>
      </c>
      <c r="C44" s="2" t="s">
        <v>527</v>
      </c>
      <c r="D44" s="30">
        <v>44265.387361111112</v>
      </c>
      <c r="E44" s="2" t="s">
        <v>674</v>
      </c>
    </row>
    <row r="45" spans="1:5" x14ac:dyDescent="0.25">
      <c r="A45" s="2" t="s">
        <v>501</v>
      </c>
      <c r="B45" s="2" t="s">
        <v>113</v>
      </c>
      <c r="C45" s="2" t="s">
        <v>527</v>
      </c>
      <c r="D45" s="30">
        <v>44265.406875000001</v>
      </c>
      <c r="E45" s="2" t="s">
        <v>675</v>
      </c>
    </row>
    <row r="46" spans="1:5" x14ac:dyDescent="0.25">
      <c r="A46" s="2" t="s">
        <v>535</v>
      </c>
      <c r="B46" s="2" t="s">
        <v>536</v>
      </c>
      <c r="C46" s="2" t="s">
        <v>527</v>
      </c>
      <c r="D46" s="30">
        <v>44265.406990740739</v>
      </c>
      <c r="E46" s="2" t="s">
        <v>755</v>
      </c>
    </row>
    <row r="47" spans="1:5" x14ac:dyDescent="0.25">
      <c r="A47" s="2" t="s">
        <v>535</v>
      </c>
      <c r="B47" s="2" t="s">
        <v>536</v>
      </c>
      <c r="C47" s="2" t="s">
        <v>527</v>
      </c>
      <c r="D47" s="30">
        <v>44265.407569444447</v>
      </c>
      <c r="E47" s="2" t="s">
        <v>763</v>
      </c>
    </row>
    <row r="48" spans="1:5" x14ac:dyDescent="0.25">
      <c r="A48" s="2" t="s">
        <v>764</v>
      </c>
      <c r="B48" s="2" t="s">
        <v>765</v>
      </c>
      <c r="C48" s="2" t="s">
        <v>527</v>
      </c>
      <c r="D48" s="30">
        <v>44265.407592592594</v>
      </c>
      <c r="E48" s="2" t="s">
        <v>766</v>
      </c>
    </row>
    <row r="49" spans="1:5" x14ac:dyDescent="0.25">
      <c r="A49" s="2" t="s">
        <v>529</v>
      </c>
      <c r="B49" s="2" t="s">
        <v>773</v>
      </c>
      <c r="C49" s="2" t="s">
        <v>531</v>
      </c>
      <c r="D49" s="30">
        <v>44265.40834490741</v>
      </c>
      <c r="E49" s="2" t="s">
        <v>774</v>
      </c>
    </row>
    <row r="50" spans="1:5" x14ac:dyDescent="0.25">
      <c r="A50" s="2" t="s">
        <v>529</v>
      </c>
      <c r="B50" s="2" t="s">
        <v>775</v>
      </c>
      <c r="C50" s="2" t="s">
        <v>527</v>
      </c>
      <c r="D50" s="30">
        <v>44265.408379629633</v>
      </c>
      <c r="E50" s="2" t="s">
        <v>776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5"/>
  <sheetViews>
    <sheetView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517</v>
      </c>
      <c r="J53" t="s">
        <v>138</v>
      </c>
      <c r="K53" t="s">
        <v>138</v>
      </c>
      <c r="L53" t="s">
        <v>138</v>
      </c>
    </row>
    <row r="54" spans="2:12" x14ac:dyDescent="0.25">
      <c r="B54" t="s">
        <v>608</v>
      </c>
      <c r="K54">
        <v>0.3</v>
      </c>
      <c r="L54" t="s">
        <v>138</v>
      </c>
    </row>
    <row r="55" spans="2:12" hidden="1" x14ac:dyDescent="0.25">
      <c r="B55" t="s">
        <v>524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550</v>
      </c>
      <c r="K56" t="s">
        <v>138</v>
      </c>
      <c r="L56" t="s">
        <v>138</v>
      </c>
    </row>
    <row r="57" spans="2:12" hidden="1" x14ac:dyDescent="0.25">
      <c r="B57" t="s">
        <v>525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548</v>
      </c>
      <c r="K58" t="s">
        <v>138</v>
      </c>
      <c r="L58" t="s">
        <v>138</v>
      </c>
    </row>
    <row r="59" spans="2:12" hidden="1" x14ac:dyDescent="0.25">
      <c r="B59" t="s">
        <v>549</v>
      </c>
      <c r="K59" t="s">
        <v>138</v>
      </c>
      <c r="L59" t="s">
        <v>138</v>
      </c>
    </row>
    <row r="60" spans="2:12" x14ac:dyDescent="0.25">
      <c r="B60" t="s">
        <v>518</v>
      </c>
      <c r="J60">
        <v>0.25</v>
      </c>
      <c r="K60">
        <v>0.2</v>
      </c>
      <c r="L60">
        <v>0.2</v>
      </c>
    </row>
    <row r="61" spans="2:12" x14ac:dyDescent="0.25">
      <c r="B61" t="s">
        <v>523</v>
      </c>
      <c r="J61">
        <v>0.25</v>
      </c>
      <c r="K61">
        <v>0.2</v>
      </c>
      <c r="L61">
        <v>0.2</v>
      </c>
    </row>
    <row r="62" spans="2:12" x14ac:dyDescent="0.25">
      <c r="B62" t="s">
        <v>668</v>
      </c>
      <c r="K62">
        <v>0.2</v>
      </c>
      <c r="L62">
        <v>0.2</v>
      </c>
    </row>
    <row r="63" spans="2:12" x14ac:dyDescent="0.25">
      <c r="B63" t="s">
        <v>521</v>
      </c>
      <c r="J63">
        <v>0.5</v>
      </c>
      <c r="K63">
        <v>0.3</v>
      </c>
      <c r="L63">
        <v>0.3</v>
      </c>
    </row>
    <row r="64" spans="2:12" x14ac:dyDescent="0.25">
      <c r="B64" t="s">
        <v>516</v>
      </c>
      <c r="J64">
        <v>0.25</v>
      </c>
      <c r="K64">
        <v>0.1</v>
      </c>
      <c r="L64">
        <v>0.1</v>
      </c>
    </row>
    <row r="65" spans="2:12" x14ac:dyDescent="0.25">
      <c r="B65" t="s">
        <v>520</v>
      </c>
      <c r="J65">
        <v>0.25</v>
      </c>
      <c r="K65">
        <v>0.25</v>
      </c>
      <c r="L65">
        <v>0.25</v>
      </c>
    </row>
    <row r="66" spans="2:12" x14ac:dyDescent="0.25">
      <c r="B66" t="s">
        <v>519</v>
      </c>
      <c r="J66">
        <v>0.5</v>
      </c>
      <c r="K66">
        <v>0.5</v>
      </c>
      <c r="L66">
        <v>0.5</v>
      </c>
    </row>
    <row r="67" spans="2:12" x14ac:dyDescent="0.25">
      <c r="B67" t="s">
        <v>515</v>
      </c>
      <c r="J67">
        <v>1</v>
      </c>
      <c r="K67">
        <v>1</v>
      </c>
      <c r="L67">
        <v>1</v>
      </c>
    </row>
    <row r="68" spans="2:12" x14ac:dyDescent="0.25">
      <c r="B68" t="s">
        <v>557</v>
      </c>
      <c r="K68">
        <v>0.2</v>
      </c>
      <c r="L68">
        <v>0.2</v>
      </c>
    </row>
    <row r="69" spans="2:12" x14ac:dyDescent="0.25">
      <c r="B69" t="s">
        <v>514</v>
      </c>
      <c r="J69">
        <v>0.5</v>
      </c>
      <c r="K69">
        <v>0.5</v>
      </c>
      <c r="L69">
        <v>0.5</v>
      </c>
    </row>
    <row r="70" spans="2:12" x14ac:dyDescent="0.25">
      <c r="B70" t="s">
        <v>72</v>
      </c>
      <c r="C70">
        <v>3</v>
      </c>
      <c r="D70">
        <v>3</v>
      </c>
      <c r="J70">
        <v>2</v>
      </c>
      <c r="K70">
        <v>2</v>
      </c>
      <c r="L70">
        <v>2</v>
      </c>
    </row>
    <row r="72" spans="2:12" x14ac:dyDescent="0.25">
      <c r="B72" s="27">
        <f>0+C72+D72</f>
        <v>26</v>
      </c>
      <c r="C72" s="28">
        <f>SUM(C18:C70)</f>
        <v>11.5</v>
      </c>
      <c r="D72" s="29">
        <f>SUM(D18:D70)</f>
        <v>14.5</v>
      </c>
      <c r="F72" s="17">
        <f t="shared" ref="F72:L72" si="0">SUMIF(F18:F71,"",$C18:$C71)+SUMIF(F18:F71,"",$D18:$D71)+SUBTOTAL(109,F18:F71)</f>
        <v>24.5</v>
      </c>
      <c r="G72" s="17">
        <f t="shared" si="0"/>
        <v>23.75</v>
      </c>
      <c r="H72" s="17">
        <f t="shared" si="0"/>
        <v>24</v>
      </c>
      <c r="I72" s="17">
        <f t="shared" si="0"/>
        <v>19</v>
      </c>
      <c r="J72" s="17">
        <f t="shared" si="0"/>
        <v>10.5</v>
      </c>
      <c r="K72" s="17">
        <f t="shared" ref="K72" si="1">SUMIF(K18:K71,"",$C18:$C71)+SUMIF(K18:K71,"",$D18:$D71)+SUBTOTAL(109,K18:K71)</f>
        <v>10.75</v>
      </c>
      <c r="L72" s="17">
        <f t="shared" si="0"/>
        <v>10.45</v>
      </c>
    </row>
    <row r="75" spans="2:12" x14ac:dyDescent="0.25">
      <c r="B75" t="s">
        <v>46</v>
      </c>
    </row>
  </sheetData>
  <autoFilter ref="F17:L72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513</v>
      </c>
    </row>
    <row r="8" spans="1:3" outlineLevel="1" x14ac:dyDescent="0.25"/>
    <row r="11" spans="1:3" x14ac:dyDescent="0.25">
      <c r="A11" t="s">
        <v>545</v>
      </c>
      <c r="B11" t="s">
        <v>546</v>
      </c>
      <c r="C11" t="s">
        <v>547</v>
      </c>
    </row>
    <row r="12" spans="1:3" outlineLevel="1" x14ac:dyDescent="0.25">
      <c r="B12" t="s">
        <v>502</v>
      </c>
    </row>
    <row r="13" spans="1:3" outlineLevel="1" x14ac:dyDescent="0.25">
      <c r="B13" t="s">
        <v>503</v>
      </c>
    </row>
    <row r="14" spans="1:3" outlineLevel="1" x14ac:dyDescent="0.25">
      <c r="B14" t="s">
        <v>504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502</v>
      </c>
    </row>
    <row r="21" spans="1:3" hidden="1" outlineLevel="1" x14ac:dyDescent="0.25">
      <c r="B21" t="s">
        <v>503</v>
      </c>
    </row>
    <row r="22" spans="1:3" hidden="1" outlineLevel="1" x14ac:dyDescent="0.25">
      <c r="B22" t="s">
        <v>504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499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606</v>
      </c>
      <c r="H33" s="2" t="s">
        <v>607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378</v>
      </c>
      <c r="B40" s="2"/>
      <c r="C40" s="2"/>
      <c r="D40" s="2"/>
      <c r="E40" s="2"/>
      <c r="F40" s="2"/>
      <c r="G40" s="2" t="s">
        <v>476</v>
      </c>
      <c r="H40" s="2" t="s">
        <v>17</v>
      </c>
    </row>
    <row r="41" spans="1:8" x14ac:dyDescent="0.25">
      <c r="A41" s="36" t="s">
        <v>379</v>
      </c>
      <c r="B41" s="2"/>
      <c r="C41" s="2"/>
      <c r="D41" s="2"/>
      <c r="E41" s="2"/>
      <c r="F41" s="2"/>
      <c r="G41" s="2" t="s">
        <v>477</v>
      </c>
      <c r="H41" s="2" t="s">
        <v>478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479</v>
      </c>
      <c r="H42" s="2" t="s">
        <v>480</v>
      </c>
    </row>
    <row r="43" spans="1:8" x14ac:dyDescent="0.25">
      <c r="A43" s="36" t="s">
        <v>456</v>
      </c>
      <c r="B43" s="2"/>
      <c r="C43" s="2"/>
      <c r="D43" s="2"/>
      <c r="E43" s="2"/>
      <c r="F43" s="2"/>
      <c r="G43" s="2" t="s">
        <v>481</v>
      </c>
      <c r="H43" s="38" t="s">
        <v>489</v>
      </c>
    </row>
    <row r="44" spans="1:8" x14ac:dyDescent="0.25">
      <c r="A44" s="36" t="s">
        <v>457</v>
      </c>
      <c r="B44" s="2"/>
      <c r="C44" s="2"/>
      <c r="D44" s="2"/>
      <c r="E44" s="2"/>
      <c r="F44" s="2"/>
      <c r="G44" s="2" t="s">
        <v>485</v>
      </c>
      <c r="H44" s="2" t="s">
        <v>487</v>
      </c>
    </row>
    <row r="45" spans="1:8" x14ac:dyDescent="0.25">
      <c r="A45" s="36" t="s">
        <v>458</v>
      </c>
      <c r="B45" s="2"/>
      <c r="C45" s="2"/>
      <c r="D45" s="2"/>
      <c r="E45" s="2"/>
      <c r="F45" s="2"/>
      <c r="G45" s="2" t="s">
        <v>482</v>
      </c>
      <c r="H45" s="38" t="s">
        <v>490</v>
      </c>
    </row>
    <row r="46" spans="1:8" x14ac:dyDescent="0.25">
      <c r="A46" s="36" t="s">
        <v>459</v>
      </c>
      <c r="B46" s="2"/>
      <c r="C46" s="2"/>
      <c r="D46" s="2"/>
      <c r="E46" s="2"/>
      <c r="F46" s="2"/>
      <c r="G46" s="2" t="s">
        <v>486</v>
      </c>
      <c r="H46" s="2" t="s">
        <v>488</v>
      </c>
    </row>
    <row r="47" spans="1:8" x14ac:dyDescent="0.25">
      <c r="A47" s="36" t="s">
        <v>460</v>
      </c>
      <c r="B47" s="2"/>
      <c r="C47" s="2"/>
      <c r="D47" s="2"/>
      <c r="E47" s="2"/>
      <c r="F47" s="2"/>
      <c r="G47" s="2" t="s">
        <v>491</v>
      </c>
      <c r="H47" s="2" t="s">
        <v>492</v>
      </c>
    </row>
    <row r="48" spans="1:8" x14ac:dyDescent="0.25">
      <c r="A48" s="36" t="s">
        <v>461</v>
      </c>
      <c r="B48" s="2"/>
      <c r="C48" s="2"/>
      <c r="D48" s="2"/>
      <c r="E48" s="2"/>
      <c r="F48" s="2"/>
      <c r="G48" s="2" t="s">
        <v>493</v>
      </c>
      <c r="H48" s="2" t="s">
        <v>494</v>
      </c>
    </row>
    <row r="49" spans="1:8" x14ac:dyDescent="0.25">
      <c r="A49" s="36" t="s">
        <v>462</v>
      </c>
      <c r="B49" s="2"/>
      <c r="C49" s="2"/>
      <c r="D49" s="2"/>
      <c r="E49" s="2"/>
      <c r="F49" s="2"/>
      <c r="G49" s="2" t="s">
        <v>483</v>
      </c>
      <c r="H49" s="2" t="s">
        <v>495</v>
      </c>
    </row>
    <row r="50" spans="1:8" x14ac:dyDescent="0.25">
      <c r="A50" s="36" t="s">
        <v>463</v>
      </c>
      <c r="B50" s="2"/>
      <c r="C50" s="2"/>
      <c r="D50" s="2"/>
      <c r="E50" s="2"/>
      <c r="F50" s="2"/>
      <c r="G50" s="2" t="s">
        <v>496</v>
      </c>
      <c r="H50" s="2" t="s">
        <v>497</v>
      </c>
    </row>
    <row r="51" spans="1:8" x14ac:dyDescent="0.25">
      <c r="A51" s="36" t="s">
        <v>464</v>
      </c>
      <c r="B51" s="2"/>
      <c r="C51" s="2"/>
      <c r="D51" s="2"/>
      <c r="E51" s="2"/>
      <c r="F51" s="2"/>
      <c r="G51" s="2" t="s">
        <v>484</v>
      </c>
      <c r="H51" s="2" t="s">
        <v>498</v>
      </c>
    </row>
    <row r="52" spans="1:8" x14ac:dyDescent="0.25">
      <c r="A52" s="36" t="s">
        <v>465</v>
      </c>
      <c r="B52" s="2"/>
      <c r="C52" s="2"/>
      <c r="D52" s="2"/>
      <c r="E52" s="2"/>
      <c r="F52" s="2"/>
      <c r="G52" s="36" t="s">
        <v>551</v>
      </c>
      <c r="H52" s="36" t="s">
        <v>552</v>
      </c>
    </row>
    <row r="53" spans="1:8" x14ac:dyDescent="0.25">
      <c r="A53" s="36" t="s">
        <v>466</v>
      </c>
      <c r="B53" s="2"/>
      <c r="C53" s="2"/>
      <c r="D53" s="2"/>
      <c r="E53" s="2"/>
      <c r="F53" s="2"/>
      <c r="G53" s="36" t="s">
        <v>554</v>
      </c>
      <c r="H53" s="36" t="s">
        <v>553</v>
      </c>
    </row>
    <row r="54" spans="1:8" x14ac:dyDescent="0.25">
      <c r="A54" s="36" t="s">
        <v>467</v>
      </c>
      <c r="B54" s="2"/>
      <c r="C54" s="2"/>
      <c r="D54" s="2"/>
      <c r="E54" s="2"/>
      <c r="F54" s="2"/>
      <c r="G54" s="36" t="s">
        <v>555</v>
      </c>
      <c r="H54" s="36" t="s">
        <v>556</v>
      </c>
    </row>
    <row r="55" spans="1:8" x14ac:dyDescent="0.25">
      <c r="A55" s="36" t="s">
        <v>468</v>
      </c>
      <c r="B55" s="2"/>
      <c r="C55" s="2"/>
      <c r="D55" s="2"/>
      <c r="E55" s="2"/>
      <c r="F55" s="2"/>
      <c r="G55" s="36" t="s">
        <v>558</v>
      </c>
      <c r="H55" s="36" t="s">
        <v>559</v>
      </c>
    </row>
    <row r="56" spans="1:8" x14ac:dyDescent="0.25">
      <c r="A56" s="36" t="s">
        <v>469</v>
      </c>
      <c r="B56" s="2"/>
      <c r="C56" s="2"/>
      <c r="D56" s="2"/>
      <c r="E56" s="2"/>
      <c r="F56" s="2"/>
      <c r="G56" s="36" t="s">
        <v>560</v>
      </c>
      <c r="H56" s="36" t="s">
        <v>562</v>
      </c>
    </row>
    <row r="57" spans="1:8" x14ac:dyDescent="0.25">
      <c r="A57" s="36" t="s">
        <v>470</v>
      </c>
      <c r="B57" s="2"/>
      <c r="C57" s="2"/>
      <c r="D57" s="2"/>
      <c r="E57" s="2"/>
      <c r="F57" s="2"/>
      <c r="G57" s="36" t="s">
        <v>561</v>
      </c>
      <c r="H57" s="36" t="s">
        <v>563</v>
      </c>
    </row>
    <row r="58" spans="1:8" x14ac:dyDescent="0.25">
      <c r="A58" s="36" t="s">
        <v>471</v>
      </c>
      <c r="B58" s="2"/>
      <c r="C58" s="2"/>
      <c r="D58" s="2"/>
      <c r="E58" s="2"/>
      <c r="F58" s="2"/>
      <c r="G58" s="36" t="s">
        <v>564</v>
      </c>
      <c r="H58" s="36" t="s">
        <v>565</v>
      </c>
    </row>
    <row r="59" spans="1:8" x14ac:dyDescent="0.25">
      <c r="A59" s="36" t="s">
        <v>472</v>
      </c>
      <c r="B59" s="2"/>
      <c r="C59" s="2"/>
      <c r="D59" s="2"/>
      <c r="E59" s="2"/>
      <c r="F59" s="2"/>
      <c r="G59" s="36" t="s">
        <v>566</v>
      </c>
      <c r="H59" s="36" t="s">
        <v>567</v>
      </c>
    </row>
    <row r="60" spans="1:8" x14ac:dyDescent="0.25">
      <c r="A60" s="36" t="s">
        <v>473</v>
      </c>
      <c r="B60" s="2"/>
      <c r="C60" s="2"/>
      <c r="D60" s="2"/>
      <c r="E60" s="2"/>
      <c r="F60" s="2"/>
      <c r="G60" s="36" t="s">
        <v>568</v>
      </c>
      <c r="H60" s="36" t="s">
        <v>569</v>
      </c>
    </row>
    <row r="61" spans="1:8" x14ac:dyDescent="0.25">
      <c r="A61" s="36" t="s">
        <v>474</v>
      </c>
      <c r="B61" s="2"/>
      <c r="C61" s="2"/>
      <c r="D61" s="2"/>
      <c r="E61" s="2"/>
      <c r="F61" s="2"/>
      <c r="G61" s="36" t="s">
        <v>570</v>
      </c>
      <c r="H61" s="36" t="s">
        <v>571</v>
      </c>
    </row>
    <row r="62" spans="1:8" x14ac:dyDescent="0.25">
      <c r="A62" s="36" t="s">
        <v>475</v>
      </c>
      <c r="B62" s="2"/>
      <c r="C62" s="2"/>
      <c r="D62" s="2"/>
      <c r="E62" s="2"/>
      <c r="F62" s="2"/>
      <c r="G62" s="36" t="s">
        <v>572</v>
      </c>
      <c r="H62" s="36" t="s">
        <v>573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574</v>
      </c>
      <c r="H64" s="35" t="s">
        <v>575</v>
      </c>
    </row>
    <row r="65" spans="1:8" x14ac:dyDescent="0.25">
      <c r="A65" s="36" t="s">
        <v>413</v>
      </c>
      <c r="B65" s="2"/>
      <c r="C65" s="2"/>
      <c r="D65" s="2"/>
      <c r="E65" s="2"/>
      <c r="F65" s="2"/>
      <c r="G65" s="36" t="s">
        <v>576</v>
      </c>
      <c r="H65" s="36" t="s">
        <v>577</v>
      </c>
    </row>
    <row r="66" spans="1:8" x14ac:dyDescent="0.25">
      <c r="A66" s="36" t="s">
        <v>414</v>
      </c>
      <c r="B66" s="2"/>
      <c r="C66" s="2"/>
      <c r="D66" s="2"/>
      <c r="E66" s="2"/>
      <c r="F66" s="2"/>
      <c r="G66" s="36" t="s">
        <v>578</v>
      </c>
      <c r="H66" s="36" t="s">
        <v>579</v>
      </c>
    </row>
    <row r="67" spans="1:8" x14ac:dyDescent="0.25">
      <c r="A67" s="36" t="s">
        <v>415</v>
      </c>
      <c r="B67" s="2"/>
      <c r="C67" s="2"/>
      <c r="D67" s="2"/>
      <c r="E67" s="2"/>
      <c r="F67" s="2"/>
      <c r="G67" s="36" t="s">
        <v>580</v>
      </c>
      <c r="H67" s="36" t="s">
        <v>581</v>
      </c>
    </row>
    <row r="68" spans="1:8" x14ac:dyDescent="0.25">
      <c r="A68" s="36" t="s">
        <v>416</v>
      </c>
      <c r="B68" s="2"/>
      <c r="C68" s="2"/>
      <c r="D68" s="2"/>
      <c r="E68" s="2"/>
      <c r="F68" s="2"/>
      <c r="G68" s="36" t="s">
        <v>582</v>
      </c>
      <c r="H68" s="36" t="s">
        <v>583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584</v>
      </c>
      <c r="H69" s="35" t="s">
        <v>585</v>
      </c>
    </row>
    <row r="70" spans="1:8" x14ac:dyDescent="0.25">
      <c r="A70" s="36" t="s">
        <v>417</v>
      </c>
      <c r="B70" s="2"/>
      <c r="C70" s="2"/>
      <c r="D70" s="2"/>
      <c r="E70" s="2"/>
      <c r="F70" s="2"/>
      <c r="G70" s="36" t="s">
        <v>586</v>
      </c>
      <c r="H70" s="36" t="s">
        <v>592</v>
      </c>
    </row>
    <row r="71" spans="1:8" x14ac:dyDescent="0.25">
      <c r="A71" s="36" t="s">
        <v>418</v>
      </c>
      <c r="B71" s="2"/>
      <c r="C71" s="2"/>
      <c r="D71" s="2"/>
      <c r="E71" s="2"/>
      <c r="F71" s="2"/>
      <c r="G71" s="36" t="s">
        <v>589</v>
      </c>
      <c r="H71" s="36" t="s">
        <v>593</v>
      </c>
    </row>
    <row r="72" spans="1:8" x14ac:dyDescent="0.25">
      <c r="A72" s="36" t="s">
        <v>419</v>
      </c>
      <c r="B72" s="2"/>
      <c r="C72" s="2"/>
      <c r="D72" s="2"/>
      <c r="E72" s="2"/>
      <c r="F72" s="2"/>
      <c r="G72" s="36" t="s">
        <v>590</v>
      </c>
      <c r="H72" s="36" t="s">
        <v>594</v>
      </c>
    </row>
    <row r="73" spans="1:8" x14ac:dyDescent="0.25">
      <c r="A73" s="36" t="s">
        <v>420</v>
      </c>
      <c r="B73" s="2"/>
      <c r="C73" s="2"/>
      <c r="D73" s="2"/>
      <c r="E73" s="2"/>
      <c r="F73" s="2"/>
      <c r="G73" s="36" t="s">
        <v>591</v>
      </c>
      <c r="H73" s="36" t="s">
        <v>595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587</v>
      </c>
      <c r="H74" s="35" t="s">
        <v>588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421</v>
      </c>
      <c r="B76" s="2"/>
      <c r="C76" s="2"/>
      <c r="D76" s="2"/>
      <c r="E76" s="2"/>
      <c r="F76" s="2"/>
      <c r="G76" s="36" t="s">
        <v>596</v>
      </c>
      <c r="H76" s="36" t="s">
        <v>597</v>
      </c>
    </row>
    <row r="77" spans="1:8" x14ac:dyDescent="0.25">
      <c r="A77" s="36" t="s">
        <v>422</v>
      </c>
      <c r="B77" s="2"/>
      <c r="C77" s="2"/>
      <c r="D77" s="2"/>
      <c r="E77" s="2"/>
      <c r="F77" s="2"/>
      <c r="G77" s="36" t="s">
        <v>598</v>
      </c>
      <c r="H77" s="36" t="s">
        <v>599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479</v>
      </c>
      <c r="H78" s="35" t="s">
        <v>480</v>
      </c>
    </row>
    <row r="79" spans="1:8" x14ac:dyDescent="0.25">
      <c r="A79" s="36" t="s">
        <v>423</v>
      </c>
      <c r="B79" s="2"/>
      <c r="C79" s="2"/>
      <c r="D79" s="2"/>
      <c r="E79" s="2"/>
      <c r="F79" s="2"/>
      <c r="G79" s="2" t="s">
        <v>481</v>
      </c>
      <c r="H79" s="38" t="s">
        <v>489</v>
      </c>
    </row>
    <row r="80" spans="1:8" x14ac:dyDescent="0.25">
      <c r="A80" s="36" t="s">
        <v>442</v>
      </c>
      <c r="B80" s="2"/>
      <c r="C80" s="2"/>
      <c r="D80" s="2"/>
      <c r="E80" s="2"/>
      <c r="F80" s="2"/>
      <c r="G80" s="2" t="s">
        <v>485</v>
      </c>
      <c r="H80" s="2" t="s">
        <v>487</v>
      </c>
    </row>
    <row r="81" spans="1:8" x14ac:dyDescent="0.25">
      <c r="A81" s="36" t="s">
        <v>424</v>
      </c>
      <c r="B81" s="2"/>
      <c r="C81" s="2"/>
      <c r="D81" s="2"/>
      <c r="E81" s="2"/>
      <c r="F81" s="2"/>
      <c r="G81" s="2" t="s">
        <v>482</v>
      </c>
      <c r="H81" s="38" t="s">
        <v>490</v>
      </c>
    </row>
    <row r="82" spans="1:8" x14ac:dyDescent="0.25">
      <c r="A82" s="36" t="s">
        <v>455</v>
      </c>
      <c r="B82" s="2"/>
      <c r="C82" s="2"/>
      <c r="D82" s="2"/>
      <c r="E82" s="2"/>
      <c r="F82" s="2"/>
      <c r="G82" s="2" t="s">
        <v>486</v>
      </c>
      <c r="H82" s="2" t="s">
        <v>488</v>
      </c>
    </row>
    <row r="83" spans="1:8" x14ac:dyDescent="0.25">
      <c r="A83" s="36" t="s">
        <v>425</v>
      </c>
      <c r="B83" s="2"/>
      <c r="C83" s="2"/>
      <c r="D83" s="2"/>
      <c r="E83" s="2"/>
      <c r="F83" s="2"/>
      <c r="G83" s="2" t="s">
        <v>491</v>
      </c>
      <c r="H83" s="2" t="s">
        <v>492</v>
      </c>
    </row>
    <row r="84" spans="1:8" x14ac:dyDescent="0.25">
      <c r="A84" s="36" t="s">
        <v>443</v>
      </c>
      <c r="B84" s="2"/>
      <c r="C84" s="2"/>
      <c r="D84" s="2"/>
      <c r="E84" s="2"/>
      <c r="F84" s="2"/>
      <c r="G84" s="2" t="s">
        <v>493</v>
      </c>
      <c r="H84" s="2" t="s">
        <v>494</v>
      </c>
    </row>
    <row r="85" spans="1:8" x14ac:dyDescent="0.25">
      <c r="A85" s="36" t="s">
        <v>426</v>
      </c>
      <c r="B85" s="2"/>
      <c r="C85" s="2"/>
      <c r="D85" s="2"/>
      <c r="E85" s="2"/>
      <c r="F85" s="2"/>
      <c r="G85" s="2" t="s">
        <v>483</v>
      </c>
      <c r="H85" s="2" t="s">
        <v>495</v>
      </c>
    </row>
    <row r="86" spans="1:8" x14ac:dyDescent="0.25">
      <c r="A86" s="36" t="s">
        <v>427</v>
      </c>
      <c r="B86" s="2"/>
      <c r="C86" s="2"/>
      <c r="D86" s="2"/>
      <c r="E86" s="2"/>
      <c r="F86" s="2"/>
      <c r="G86" s="2" t="s">
        <v>496</v>
      </c>
      <c r="H86" s="2" t="s">
        <v>497</v>
      </c>
    </row>
    <row r="87" spans="1:8" x14ac:dyDescent="0.25">
      <c r="A87" s="36" t="s">
        <v>428</v>
      </c>
      <c r="B87" s="2"/>
      <c r="C87" s="2"/>
      <c r="D87" s="2"/>
      <c r="E87" s="2"/>
      <c r="F87" s="2"/>
      <c r="G87" s="2" t="s">
        <v>484</v>
      </c>
      <c r="H87" s="2" t="s">
        <v>498</v>
      </c>
    </row>
    <row r="88" spans="1:8" x14ac:dyDescent="0.25">
      <c r="A88" s="36" t="s">
        <v>429</v>
      </c>
      <c r="B88" s="2"/>
      <c r="C88" s="2"/>
      <c r="D88" s="2"/>
      <c r="E88" s="2"/>
      <c r="F88" s="2"/>
      <c r="G88" s="36" t="s">
        <v>551</v>
      </c>
      <c r="H88" s="36" t="s">
        <v>552</v>
      </c>
    </row>
    <row r="89" spans="1:8" x14ac:dyDescent="0.25">
      <c r="A89" s="36" t="s">
        <v>444</v>
      </c>
      <c r="B89" s="2"/>
      <c r="C89" s="2"/>
      <c r="D89" s="2"/>
      <c r="E89" s="2"/>
      <c r="F89" s="2"/>
      <c r="G89" s="36" t="s">
        <v>554</v>
      </c>
      <c r="H89" s="36" t="s">
        <v>553</v>
      </c>
    </row>
    <row r="90" spans="1:8" x14ac:dyDescent="0.25">
      <c r="A90" s="36" t="s">
        <v>430</v>
      </c>
      <c r="B90" s="2"/>
      <c r="C90" s="2"/>
      <c r="D90" s="2"/>
      <c r="E90" s="2"/>
      <c r="F90" s="2"/>
      <c r="G90" s="36" t="s">
        <v>555</v>
      </c>
      <c r="H90" s="36" t="s">
        <v>556</v>
      </c>
    </row>
    <row r="91" spans="1:8" x14ac:dyDescent="0.25">
      <c r="A91" s="36" t="s">
        <v>445</v>
      </c>
      <c r="B91" s="2"/>
      <c r="C91" s="2"/>
      <c r="D91" s="2"/>
      <c r="E91" s="2"/>
      <c r="F91" s="2"/>
      <c r="G91" s="36" t="s">
        <v>558</v>
      </c>
      <c r="H91" s="36" t="s">
        <v>559</v>
      </c>
    </row>
    <row r="92" spans="1:8" x14ac:dyDescent="0.25">
      <c r="A92" s="36" t="s">
        <v>431</v>
      </c>
      <c r="B92" s="2"/>
      <c r="C92" s="2"/>
      <c r="D92" s="2"/>
      <c r="E92" s="2"/>
      <c r="F92" s="2"/>
      <c r="G92" s="36" t="s">
        <v>560</v>
      </c>
      <c r="H92" s="36" t="s">
        <v>562</v>
      </c>
    </row>
    <row r="93" spans="1:8" x14ac:dyDescent="0.25">
      <c r="A93" s="36" t="s">
        <v>432</v>
      </c>
      <c r="B93" s="2"/>
      <c r="C93" s="2"/>
      <c r="D93" s="2"/>
      <c r="E93" s="2"/>
      <c r="F93" s="2"/>
      <c r="G93" s="36" t="s">
        <v>561</v>
      </c>
      <c r="H93" s="36" t="s">
        <v>563</v>
      </c>
    </row>
    <row r="94" spans="1:8" x14ac:dyDescent="0.25">
      <c r="A94" s="36" t="s">
        <v>446</v>
      </c>
      <c r="B94" s="2"/>
      <c r="C94" s="2"/>
      <c r="D94" s="2"/>
      <c r="E94" s="2"/>
      <c r="F94" s="2"/>
      <c r="G94" s="36" t="s">
        <v>564</v>
      </c>
      <c r="H94" s="36" t="s">
        <v>565</v>
      </c>
    </row>
    <row r="95" spans="1:8" x14ac:dyDescent="0.25">
      <c r="A95" s="36" t="s">
        <v>433</v>
      </c>
      <c r="B95" s="2"/>
      <c r="C95" s="2"/>
      <c r="D95" s="2"/>
      <c r="E95" s="2"/>
      <c r="F95" s="2"/>
      <c r="G95" s="36" t="s">
        <v>566</v>
      </c>
      <c r="H95" s="36" t="s">
        <v>567</v>
      </c>
    </row>
    <row r="96" spans="1:8" x14ac:dyDescent="0.25">
      <c r="A96" s="36" t="s">
        <v>434</v>
      </c>
      <c r="B96" s="2"/>
      <c r="C96" s="2"/>
      <c r="D96" s="2"/>
      <c r="E96" s="2"/>
      <c r="F96" s="2"/>
      <c r="G96" s="36" t="s">
        <v>568</v>
      </c>
      <c r="H96" s="36" t="s">
        <v>569</v>
      </c>
    </row>
    <row r="97" spans="1:8" x14ac:dyDescent="0.25">
      <c r="A97" s="36" t="s">
        <v>435</v>
      </c>
      <c r="B97" s="2"/>
      <c r="C97" s="2"/>
      <c r="D97" s="2"/>
      <c r="E97" s="2"/>
      <c r="F97" s="2"/>
      <c r="G97" s="36" t="s">
        <v>570</v>
      </c>
      <c r="H97" s="36" t="s">
        <v>571</v>
      </c>
    </row>
    <row r="98" spans="1:8" x14ac:dyDescent="0.25">
      <c r="A98" s="36" t="s">
        <v>436</v>
      </c>
      <c r="B98" s="2"/>
      <c r="C98" s="2"/>
      <c r="D98" s="2"/>
      <c r="E98" s="2"/>
      <c r="F98" s="2"/>
      <c r="G98" s="36" t="s">
        <v>572</v>
      </c>
      <c r="H98" s="36" t="s">
        <v>573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437</v>
      </c>
      <c r="B100" s="2"/>
      <c r="C100" s="2"/>
      <c r="D100" s="2"/>
      <c r="E100" s="2"/>
      <c r="F100" s="2"/>
      <c r="G100" s="35" t="s">
        <v>604</v>
      </c>
      <c r="H100" s="35" t="s">
        <v>605</v>
      </c>
    </row>
    <row r="101" spans="1:8" x14ac:dyDescent="0.25">
      <c r="A101" s="36" t="s">
        <v>438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439</v>
      </c>
      <c r="B102" s="2"/>
      <c r="C102" s="2"/>
      <c r="D102" s="2"/>
      <c r="E102" s="2"/>
      <c r="F102" s="2"/>
      <c r="G102" s="36" t="s">
        <v>606</v>
      </c>
      <c r="H102" s="36" t="s">
        <v>607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574</v>
      </c>
      <c r="H103" s="35" t="s">
        <v>575</v>
      </c>
    </row>
    <row r="104" spans="1:8" x14ac:dyDescent="0.25">
      <c r="A104" s="36" t="s">
        <v>440</v>
      </c>
      <c r="B104" s="2"/>
      <c r="C104" s="2"/>
      <c r="D104" s="2"/>
      <c r="E104" s="2"/>
      <c r="F104" s="2"/>
      <c r="G104" s="35" t="s">
        <v>602</v>
      </c>
      <c r="H104" s="35" t="s">
        <v>603</v>
      </c>
    </row>
    <row r="105" spans="1:8" x14ac:dyDescent="0.25">
      <c r="A105" s="36" t="s">
        <v>447</v>
      </c>
      <c r="B105" s="2"/>
      <c r="C105" s="2"/>
      <c r="D105" s="2"/>
      <c r="E105" s="2"/>
      <c r="F105" s="2"/>
      <c r="G105" s="36" t="s">
        <v>576</v>
      </c>
      <c r="H105" s="36" t="s">
        <v>577</v>
      </c>
    </row>
    <row r="106" spans="1:8" x14ac:dyDescent="0.25">
      <c r="A106" s="36" t="s">
        <v>453</v>
      </c>
      <c r="B106" s="2"/>
      <c r="C106" s="2"/>
      <c r="D106" s="2"/>
      <c r="E106" s="2"/>
      <c r="F106" s="2"/>
      <c r="G106" s="36" t="s">
        <v>578</v>
      </c>
      <c r="H106" s="36" t="s">
        <v>579</v>
      </c>
    </row>
    <row r="107" spans="1:8" x14ac:dyDescent="0.25">
      <c r="A107" s="36" t="s">
        <v>454</v>
      </c>
      <c r="B107" s="2"/>
      <c r="C107" s="2"/>
      <c r="D107" s="2"/>
      <c r="E107" s="2"/>
      <c r="F107" s="2"/>
      <c r="G107" s="36" t="s">
        <v>580</v>
      </c>
      <c r="H107" s="36" t="s">
        <v>581</v>
      </c>
    </row>
    <row r="108" spans="1:8" x14ac:dyDescent="0.25">
      <c r="A108" s="36" t="s">
        <v>448</v>
      </c>
      <c r="B108" s="2"/>
      <c r="C108" s="2"/>
      <c r="D108" s="2"/>
      <c r="E108" s="2"/>
      <c r="F108" s="2"/>
      <c r="G108" s="36" t="s">
        <v>582</v>
      </c>
      <c r="H108" s="36" t="s">
        <v>583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584</v>
      </c>
      <c r="H109" s="35" t="s">
        <v>585</v>
      </c>
    </row>
    <row r="110" spans="1:8" x14ac:dyDescent="0.25">
      <c r="A110" s="36" t="s">
        <v>441</v>
      </c>
      <c r="B110" s="2"/>
      <c r="C110" s="2"/>
      <c r="D110" s="2"/>
      <c r="E110" s="2"/>
      <c r="F110" s="2"/>
      <c r="G110" s="35" t="s">
        <v>600</v>
      </c>
      <c r="H110" s="35" t="s">
        <v>601</v>
      </c>
    </row>
    <row r="111" spans="1:8" x14ac:dyDescent="0.25">
      <c r="A111" s="36" t="s">
        <v>449</v>
      </c>
      <c r="B111" s="2"/>
      <c r="C111" s="2"/>
      <c r="D111" s="2"/>
      <c r="E111" s="2"/>
      <c r="F111" s="2"/>
      <c r="G111" s="36" t="s">
        <v>586</v>
      </c>
      <c r="H111" s="36" t="s">
        <v>592</v>
      </c>
    </row>
    <row r="112" spans="1:8" x14ac:dyDescent="0.25">
      <c r="A112" s="36" t="s">
        <v>450</v>
      </c>
      <c r="B112" s="2"/>
      <c r="C112" s="2"/>
      <c r="D112" s="2"/>
      <c r="E112" s="2"/>
      <c r="F112" s="2"/>
      <c r="G112" s="36" t="s">
        <v>589</v>
      </c>
      <c r="H112" s="36" t="s">
        <v>593</v>
      </c>
    </row>
    <row r="113" spans="1:8" x14ac:dyDescent="0.25">
      <c r="A113" s="36" t="s">
        <v>451</v>
      </c>
      <c r="B113" s="2"/>
      <c r="C113" s="2"/>
      <c r="D113" s="2"/>
      <c r="E113" s="2"/>
      <c r="F113" s="2"/>
      <c r="G113" s="36" t="s">
        <v>590</v>
      </c>
      <c r="H113" s="36" t="s">
        <v>594</v>
      </c>
    </row>
    <row r="114" spans="1:8" x14ac:dyDescent="0.25">
      <c r="A114" s="36" t="s">
        <v>452</v>
      </c>
      <c r="B114" s="2"/>
      <c r="C114" s="2"/>
      <c r="D114" s="2"/>
      <c r="E114" s="2"/>
      <c r="F114" s="2"/>
      <c r="G114" s="36" t="s">
        <v>591</v>
      </c>
      <c r="H114" s="36" t="s">
        <v>595</v>
      </c>
    </row>
  </sheetData>
  <phoneticPr fontId="1" type="noConversion"/>
  <dataValidations count="1">
    <dataValidation type="list" showInputMessage="1" promptTitle="Language" prompt="Choose a language" sqref="J1" xr:uid="{C02F734E-D575-4068-8EF5-F6B212AE4DF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39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609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611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501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500</v>
      </c>
      <c r="C9" s="14" t="s">
        <v>239</v>
      </c>
      <c r="D9" s="14" t="s">
        <v>94</v>
      </c>
      <c r="E9" s="15" t="s">
        <v>522</v>
      </c>
      <c r="F9" s="15" t="s">
        <v>94</v>
      </c>
      <c r="G9" s="14" t="s">
        <v>610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526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368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369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370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380</v>
      </c>
      <c r="H13" s="33" t="s">
        <v>99</v>
      </c>
      <c r="I13" s="33" t="s">
        <v>94</v>
      </c>
      <c r="J13" s="33" t="s">
        <v>378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381</v>
      </c>
      <c r="H14" s="33" t="s">
        <v>99</v>
      </c>
      <c r="I14" s="33" t="s">
        <v>94</v>
      </c>
      <c r="J14" s="33" t="s">
        <v>379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382</v>
      </c>
      <c r="H17" s="33" t="s">
        <v>149</v>
      </c>
      <c r="I17" s="33" t="s">
        <v>96</v>
      </c>
      <c r="J17" s="33" t="s">
        <v>456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383</v>
      </c>
      <c r="H18" s="33" t="s">
        <v>101</v>
      </c>
      <c r="I18" s="33" t="s">
        <v>96</v>
      </c>
      <c r="J18" s="33" t="s">
        <v>457</v>
      </c>
      <c r="K18" s="33" t="s">
        <v>371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384</v>
      </c>
      <c r="H19" s="33" t="s">
        <v>149</v>
      </c>
      <c r="I19" s="33" t="s">
        <v>96</v>
      </c>
      <c r="J19" s="33" t="s">
        <v>458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385</v>
      </c>
      <c r="H20" s="33" t="s">
        <v>101</v>
      </c>
      <c r="I20" s="33" t="s">
        <v>96</v>
      </c>
      <c r="J20" s="33" t="s">
        <v>459</v>
      </c>
      <c r="K20" s="33" t="s">
        <v>371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386</v>
      </c>
      <c r="H21" s="33" t="s">
        <v>149</v>
      </c>
      <c r="I21" s="33" t="s">
        <v>96</v>
      </c>
      <c r="J21" s="33" t="s">
        <v>460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387</v>
      </c>
      <c r="H22" s="33" t="s">
        <v>101</v>
      </c>
      <c r="I22" s="33" t="s">
        <v>96</v>
      </c>
      <c r="J22" s="33" t="s">
        <v>461</v>
      </c>
      <c r="K22" s="33" t="s">
        <v>372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388</v>
      </c>
      <c r="H23" s="33" t="s">
        <v>149</v>
      </c>
      <c r="I23" s="33" t="s">
        <v>96</v>
      </c>
      <c r="J23" s="33" t="s">
        <v>462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389</v>
      </c>
      <c r="H24" s="33" t="s">
        <v>98</v>
      </c>
      <c r="I24" s="33" t="s">
        <v>96</v>
      </c>
      <c r="J24" s="33" t="s">
        <v>463</v>
      </c>
      <c r="K24" s="33"/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390</v>
      </c>
      <c r="H25" s="33" t="s">
        <v>149</v>
      </c>
      <c r="I25" s="33" t="s">
        <v>96</v>
      </c>
      <c r="J25" s="33" t="s">
        <v>464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391</v>
      </c>
      <c r="H26" s="33" t="s">
        <v>149</v>
      </c>
      <c r="I26" s="33" t="s">
        <v>96</v>
      </c>
      <c r="J26" s="33" t="s">
        <v>465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392</v>
      </c>
      <c r="H27" s="33" t="s">
        <v>98</v>
      </c>
      <c r="I27" s="33" t="s">
        <v>96</v>
      </c>
      <c r="J27" s="33" t="s">
        <v>466</v>
      </c>
      <c r="K27" s="33" t="s">
        <v>373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393</v>
      </c>
      <c r="H28" s="33" t="s">
        <v>149</v>
      </c>
      <c r="I28" s="33" t="s">
        <v>96</v>
      </c>
      <c r="J28" s="33" t="s">
        <v>467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394</v>
      </c>
      <c r="H29" s="33" t="s">
        <v>101</v>
      </c>
      <c r="I29" s="33" t="s">
        <v>96</v>
      </c>
      <c r="J29" s="33" t="s">
        <v>468</v>
      </c>
      <c r="K29" s="33" t="s">
        <v>374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395</v>
      </c>
      <c r="H30" s="33" t="s">
        <v>149</v>
      </c>
      <c r="I30" s="33" t="s">
        <v>96</v>
      </c>
      <c r="J30" s="33" t="s">
        <v>469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396</v>
      </c>
      <c r="H31" s="33" t="s">
        <v>149</v>
      </c>
      <c r="I31" s="33" t="s">
        <v>96</v>
      </c>
      <c r="J31" s="33" t="s">
        <v>470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397</v>
      </c>
      <c r="H32" s="33" t="s">
        <v>101</v>
      </c>
      <c r="I32" s="33" t="s">
        <v>96</v>
      </c>
      <c r="J32" s="33" t="s">
        <v>471</v>
      </c>
      <c r="K32" s="33" t="s">
        <v>368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398</v>
      </c>
      <c r="H33" s="33" t="s">
        <v>101</v>
      </c>
      <c r="I33" s="33" t="s">
        <v>96</v>
      </c>
      <c r="J33" s="33" t="s">
        <v>472</v>
      </c>
      <c r="K33" s="33"/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399</v>
      </c>
      <c r="H34" s="33" t="s">
        <v>101</v>
      </c>
      <c r="I34" s="33" t="s">
        <v>96</v>
      </c>
      <c r="J34" s="33" t="s">
        <v>473</v>
      </c>
      <c r="K34" s="33"/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400</v>
      </c>
      <c r="H35" s="33" t="s">
        <v>101</v>
      </c>
      <c r="I35" s="33" t="s">
        <v>96</v>
      </c>
      <c r="J35" s="33" t="s">
        <v>474</v>
      </c>
      <c r="K35" s="33"/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401</v>
      </c>
      <c r="H36" s="33" t="s">
        <v>101</v>
      </c>
      <c r="I36" s="33" t="s">
        <v>96</v>
      </c>
      <c r="J36" s="33" t="s">
        <v>475</v>
      </c>
      <c r="K36" s="33"/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610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402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403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404</v>
      </c>
      <c r="H41" s="33" t="s">
        <v>149</v>
      </c>
      <c r="I41" s="33" t="s">
        <v>96</v>
      </c>
      <c r="J41" s="33" t="s">
        <v>413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405</v>
      </c>
      <c r="H42" s="33" t="s">
        <v>149</v>
      </c>
      <c r="I42" s="33" t="s">
        <v>96</v>
      </c>
      <c r="J42" s="33" t="s">
        <v>414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406</v>
      </c>
      <c r="H43" s="33" t="s">
        <v>149</v>
      </c>
      <c r="I43" s="33" t="s">
        <v>96</v>
      </c>
      <c r="J43" s="33" t="s">
        <v>415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407</v>
      </c>
      <c r="H44" s="33" t="s">
        <v>98</v>
      </c>
      <c r="I44" s="33" t="s">
        <v>96</v>
      </c>
      <c r="J44" s="33" t="s">
        <v>416</v>
      </c>
      <c r="K44" s="33"/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408</v>
      </c>
      <c r="H46" s="33" t="s">
        <v>149</v>
      </c>
      <c r="I46" s="33" t="s">
        <v>96</v>
      </c>
      <c r="J46" s="33" t="s">
        <v>417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409</v>
      </c>
      <c r="H47" s="33" t="s">
        <v>149</v>
      </c>
      <c r="I47" s="33" t="s">
        <v>96</v>
      </c>
      <c r="J47" s="33" t="s">
        <v>418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410</v>
      </c>
      <c r="H48" s="33" t="s">
        <v>149</v>
      </c>
      <c r="I48" s="33" t="s">
        <v>96</v>
      </c>
      <c r="J48" s="33" t="s">
        <v>419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411</v>
      </c>
      <c r="H49" s="33" t="s">
        <v>98</v>
      </c>
      <c r="I49" s="33" t="s">
        <v>96</v>
      </c>
      <c r="J49" s="33" t="s">
        <v>420</v>
      </c>
      <c r="K49" s="33"/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610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375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376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421</v>
      </c>
      <c r="K53" s="33" t="s">
        <v>377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422</v>
      </c>
      <c r="K54" s="33" t="s">
        <v>377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423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442</v>
      </c>
      <c r="K57" s="33" t="s">
        <v>371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424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455</v>
      </c>
      <c r="K59" s="33" t="s">
        <v>371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425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443</v>
      </c>
      <c r="K61" s="33" t="s">
        <v>372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426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427</v>
      </c>
      <c r="K63" s="33"/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428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429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444</v>
      </c>
      <c r="K66" s="33" t="s">
        <v>373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430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445</v>
      </c>
      <c r="K68" s="33" t="s">
        <v>374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431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432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446</v>
      </c>
      <c r="K71" s="33" t="s">
        <v>368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433</v>
      </c>
      <c r="K72" s="33"/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434</v>
      </c>
      <c r="K73" s="33"/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435</v>
      </c>
      <c r="K74" s="33"/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436</v>
      </c>
      <c r="K75" s="33"/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610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437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438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439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440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447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453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454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448</v>
      </c>
      <c r="K85" s="33"/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441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449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450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451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452</v>
      </c>
      <c r="K91" s="33"/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412</v>
      </c>
      <c r="G7" s="33" t="s">
        <v>101</v>
      </c>
      <c r="H7" s="33" t="s">
        <v>96</v>
      </c>
      <c r="I7" s="33" t="s">
        <v>512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10</vt:i4>
      </vt:variant>
    </vt:vector>
  </HeadingPairs>
  <TitlesOfParts>
    <vt:vector size="20" baseType="lpstr">
      <vt:lpstr>Reporting List</vt:lpstr>
      <vt:lpstr>Feuil3</vt:lpstr>
      <vt:lpstr>A - 2000.11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tReportingNew5___RF_Save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2021-03-11T13:02:04Z</dcterms:modified>
</cp:coreProperties>
</file>