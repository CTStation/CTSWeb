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source\repos\CTStation\CTSWeb\Client\"/>
    </mc:Choice>
  </mc:AlternateContent>
  <xr:revisionPtr revIDLastSave="0" documentId="13_ncr:1_{C62B0E7D-1210-4469-AA17-FFF940EF811C}" xr6:coauthVersionLast="46" xr6:coauthVersionMax="46" xr10:uidLastSave="{00000000-0000-0000-0000-000000000000}"/>
  <bookViews>
    <workbookView xWindow="-120" yWindow="-120" windowWidth="29040" windowHeight="17640" tabRatio="723" xr2:uid="{00000000-000D-0000-FFFF-FFFF00000000}"/>
  </bookViews>
  <sheets>
    <sheet name="Reporting List" sheetId="6" r:id="rId1"/>
    <sheet name="A - 2000.12" sheetId="14" r:id="rId2"/>
    <sheet name="CACHE" sheetId="10" r:id="rId3"/>
    <sheet name="Planning" sheetId="4" r:id="rId4"/>
    <sheet name="History" sheetId="7" r:id="rId5"/>
    <sheet name="I18N" sheetId="2" r:id="rId6"/>
    <sheet name="JSON" sheetId="8" r:id="rId7"/>
    <sheet name="JSON (2)" sheetId="13" r:id="rId8"/>
  </sheets>
  <functionGroups builtInGroupCount="19"/>
  <definedNames>
    <definedName name="_xlnm._FilterDatabase" localSheetId="3" hidden="1">Planning!$F$17:$M$74</definedName>
    <definedName name="_xlnm._FilterDatabase" localSheetId="0" hidden="1">'Reporting List'!$C$10:$E$14</definedName>
    <definedName name="cell_JSON_Param" localSheetId="7">'JSON (2)'!$I$1</definedName>
    <definedName name="cell_JSON_Param">JSON!$J$1</definedName>
    <definedName name="cellLanguage">I18N!$J$1</definedName>
    <definedName name="JSON_MetadataQuery">JSON!$Q$1</definedName>
    <definedName name="lCategory">Planning!$B$3:$B$5</definedName>
    <definedName name="lCategoryVersion">Planning!$B$9</definedName>
    <definedName name="lFolders">Planning!$B$12:$B$13</definedName>
    <definedName name="tReporting52428888___RF_Save">'A - 2000.12'!$B$2</definedName>
    <definedName name="tReportings____ROWS_">'Reporting List'!$H$14:$I$41</definedName>
    <definedName name="tReportings___RF_Refresh">'Reporting List'!$D$10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6" l="1"/>
  <c r="C3" i="14"/>
  <c r="L74" i="4"/>
  <c r="K74" i="4"/>
  <c r="I41" i="6"/>
  <c r="I37" i="6"/>
  <c r="I33" i="6"/>
  <c r="I29" i="6"/>
  <c r="I25" i="6"/>
  <c r="I21" i="6"/>
  <c r="I17" i="6"/>
  <c r="H28" i="6"/>
  <c r="H20" i="6"/>
  <c r="I39" i="6"/>
  <c r="I31" i="6"/>
  <c r="I23" i="6"/>
  <c r="I19" i="6"/>
  <c r="H39" i="6"/>
  <c r="H27" i="6"/>
  <c r="H19" i="6"/>
  <c r="I38" i="6"/>
  <c r="I30" i="6"/>
  <c r="I22" i="6"/>
  <c r="H38" i="6"/>
  <c r="H30" i="6"/>
  <c r="H22" i="6"/>
  <c r="H41" i="6"/>
  <c r="H37" i="6"/>
  <c r="H33" i="6"/>
  <c r="H29" i="6"/>
  <c r="H25" i="6"/>
  <c r="H21" i="6"/>
  <c r="H17" i="6"/>
  <c r="I40" i="6"/>
  <c r="I36" i="6"/>
  <c r="I32" i="6"/>
  <c r="I28" i="6"/>
  <c r="I24" i="6"/>
  <c r="I20" i="6"/>
  <c r="I16" i="6"/>
  <c r="H40" i="6"/>
  <c r="H36" i="6"/>
  <c r="H32" i="6"/>
  <c r="H24" i="6"/>
  <c r="H16" i="6"/>
  <c r="I35" i="6"/>
  <c r="I27" i="6"/>
  <c r="I15" i="6"/>
  <c r="H35" i="6"/>
  <c r="H31" i="6"/>
  <c r="H23" i="6"/>
  <c r="H15" i="6"/>
  <c r="I34" i="6"/>
  <c r="I26" i="6"/>
  <c r="I18" i="6"/>
  <c r="H34" i="6"/>
  <c r="H26" i="6"/>
  <c r="H18" i="6"/>
  <c r="I14" i="6"/>
  <c r="H14" i="6"/>
  <c r="F12" i="6"/>
  <c r="E12" i="6"/>
  <c r="D12" i="6"/>
  <c r="C12" i="6"/>
  <c r="D10" i="6"/>
  <c r="CF4" i="14"/>
  <c r="CE4" i="14"/>
  <c r="CD4" i="14"/>
  <c r="CC4" i="14"/>
  <c r="CB4" i="14"/>
  <c r="CA4" i="14"/>
  <c r="BZ4" i="14"/>
  <c r="BY4" i="14"/>
  <c r="BX4" i="14"/>
  <c r="BW4" i="14"/>
  <c r="BV4" i="14"/>
  <c r="BU4" i="14"/>
  <c r="BT4" i="14"/>
  <c r="BS4" i="14"/>
  <c r="BR4" i="14"/>
  <c r="BQ4" i="14"/>
  <c r="BP4" i="14"/>
  <c r="BO4" i="14"/>
  <c r="BN4" i="14"/>
  <c r="BM4" i="14"/>
  <c r="BL4" i="14"/>
  <c r="BK4" i="14"/>
  <c r="BJ4" i="14"/>
  <c r="BI4" i="14"/>
  <c r="BH4" i="14"/>
  <c r="BG4" i="14"/>
  <c r="BF4" i="14"/>
  <c r="BE4" i="14"/>
  <c r="BD4" i="14"/>
  <c r="BC4" i="14"/>
  <c r="BB4" i="14"/>
  <c r="BA4" i="14"/>
  <c r="AZ4" i="14"/>
  <c r="AY4" i="14"/>
  <c r="AX4" i="14"/>
  <c r="AW4" i="14"/>
  <c r="AV4" i="14"/>
  <c r="AU4" i="14"/>
  <c r="AT4" i="14"/>
  <c r="AS4" i="14"/>
  <c r="AR4" i="14"/>
  <c r="AQ4" i="14"/>
  <c r="AP4" i="14"/>
  <c r="AO4" i="14"/>
  <c r="AN4" i="14"/>
  <c r="AM4" i="14"/>
  <c r="AL4" i="14"/>
  <c r="AK4" i="14"/>
  <c r="AJ4" i="14"/>
  <c r="AI4" i="14"/>
  <c r="AH4" i="14"/>
  <c r="AG4" i="14"/>
  <c r="AF4" i="14"/>
  <c r="AE4" i="14"/>
  <c r="AD4" i="14"/>
  <c r="AC4" i="14"/>
  <c r="AB4" i="14"/>
  <c r="AA4" i="14"/>
  <c r="Z4" i="14"/>
  <c r="Y4" i="14"/>
  <c r="X4" i="14"/>
  <c r="W4" i="14"/>
  <c r="V4" i="14"/>
  <c r="U4" i="14"/>
  <c r="T4" i="14"/>
  <c r="S4" i="14"/>
  <c r="R4" i="14"/>
  <c r="Q4" i="14"/>
  <c r="P4" i="14"/>
  <c r="O4" i="14"/>
  <c r="N4" i="14"/>
  <c r="M4" i="14"/>
  <c r="L4" i="14"/>
  <c r="K4" i="14"/>
  <c r="J4" i="14"/>
  <c r="I4" i="14"/>
  <c r="H4" i="14"/>
  <c r="G4" i="14"/>
  <c r="F4" i="14"/>
  <c r="E4" i="14"/>
  <c r="D4" i="14"/>
  <c r="C4" i="14"/>
  <c r="B4" i="14"/>
  <c r="B2" i="14"/>
  <c r="M74" i="4" l="1"/>
  <c r="J74" i="4"/>
  <c r="I74" i="4" l="1"/>
  <c r="H74" i="4"/>
  <c r="F74" i="4" l="1"/>
  <c r="G74" i="4"/>
  <c r="D74" i="4"/>
  <c r="C74" i="4"/>
  <c r="I4" i="6" a="1"/>
  <c r="B74" i="4" l="1"/>
  <c r="I4" i="6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<sst xmlns="http://schemas.openxmlformats.org/spreadsheetml/2006/main" count="2067" uniqueCount="796">
  <si>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</si>
  <si>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</si>
  <si>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</si>
  <si>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</si>
  <si>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</si>
  <si>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</si>
  <si>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</si>
  <si>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</si>
  <si>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</si>
  <si>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</si>
  <si>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</si>
  <si>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</si>
  <si>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</si>
  <si>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</si>
  <si>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</si>
  <si>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</si>
  <si>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</si>
  <si>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</si>
  <si>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</si>
  <si>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</si>
  <si>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</si>
  <si>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</si>
  <si>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C</t>
  </si>
  <si>
    <t>B</t>
  </si>
  <si>
    <t>Actual</t>
  </si>
  <si>
    <t>F</t>
  </si>
  <si>
    <t>Forecast</t>
  </si>
  <si>
    <t>Budget</t>
  </si>
  <si>
    <t>Category version</t>
  </si>
  <si>
    <t>Current</t>
  </si>
  <si>
    <t>Folders</t>
  </si>
  <si>
    <t>P-A</t>
  </si>
  <si>
    <t>Set of controls</t>
  </si>
  <si>
    <t>Restrictions</t>
  </si>
  <si>
    <t>Operation</t>
  </si>
  <si>
    <t>List of entities</t>
  </si>
  <si>
    <t>P-JV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</si>
  <si>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</si>
  <si>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</si>
  <si>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</si>
  <si>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</si>
  <si>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</si>
  <si>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</si>
  <si>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</si>
  <si>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</si>
  <si>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</si>
  <si>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</si>
  <si>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</si>
  <si>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</si>
  <si>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</si>
  <si>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</si>
  <si>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</si>
  <si>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</si>
  <si>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</si>
  <si>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</si>
  <si>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</si>
  <si>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</si>
  <si>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</si>
  <si>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</si>
  <si>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</si>
  <si>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</si>
  <si>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</si>
  <si>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</si>
  <si>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</si>
  <si>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</si>
  <si>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</si>
  <si>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</si>
  <si>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</si>
  <si>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</si>
  <si>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</si>
  <si>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</si>
  <si>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</si>
  <si>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</si>
  <si>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</si>
  <si>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</si>
  <si>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</si>
  <si>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</si>
  <si>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</si>
  <si>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</si>
  <si>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</si>
  <si>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</si>
  <si>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</si>
  <si>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</si>
  <si>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</si>
  <si>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</si>
  <si>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</si>
  <si>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</si>
  <si>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</si>
  <si>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Refresh list</t>
  </si>
  <si>
    <t>Mettre à jour la liste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</si>
  <si>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</si>
  <si>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</si>
  <si>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</si>
  <si>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</si>
  <si>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</si>
  <si>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</si>
  <si>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</si>
  <si>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</si>
  <si>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</si>
  <si>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</si>
  <si>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</si>
  <si>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</si>
  <si>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</si>
  <si>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</si>
  <si>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</si>
  <si>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</si>
  <si>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</si>
  <si>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</si>
  <si>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</si>
  <si>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</si>
  <si>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</si>
  <si>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</si>
  <si>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</si>
  <si>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</si>
  <si>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</si>
  <si>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</si>
  <si>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</si>
  <si>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</si>
  <si>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</si>
  <si>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</si>
  <si>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</si>
  <si>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</si>
  <si>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</si>
  <si>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</si>
  <si>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</si>
  <si>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</si>
  <si>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</si>
  <si>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</si>
  <si>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</si>
  <si>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</si>
  <si>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</si>
  <si>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</si>
  <si>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</si>
  <si>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</si>
  <si>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</si>
  <si>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</si>
  <si>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</si>
  <si>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</si>
  <si>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</si>
  <si>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</si>
  <si>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</si>
  <si>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</si>
  <si>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</si>
  <si>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</si>
  <si>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</si>
  <si>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</si>
  <si>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</si>
  <si>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</si>
  <si>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</si>
  <si>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</si>
  <si>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</si>
  <si>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</si>
  <si>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</si>
  <si>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</si>
  <si>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</si>
  <si>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</si>
  <si>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LongDate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</si>
  <si>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</si>
  <si>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</si>
  <si>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</si>
  <si>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</si>
  <si>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</si>
  <si>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</si>
  <si>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</si>
  <si>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</si>
  <si>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</si>
  <si>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</si>
  <si>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</si>
  <si>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</si>
  <si>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</si>
  <si>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</si>
  <si>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RF_UpdateData</t>
  </si>
  <si>
    <t>RF_UpdateDataTitle</t>
  </si>
  <si>
    <t>Connection au serveur</t>
  </si>
  <si>
    <t>Connect to server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</si>
  <si>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</si>
  <si>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</si>
  <si>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</si>
  <si>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</si>
  <si>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</si>
  <si>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</si>
  <si>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</si>
  <si>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</si>
  <si>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</si>
  <si>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</si>
  <si>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</si>
  <si>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</si>
  <si>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</si>
  <si>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</si>
  <si>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</si>
  <si>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</si>
  <si>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</si>
  <si>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</si>
  <si>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</si>
  <si>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</si>
  <si>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</si>
  <si>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</si>
  <si>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</si>
  <si>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</si>
  <si>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</si>
  <si>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Code</t>
  </si>
  <si>
    <t>Name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</si>
  <si>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</si>
  <si>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</si>
  <si>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</si>
  <si>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</si>
  <si>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</si>
  <si>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</si>
  <si>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</si>
  <si>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</si>
  <si>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</si>
  <si>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</si>
  <si>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</si>
  <si>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</si>
  <si>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</si>
  <si>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</si>
  <si>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</si>
  <si>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</si>
  <si>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</si>
  <si>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</si>
  <si>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</si>
  <si>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</si>
  <si>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</si>
  <si>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</si>
  <si>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</si>
  <si>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</si>
  <si>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</si>
  <si>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</si>
  <si>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</si>
  <si>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Content</t>
  </si>
  <si>
    <t>JSON Query</t>
  </si>
  <si>
    <t>Next ID</t>
  </si>
  <si>
    <t>Gère la dupication</t>
  </si>
  <si>
    <t>Cache les données</t>
  </si>
  <si>
    <t>Gère l'ouverture de plusieurs reportings</t>
  </si>
  <si>
    <t>Direction</t>
  </si>
  <si>
    <t>Timestamp</t>
  </si>
  <si>
    <t>Voulez-vous vous connecter au serveur et mettre à jour la liste des reportings ?</t>
  </si>
  <si>
    <t>Key</t>
  </si>
  <si>
    <t>tReporting{ID}</t>
  </si>
  <si>
    <t>Le serveur ne fait pas partie de l'identifiant des données, donc des comparaisons entre serveurs exigent deux fichiers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</si>
  <si>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</si>
  <si>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</si>
  <si>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</si>
  <si>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</si>
  <si>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</si>
  <si>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</si>
  <si>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</si>
  <si>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</si>
  <si>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</si>
  <si>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aj</t>
  </si>
  <si>
    <t>FlatDesc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</si>
  <si>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</si>
  <si>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</si>
  <si>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</si>
  <si>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</si>
  <si>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</si>
  <si>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</si>
  <si>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</si>
  <si>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</si>
  <si>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</si>
  <si>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</si>
  <si>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</si>
  <si>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</si>
  <si>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</si>
  <si>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</si>
  <si>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</si>
  <si>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</si>
  <si>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</si>
  <si>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</si>
  <si>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</si>
  <si>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</si>
  <si>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</si>
  <si>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</si>
  <si>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</si>
  <si>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</si>
  <si>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</si>
  <si>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</si>
  <si>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</si>
  <si>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</si>
  <si>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</si>
  <si>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</si>
  <si>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</si>
  <si>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</si>
  <si>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</si>
  <si>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</si>
  <si>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</si>
  <si>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</si>
  <si>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</si>
  <si>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</si>
  <si>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</si>
  <si>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</si>
  <si>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</si>
  <si>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</si>
  <si>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</si>
  <si>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</si>
  <si>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</si>
  <si>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</si>
  <si>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</si>
  <si>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</si>
  <si>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</si>
  <si>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</si>
  <si>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</si>
  <si>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</si>
  <si>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</si>
  <si>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</si>
  <si>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</si>
  <si>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</si>
  <si>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</si>
  <si>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</si>
  <si>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</si>
  <si>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</si>
  <si>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</si>
  <si>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</si>
  <si>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</si>
  <si>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</si>
  <si>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</si>
  <si>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</si>
  <si>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</si>
  <si>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</si>
  <si>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</si>
  <si>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</si>
  <si>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</si>
  <si>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</si>
  <si>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</si>
  <si>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</si>
  <si>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</si>
  <si>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</si>
  <si>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</si>
  <si>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</si>
  <si>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</si>
  <si>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</si>
  <si>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</si>
  <si>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</si>
  <si>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</si>
  <si>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</si>
  <si>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</si>
  <si>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</si>
  <si>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</si>
  <si>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</si>
  <si>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</si>
  <si>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</si>
  <si>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</si>
  <si>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</si>
  <si>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</si>
  <si>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</si>
  <si>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</si>
  <si>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</si>
  <si>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</si>
  <si>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</si>
  <si>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</si>
  <si>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</si>
  <si>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</si>
  <si>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</si>
  <si>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</si>
  <si>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</si>
  <si>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</si>
  <si>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</si>
  <si>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</si>
  <si>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</si>
  <si>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</si>
  <si>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</si>
  <si>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</si>
  <si>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</si>
  <si>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</si>
  <si>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</si>
  <si>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</si>
  <si>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</si>
  <si>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Folder</t>
  </si>
  <si>
    <t>Lock</t>
  </si>
  <si>
    <t>SetOfRules</t>
  </si>
  <si>
    <t>Recipient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</si>
  <si>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</si>
  <si>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</si>
  <si>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</si>
  <si>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</si>
  <si>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</si>
  <si>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</si>
  <si>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</si>
  <si>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</si>
  <si>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</si>
  <si>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</si>
  <si>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</si>
  <si>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</si>
  <si>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</si>
  <si>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</si>
  <si>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</si>
  <si>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</si>
  <si>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</si>
  <si>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</si>
  <si>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</si>
  <si>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</si>
  <si>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</si>
  <si>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</si>
  <si>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</si>
  <si>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</si>
  <si>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</si>
  <si>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</si>
  <si>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</si>
  <si>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</si>
  <si>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</si>
  <si>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</si>
  <si>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</si>
  <si>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</si>
  <si>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</si>
  <si>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</si>
  <si>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</si>
  <si>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</si>
  <si>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</si>
  <si>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</si>
  <si>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</si>
  <si>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</si>
  <si>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</si>
  <si>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</si>
  <si>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</si>
  <si>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</si>
  <si>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</si>
  <si>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</si>
  <si>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</si>
  <si>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</si>
  <si>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</si>
  <si>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</si>
  <si>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</si>
  <si>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</si>
  <si>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</si>
  <si>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</si>
  <si>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</si>
  <si>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</si>
  <si>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</si>
  <si>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</si>
  <si>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</si>
  <si>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</si>
  <si>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</si>
  <si>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</si>
  <si>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</si>
  <si>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</si>
  <si>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</si>
  <si>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</si>
  <si>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</si>
  <si>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</si>
  <si>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</si>
  <si>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</si>
  <si>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</si>
  <si>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</si>
  <si>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</si>
  <si>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</si>
  <si>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</si>
  <si>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</si>
  <si>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</si>
  <si>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</si>
  <si>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</si>
  <si>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</si>
  <si>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</si>
  <si>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</si>
  <si>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</si>
  <si>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</si>
  <si>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</si>
  <si>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</si>
  <si>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</si>
  <si>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</si>
  <si>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</si>
  <si>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</si>
  <si>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</si>
  <si>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</si>
  <si>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</si>
  <si>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</si>
  <si>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</si>
  <si>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</si>
  <si>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</si>
  <si>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</si>
  <si>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</si>
  <si>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</si>
  <si>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</si>
  <si>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</si>
  <si>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</si>
  <si>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</si>
  <si>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</si>
  <si>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</si>
  <si>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</si>
  <si>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</si>
  <si>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</si>
  <si>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</si>
  <si>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</si>
  <si>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</si>
  <si>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</si>
  <si>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</si>
  <si>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</si>
  <si>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</si>
  <si>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</si>
  <si>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</si>
  <si>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</si>
  <si>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</si>
  <si>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</si>
  <si>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Connect to  server and refresh the reporting list?</t>
  </si>
  <si>
    <t>/api/reporting/{ID}</t>
  </si>
  <si>
    <t>/api/reportings</t>
  </si>
  <si>
    <t>Lacks restriction</t>
  </si>
  <si>
    <t>Lacks BFC Dim picker</t>
  </si>
  <si>
    <t>Bug on opening balance generation</t>
  </si>
  <si>
    <t>172.31.38.85</t>
  </si>
  <si>
    <t>SAPFCSQLSERVER</t>
  </si>
  <si>
    <t>ADMIN</t>
  </si>
  <si>
    <t>fr-FR</t>
  </si>
  <si>
    <t>en-US</t>
  </si>
  <si>
    <t>https://localhost:44304</t>
  </si>
  <si>
    <t>auLDescfr_FR</t>
  </si>
  <si>
    <t>RF_DescFr</t>
  </si>
  <si>
    <t>Multilang desc</t>
  </si>
  <si>
    <t>Serveur: Nettoyer le Save</t>
  </si>
  <si>
    <t>Serveur: A nouveaux</t>
  </si>
  <si>
    <t>Vider le cache en cas de changement de user/datasource</t>
  </si>
  <si>
    <t>Supprimer la copie cachée</t>
  </si>
  <si>
    <t>Afficher les libellés</t>
  </si>
  <si>
    <t>Jeton de session</t>
  </si>
  <si>
    <t>Liste des langues et erreurs dans la connexion</t>
  </si>
  <si>
    <t>Présenter les messages</t>
  </si>
  <si>
    <t>Data/EntityReportings</t>
  </si>
  <si>
    <t>Commande Add description</t>
  </si>
  <si>
    <t>Protéger la query de liste des reportings</t>
  </si>
  <si>
    <t>Largeur des cols</t>
  </si>
  <si>
    <t>{"Post":"/api/Reporting"}</t>
  </si>
  <si>
    <t>Version 0.93.1</t>
  </si>
  <si>
    <t>08 03 2021</t>
  </si>
  <si>
    <t>Saves reporting</t>
  </si>
  <si>
    <t>Placer sur une cellule visible</t>
  </si>
  <si>
    <t>Ouvrir et fermer les groupes au départ</t>
  </si>
  <si>
    <t>Changer l'ordre de plan quand juste des hidden</t>
  </si>
  <si>
    <t>Lock: default?</t>
  </si>
  <si>
    <t>Verrouillage: défaut?</t>
  </si>
  <si>
    <t>Verrouillage</t>
  </si>
  <si>
    <t>Lock on publication</t>
  </si>
  <si>
    <t>Rule Set: default?</t>
  </si>
  <si>
    <t>Jeu de règles: défaut?</t>
  </si>
  <si>
    <t>Tester le jeu de règles</t>
  </si>
  <si>
    <t>Rule Set</t>
  </si>
  <si>
    <t>Jeu de règles</t>
  </si>
  <si>
    <t>Opening balance: default?</t>
  </si>
  <si>
    <t>Opening balance?</t>
  </si>
  <si>
    <t>A-nouveaux: défaut?</t>
  </si>
  <si>
    <t>A-nouveaux?</t>
  </si>
  <si>
    <t>OB Category</t>
  </si>
  <si>
    <t>AN Phase</t>
  </si>
  <si>
    <t>OB Update Period</t>
  </si>
  <si>
    <t>AN Exercice</t>
  </si>
  <si>
    <t>OB Scope</t>
  </si>
  <si>
    <t>AN Périmètre</t>
  </si>
  <si>
    <t>OB Variant</t>
  </si>
  <si>
    <t>AN Variante</t>
  </si>
  <si>
    <t>OB Currency</t>
  </si>
  <si>
    <t>AN Devise</t>
  </si>
  <si>
    <t>After publication</t>
  </si>
  <si>
    <t>Après publication</t>
  </si>
  <si>
    <t>Standard pub.</t>
  </si>
  <si>
    <t>Publication standard</t>
  </si>
  <si>
    <t>Special pub.</t>
  </si>
  <si>
    <t>Publication spéciale</t>
  </si>
  <si>
    <t>Advanced pub.</t>
  </si>
  <si>
    <t>Publication avancée</t>
  </si>
  <si>
    <t>After pub. Level</t>
  </si>
  <si>
    <t>Niveau après pub.</t>
  </si>
  <si>
    <t>After transfert</t>
  </si>
  <si>
    <t>Après transfert</t>
  </si>
  <si>
    <t>Standard tran.</t>
  </si>
  <si>
    <t>Descriptions</t>
  </si>
  <si>
    <t>Libellés</t>
  </si>
  <si>
    <t>Special tran.</t>
  </si>
  <si>
    <t>Advanced tran.</t>
  </si>
  <si>
    <t>After tran. Level</t>
  </si>
  <si>
    <t>Transfert standard</t>
  </si>
  <si>
    <t>Transfert spécial</t>
  </si>
  <si>
    <t>Transfert avancé</t>
  </si>
  <si>
    <t>Niveau après tran.</t>
  </si>
  <si>
    <t>Input Site</t>
  </si>
  <si>
    <t>Site de saisie</t>
  </si>
  <si>
    <t>Publication Site</t>
  </si>
  <si>
    <t>Site de publication</t>
  </si>
  <si>
    <t>After transfert: default?</t>
  </si>
  <si>
    <t>Après transfert: défaut?</t>
  </si>
  <si>
    <t>After publication: default?</t>
  </si>
  <si>
    <t>Après publication: défaut?</t>
  </si>
  <si>
    <t>Operation: default?</t>
  </si>
  <si>
    <t>Exploitation: défaut?</t>
  </si>
  <si>
    <t>Early publishing?</t>
  </si>
  <si>
    <t>Publication anticipée?</t>
  </si>
  <si>
    <t>Date picker 64b</t>
  </si>
  <si>
    <t>Editable?</t>
  </si>
  <si>
    <t>#Group#Open</t>
  </si>
  <si>
    <t>Width</t>
  </si>
  <si>
    <t>Commande Add entities</t>
  </si>
  <si>
    <t>Editors</t>
  </si>
  <si>
    <t>PublishedFramework_1</t>
  </si>
  <si>
    <t>PublishedFramework_2</t>
  </si>
  <si>
    <t>Conso_1</t>
  </si>
  <si>
    <t>Conso_2</t>
  </si>
  <si>
    <t>Conso_3</t>
  </si>
  <si>
    <t>Conso_4</t>
  </si>
  <si>
    <t>Conso_5</t>
  </si>
  <si>
    <t>SetOfCtrl_1</t>
  </si>
  <si>
    <t>SetOfCtrl_2</t>
  </si>
  <si>
    <t>MDPicker: ajouter les libellés</t>
  </si>
  <si>
    <t>/api/metadata/{ID}</t>
  </si>
  <si>
    <t>UpdPer</t>
  </si>
  <si>
    <t>In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</si>
  <si>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- 2021.12"}],"Messages":null}</t>
  </si>
  <si>
    <t>2000.12</t>
  </si>
  <si>
    <t>3/1/2021  5:55:21 PM</t>
  </si>
  <si>
    <t>2001.11</t>
  </si>
  <si>
    <t>2/23/2021  3:52:39 PM</t>
  </si>
  <si>
    <t>2001.12</t>
  </si>
  <si>
    <t>2/23/2021  3:13:08 PM</t>
  </si>
  <si>
    <t>2002.01</t>
  </si>
  <si>
    <t>2/18/2021  9:47:58 PM</t>
  </si>
  <si>
    <t>2002.02</t>
  </si>
  <si>
    <t>2/23/2021  3:02:13 PM</t>
  </si>
  <si>
    <t>2002.03</t>
  </si>
  <si>
    <t>2/23/2021  12:30:51 PM</t>
  </si>
  <si>
    <t>2002.04</t>
  </si>
  <si>
    <t>2/23/2021  12:15:06 PM</t>
  </si>
  <si>
    <t>2002.05</t>
  </si>
  <si>
    <t>2/23/2021  11:36:13 AM</t>
  </si>
  <si>
    <t>2002.06</t>
  </si>
  <si>
    <t>2/16/2021  7:37:46 PM</t>
  </si>
  <si>
    <t>2002.07</t>
  </si>
  <si>
    <t>2/16/2021  7:33:41 PM</t>
  </si>
  <si>
    <t>2002.08</t>
  </si>
  <si>
    <t>2/16/2021  7:23:18 PM</t>
  </si>
  <si>
    <t>2002.09</t>
  </si>
  <si>
    <t>2/16/2021  3:59:23 PM</t>
  </si>
  <si>
    <t>2002.10</t>
  </si>
  <si>
    <t>2/16/2021  3:53:29 PM</t>
  </si>
  <si>
    <t>2002.11</t>
  </si>
  <si>
    <t>2/16/2021  3:50:30 PM</t>
  </si>
  <si>
    <t>2002.12</t>
  </si>
  <si>
    <t>2/15/2021  3:11:42 PM</t>
  </si>
  <si>
    <t>2003.12</t>
  </si>
  <si>
    <t>8/28/2015  2:16:28 PM</t>
  </si>
  <si>
    <t>2004.12</t>
  </si>
  <si>
    <t>8/28/2015  2:10:05 PM</t>
  </si>
  <si>
    <t>2010.12</t>
  </si>
  <si>
    <t>5/3/2010  1:22:35 PM</t>
  </si>
  <si>
    <t>2011.03</t>
  </si>
  <si>
    <t>11/25/2010  2:09:22 PM</t>
  </si>
  <si>
    <t>2011.06</t>
  </si>
  <si>
    <t>11/29/2010  11:06:57 AM</t>
  </si>
  <si>
    <t>2011.09</t>
  </si>
  <si>
    <t>11/29/2010  11:10:44 AM</t>
  </si>
  <si>
    <t>2011.12</t>
  </si>
  <si>
    <t>5/4/2010  9:10:01 AM</t>
  </si>
  <si>
    <t>2013.01</t>
  </si>
  <si>
    <t>1/28/2021  11:06:48 AM</t>
  </si>
  <si>
    <t>2013.12</t>
  </si>
  <si>
    <t>3/29/2013  10:53:41 AM</t>
  </si>
  <si>
    <t>2014.12</t>
  </si>
  <si>
    <t>4/7/2014  11:31:33 AM</t>
  </si>
  <si>
    <t>2019.12</t>
  </si>
  <si>
    <t>9/2/2010  11:17:44 AM</t>
  </si>
  <si>
    <t>2020.12</t>
  </si>
  <si>
    <t>8/31/2010  2:52:12 PM</t>
  </si>
  <si>
    <t>2021.12</t>
  </si>
  <si>
    <t>8/31/2010  2:57:27 PM</t>
  </si>
  <si>
    <t xml:space="preserve"> 5</t>
  </si>
  <si>
    <t xml:space="preserve"> 6</t>
  </si>
  <si>
    <t xml:space="preserve"> 7</t>
  </si>
  <si>
    <t xml:space="preserve"> 8</t>
  </si>
  <si>
    <t xml:space="preserve"> 9</t>
  </si>
  <si>
    <t xml:space="preserve"> 10</t>
  </si>
  <si>
    <t xml:space="preserve"> 11</t>
  </si>
  <si>
    <t xml:space="preserve"> 12</t>
  </si>
  <si>
    <t xml:space="preserve"> 13</t>
  </si>
  <si>
    <t xml:space="preserve"> 14</t>
  </si>
  <si>
    <t xml:space="preserve"> 15</t>
  </si>
  <si>
    <t xml:space="preserve"> 16</t>
  </si>
  <si>
    <t xml:space="preserve"> 17</t>
  </si>
  <si>
    <t xml:space="preserve"> 18</t>
  </si>
  <si>
    <t xml:space="preserve"> 19</t>
  </si>
  <si>
    <t xml:space="preserve"> 20</t>
  </si>
  <si>
    <t xml:space="preserve"> 21</t>
  </si>
  <si>
    <t xml:space="preserve"> 22</t>
  </si>
  <si>
    <t xml:space="preserve"> 23</t>
  </si>
  <si>
    <t xml:space="preserve"> 24</t>
  </si>
  <si>
    <t xml:space="preserve"> 25</t>
  </si>
  <si>
    <t xml:space="preserve"> 26</t>
  </si>
  <si>
    <t xml:space="preserve"> 27</t>
  </si>
  <si>
    <t xml:space="preserve"> 28</t>
  </si>
  <si>
    <t xml:space="preserve"> 29</t>
  </si>
  <si>
    <t xml:space="preserve"> 30</t>
  </si>
  <si>
    <t xml:space="preserve"> 31</t>
  </si>
  <si>
    <t xml:space="preserve"> 32</t>
  </si>
  <si>
    <t xml:space="preserve"> 33</t>
  </si>
  <si>
    <t xml:space="preserve"> 34</t>
  </si>
  <si>
    <t xml:space="preserve"> 35</t>
  </si>
  <si>
    <t xml:space="preserve"> 36</t>
  </si>
  <si>
    <t xml:space="preserve"> 37</t>
  </si>
  <si>
    <t xml:space="preserve"> 38</t>
  </si>
  <si>
    <t xml:space="preserve"> 39</t>
  </si>
  <si>
    <t xml:space="preserve"> 40</t>
  </si>
  <si>
    <t xml:space="preserve"> 41</t>
  </si>
  <si>
    <t xml:space="preserve"> 42</t>
  </si>
  <si>
    <t xml:space="preserve"> 43</t>
  </si>
  <si>
    <t xml:space="preserve"> 44</t>
  </si>
  <si>
    <t xml:space="preserve"> 45</t>
  </si>
  <si>
    <t xml:space="preserve"> 46</t>
  </si>
  <si>
    <t xml:space="preserve"> 47</t>
  </si>
  <si>
    <t xml:space="preserve"> 48</t>
  </si>
  <si>
    <t xml:space="preserve"> 49</t>
  </si>
  <si>
    <t xml:space="preserve"> 50</t>
  </si>
  <si>
    <t xml:space="preserve"> 51</t>
  </si>
  <si>
    <t xml:space="preserve"> 52</t>
  </si>
  <si>
    <t xml:space="preserve"> 53</t>
  </si>
  <si>
    <t xml:space="preserve"> 54</t>
  </si>
  <si>
    <t xml:space="preserve"> 55</t>
  </si>
  <si>
    <t xml:space="preserve"> 56</t>
  </si>
  <si>
    <t xml:space="preserve"> 57</t>
  </si>
  <si>
    <t xml:space="preserve"> 58</t>
  </si>
  <si>
    <t xml:space="preserve"> 59</t>
  </si>
  <si>
    <t xml:space="preserve"> 60</t>
  </si>
  <si>
    <t xml:space="preserve"> 61</t>
  </si>
  <si>
    <t xml:space="preserve"> 62</t>
  </si>
  <si>
    <t xml:space="preserve"> 63</t>
  </si>
  <si>
    <t xml:space="preserve"> 64</t>
  </si>
  <si>
    <t xml:space="preserve"> 65</t>
  </si>
  <si>
    <t xml:space="preserve"> 66</t>
  </si>
  <si>
    <t xml:space="preserve"> 67</t>
  </si>
  <si>
    <t xml:space="preserve"> 68</t>
  </si>
  <si>
    <t xml:space="preserve"> 69</t>
  </si>
  <si>
    <t xml:space="preserve"> 70</t>
  </si>
  <si>
    <t xml:space="preserve"> 71</t>
  </si>
  <si>
    <t xml:space="preserve"> 72</t>
  </si>
  <si>
    <t xml:space="preserve"> 73</t>
  </si>
  <si>
    <t xml:space="preserve"> 74</t>
  </si>
  <si>
    <t xml:space="preserve"> 75</t>
  </si>
  <si>
    <t xml:space="preserve"> 76</t>
  </si>
  <si>
    <t xml:space="preserve"> 77</t>
  </si>
  <si>
    <t xml:space="preserve"> 78</t>
  </si>
  <si>
    <t xml:space="preserve"> 79</t>
  </si>
  <si>
    <t xml:space="preserve"> 80</t>
  </si>
  <si>
    <t xml:space="preserve"> 81</t>
  </si>
  <si>
    <t xml:space="preserve"> 82</t>
  </si>
  <si>
    <t xml:space="preserve"> 83</t>
  </si>
  <si>
    <t>/api/reporting/52428888</t>
  </si>
  <si>
    <t>tReporting52428888</t>
  </si>
  <si>
    <t>{"Data":{"Framework":{"Phase":"A","Version":"C","Status":5,"ControlSets":{"P-A":{"ID":8,"LDesc":"Jeu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</si>
  <si>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2/24/2021  11:02:00 AM</t>
  </si>
  <si>
    <t>2/27/2021  11:02:00 AM</t>
  </si>
  <si>
    <t>2/26/2021  11:02:00 AM</t>
  </si>
  <si>
    <t>S001</t>
  </si>
  <si>
    <t>EUR</t>
  </si>
  <si>
    <t>0000.TOP</t>
  </si>
  <si>
    <t>1/1/2001  1:00:00 AM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</si>
  <si>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SDesc":"","LDesc":"Réel - 2001.11"}},{"CultureName":"en-US","Texts":{"SDesc":"","LDesc":"Actual - 2001.11"}}],"ID":52428859,"LDesc":null,"Name":"A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SDesc":"","LDesc":"Réel - 2001.12"}},{"CultureName":"en-US","Texts":{"SDesc":"","LDesc":"Actual - 2001.12"}}],"ID":52428858,"LDesc":null,"Name":"A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SDesc":"","LDesc":""}},{"CultureName":"en-US","Texts":{"SDesc":"",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SDesc":"","LDesc":""}},{"CultureName":"en-US","Texts":{"SDesc":"",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SDesc":"","LDesc":""}},{"CultureName":"en-US","Texts":{"SDesc":"",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SDesc":"","LDesc":""}},{"CultureName":"en-US","Texts":{"SDesc":"",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SDesc":"","LDesc":""}},{"CultureName":"en-US","Texts":{"SDesc":"",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SDesc":"","LDesc":""}},{"CultureName":"en-US","Texts":{"SDesc":"",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SDesc":"","LDesc":""}},{"CultureName":"en-US","Texts":{"SDesc":"",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SDesc":"","LDesc":""}},{"CultureName":"en-US","Texts":{"SDesc":"",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SDesc":"","LDesc":""}},{"CultureName":"en-US","Texts":{"SDesc":"",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SDesc":"","LDesc":"Réel 2002.10"}},{"CultureName":"en-US","Texts":{"SDesc":"","LDesc":"Actual 2002.10"}}],"ID":52428830,"LDesc":null,"Name":"A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SDesc":"a","LDesc":"a"}},{"CultureName":"en-US","Texts":{"SDesc":"a","LDesc":"a"}}],"ID":52428829,"LDesc":null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SDesc":"","LDesc":"Réel 2002.12"}},{"CultureName":"en-US","Texts":{"SDesc":"ff","LDesc":"Actual - 2002.12"}}],"ID":52428827,"LDesc":null,"Name":"A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- 2003.12"}}],"ID":79,"LDesc":null,"Name":"A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SDesc":"","LDesc":"Réel 2004.12"}},{"CultureName":"en-US","Texts":{"SDesc":"","LDesc":"Actual - 2004.12"}}],"ID":77,"LDesc":null,"Name":"A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SDesc":"","LDesc":"Réel 2010.12"}},{"CultureName":"en-US","Texts":{"SDesc":"Actual 2010.12","LDesc":"Actual - 2010.12"}}],"ID":55,"LDesc":null,"Name":"A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SDesc":"","LDesc":"Réel 2011.03"}},{"CultureName":"en-US","Texts":{"SDesc":"","LDesc":"Actual - 2011.03"}}],"ID":67,"LDesc":null,"Name":"A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SDesc":"","LDesc":"Réel 2011.06"}},{"CultureName":"en-US","Texts":{"SDesc":"","LDesc":"Actual - 2011.06"}}],"ID":68,"LDesc":null,"Name":"A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SDesc":"","LDesc":"Réel 2011.09"}},{"CultureName":"en-US","Texts":{"SDesc":"","LDesc":"Actual - 2011.09"}}],"ID":69,"LDesc":null,"Name":"A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SDesc":"","LDesc":"Réel 2011.12"}},{"CultureName":"en-US","Texts":{"SDesc":"","LDesc":"Actual - 2011.12"}}],"ID":56,"LDesc":null,"Name":"A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SDesc":"","LDesc":"Réel 2013.01"}},{"CultureName":"en-US","Texts":{"SDesc":"","LDesc":"Actual - 2013.01"}}],"ID":52428802,"LDesc":null,"Name":"A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SDesc":"","LDesc":"Réel 2013.12"}},{"CultureName":"en-US","Texts":{"SDesc":"","LDesc":"Actual - 2013.12"}}],"ID":71,"LDesc":null,"Name":"A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SDesc":"","LDesc":"Réel 2014.12"}},{"CultureName":"en-US","Texts":{"SDesc":"","LDesc":"Actual - 2014.12"}}],"ID":73,"LDesc":null,"Name":"A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SDesc":"","LDesc":"Réel 2019.12"}},{"CultureName":"en-US","Texts":{"SDesc":"","LDesc":"Actual - 2019.12"}}],"ID":61,"LDesc":null,"Name":"A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SDesc":"","LDesc":"Réel 2020.12"}},{"CultureName":"en-US","Texts":{"SDesc":"","LDesc":"Actual - 2020.12"}}],"ID":59,"LDesc":null,"Name":"A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SDesc":"","LDesc":"Réel 2021.12"}},{"CultureName":"en-US","Texts":{"SDesc":"","LDesc":"Actual - 2021.12"}}],"ID":60,"LDesc":null,"Name":"A - 2021.12"}],"Messages":null}</t>
  </si>
  <si>
    <t>{"Data":{"Framework":{"Phase":"A","Version":"C","Status":5,"ControlSets":{"P-A":{"ID":8,"LDesc":null,"Name":"P-A"},"P-E":{"ID":10,"LDesc":null,"Name":"P-E"}},"ControlLevels":{"1":{"Descriptions":[{"CultureName":"fr-FR","Texts":{"LDesc":"Analyse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- 2000.12"},"Messages":{"Messages":[],"UsedHints":{}}}</t>
  </si>
  <si>
    <t>/api/metadata/PublishedFramework</t>
  </si>
  <si>
    <t>PublishedFramework</t>
  </si>
  <si>
    <t>{"Data":[{"Desc":null,"Next":[{"Desc":null,"Next":null,"Name":"C"}],"Name":"A"}],"Messages":{"Messages":[],"UsedHints":{}}}</t>
  </si>
  <si>
    <t>/api/metadata/UpdPer</t>
  </si>
  <si>
    <t>{"Data":[],"Messages":{"Messages":[],"UsedHints":{}}}</t>
  </si>
  <si>
    <t>{"Data":[{"Desc":"Réel","Next":[{"Desc":"Actuel","Next":null,"Name":"C"}],"Name":"A"}],"Messages":{"Messages":[],"UsedHints":{}}}</t>
  </si>
  <si>
    <t>/api/metadata/Folder</t>
  </si>
  <si>
    <t>{"Data":[{"Descriptions":[{"CultureName":"fr-FR","Texts":{"LDesc":"Homepage"}},{"CultureName":"en-US","Texts":{"LDesc":"Page d'accueil"}}],"ID":-524287,"LDesc":"Homepage","Name":"HOME"},{"Descriptions":[{"CultureName":"fr-FR","Texts":{"LDesc":"Liasse de consolidation statutaire"}},{"CultureName":"en-US","Texts":{"LDesc":"Package - Actual"}}],"ID":1,"LDesc":"Liasse de consolidation statutaire","Name":"P-A"},{"Descriptions":[{"CultureName":"fr-FR","Texts":{"LDesc":"Consultations comptables"}},{"CultureName":"en-US","Texts":{"LDesc":"Accounting reports"}}],"ID":2,"LDesc":"Consultations comptables","Name":"C3"},{"Descriptions":[{"CultureName":"fr-FR","Texts":{"LDesc":"Etats financiers"}},{"CultureName":"en-US","Texts":{"LDesc":"Annual report"}}],"ID":4,"LDesc":"Etats financiers","Name":"C1"},{"Descriptions":[{"CultureName":"fr-FR","Texts":{"LDesc":"Sommaire de restitution"}},{"CultureName":"en-US","Texts":{"LDesc":"Home pages and summary reports"}}],"ID":5,"LDesc":"Sommaire de restitution","Name":"C0"},{"Descriptions":[{"CultureName":"fr-FR","Texts":{"LDesc":"Analyses"}},{"CultureName":"en-US","Texts":{"LDesc":"Analysis"}}],"ID":7,"LDesc":"Analyses","Name":"C2"},{"Descriptions":[{"CultureName":"fr-FR","Texts":{"LDesc":"Contrôles"}},{"CultureName":"en-US","Texts":{"LDesc":"Control reports"}}],"ID":8,"LDesc":"Contrôles","Name":"C4"},{"Descriptions":[{"CultureName":"fr-FR","Texts":{"LDesc":"Liasse pour les unités mises en équivalence"}},{"CultureName":"en-US","Texts":{"LDesc":"Package for equity method companies"}}],"ID":9,"LDesc":"Liasse pour les unités mises en équivalence","Name":"P-E"},{"Descriptions":[{"CultureName":"fr-FR","Texts":{"LDesc":"Contrôle du paramétrage"}},{"CultureName":"en-US","Texts":{"LDesc":"Check configuration"}}],"ID":10,"LDesc":"Contrôle du paramétrage","Name":"T"},{"Descriptions":[{"CultureName":"fr-FR","Texts":{"LDesc":"Taux de conversion - Saisie"}},{"CultureName":"en-US","Texts":{"LDesc":"Conversion rates - Input"}}],"ID":11,"LDesc":"Taux de conversion - Saisie","Name":"Y"},{"Descriptions":[{"CultureName":"fr-FR","Texts":{"LDesc":"Adoption des IFRS"}},{"CultureName":"en-US","Texts":{"LDesc":"IFRS adoption"}}],"ID":13,"LDesc":"Adoption des IFRS","Name":"C5"},{"Descriptions":[{"CultureName":"fr-FR","Texts":{"LDesc":"Rapports locaux"}},{"CultureName":"en-US","Texts":{"LDesc":"Local reports"}}],"ID":15,"LDesc":"Rapports locaux","Name":"C6"}],"Messages":{"Messages":[],"UsedHints":{}}}</t>
  </si>
  <si>
    <t>/api/metadata/SetOfCtrl</t>
  </si>
  <si>
    <t>SetOfCtrl</t>
  </si>
  <si>
    <t>/api/metadata/Lock</t>
  </si>
  <si>
    <t>/api/metadata/SetOfRules</t>
  </si>
  <si>
    <t>/api/metadata/Conso</t>
  </si>
  <si>
    <t>Conso</t>
  </si>
  <si>
    <t>/api/metadata/Entity</t>
  </si>
  <si>
    <t>/api/metadata/Currency</t>
  </si>
  <si>
    <t>/api/metadata/Recipient</t>
  </si>
  <si>
    <t>/api/reporting/New2</t>
  </si>
  <si>
    <t>tReportingNew2</t>
  </si>
  <si>
    <t>{"Data":{"Framework":{"Phase":"A","Version":"C","Status":5,"ControlSets":{"P-A":{"ID":8,"LDesc":"Jeu de contr\u00F4le de la liasse de consolidation statutaire","Name":"P-A"},"P-E":{"ID":10,"LDesc":"Jeu de contr\u00F4le pour les unit\u00E9s mises en \u00E9quivalence","Name":"P-E"}},"ControlLevels":{"1":{"Descriptions":[{"CultureName":"fr-FR","Texts":{"LDesc":"Analyse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flux","Rank":2,"Name":"LEV2"}},"ID":1,"LDesc":"R\u00E9el","Name":"A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1899-12-30T01:00:00.000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1899-12-30T01:00:00.000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2000.09","FrameworkVersion":"C","ReportingStartDate":"1899-12-30T01:00:00.000Z","ReportingEndDate":"1899-12-30T01:00:00.000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</si>
  <si>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/api/Reporting</t>
  </si>
  <si>
    <t>Post#tReportingNew2</t>
  </si>
  <si>
    <t>Out</t>
  </si>
  <si>
    <t>{"Table":[{"aj":"A","ak":"2000.09","al":"C","am":"1899-12-30T01:00:00.000Z","an":"1899-12-30T01:00:00.000Z","b":true,"c":"","d":true,"e":"","f":true,"g":"","h":true,"i":0,"j":false,"k":true,"l":0,"m":true,"n":"","o":true,"p":false,"q":"","r":"","s":"","t":"","u":"","w":"1899-12-30T01:00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1899-12-30T01:00:00.000Z","da":false,"db":true,"dc":false,"dd":false,"de":false,"df":0,"dg":true,"dh":false,"di":false,"dj":false,"dk":0}]}</t>
  </si>
  <si>
    <t>PostResponse#tReportingNew2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</si>
  <si>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1899-12-30T01:00:00Z","AllowEarlyPublishing":true,"UseDefaultAfterPub":false,"AfterPublication":{"Standard":true,"Special":true,"Advanced":true,"Level":2},"UseDefaultAfterTran":false,"AfterTransfer":{"Standard":false,"Special":true,"Advanced":false,"Level":0}},"EntityReportings":[{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1899-12-30T01:00:00Z","AllowEarlyPublishing":false,"UseDefaultAfterPub":true,"AfterPublication":{"Standard":false,"Special":false,"Advanced":false,"Level":0},"UseDefaultAfterTran":true,"AfterTransfer":{"Standard":false,"Special":false,"Advanced":false,"Level":0}},"ID":0,"LDesc":null,"Name":null}],"Phase":"A","UpdatePeriod":"2000.09","FrameworkVersion":"C","ReportingStartDate":"1899-12-30T01:00:00Z","ReportingEndDate":"1899-12-30T01:00:00Z","OwnerSite":0,"OwnerWorkgroup":0,"CreationDate":"0001-01-01T00:00:00Z","Author":0,"UpdateDate":"0001-01-01T00:00:00Z","UpdateAuthor":0,"Descriptions":[{"CultureName":"fr-FR","Texts":{"LDesc":"Réel - 2000.09"}},{"CultureName":"en-US","Texts":{"LDesc":"Actual - 2000.09"}}],"ID":0,"LDesc":null,"Name":"A - 2000.09"}],"Messages":{"Messages":[{"Code":"RF0310","Severity":2,"Description":"Change LDescfr-FR de 'Réel - 2000.09' à ''","SourceRow":0,"SourceCol":0},{"Code":"RF0310","Severity":2,"Description":"Change LDescen-US de 'Actual - 2000.09' à ''","SourceRow":0,"SourceCol":0},{"Code":"RF0311","Severity":8,"Description":"L'objet de type Reporting et de code A - 2000.09 n'est pas considéré comme valide pas FC","SourceRow":0,"SourceCol":0},{"Code":"RF0312","Severity":8,"Description":"Erreur Invalid object A - 2000.09: The deadline of publication must be between the reporting start and end dates.\r\n\r\n lors de la sauvegarde de l'objet A - 2000.09 de type Reporting","SourceRow":0,"SourceCol":0},{"Code":"RF0452","Severity":8,"Description":"Des erreurs ont eu lieu dans cette session. Les modification sont suspendues","SourceRow":0,"SourceCol":0}],"UsedHints":{"RF0310":"","RF0311":"Vérifiez les paramètres","RF0312":"","RF0452":"Reconnectez-vous et essayez une autre fois"}}}</t>
  </si>
  <si>
    <t>RF_Refreshing</t>
  </si>
  <si>
    <t>Change metadat when language changes</t>
  </si>
  <si>
    <t>RF_Modifying</t>
  </si>
  <si>
    <t>Opening reporting…</t>
  </si>
  <si>
    <t>Ouverture du reporting…</t>
  </si>
  <si>
    <t>{"Data":[{"Descriptions":[{"CultureName":"fr-FR","Texts":{"SDesc":"Homepage","LDesc":"Homepage"}},{"CultureName":"en-US","Texts":{"SDesc":"Page d'accueil","LDesc":"Page d'accueil"}}],"ID":-524287,"LDesc":null,"Name":"HOME"},{"Descriptions":[{"CultureName":"fr-FR","Texts":{"SDesc":"","LDesc":"Liasse de consolidation statutaire"}},{"CultureName":"en-US","Texts":{"SDesc":"","LDesc":"Package - Actual"}}],"ID":1,"LDesc":null,"Name":"P-A"},{"Descriptions":[{"CultureName":"fr-FR","Texts":{"SDesc":"","LDesc":"Consultations comptables"}},{"CultureName":"en-US","Texts":{"SDesc":"","LDesc":"Accounting reports"}}],"ID":2,"LDesc":null,"Name":"C3"},{"Descriptions":[{"CultureName":"fr-FR","Texts":{"SDesc":"","LDesc":"Etats financiers"}},{"CultureName":"en-US","Texts":{"SDesc":"","LDesc":"Annual report"}}],"ID":4,"LDesc":null,"Name":"C1"},{"Descriptions":[{"CultureName":"fr-FR","Texts":{"SDesc":"","LDesc":"Sommaire de restitution"}},{"CultureName":"en-US","Texts":{"SDesc":"","LDesc":"Home pages and summary reports"}}],"ID":5,"LDesc":null,"Name":"C0"},{"Descriptions":[{"CultureName":"fr-FR","Texts":{"SDesc":"","LDesc":"Analyses"}},{"CultureName":"en-US","Texts":{"SDesc":"","LDesc":"Analysis"}}],"ID":7,"LDesc":null,"Name":"C2"},{"Descriptions":[{"CultureName":"fr-FR","Texts":{"SDesc":"","LDesc":"Contrôles"}},{"CultureName":"en-US","Texts":{"SDesc":"","LDesc":"Control reports"}}],"ID":8,"LDesc":null,"Name":"C4"},{"Descriptions":[{"CultureName":"fr-FR","Texts":{"SDesc":"","LDesc":"Liasse pour les unités mises en équivalence"}},{"CultureName":"en-US","Texts":{"SDesc":"","LDesc":"Package for equity method companies"}}],"ID":9,"LDesc":null,"Name":"P-E"},{"Descriptions":[{"CultureName":"fr-FR","Texts":{"SDesc":"","LDesc":"Contrôle du paramétrage"}},{"CultureName":"en-US","Texts":{"SDesc":"","LDesc":"Check configuration"}}],"ID":10,"LDesc":null,"Name":"T"},{"Descriptions":[{"CultureName":"fr-FR","Texts":{"SDesc":"","LDesc":"Taux de conversion - Saisie"}},{"CultureName":"en-US","Texts":{"SDesc":"","LDesc":"Conversion rates - Input"}}],"ID":11,"LDesc":null,"Name":"Y"},{"Descriptions":[{"CultureName":"fr-FR","Texts":{"SDesc":"","LDesc":"Adoption des IFRS"}},{"CultureName":"en-US","Texts":{"SDesc":"","LDesc":"IFRS adoption"}}],"ID":13,"LDesc":null,"Name":"C5"},{"Descriptions":[{"CultureName":"fr-FR","Texts":{"SDesc":"","LDesc":"Rapports locaux"}},{"CultureName":"en-US","Texts":{"SDesc":"","LDesc":"Local reports"}}],"ID":15,"LDesc":null,"Name":"C6"}],"Messages":{"Messages":[],"UsedHints":{}}}</t>
  </si>
  <si>
    <t>RF_Duplicating</t>
  </si>
  <si>
    <t>Duplicating…</t>
  </si>
  <si>
    <t>Duplication du reporting…</t>
  </si>
  <si>
    <t>RF_Saving</t>
  </si>
  <si>
    <t>Saving reporting…</t>
  </si>
  <si>
    <t>Enregistrement du reporting…</t>
  </si>
  <si>
    <t>Listing reportings…</t>
  </si>
  <si>
    <t>Lecture des reportings…</t>
  </si>
  <si>
    <t>Post#tReporting52428888</t>
  </si>
  <si>
    <t>{"Table":[{"aj":"A","ak":"2000.12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}]}</t>
  </si>
  <si>
    <t>PostResponse#tReporting52428888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</si>
  <si>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- 2000.12"}],"Messages":{"Messages":[{"Code":"RF0512","Severity":8,"Description":"La date butoir de remise des liasses doit être entre les dates de début et de fin pour l'unité S001","SourceRow":0,"SourceCol":0},{"Code":"RF0515","Severity":8,"Description":"Enité S001: Dans l'intégration automatique après publicaton, un niveau de contrôle doit être spécifié si et seulementsi le mode Avancé est choisi","SourceRow":0,"SourceCol":0},{"Code":"RF0516","Severity":8,"Description":"Enité S001: Dans l'intégration automatique après pilotage, un niveau de contrôle doit être spécifié si et seulementsi le mode Avancé est choisi","SourceRow":0,"SourceCol":0},{"Code":"RF0512","Severity":8,"Description":"La date butoir de remise des liasses doit être entre les dates de début et de fin pour l'unité S001","SourceRow":0,"SourceCol":0},{"Code":"RF0515","Severity":8,"Description":"Enité S001: Dans l'intégration automatique après publicaton, un niveau de contrôle doit être spécifié si et seulementsi le mode Avancé est choisi","SourceRow":0,"SourceCol":0},{"Code":"RF0516","Severity":8,"Description":"Enité S001: Dans l'intégration automatique après pilotage, un niveau de contrôle doit être spécifié si et seulementsi le mode Avancé est choisi","SourceRow":0,"SourceCol":0}],"UsedHints":{"RF0512":"Corrigez les dates","RF0515":"Corrigez les paramètres d'exploitation","RF0516":"Corrigez les paramètres d'exploitation"}}}</t>
  </si>
  <si>
    <t>{"Data":[{"Desc":"","Next":[{"Desc":"","Next":null,"Name":"C"}],"Name":"A"}],"Messages":{"Messages":[],"UsedHints":{}}}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</si>
</sst>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\ hh:mm:ss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1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4" borderId="0" xfId="0" applyNumberFormat="1" applyFill="1"/>
    <xf numFmtId="0" fontId="0" fillId="0" borderId="1" xfId="0" applyFont="1" applyFill="1" applyBorder="1" applyAlignment="1">
      <alignment vertical="center"/>
    </xf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  <xf numFmtId="49" fontId="0" fillId="4" borderId="0" xfId="0" applyNumberFormat="1" applyFill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vertical="center" wrapText="1"/>
    </xf>
    <xf numFmtId="0" fontId="4" fillId="0" borderId="0" xfId="0" applyNumberFormat="1" applyFont="1" applyAlignment="1">
      <alignment horizontal="left"/>
    </xf>
    <xf numFmtId="0" fontId="0" fillId="0" borderId="0" xfId="0" applyFont="1" applyFill="1" applyBorder="1" applyAlignment="1">
      <alignment vertical="center"/>
    </xf>
    <xf numFmtId="49" fontId="0" fillId="0" borderId="0" xfId="0" applyNumberFormat="1" applyAlignment="1" applyProtection="1"/>
    <xf numFmtId="0" fontId="0" fillId="0" borderId="0" xfId="0" applyAlignment="1">
      <alignment horizontal="right"/>
    </xf>
    <xf numFmtId="49" fontId="0" fillId="0" borderId="0" xfId="0" applyNumberFormat="1" applyAlignment="1">
      <alignment horizontal="center"/>
    </xf>
    <xf numFmtId="0" fontId="6" fillId="3" borderId="2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0" fontId="6" fillId="3" borderId="3" xfId="0" applyNumberFormat="1" applyFont="1" applyFill="1" applyBorder="1" applyAlignment="1">
      <alignment horizontal="center"/>
    </xf>
    <xf numFmtId="49" fontId="0" fillId="0" borderId="0" xfId="0" applyNumberFormat="1" applyAlignment="1" applyProtection="1">
      <alignment horizontal="center"/>
      <protection locked="0"/>
    </xf>
    <xf numFmtId="49" fontId="8" fillId="0" borderId="0" xfId="0" applyNumberFormat="1" applyFont="1" applyFill="1" applyBorder="1" applyAlignment="1" applyProtection="1"/>
  </cellXfs>
  <cellStyles count="2">
    <cellStyle name="Lien hypertexte" xfId="1" builtinId="8"/>
    <cellStyle name="Normal" xfId="0" builtinId="0"/>
  </cellStyles>
  <dxfs count="138">
    <dxf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209550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CTS Reporting Factory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1028699</xdr:colOff>
      <xdr:row>6</xdr:row>
      <xdr:rowOff>147638</xdr:rowOff>
    </xdr:from>
    <xdr:to>
      <xdr:col>13</xdr:col>
      <xdr:colOff>285749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Version 0.93 - 03/08/21</a:t>
          </a:fld>
          <a:endParaRPr lang="en-US" sz="1100"/>
        </a:p>
      </xdr:txBody>
    </xdr:sp>
    <xdr:clientData/>
  </xdr:twoCellAnchor>
  <xdr:twoCellAnchor editAs="absolute">
    <xdr:from>
      <xdr:col>11</xdr:col>
      <xdr:colOff>1409699</xdr:colOff>
      <xdr:row>6</xdr:row>
      <xdr:rowOff>156037</xdr:rowOff>
    </xdr:from>
    <xdr:to>
      <xdr:col>11</xdr:col>
      <xdr:colOff>1697699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1066799</xdr:colOff>
      <xdr:row>6</xdr:row>
      <xdr:rowOff>156037</xdr:rowOff>
    </xdr:from>
    <xdr:to>
      <xdr:col>11</xdr:col>
      <xdr:colOff>1354799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11</xdr:row>
      <xdr:rowOff>0</xdr:rowOff>
    </xdr:from>
    <xdr:to>
      <xdr:col>3</xdr:col>
      <xdr:colOff>0</xdr:colOff>
      <xdr:row>13</xdr:row>
      <xdr:rowOff>0</xdr:rowOff>
    </xdr:to>
    <xdr:sp macro="JSON_TableHeaderClick" textlink="$C$12">
      <xdr:nvSpPr>
        <xdr:cNvPr id="34" name="tReportings_1">
          <a:extLst>
            <a:ext uri="{FF2B5EF4-FFF2-40B4-BE49-F238E27FC236}">
              <a16:creationId xmlns:a16="http://schemas.microsoft.com/office/drawing/2014/main" id="{6EE67793-87AA-4921-94C3-29E6630EEFE4}"/>
            </a:ext>
          </a:extLst>
        </xdr:cNvPr>
        <xdr:cNvSpPr/>
      </xdr:nvSpPr>
      <xdr:spPr>
        <a:xfrm>
          <a:off x="714375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7C74D23-348D-44B3-A264-B29AF1AA9E3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ID</a:t>
          </a:fld>
          <a:endParaRPr lang="fr-FR" sz="1100"/>
        </a:p>
      </xdr:txBody>
    </xdr:sp>
    <xdr:clientData/>
  </xdr:twoCellAnchor>
  <xdr:twoCellAnchor>
    <xdr:from>
      <xdr:col>3</xdr:col>
      <xdr:colOff>0</xdr:colOff>
      <xdr:row>11</xdr:row>
      <xdr:rowOff>0</xdr:rowOff>
    </xdr:from>
    <xdr:to>
      <xdr:col>4</xdr:col>
      <xdr:colOff>0</xdr:colOff>
      <xdr:row>13</xdr:row>
      <xdr:rowOff>0</xdr:rowOff>
    </xdr:to>
    <xdr:sp macro="JSON_TableHeaderClick" textlink="$D$12">
      <xdr:nvSpPr>
        <xdr:cNvPr id="35" name="tReportings_2">
          <a:extLst>
            <a:ext uri="{FF2B5EF4-FFF2-40B4-BE49-F238E27FC236}">
              <a16:creationId xmlns:a16="http://schemas.microsoft.com/office/drawing/2014/main" id="{E45AFEE0-1177-47AE-8F55-B4A4DBB7EE8C}"/>
            </a:ext>
          </a:extLst>
        </xdr:cNvPr>
        <xdr:cNvSpPr/>
      </xdr:nvSpPr>
      <xdr:spPr>
        <a:xfrm>
          <a:off x="1695450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7E13211-59F8-46C2-AD4E-B6DAE1BBCC5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Category</a:t>
          </a:fld>
          <a:endParaRPr lang="fr-FR" sz="1100"/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13</xdr:row>
      <xdr:rowOff>0</xdr:rowOff>
    </xdr:to>
    <xdr:sp macro="JSON_TableHeaderClick" textlink="$E$12">
      <xdr:nvSpPr>
        <xdr:cNvPr id="36" name="tReportings_3">
          <a:extLst>
            <a:ext uri="{FF2B5EF4-FFF2-40B4-BE49-F238E27FC236}">
              <a16:creationId xmlns:a16="http://schemas.microsoft.com/office/drawing/2014/main" id="{D84AFB9C-E1BB-4216-9728-4C8D3FB60A0F}"/>
            </a:ext>
          </a:extLst>
        </xdr:cNvPr>
        <xdr:cNvSpPr/>
      </xdr:nvSpPr>
      <xdr:spPr>
        <a:xfrm>
          <a:off x="2676525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DE5BDA8-487A-473E-AEF9-6922B4295E6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Update Period</a:t>
          </a:fld>
          <a:endParaRPr lang="fr-FR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13</xdr:row>
      <xdr:rowOff>0</xdr:rowOff>
    </xdr:to>
    <xdr:sp macro="JSON_TableHeaderClick" textlink="$F$12">
      <xdr:nvSpPr>
        <xdr:cNvPr id="37" name="tReportings_4">
          <a:extLst>
            <a:ext uri="{FF2B5EF4-FFF2-40B4-BE49-F238E27FC236}">
              <a16:creationId xmlns:a16="http://schemas.microsoft.com/office/drawing/2014/main" id="{2687F7B9-6AA7-42EE-A7BD-2B1A0EA0F5AB}"/>
            </a:ext>
          </a:extLst>
        </xdr:cNvPr>
        <xdr:cNvSpPr/>
      </xdr:nvSpPr>
      <xdr:spPr>
        <a:xfrm>
          <a:off x="3657600" y="2095500"/>
          <a:ext cx="191452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7981B0A-1BF3-4612-A4E1-B368DA24DC0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Created</a:t>
          </a:fld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5</xdr:row>
      <xdr:rowOff>0</xdr:rowOff>
    </xdr:to>
    <xdr:sp macro="JSON_TableHeaderClick" textlink="$B$4">
      <xdr:nvSpPr>
        <xdr:cNvPr id="448" name="tReporting52428888_1">
          <a:extLst>
            <a:ext uri="{FF2B5EF4-FFF2-40B4-BE49-F238E27FC236}">
              <a16:creationId xmlns:a16="http://schemas.microsoft.com/office/drawing/2014/main" id="{D0A00ACE-CBD6-4C8B-A5E7-21AD2ED99DEF}"/>
            </a:ext>
          </a:extLst>
        </xdr:cNvPr>
        <xdr:cNvSpPr/>
      </xdr:nvSpPr>
      <xdr:spPr>
        <a:xfrm>
          <a:off x="4476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DA751592-BCDF-4D7D-8494-5351760B9D1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Reporting</a:t>
          </a:fld>
          <a:endParaRPr lang="fr-FR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5</xdr:row>
      <xdr:rowOff>0</xdr:rowOff>
    </xdr:to>
    <xdr:sp macro="JSON_TableHeaderClick" textlink="$C$4">
      <xdr:nvSpPr>
        <xdr:cNvPr id="449" name="tReporting52428888_2">
          <a:extLst>
            <a:ext uri="{FF2B5EF4-FFF2-40B4-BE49-F238E27FC236}">
              <a16:creationId xmlns:a16="http://schemas.microsoft.com/office/drawing/2014/main" id="{E4D209E0-1B70-4515-9EE3-481A775EE93A}"/>
            </a:ext>
          </a:extLst>
        </xdr:cNvPr>
        <xdr:cNvSpPr/>
      </xdr:nvSpPr>
      <xdr:spPr>
        <a:xfrm>
          <a:off x="828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7B7CAFA-4735-4171-990F-E808CD5A3AE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Category</a:t>
          </a:fld>
          <a:endParaRPr lang="fr-FR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5</xdr:row>
      <xdr:rowOff>0</xdr:rowOff>
    </xdr:to>
    <xdr:sp macro="JSON_TableHeaderClick" textlink="$D$4">
      <xdr:nvSpPr>
        <xdr:cNvPr id="450" name="tReporting52428888_3">
          <a:extLst>
            <a:ext uri="{FF2B5EF4-FFF2-40B4-BE49-F238E27FC236}">
              <a16:creationId xmlns:a16="http://schemas.microsoft.com/office/drawing/2014/main" id="{01B3BCFB-36AD-4829-ABFD-8C069B5181EA}"/>
            </a:ext>
          </a:extLst>
        </xdr:cNvPr>
        <xdr:cNvSpPr/>
      </xdr:nvSpPr>
      <xdr:spPr>
        <a:xfrm>
          <a:off x="1476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FB71C65-A4FD-401B-AEE2-90D175CDE3D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Update Period</a:t>
          </a:fld>
          <a:endParaRPr lang="fr-FR" sz="1100"/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5</xdr:row>
      <xdr:rowOff>0</xdr:rowOff>
    </xdr:to>
    <xdr:sp macro="JSON_TableHeaderClick" textlink="$E$4">
      <xdr:nvSpPr>
        <xdr:cNvPr id="451" name="tReporting52428888_4">
          <a:extLst>
            <a:ext uri="{FF2B5EF4-FFF2-40B4-BE49-F238E27FC236}">
              <a16:creationId xmlns:a16="http://schemas.microsoft.com/office/drawing/2014/main" id="{DDE49180-A8CF-476A-A9C2-35E073539CC0}"/>
            </a:ext>
          </a:extLst>
        </xdr:cNvPr>
        <xdr:cNvSpPr/>
      </xdr:nvSpPr>
      <xdr:spPr>
        <a:xfrm>
          <a:off x="2124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E620B36-5B64-4348-967F-DC0BCF2CEB7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Category version</a:t>
          </a:fld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5</xdr:row>
      <xdr:rowOff>0</xdr:rowOff>
    </xdr:to>
    <xdr:sp macro="JSON_TableHeaderClick" textlink="$F$4">
      <xdr:nvSpPr>
        <xdr:cNvPr id="452" name="tReporting52428888_5">
          <a:extLst>
            <a:ext uri="{FF2B5EF4-FFF2-40B4-BE49-F238E27FC236}">
              <a16:creationId xmlns:a16="http://schemas.microsoft.com/office/drawing/2014/main" id="{B75A482B-A7BB-4C1A-81C6-3A89557889CF}"/>
            </a:ext>
          </a:extLst>
        </xdr:cNvPr>
        <xdr:cNvSpPr/>
      </xdr:nvSpPr>
      <xdr:spPr>
        <a:xfrm>
          <a:off x="277177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ABF24C5-666B-4C5B-9231-A431171F703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Start date</a:t>
          </a:fld>
          <a:endParaRPr lang="fr-FR" sz="1100"/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5</xdr:row>
      <xdr:rowOff>0</xdr:rowOff>
    </xdr:to>
    <xdr:sp macro="JSON_TableHeaderClick" textlink="$G$4">
      <xdr:nvSpPr>
        <xdr:cNvPr id="453" name="tReporting52428888_6">
          <a:extLst>
            <a:ext uri="{FF2B5EF4-FFF2-40B4-BE49-F238E27FC236}">
              <a16:creationId xmlns:a16="http://schemas.microsoft.com/office/drawing/2014/main" id="{3D731958-935C-4CE0-876B-348C4525C5D2}"/>
            </a:ext>
          </a:extLst>
        </xdr:cNvPr>
        <xdr:cNvSpPr/>
      </xdr:nvSpPr>
      <xdr:spPr>
        <a:xfrm>
          <a:off x="421957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5498831-5BDD-4C3D-B3B4-5D9D9E8D004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End date</a:t>
          </a:fld>
          <a:endParaRPr lang="fr-FR" sz="1100"/>
        </a:p>
      </xdr:txBody>
    </xdr:sp>
    <xdr:clientData/>
  </xdr:twoCellAnchor>
  <xdr:twoCellAnchor>
    <xdr:from>
      <xdr:col>7</xdr:col>
      <xdr:colOff>0</xdr:colOff>
      <xdr:row>2</xdr:row>
      <xdr:rowOff>63500</xdr:rowOff>
    </xdr:from>
    <xdr:to>
      <xdr:col>8</xdr:col>
      <xdr:colOff>0</xdr:colOff>
      <xdr:row>5</xdr:row>
      <xdr:rowOff>0</xdr:rowOff>
    </xdr:to>
    <xdr:sp macro="JSON_TableHeaderClick" textlink="$H$4">
      <xdr:nvSpPr>
        <xdr:cNvPr id="454" name="tReporting52428888_7">
          <a:extLst>
            <a:ext uri="{FF2B5EF4-FFF2-40B4-BE49-F238E27FC236}">
              <a16:creationId xmlns:a16="http://schemas.microsoft.com/office/drawing/2014/main" id="{FEE6143C-204B-4E97-B0FA-6DEE4025349C}"/>
            </a:ext>
          </a:extLst>
        </xdr:cNvPr>
        <xdr:cNvSpPr/>
      </xdr:nvSpPr>
      <xdr:spPr>
        <a:xfrm>
          <a:off x="5667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74F58314-8AD0-407E-8DDD-D717F873570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Descriptions</a:t>
          </a:fld>
          <a:endParaRPr lang="fr-FR" sz="1100"/>
        </a:p>
      </xdr:txBody>
    </xdr:sp>
    <xdr:clientData/>
  </xdr:twoCellAnchor>
  <xdr:twoCellAnchor>
    <xdr:from>
      <xdr:col>8</xdr:col>
      <xdr:colOff>0</xdr:colOff>
      <xdr:row>2</xdr:row>
      <xdr:rowOff>63500</xdr:rowOff>
    </xdr:from>
    <xdr:to>
      <xdr:col>9</xdr:col>
      <xdr:colOff>0</xdr:colOff>
      <xdr:row>5</xdr:row>
      <xdr:rowOff>0</xdr:rowOff>
    </xdr:to>
    <xdr:sp macro="JSON_TableHeaderClick" textlink="$I$4">
      <xdr:nvSpPr>
        <xdr:cNvPr id="455" name="tReporting52428888_8">
          <a:extLst>
            <a:ext uri="{FF2B5EF4-FFF2-40B4-BE49-F238E27FC236}">
              <a16:creationId xmlns:a16="http://schemas.microsoft.com/office/drawing/2014/main" id="{6C448C33-DC50-405E-8FBA-46F4BD886487}"/>
            </a:ext>
          </a:extLst>
        </xdr:cNvPr>
        <xdr:cNvSpPr/>
      </xdr:nvSpPr>
      <xdr:spPr>
        <a:xfrm>
          <a:off x="6048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B00176F8-D669-44C7-910E-3B6C250C1BF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Package</a:t>
          </a:fld>
          <a:endParaRPr lang="fr-FR" sz="1100"/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0</xdr:colOff>
      <xdr:row>5</xdr:row>
      <xdr:rowOff>0</xdr:rowOff>
    </xdr:to>
    <xdr:sp macro="JSON_TableHeaderClick" textlink="$J$4">
      <xdr:nvSpPr>
        <xdr:cNvPr id="456" name="tReporting52428888_9">
          <a:extLst>
            <a:ext uri="{FF2B5EF4-FFF2-40B4-BE49-F238E27FC236}">
              <a16:creationId xmlns:a16="http://schemas.microsoft.com/office/drawing/2014/main" id="{218BFFFE-F158-4F56-A967-A968E3888CA8}"/>
            </a:ext>
          </a:extLst>
        </xdr:cNvPr>
        <xdr:cNvSpPr/>
      </xdr:nvSpPr>
      <xdr:spPr>
        <a:xfrm>
          <a:off x="6429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BCBC191-5371-4617-BA47-4017E8995ED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Default Windows Folder?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3</xdr:row>
      <xdr:rowOff>0</xdr:rowOff>
    </xdr:from>
    <xdr:to>
      <xdr:col>11</xdr:col>
      <xdr:colOff>0</xdr:colOff>
      <xdr:row>5</xdr:row>
      <xdr:rowOff>0</xdr:rowOff>
    </xdr:to>
    <xdr:sp macro="JSON_TableHeaderClick" textlink="$K$4">
      <xdr:nvSpPr>
        <xdr:cNvPr id="457" name="tReporting52428888_10">
          <a:extLst>
            <a:ext uri="{FF2B5EF4-FFF2-40B4-BE49-F238E27FC236}">
              <a16:creationId xmlns:a16="http://schemas.microsoft.com/office/drawing/2014/main" id="{21ED58E3-19AF-4063-B2BB-BF7621138005}"/>
            </a:ext>
          </a:extLst>
        </xdr:cNvPr>
        <xdr:cNvSpPr/>
      </xdr:nvSpPr>
      <xdr:spPr>
        <a:xfrm>
          <a:off x="7077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A24B80C-744F-45ED-A0D0-0392C349E0F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Windows folder</a:t>
          </a:fld>
          <a:endParaRPr lang="fr-FR" sz="1100"/>
        </a:p>
      </xdr:txBody>
    </xdr:sp>
    <xdr:clientData/>
  </xdr:twoCellAnchor>
  <xdr:twoCellAnchor>
    <xdr:from>
      <xdr:col>11</xdr:col>
      <xdr:colOff>0</xdr:colOff>
      <xdr:row>3</xdr:row>
      <xdr:rowOff>0</xdr:rowOff>
    </xdr:from>
    <xdr:to>
      <xdr:col>12</xdr:col>
      <xdr:colOff>0</xdr:colOff>
      <xdr:row>5</xdr:row>
      <xdr:rowOff>0</xdr:rowOff>
    </xdr:to>
    <xdr:sp macro="JSON_TableHeaderClick" textlink="$L$4">
      <xdr:nvSpPr>
        <xdr:cNvPr id="458" name="tReporting52428888_11">
          <a:extLst>
            <a:ext uri="{FF2B5EF4-FFF2-40B4-BE49-F238E27FC236}">
              <a16:creationId xmlns:a16="http://schemas.microsoft.com/office/drawing/2014/main" id="{DABEED94-3529-4EAF-AED3-2335F34D2250}"/>
            </a:ext>
          </a:extLst>
        </xdr:cNvPr>
        <xdr:cNvSpPr/>
      </xdr:nvSpPr>
      <xdr:spPr>
        <a:xfrm>
          <a:off x="7724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5EBF53E-F90E-45C2-95AA-07D1A82DE11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Default Internet Folder?</a:t>
          </a:fld>
          <a:endParaRPr lang="fr-FR" sz="1100"/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13</xdr:col>
      <xdr:colOff>0</xdr:colOff>
      <xdr:row>5</xdr:row>
      <xdr:rowOff>0</xdr:rowOff>
    </xdr:to>
    <xdr:sp macro="JSON_TableHeaderClick" textlink="$M$4">
      <xdr:nvSpPr>
        <xdr:cNvPr id="459" name="tReporting52428888_12">
          <a:extLst>
            <a:ext uri="{FF2B5EF4-FFF2-40B4-BE49-F238E27FC236}">
              <a16:creationId xmlns:a16="http://schemas.microsoft.com/office/drawing/2014/main" id="{50B8405B-4190-4A02-B6FD-8CEF65FBD2DA}"/>
            </a:ext>
          </a:extLst>
        </xdr:cNvPr>
        <xdr:cNvSpPr/>
      </xdr:nvSpPr>
      <xdr:spPr>
        <a:xfrm>
          <a:off x="8372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0A2D4C4-22D1-494A-B537-1501B37FFF1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Internet folder</a:t>
          </a:fld>
          <a:endParaRPr lang="fr-FR" sz="1100"/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JSON_TableHeaderClick" textlink="$N$4">
      <xdr:nvSpPr>
        <xdr:cNvPr id="460" name="tReporting52428888_13">
          <a:extLst>
            <a:ext uri="{FF2B5EF4-FFF2-40B4-BE49-F238E27FC236}">
              <a16:creationId xmlns:a16="http://schemas.microsoft.com/office/drawing/2014/main" id="{3ADFB8C4-F4AB-4292-B2AB-C1EA57DB7F19}"/>
            </a:ext>
          </a:extLst>
        </xdr:cNvPr>
        <xdr:cNvSpPr/>
      </xdr:nvSpPr>
      <xdr:spPr>
        <a:xfrm>
          <a:off x="9020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A1774ED-AAF8-48E5-9B94-676731EB163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Control Set: default?</a:t>
          </a:fld>
          <a:endParaRPr lang="fr-FR" sz="1100"/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15</xdr:col>
      <xdr:colOff>0</xdr:colOff>
      <xdr:row>5</xdr:row>
      <xdr:rowOff>0</xdr:rowOff>
    </xdr:to>
    <xdr:sp macro="JSON_TableHeaderClick" textlink="$O$4">
      <xdr:nvSpPr>
        <xdr:cNvPr id="461" name="tReporting52428888_14">
          <a:extLst>
            <a:ext uri="{FF2B5EF4-FFF2-40B4-BE49-F238E27FC236}">
              <a16:creationId xmlns:a16="http://schemas.microsoft.com/office/drawing/2014/main" id="{92F55870-0FE2-46EF-8888-2FF2A1238406}"/>
            </a:ext>
          </a:extLst>
        </xdr:cNvPr>
        <xdr:cNvSpPr/>
      </xdr:nvSpPr>
      <xdr:spPr>
        <a:xfrm>
          <a:off x="9667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7BF25FF-6625-4C2F-BFBF-C270D11E258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Control Set</a:t>
          </a:fld>
          <a:endParaRPr lang="fr-FR" sz="1100"/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16</xdr:col>
      <xdr:colOff>0</xdr:colOff>
      <xdr:row>5</xdr:row>
      <xdr:rowOff>0</xdr:rowOff>
    </xdr:to>
    <xdr:sp macro="JSON_TableHeaderClick" textlink="$P$4">
      <xdr:nvSpPr>
        <xdr:cNvPr id="462" name="tReporting52428888_15">
          <a:extLst>
            <a:ext uri="{FF2B5EF4-FFF2-40B4-BE49-F238E27FC236}">
              <a16:creationId xmlns:a16="http://schemas.microsoft.com/office/drawing/2014/main" id="{1B7972F8-8C83-4C92-901D-E25E5B93FF61}"/>
            </a:ext>
          </a:extLst>
        </xdr:cNvPr>
        <xdr:cNvSpPr/>
      </xdr:nvSpPr>
      <xdr:spPr>
        <a:xfrm>
          <a:off x="10315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ECB31CD-16BA-4F14-B0D5-70C8B82A663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Default Level?</a:t>
          </a:fld>
          <a:endParaRPr lang="fr-FR" sz="1100"/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5</xdr:row>
      <xdr:rowOff>0</xdr:rowOff>
    </xdr:to>
    <xdr:sp macro="JSON_TableHeaderClick" textlink="$Q$4">
      <xdr:nvSpPr>
        <xdr:cNvPr id="463" name="tReporting52428888_16">
          <a:extLst>
            <a:ext uri="{FF2B5EF4-FFF2-40B4-BE49-F238E27FC236}">
              <a16:creationId xmlns:a16="http://schemas.microsoft.com/office/drawing/2014/main" id="{0102D10A-7358-4E26-AAAC-D7486D20E342}"/>
            </a:ext>
          </a:extLst>
        </xdr:cNvPr>
        <xdr:cNvSpPr/>
      </xdr:nvSpPr>
      <xdr:spPr>
        <a:xfrm>
          <a:off x="10963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5BDD8A7-B675-4411-B669-F5A44F05E6A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Control Level</a:t>
          </a:fld>
          <a:endParaRPr lang="fr-FR" sz="1100"/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JSON_TableHeaderClick" textlink="$R$4">
      <xdr:nvSpPr>
        <xdr:cNvPr id="464" name="tReporting52428888_17">
          <a:extLst>
            <a:ext uri="{FF2B5EF4-FFF2-40B4-BE49-F238E27FC236}">
              <a16:creationId xmlns:a16="http://schemas.microsoft.com/office/drawing/2014/main" id="{440BE312-D2A4-4282-A9E8-A68EB94E6C19}"/>
            </a:ext>
          </a:extLst>
        </xdr:cNvPr>
        <xdr:cNvSpPr/>
      </xdr:nvSpPr>
      <xdr:spPr>
        <a:xfrm>
          <a:off x="11610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6A08E2F-25C1-4437-8742-95EBFE03D90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Blocking?</a:t>
          </a:fld>
          <a:endParaRPr lang="fr-FR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JSON_TableHeaderClick" textlink="$S$4">
      <xdr:nvSpPr>
        <xdr:cNvPr id="465" name="tReporting52428888_18">
          <a:extLst>
            <a:ext uri="{FF2B5EF4-FFF2-40B4-BE49-F238E27FC236}">
              <a16:creationId xmlns:a16="http://schemas.microsoft.com/office/drawing/2014/main" id="{8F0A86AC-04F1-43FC-9A8F-E62D7529BF67}"/>
            </a:ext>
          </a:extLst>
        </xdr:cNvPr>
        <xdr:cNvSpPr/>
      </xdr:nvSpPr>
      <xdr:spPr>
        <a:xfrm>
          <a:off x="12258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0170F12-912E-4002-A171-54A9A4A5665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Lock: default?</a:t>
          </a:fld>
          <a:endParaRPr lang="fr-FR" sz="1100"/>
        </a:p>
      </xdr:txBody>
    </xdr:sp>
    <xdr:clientData/>
  </xdr:twoCellAnchor>
  <xdr:twoCellAnchor>
    <xdr:from>
      <xdr:col>19</xdr:col>
      <xdr:colOff>0</xdr:colOff>
      <xdr:row>3</xdr:row>
      <xdr:rowOff>0</xdr:rowOff>
    </xdr:from>
    <xdr:to>
      <xdr:col>20</xdr:col>
      <xdr:colOff>0</xdr:colOff>
      <xdr:row>5</xdr:row>
      <xdr:rowOff>0</xdr:rowOff>
    </xdr:to>
    <xdr:sp macro="JSON_TableHeaderClick" textlink="$T$4">
      <xdr:nvSpPr>
        <xdr:cNvPr id="466" name="tReporting52428888_19">
          <a:extLst>
            <a:ext uri="{FF2B5EF4-FFF2-40B4-BE49-F238E27FC236}">
              <a16:creationId xmlns:a16="http://schemas.microsoft.com/office/drawing/2014/main" id="{37C22398-F590-4D5F-860F-5BEEF4ADDAA3}"/>
            </a:ext>
          </a:extLst>
        </xdr:cNvPr>
        <xdr:cNvSpPr/>
      </xdr:nvSpPr>
      <xdr:spPr>
        <a:xfrm>
          <a:off x="12906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D30D37C-4DF1-4404-8A1C-A9CFC3BD8FF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Lock on publication</a:t>
          </a:fld>
          <a:endParaRPr lang="fr-FR" sz="1100"/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JSON_TableHeaderClick" textlink="$U$4">
      <xdr:nvSpPr>
        <xdr:cNvPr id="467" name="tReporting52428888_20">
          <a:extLst>
            <a:ext uri="{FF2B5EF4-FFF2-40B4-BE49-F238E27FC236}">
              <a16:creationId xmlns:a16="http://schemas.microsoft.com/office/drawing/2014/main" id="{7F220967-853D-4833-87C9-CB5679D886BF}"/>
            </a:ext>
          </a:extLst>
        </xdr:cNvPr>
        <xdr:cNvSpPr/>
      </xdr:nvSpPr>
      <xdr:spPr>
        <a:xfrm>
          <a:off x="13554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1484931-B0D9-4574-A4EC-79B55556627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Rule Set: default?</a:t>
          </a:fld>
          <a:endParaRPr lang="fr-FR" sz="1100"/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0</xdr:rowOff>
    </xdr:to>
    <xdr:sp macro="JSON_TableHeaderClick" textlink="$V$4">
      <xdr:nvSpPr>
        <xdr:cNvPr id="468" name="tReporting52428888_21">
          <a:extLst>
            <a:ext uri="{FF2B5EF4-FFF2-40B4-BE49-F238E27FC236}">
              <a16:creationId xmlns:a16="http://schemas.microsoft.com/office/drawing/2014/main" id="{14FC6BA0-E2FD-4B69-AA8E-92DA39227965}"/>
            </a:ext>
          </a:extLst>
        </xdr:cNvPr>
        <xdr:cNvSpPr/>
      </xdr:nvSpPr>
      <xdr:spPr>
        <a:xfrm>
          <a:off x="14201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EBD3B68-2123-489B-8D03-E58B8D7D37A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Rule Set</a:t>
          </a:fld>
          <a:endParaRPr lang="fr-FR" sz="1100"/>
        </a:p>
      </xdr:txBody>
    </xdr:sp>
    <xdr:clientData/>
  </xdr:twoCellAnchor>
  <xdr:twoCellAnchor>
    <xdr:from>
      <xdr:col>22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JSON_TableHeaderClick" textlink="$W$4">
      <xdr:nvSpPr>
        <xdr:cNvPr id="469" name="tReporting52428888_22">
          <a:extLst>
            <a:ext uri="{FF2B5EF4-FFF2-40B4-BE49-F238E27FC236}">
              <a16:creationId xmlns:a16="http://schemas.microsoft.com/office/drawing/2014/main" id="{876832E8-BE32-4B8C-8FEA-64125546E5F0}"/>
            </a:ext>
          </a:extLst>
        </xdr:cNvPr>
        <xdr:cNvSpPr/>
      </xdr:nvSpPr>
      <xdr:spPr>
        <a:xfrm>
          <a:off x="14849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23E9EEA-FE70-4973-BF8C-78AB3E78F5F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Opening balance: default?</a:t>
          </a:fld>
          <a:endParaRPr lang="fr-FR" sz="1100"/>
        </a:p>
      </xdr:txBody>
    </xdr:sp>
    <xdr:clientData/>
  </xdr:twoCellAnchor>
  <xdr:twoCellAnchor>
    <xdr:from>
      <xdr:col>23</xdr:col>
      <xdr:colOff>0</xdr:colOff>
      <xdr:row>3</xdr:row>
      <xdr:rowOff>0</xdr:rowOff>
    </xdr:from>
    <xdr:to>
      <xdr:col>24</xdr:col>
      <xdr:colOff>0</xdr:colOff>
      <xdr:row>5</xdr:row>
      <xdr:rowOff>0</xdr:rowOff>
    </xdr:to>
    <xdr:sp macro="JSON_TableHeaderClick" textlink="$X$4">
      <xdr:nvSpPr>
        <xdr:cNvPr id="470" name="tReporting52428888_23">
          <a:extLst>
            <a:ext uri="{FF2B5EF4-FFF2-40B4-BE49-F238E27FC236}">
              <a16:creationId xmlns:a16="http://schemas.microsoft.com/office/drawing/2014/main" id="{0E2364CA-A159-4757-861E-8F187F7DC32C}"/>
            </a:ext>
          </a:extLst>
        </xdr:cNvPr>
        <xdr:cNvSpPr/>
      </xdr:nvSpPr>
      <xdr:spPr>
        <a:xfrm>
          <a:off x="15497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AAEFA93-C6B1-420B-8297-09E670CD3F6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Opening balance?</a:t>
          </a:fld>
          <a:endParaRPr lang="fr-FR" sz="1100"/>
        </a:p>
      </xdr:txBody>
    </xdr:sp>
    <xdr:clientData/>
  </xdr:twoCellAnchor>
  <xdr:twoCellAnchor>
    <xdr:from>
      <xdr:col>24</xdr:col>
      <xdr:colOff>0</xdr:colOff>
      <xdr:row>3</xdr:row>
      <xdr:rowOff>0</xdr:rowOff>
    </xdr:from>
    <xdr:to>
      <xdr:col>25</xdr:col>
      <xdr:colOff>0</xdr:colOff>
      <xdr:row>5</xdr:row>
      <xdr:rowOff>0</xdr:rowOff>
    </xdr:to>
    <xdr:sp macro="JSON_TableHeaderClick" textlink="$Y$4">
      <xdr:nvSpPr>
        <xdr:cNvPr id="471" name="tReporting52428888_24">
          <a:extLst>
            <a:ext uri="{FF2B5EF4-FFF2-40B4-BE49-F238E27FC236}">
              <a16:creationId xmlns:a16="http://schemas.microsoft.com/office/drawing/2014/main" id="{174D12C0-7174-4714-829B-F69BC57483EF}"/>
            </a:ext>
          </a:extLst>
        </xdr:cNvPr>
        <xdr:cNvSpPr/>
      </xdr:nvSpPr>
      <xdr:spPr>
        <a:xfrm>
          <a:off x="16144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7B744F5-E804-4E2B-9D31-D01587FA388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Category</a:t>
          </a:fld>
          <a:endParaRPr lang="fr-FR" sz="1100"/>
        </a:p>
      </xdr:txBody>
    </xdr:sp>
    <xdr:clientData/>
  </xdr:twoCellAnchor>
  <xdr:twoCellAnchor>
    <xdr:from>
      <xdr:col>25</xdr:col>
      <xdr:colOff>0</xdr:colOff>
      <xdr:row>3</xdr:row>
      <xdr:rowOff>0</xdr:rowOff>
    </xdr:from>
    <xdr:to>
      <xdr:col>26</xdr:col>
      <xdr:colOff>0</xdr:colOff>
      <xdr:row>5</xdr:row>
      <xdr:rowOff>0</xdr:rowOff>
    </xdr:to>
    <xdr:sp macro="JSON_TableHeaderClick" textlink="$Z$4">
      <xdr:nvSpPr>
        <xdr:cNvPr id="472" name="tReporting52428888_25">
          <a:extLst>
            <a:ext uri="{FF2B5EF4-FFF2-40B4-BE49-F238E27FC236}">
              <a16:creationId xmlns:a16="http://schemas.microsoft.com/office/drawing/2014/main" id="{BE4A45A8-2C30-4A12-ACEA-2E719354AEEC}"/>
            </a:ext>
          </a:extLst>
        </xdr:cNvPr>
        <xdr:cNvSpPr/>
      </xdr:nvSpPr>
      <xdr:spPr>
        <a:xfrm>
          <a:off x="16792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4341A51-C6BD-426D-92D5-A1DBB6B1655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Update Period</a:t>
          </a:fld>
          <a:endParaRPr lang="fr-FR" sz="1100"/>
        </a:p>
      </xdr:txBody>
    </xdr:sp>
    <xdr:clientData/>
  </xdr:twoCellAnchor>
  <xdr:twoCellAnchor>
    <xdr:from>
      <xdr:col>26</xdr:col>
      <xdr:colOff>0</xdr:colOff>
      <xdr:row>3</xdr:row>
      <xdr:rowOff>0</xdr:rowOff>
    </xdr:from>
    <xdr:to>
      <xdr:col>27</xdr:col>
      <xdr:colOff>0</xdr:colOff>
      <xdr:row>5</xdr:row>
      <xdr:rowOff>0</xdr:rowOff>
    </xdr:to>
    <xdr:sp macro="JSON_TableHeaderClick" textlink="$AA$4">
      <xdr:nvSpPr>
        <xdr:cNvPr id="473" name="tReporting52428888_26">
          <a:extLst>
            <a:ext uri="{FF2B5EF4-FFF2-40B4-BE49-F238E27FC236}">
              <a16:creationId xmlns:a16="http://schemas.microsoft.com/office/drawing/2014/main" id="{3A64AF43-FDDE-4C6D-8BC1-ABBE9126F50C}"/>
            </a:ext>
          </a:extLst>
        </xdr:cNvPr>
        <xdr:cNvSpPr/>
      </xdr:nvSpPr>
      <xdr:spPr>
        <a:xfrm>
          <a:off x="17440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917951B-CF02-4326-90D0-A03C0AB8FAA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Scope</a:t>
          </a:fld>
          <a:endParaRPr lang="fr-FR" sz="1100"/>
        </a:p>
      </xdr:txBody>
    </xdr:sp>
    <xdr:clientData/>
  </xdr:twoCellAnchor>
  <xdr:twoCellAnchor>
    <xdr:from>
      <xdr:col>27</xdr:col>
      <xdr:colOff>0</xdr:colOff>
      <xdr:row>3</xdr:row>
      <xdr:rowOff>0</xdr:rowOff>
    </xdr:from>
    <xdr:to>
      <xdr:col>28</xdr:col>
      <xdr:colOff>0</xdr:colOff>
      <xdr:row>5</xdr:row>
      <xdr:rowOff>0</xdr:rowOff>
    </xdr:to>
    <xdr:sp macro="JSON_TableHeaderClick" textlink="$AB$4">
      <xdr:nvSpPr>
        <xdr:cNvPr id="474" name="tReporting52428888_27">
          <a:extLst>
            <a:ext uri="{FF2B5EF4-FFF2-40B4-BE49-F238E27FC236}">
              <a16:creationId xmlns:a16="http://schemas.microsoft.com/office/drawing/2014/main" id="{32047F87-96FD-4F11-8DF9-B3E7AEF272DA}"/>
            </a:ext>
          </a:extLst>
        </xdr:cNvPr>
        <xdr:cNvSpPr/>
      </xdr:nvSpPr>
      <xdr:spPr>
        <a:xfrm>
          <a:off x="18087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E8E4EF7-F70C-4AA1-A223-4AF017C0EE6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Variant</a:t>
          </a:fld>
          <a:endParaRPr lang="fr-FR" sz="1100"/>
        </a:p>
      </xdr:txBody>
    </xdr:sp>
    <xdr:clientData/>
  </xdr:twoCellAnchor>
  <xdr:twoCellAnchor>
    <xdr:from>
      <xdr:col>28</xdr:col>
      <xdr:colOff>0</xdr:colOff>
      <xdr:row>3</xdr:row>
      <xdr:rowOff>0</xdr:rowOff>
    </xdr:from>
    <xdr:to>
      <xdr:col>29</xdr:col>
      <xdr:colOff>0</xdr:colOff>
      <xdr:row>5</xdr:row>
      <xdr:rowOff>0</xdr:rowOff>
    </xdr:to>
    <xdr:sp macro="JSON_TableHeaderClick" textlink="$AC$4">
      <xdr:nvSpPr>
        <xdr:cNvPr id="475" name="tReporting52428888_28">
          <a:extLst>
            <a:ext uri="{FF2B5EF4-FFF2-40B4-BE49-F238E27FC236}">
              <a16:creationId xmlns:a16="http://schemas.microsoft.com/office/drawing/2014/main" id="{F68E4FC9-5F81-4E50-8F26-A58CA3D6E014}"/>
            </a:ext>
          </a:extLst>
        </xdr:cNvPr>
        <xdr:cNvSpPr/>
      </xdr:nvSpPr>
      <xdr:spPr>
        <a:xfrm>
          <a:off x="18735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3FFDA2F-D89A-40F4-856C-E66686B9556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Currency</a:t>
          </a:fld>
          <a:endParaRPr lang="fr-FR" sz="1100"/>
        </a:p>
      </xdr:txBody>
    </xdr:sp>
    <xdr:clientData/>
  </xdr:twoCellAnchor>
  <xdr:twoCellAnchor>
    <xdr:from>
      <xdr:col>29</xdr:col>
      <xdr:colOff>0</xdr:colOff>
      <xdr:row>2</xdr:row>
      <xdr:rowOff>63500</xdr:rowOff>
    </xdr:from>
    <xdr:to>
      <xdr:col>30</xdr:col>
      <xdr:colOff>0</xdr:colOff>
      <xdr:row>5</xdr:row>
      <xdr:rowOff>0</xdr:rowOff>
    </xdr:to>
    <xdr:sp macro="JSON_TableHeaderClick" textlink="$AD$4">
      <xdr:nvSpPr>
        <xdr:cNvPr id="476" name="tReporting52428888_29">
          <a:extLst>
            <a:ext uri="{FF2B5EF4-FFF2-40B4-BE49-F238E27FC236}">
              <a16:creationId xmlns:a16="http://schemas.microsoft.com/office/drawing/2014/main" id="{29B34FEB-8733-4328-83A7-180074173CDC}"/>
            </a:ext>
          </a:extLst>
        </xdr:cNvPr>
        <xdr:cNvSpPr/>
      </xdr:nvSpPr>
      <xdr:spPr>
        <a:xfrm>
          <a:off x="19383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8CD0AF51-BC64-42C3-A357-BBD44FDA2AF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Operation</a:t>
          </a:fld>
          <a:endParaRPr lang="fr-FR" sz="1100"/>
        </a:p>
      </xdr:txBody>
    </xdr:sp>
    <xdr:clientData/>
  </xdr:twoCellAnchor>
  <xdr:twoCellAnchor>
    <xdr:from>
      <xdr:col>30</xdr:col>
      <xdr:colOff>0</xdr:colOff>
      <xdr:row>3</xdr:row>
      <xdr:rowOff>0</xdr:rowOff>
    </xdr:from>
    <xdr:to>
      <xdr:col>31</xdr:col>
      <xdr:colOff>0</xdr:colOff>
      <xdr:row>5</xdr:row>
      <xdr:rowOff>0</xdr:rowOff>
    </xdr:to>
    <xdr:sp macro="JSON_TableHeaderClick" textlink="$AE$4">
      <xdr:nvSpPr>
        <xdr:cNvPr id="477" name="tReporting52428888_30">
          <a:extLst>
            <a:ext uri="{FF2B5EF4-FFF2-40B4-BE49-F238E27FC236}">
              <a16:creationId xmlns:a16="http://schemas.microsoft.com/office/drawing/2014/main" id="{F442B3C8-F4E8-4D29-A270-FAE0479B4643}"/>
            </a:ext>
          </a:extLst>
        </xdr:cNvPr>
        <xdr:cNvSpPr/>
      </xdr:nvSpPr>
      <xdr:spPr>
        <a:xfrm>
          <a:off x="1976437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0AC7022-5A3E-49D6-B613-AF7646D98BB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Cutoff Date</a:t>
          </a:fld>
          <a:endParaRPr lang="fr-FR" sz="1100"/>
        </a:p>
      </xdr:txBody>
    </xdr:sp>
    <xdr:clientData/>
  </xdr:twoCellAnchor>
  <xdr:twoCellAnchor>
    <xdr:from>
      <xdr:col>31</xdr:col>
      <xdr:colOff>0</xdr:colOff>
      <xdr:row>3</xdr:row>
      <xdr:rowOff>0</xdr:rowOff>
    </xdr:from>
    <xdr:to>
      <xdr:col>32</xdr:col>
      <xdr:colOff>0</xdr:colOff>
      <xdr:row>5</xdr:row>
      <xdr:rowOff>0</xdr:rowOff>
    </xdr:to>
    <xdr:sp macro="JSON_TableHeaderClick" textlink="$AF$4">
      <xdr:nvSpPr>
        <xdr:cNvPr id="478" name="tReporting52428888_31">
          <a:extLst>
            <a:ext uri="{FF2B5EF4-FFF2-40B4-BE49-F238E27FC236}">
              <a16:creationId xmlns:a16="http://schemas.microsoft.com/office/drawing/2014/main" id="{D9E9364C-EE19-4F5D-A3A7-A48101CBE42B}"/>
            </a:ext>
          </a:extLst>
        </xdr:cNvPr>
        <xdr:cNvSpPr/>
      </xdr:nvSpPr>
      <xdr:spPr>
        <a:xfrm>
          <a:off x="21212175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A2DA509-8D6F-4226-B024-8EDED92C8CA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Early publishing?</a:t>
          </a:fld>
          <a:endParaRPr lang="fr-FR" sz="1100"/>
        </a:p>
      </xdr:txBody>
    </xdr:sp>
    <xdr:clientData/>
  </xdr:twoCellAnchor>
  <xdr:twoCellAnchor>
    <xdr:from>
      <xdr:col>32</xdr:col>
      <xdr:colOff>0</xdr:colOff>
      <xdr:row>2</xdr:row>
      <xdr:rowOff>63500</xdr:rowOff>
    </xdr:from>
    <xdr:to>
      <xdr:col>33</xdr:col>
      <xdr:colOff>0</xdr:colOff>
      <xdr:row>5</xdr:row>
      <xdr:rowOff>0</xdr:rowOff>
    </xdr:to>
    <xdr:sp macro="JSON_TableHeaderClick" textlink="$AG$4">
      <xdr:nvSpPr>
        <xdr:cNvPr id="479" name="tReporting52428888_32">
          <a:extLst>
            <a:ext uri="{FF2B5EF4-FFF2-40B4-BE49-F238E27FC236}">
              <a16:creationId xmlns:a16="http://schemas.microsoft.com/office/drawing/2014/main" id="{AE451EDA-576C-439A-BDCD-1EE7ADCAE07F}"/>
            </a:ext>
          </a:extLst>
        </xdr:cNvPr>
        <xdr:cNvSpPr/>
      </xdr:nvSpPr>
      <xdr:spPr>
        <a:xfrm>
          <a:off x="2192655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AF2F0F26-E4FA-480D-B80F-EF85DA4ACEC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publication</a:t>
          </a:fld>
          <a:endParaRPr lang="fr-FR" sz="1100"/>
        </a:p>
      </xdr:txBody>
    </xdr:sp>
    <xdr:clientData/>
  </xdr:twoCellAnchor>
  <xdr:twoCellAnchor>
    <xdr:from>
      <xdr:col>33</xdr:col>
      <xdr:colOff>0</xdr:colOff>
      <xdr:row>3</xdr:row>
      <xdr:rowOff>0</xdr:rowOff>
    </xdr:from>
    <xdr:to>
      <xdr:col>34</xdr:col>
      <xdr:colOff>0</xdr:colOff>
      <xdr:row>5</xdr:row>
      <xdr:rowOff>0</xdr:rowOff>
    </xdr:to>
    <xdr:sp macro="JSON_TableHeaderClick" textlink="$AH$4">
      <xdr:nvSpPr>
        <xdr:cNvPr id="480" name="tReporting52428888_33">
          <a:extLst>
            <a:ext uri="{FF2B5EF4-FFF2-40B4-BE49-F238E27FC236}">
              <a16:creationId xmlns:a16="http://schemas.microsoft.com/office/drawing/2014/main" id="{CDFA3620-CB39-4501-A3E8-2534D565C410}"/>
            </a:ext>
          </a:extLst>
        </xdr:cNvPr>
        <xdr:cNvSpPr/>
      </xdr:nvSpPr>
      <xdr:spPr>
        <a:xfrm>
          <a:off x="223075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E032A15-BE26-4A6D-B6D4-368BCD0EA5F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Standard pub.</a:t>
          </a:fld>
          <a:endParaRPr lang="fr-FR" sz="1100"/>
        </a:p>
      </xdr:txBody>
    </xdr:sp>
    <xdr:clientData/>
  </xdr:twoCellAnchor>
  <xdr:twoCellAnchor>
    <xdr:from>
      <xdr:col>34</xdr:col>
      <xdr:colOff>0</xdr:colOff>
      <xdr:row>3</xdr:row>
      <xdr:rowOff>0</xdr:rowOff>
    </xdr:from>
    <xdr:to>
      <xdr:col>35</xdr:col>
      <xdr:colOff>0</xdr:colOff>
      <xdr:row>5</xdr:row>
      <xdr:rowOff>0</xdr:rowOff>
    </xdr:to>
    <xdr:sp macro="JSON_TableHeaderClick" textlink="$AI$4">
      <xdr:nvSpPr>
        <xdr:cNvPr id="502" name="tReporting52428888_34">
          <a:extLst>
            <a:ext uri="{FF2B5EF4-FFF2-40B4-BE49-F238E27FC236}">
              <a16:creationId xmlns:a16="http://schemas.microsoft.com/office/drawing/2014/main" id="{3032E2B8-9B06-4E1B-8EAC-F4E313765FEA}"/>
            </a:ext>
          </a:extLst>
        </xdr:cNvPr>
        <xdr:cNvSpPr/>
      </xdr:nvSpPr>
      <xdr:spPr>
        <a:xfrm>
          <a:off x="229552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8AB4BCB-FCB3-4472-83C3-CC2E973DB8E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Special pub.</a:t>
          </a:fld>
          <a:endParaRPr lang="fr-FR" sz="1100"/>
        </a:p>
      </xdr:txBody>
    </xdr:sp>
    <xdr:clientData/>
  </xdr:twoCellAnchor>
  <xdr:twoCellAnchor>
    <xdr:from>
      <xdr:col>35</xdr:col>
      <xdr:colOff>0</xdr:colOff>
      <xdr:row>3</xdr:row>
      <xdr:rowOff>0</xdr:rowOff>
    </xdr:from>
    <xdr:to>
      <xdr:col>36</xdr:col>
      <xdr:colOff>0</xdr:colOff>
      <xdr:row>5</xdr:row>
      <xdr:rowOff>0</xdr:rowOff>
    </xdr:to>
    <xdr:sp macro="JSON_TableHeaderClick" textlink="$AJ$4">
      <xdr:nvSpPr>
        <xdr:cNvPr id="503" name="tReporting52428888_35">
          <a:extLst>
            <a:ext uri="{FF2B5EF4-FFF2-40B4-BE49-F238E27FC236}">
              <a16:creationId xmlns:a16="http://schemas.microsoft.com/office/drawing/2014/main" id="{6E2EA35B-C1F6-4EC4-8C98-5F0A4A1445A0}"/>
            </a:ext>
          </a:extLst>
        </xdr:cNvPr>
        <xdr:cNvSpPr/>
      </xdr:nvSpPr>
      <xdr:spPr>
        <a:xfrm>
          <a:off x="236029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96BC65A-EEBE-449D-AAF4-0FF9123F512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Advanced pub.</a:t>
          </a:fld>
          <a:endParaRPr lang="fr-FR" sz="1100"/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JSON_TableHeaderClick" textlink="$AK$4">
      <xdr:nvSpPr>
        <xdr:cNvPr id="504" name="tReporting52428888_36">
          <a:extLst>
            <a:ext uri="{FF2B5EF4-FFF2-40B4-BE49-F238E27FC236}">
              <a16:creationId xmlns:a16="http://schemas.microsoft.com/office/drawing/2014/main" id="{AEBD5C29-5BBB-49A3-A701-993FE7F0B0E0}"/>
            </a:ext>
          </a:extLst>
        </xdr:cNvPr>
        <xdr:cNvSpPr/>
      </xdr:nvSpPr>
      <xdr:spPr>
        <a:xfrm>
          <a:off x="242506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A5ED936-D924-45C7-9D76-0EFEB574F47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pub. Level</a:t>
          </a:fld>
          <a:endParaRPr lang="fr-FR" sz="1100"/>
        </a:p>
      </xdr:txBody>
    </xdr:sp>
    <xdr:clientData/>
  </xdr:twoCellAnchor>
  <xdr:twoCellAnchor>
    <xdr:from>
      <xdr:col>37</xdr:col>
      <xdr:colOff>0</xdr:colOff>
      <xdr:row>2</xdr:row>
      <xdr:rowOff>63500</xdr:rowOff>
    </xdr:from>
    <xdr:to>
      <xdr:col>38</xdr:col>
      <xdr:colOff>0</xdr:colOff>
      <xdr:row>5</xdr:row>
      <xdr:rowOff>0</xdr:rowOff>
    </xdr:to>
    <xdr:sp macro="JSON_TableHeaderClick" textlink="$AL$4">
      <xdr:nvSpPr>
        <xdr:cNvPr id="505" name="tReporting52428888_37">
          <a:extLst>
            <a:ext uri="{FF2B5EF4-FFF2-40B4-BE49-F238E27FC236}">
              <a16:creationId xmlns:a16="http://schemas.microsoft.com/office/drawing/2014/main" id="{C0B2808A-52B0-4F0F-ABF6-84FA45F767B4}"/>
            </a:ext>
          </a:extLst>
        </xdr:cNvPr>
        <xdr:cNvSpPr/>
      </xdr:nvSpPr>
      <xdr:spPr>
        <a:xfrm>
          <a:off x="2489835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E8E649FE-5303-44EF-9D73-56B4810B6A9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transfert</a:t>
          </a:fld>
          <a:endParaRPr lang="fr-FR" sz="1100"/>
        </a:p>
      </xdr:txBody>
    </xdr:sp>
    <xdr:clientData/>
  </xdr:twoCellAnchor>
  <xdr:twoCellAnchor>
    <xdr:from>
      <xdr:col>38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JSON_TableHeaderClick" textlink="$AM$4">
      <xdr:nvSpPr>
        <xdr:cNvPr id="506" name="tReporting52428888_38">
          <a:extLst>
            <a:ext uri="{FF2B5EF4-FFF2-40B4-BE49-F238E27FC236}">
              <a16:creationId xmlns:a16="http://schemas.microsoft.com/office/drawing/2014/main" id="{A2EC6E0E-F371-41DE-8174-ED6CE7C9596B}"/>
            </a:ext>
          </a:extLst>
        </xdr:cNvPr>
        <xdr:cNvSpPr/>
      </xdr:nvSpPr>
      <xdr:spPr>
        <a:xfrm>
          <a:off x="252793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43C36CB-8B5F-4170-99DD-0BA24D80E46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Standard tran.</a:t>
          </a:fld>
          <a:endParaRPr lang="fr-FR" sz="1100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40</xdr:col>
      <xdr:colOff>0</xdr:colOff>
      <xdr:row>5</xdr:row>
      <xdr:rowOff>0</xdr:rowOff>
    </xdr:to>
    <xdr:sp macro="JSON_TableHeaderClick" textlink="$AN$4">
      <xdr:nvSpPr>
        <xdr:cNvPr id="507" name="tReporting52428888_39">
          <a:extLst>
            <a:ext uri="{FF2B5EF4-FFF2-40B4-BE49-F238E27FC236}">
              <a16:creationId xmlns:a16="http://schemas.microsoft.com/office/drawing/2014/main" id="{4DF61CDB-6261-4104-B679-ED84AF4D4AB5}"/>
            </a:ext>
          </a:extLst>
        </xdr:cNvPr>
        <xdr:cNvSpPr/>
      </xdr:nvSpPr>
      <xdr:spPr>
        <a:xfrm>
          <a:off x="259270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9A2DEDF-9FB2-434C-BB5A-DFC3E6F7A48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Special tran.</a:t>
          </a:fld>
          <a:endParaRPr lang="fr-FR" sz="1100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41</xdr:col>
      <xdr:colOff>0</xdr:colOff>
      <xdr:row>5</xdr:row>
      <xdr:rowOff>0</xdr:rowOff>
    </xdr:to>
    <xdr:sp macro="JSON_TableHeaderClick" textlink="$AO$4">
      <xdr:nvSpPr>
        <xdr:cNvPr id="508" name="tReporting52428888_40">
          <a:extLst>
            <a:ext uri="{FF2B5EF4-FFF2-40B4-BE49-F238E27FC236}">
              <a16:creationId xmlns:a16="http://schemas.microsoft.com/office/drawing/2014/main" id="{C7F8AB34-7D9F-4745-AD9F-270D2E816A94}"/>
            </a:ext>
          </a:extLst>
        </xdr:cNvPr>
        <xdr:cNvSpPr/>
      </xdr:nvSpPr>
      <xdr:spPr>
        <a:xfrm>
          <a:off x="265747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6B4492E-829B-43CA-9173-1B8B2906146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Advanced tran.</a:t>
          </a:fld>
          <a:endParaRPr lang="fr-FR" sz="1100"/>
        </a:p>
      </xdr:txBody>
    </xdr:sp>
    <xdr:clientData/>
  </xdr:twoCellAnchor>
  <xdr:twoCellAnchor>
    <xdr:from>
      <xdr:col>41</xdr:col>
      <xdr:colOff>0</xdr:colOff>
      <xdr:row>3</xdr:row>
      <xdr:rowOff>0</xdr:rowOff>
    </xdr:from>
    <xdr:to>
      <xdr:col>42</xdr:col>
      <xdr:colOff>0</xdr:colOff>
      <xdr:row>5</xdr:row>
      <xdr:rowOff>0</xdr:rowOff>
    </xdr:to>
    <xdr:sp macro="JSON_TableHeaderClick" textlink="$AP$4">
      <xdr:nvSpPr>
        <xdr:cNvPr id="509" name="tReporting52428888_41">
          <a:extLst>
            <a:ext uri="{FF2B5EF4-FFF2-40B4-BE49-F238E27FC236}">
              <a16:creationId xmlns:a16="http://schemas.microsoft.com/office/drawing/2014/main" id="{062D8185-6CF1-4ABF-9A28-8713E4D0791E}"/>
            </a:ext>
          </a:extLst>
        </xdr:cNvPr>
        <xdr:cNvSpPr/>
      </xdr:nvSpPr>
      <xdr:spPr>
        <a:xfrm>
          <a:off x="272224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4ADBDB1-B5AF-4468-A16F-D0C65067AE3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tran. Level</a:t>
          </a:fld>
          <a:endParaRPr lang="fr-FR" sz="1100"/>
        </a:p>
      </xdr:txBody>
    </xdr:sp>
    <xdr:clientData/>
  </xdr:twoCellAnchor>
  <xdr:twoCellAnchor>
    <xdr:from>
      <xdr:col>42</xdr:col>
      <xdr:colOff>0</xdr:colOff>
      <xdr:row>2</xdr:row>
      <xdr:rowOff>63500</xdr:rowOff>
    </xdr:from>
    <xdr:to>
      <xdr:col>43</xdr:col>
      <xdr:colOff>0</xdr:colOff>
      <xdr:row>5</xdr:row>
      <xdr:rowOff>0</xdr:rowOff>
    </xdr:to>
    <xdr:sp macro="JSON_TableHeaderClick" textlink="$AQ$4">
      <xdr:nvSpPr>
        <xdr:cNvPr id="510" name="tReporting52428888_42">
          <a:extLst>
            <a:ext uri="{FF2B5EF4-FFF2-40B4-BE49-F238E27FC236}">
              <a16:creationId xmlns:a16="http://schemas.microsoft.com/office/drawing/2014/main" id="{D680CABC-EB39-40E3-AC97-F327976B90A0}"/>
            </a:ext>
          </a:extLst>
        </xdr:cNvPr>
        <xdr:cNvSpPr/>
      </xdr:nvSpPr>
      <xdr:spPr>
        <a:xfrm>
          <a:off x="2787015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3C926EB4-5163-4267-98A8-27E189F1201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Entity</a:t>
          </a:fld>
          <a:endParaRPr lang="fr-FR" sz="1100"/>
        </a:p>
      </xdr:txBody>
    </xdr:sp>
    <xdr:clientData/>
  </xdr:twoCellAnchor>
  <xdr:twoCellAnchor>
    <xdr:from>
      <xdr:col>43</xdr:col>
      <xdr:colOff>0</xdr:colOff>
      <xdr:row>3</xdr:row>
      <xdr:rowOff>0</xdr:rowOff>
    </xdr:from>
    <xdr:to>
      <xdr:col>44</xdr:col>
      <xdr:colOff>0</xdr:colOff>
      <xdr:row>5</xdr:row>
      <xdr:rowOff>0</xdr:rowOff>
    </xdr:to>
    <xdr:sp macro="JSON_TableHeaderClick" textlink="$AR$4">
      <xdr:nvSpPr>
        <xdr:cNvPr id="511" name="tReporting52428888_43">
          <a:extLst>
            <a:ext uri="{FF2B5EF4-FFF2-40B4-BE49-F238E27FC236}">
              <a16:creationId xmlns:a16="http://schemas.microsoft.com/office/drawing/2014/main" id="{A34068AC-7A2B-4F01-B514-2CB1C11217B3}"/>
            </a:ext>
          </a:extLst>
        </xdr:cNvPr>
        <xdr:cNvSpPr/>
      </xdr:nvSpPr>
      <xdr:spPr>
        <a:xfrm>
          <a:off x="282511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935DF03-6DA4-458E-8C85-A64D83B8655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Name</a:t>
          </a:fld>
          <a:endParaRPr lang="fr-FR" sz="1100"/>
        </a:p>
      </xdr:txBody>
    </xdr:sp>
    <xdr:clientData/>
  </xdr:twoCellAnchor>
  <xdr:twoCellAnchor>
    <xdr:from>
      <xdr:col>44</xdr:col>
      <xdr:colOff>0</xdr:colOff>
      <xdr:row>3</xdr:row>
      <xdr:rowOff>0</xdr:rowOff>
    </xdr:from>
    <xdr:to>
      <xdr:col>45</xdr:col>
      <xdr:colOff>0</xdr:colOff>
      <xdr:row>5</xdr:row>
      <xdr:rowOff>0</xdr:rowOff>
    </xdr:to>
    <xdr:sp macro="JSON_TableHeaderClick" textlink="$AS$4">
      <xdr:nvSpPr>
        <xdr:cNvPr id="512" name="tReporting52428888_44">
          <a:extLst>
            <a:ext uri="{FF2B5EF4-FFF2-40B4-BE49-F238E27FC236}">
              <a16:creationId xmlns:a16="http://schemas.microsoft.com/office/drawing/2014/main" id="{21117B23-BB4F-41E4-BAD7-7392339FC691}"/>
            </a:ext>
          </a:extLst>
        </xdr:cNvPr>
        <xdr:cNvSpPr/>
      </xdr:nvSpPr>
      <xdr:spPr>
        <a:xfrm>
          <a:off x="288988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C12A678-0C09-4A3A-8BA7-4AD51B123E0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Currency</a:t>
          </a:fld>
          <a:endParaRPr lang="fr-FR" sz="1100"/>
        </a:p>
      </xdr:txBody>
    </xdr:sp>
    <xdr:clientData/>
  </xdr:twoCellAnchor>
  <xdr:twoCellAnchor>
    <xdr:from>
      <xdr:col>45</xdr:col>
      <xdr:colOff>0</xdr:colOff>
      <xdr:row>3</xdr:row>
      <xdr:rowOff>0</xdr:rowOff>
    </xdr:from>
    <xdr:to>
      <xdr:col>46</xdr:col>
      <xdr:colOff>0</xdr:colOff>
      <xdr:row>5</xdr:row>
      <xdr:rowOff>0</xdr:rowOff>
    </xdr:to>
    <xdr:sp macro="JSON_TableHeaderClick" textlink="$AT$4">
      <xdr:nvSpPr>
        <xdr:cNvPr id="513" name="tReporting52428888_45">
          <a:extLst>
            <a:ext uri="{FF2B5EF4-FFF2-40B4-BE49-F238E27FC236}">
              <a16:creationId xmlns:a16="http://schemas.microsoft.com/office/drawing/2014/main" id="{23585EB0-E4BC-4D1C-A6CB-FE4B30EF78D8}"/>
            </a:ext>
          </a:extLst>
        </xdr:cNvPr>
        <xdr:cNvSpPr/>
      </xdr:nvSpPr>
      <xdr:spPr>
        <a:xfrm>
          <a:off x="295465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43B06A1-BD3D-40C5-BED0-3863F59FBDB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Input Site</a:t>
          </a:fld>
          <a:endParaRPr lang="fr-FR" sz="1100"/>
        </a:p>
      </xdr:txBody>
    </xdr:sp>
    <xdr:clientData/>
  </xdr:twoCellAnchor>
  <xdr:twoCellAnchor>
    <xdr:from>
      <xdr:col>46</xdr:col>
      <xdr:colOff>0</xdr:colOff>
      <xdr:row>3</xdr:row>
      <xdr:rowOff>0</xdr:rowOff>
    </xdr:from>
    <xdr:to>
      <xdr:col>47</xdr:col>
      <xdr:colOff>0</xdr:colOff>
      <xdr:row>5</xdr:row>
      <xdr:rowOff>0</xdr:rowOff>
    </xdr:to>
    <xdr:sp macro="JSON_TableHeaderClick" textlink="$AU$4">
      <xdr:nvSpPr>
        <xdr:cNvPr id="514" name="tReporting52428888_46">
          <a:extLst>
            <a:ext uri="{FF2B5EF4-FFF2-40B4-BE49-F238E27FC236}">
              <a16:creationId xmlns:a16="http://schemas.microsoft.com/office/drawing/2014/main" id="{428CC1DE-6760-463B-97BD-0137476344D3}"/>
            </a:ext>
          </a:extLst>
        </xdr:cNvPr>
        <xdr:cNvSpPr/>
      </xdr:nvSpPr>
      <xdr:spPr>
        <a:xfrm>
          <a:off x="30194250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13D7037-9882-4E3A-8565-1D448B2638F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Site</a:t>
          </a:fld>
          <a:endParaRPr lang="fr-FR" sz="1100"/>
        </a:p>
      </xdr:txBody>
    </xdr:sp>
    <xdr:clientData/>
  </xdr:twoCellAnchor>
  <xdr:twoCellAnchor>
    <xdr:from>
      <xdr:col>47</xdr:col>
      <xdr:colOff>0</xdr:colOff>
      <xdr:row>2</xdr:row>
      <xdr:rowOff>63500</xdr:rowOff>
    </xdr:from>
    <xdr:to>
      <xdr:col>48</xdr:col>
      <xdr:colOff>0</xdr:colOff>
      <xdr:row>5</xdr:row>
      <xdr:rowOff>0</xdr:rowOff>
    </xdr:to>
    <xdr:sp macro="JSON_TableHeaderClick" textlink="$AV$4">
      <xdr:nvSpPr>
        <xdr:cNvPr id="515" name="tReporting52428888_47">
          <a:extLst>
            <a:ext uri="{FF2B5EF4-FFF2-40B4-BE49-F238E27FC236}">
              <a16:creationId xmlns:a16="http://schemas.microsoft.com/office/drawing/2014/main" id="{09BCC5CE-9719-4B91-9505-CCE612B06D3F}"/>
            </a:ext>
          </a:extLst>
        </xdr:cNvPr>
        <xdr:cNvSpPr/>
      </xdr:nvSpPr>
      <xdr:spPr>
        <a:xfrm>
          <a:off x="309086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B16C2BD0-D6C9-4B3A-9A96-D42707BA8D9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Package</a:t>
          </a:fld>
          <a:endParaRPr lang="fr-FR" sz="1100"/>
        </a:p>
      </xdr:txBody>
    </xdr:sp>
    <xdr:clientData/>
  </xdr:twoCellAnchor>
  <xdr:twoCellAnchor>
    <xdr:from>
      <xdr:col>48</xdr:col>
      <xdr:colOff>0</xdr:colOff>
      <xdr:row>3</xdr:row>
      <xdr:rowOff>0</xdr:rowOff>
    </xdr:from>
    <xdr:to>
      <xdr:col>49</xdr:col>
      <xdr:colOff>0</xdr:colOff>
      <xdr:row>5</xdr:row>
      <xdr:rowOff>0</xdr:rowOff>
    </xdr:to>
    <xdr:sp macro="JSON_TableHeaderClick" textlink="$AW$4">
      <xdr:nvSpPr>
        <xdr:cNvPr id="516" name="tReporting52428888_48">
          <a:extLst>
            <a:ext uri="{FF2B5EF4-FFF2-40B4-BE49-F238E27FC236}">
              <a16:creationId xmlns:a16="http://schemas.microsoft.com/office/drawing/2014/main" id="{B5DE0BF2-E893-4859-A2A6-088C0E4F200F}"/>
            </a:ext>
          </a:extLst>
        </xdr:cNvPr>
        <xdr:cNvSpPr/>
      </xdr:nvSpPr>
      <xdr:spPr>
        <a:xfrm>
          <a:off x="31289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378AF7D-3C59-4876-8CAE-F0498FA6F19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Default Windows Folder?</a:t>
          </a:fld>
          <a:endParaRPr lang="fr-FR" sz="1100"/>
        </a:p>
      </xdr:txBody>
    </xdr:sp>
    <xdr:clientData/>
  </xdr:twoCellAnchor>
  <xdr:twoCellAnchor>
    <xdr:from>
      <xdr:col>49</xdr:col>
      <xdr:colOff>0</xdr:colOff>
      <xdr:row>3</xdr:row>
      <xdr:rowOff>0</xdr:rowOff>
    </xdr:from>
    <xdr:to>
      <xdr:col>50</xdr:col>
      <xdr:colOff>0</xdr:colOff>
      <xdr:row>5</xdr:row>
      <xdr:rowOff>0</xdr:rowOff>
    </xdr:to>
    <xdr:sp macro="JSON_TableHeaderClick" textlink="$AX$4">
      <xdr:nvSpPr>
        <xdr:cNvPr id="517" name="tReporting52428888_49">
          <a:extLst>
            <a:ext uri="{FF2B5EF4-FFF2-40B4-BE49-F238E27FC236}">
              <a16:creationId xmlns:a16="http://schemas.microsoft.com/office/drawing/2014/main" id="{C2AE52C2-EFAC-4022-B812-567A3670C5B9}"/>
            </a:ext>
          </a:extLst>
        </xdr:cNvPr>
        <xdr:cNvSpPr/>
      </xdr:nvSpPr>
      <xdr:spPr>
        <a:xfrm>
          <a:off x="31937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92780EB-C010-4CCB-9FB7-0B71BB941B0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Windows folder</a:t>
          </a:fld>
          <a:endParaRPr lang="fr-FR" sz="1100"/>
        </a:p>
      </xdr:txBody>
    </xdr:sp>
    <xdr:clientData/>
  </xdr:twoCellAnchor>
  <xdr:twoCellAnchor>
    <xdr:from>
      <xdr:col>50</xdr:col>
      <xdr:colOff>0</xdr:colOff>
      <xdr:row>3</xdr:row>
      <xdr:rowOff>0</xdr:rowOff>
    </xdr:from>
    <xdr:to>
      <xdr:col>51</xdr:col>
      <xdr:colOff>0</xdr:colOff>
      <xdr:row>5</xdr:row>
      <xdr:rowOff>0</xdr:rowOff>
    </xdr:to>
    <xdr:sp macro="JSON_TableHeaderClick" textlink="$AY$4">
      <xdr:nvSpPr>
        <xdr:cNvPr id="518" name="tReporting52428888_50">
          <a:extLst>
            <a:ext uri="{FF2B5EF4-FFF2-40B4-BE49-F238E27FC236}">
              <a16:creationId xmlns:a16="http://schemas.microsoft.com/office/drawing/2014/main" id="{3FCA2257-2BF0-4AEE-ADDB-366DBD1B5EC4}"/>
            </a:ext>
          </a:extLst>
        </xdr:cNvPr>
        <xdr:cNvSpPr/>
      </xdr:nvSpPr>
      <xdr:spPr>
        <a:xfrm>
          <a:off x="32585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5B48C7D-B35B-422C-ABCA-38E917E4338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Default Internet Folder?</a:t>
          </a:fld>
          <a:endParaRPr lang="fr-FR" sz="1100"/>
        </a:p>
      </xdr:txBody>
    </xdr:sp>
    <xdr:clientData/>
  </xdr:twoCellAnchor>
  <xdr:twoCellAnchor>
    <xdr:from>
      <xdr:col>51</xdr:col>
      <xdr:colOff>0</xdr:colOff>
      <xdr:row>3</xdr:row>
      <xdr:rowOff>0</xdr:rowOff>
    </xdr:from>
    <xdr:to>
      <xdr:col>52</xdr:col>
      <xdr:colOff>0</xdr:colOff>
      <xdr:row>5</xdr:row>
      <xdr:rowOff>0</xdr:rowOff>
    </xdr:to>
    <xdr:sp macro="JSON_TableHeaderClick" textlink="$AZ$4">
      <xdr:nvSpPr>
        <xdr:cNvPr id="519" name="tReporting52428888_51">
          <a:extLst>
            <a:ext uri="{FF2B5EF4-FFF2-40B4-BE49-F238E27FC236}">
              <a16:creationId xmlns:a16="http://schemas.microsoft.com/office/drawing/2014/main" id="{B64C4DFD-9F62-4022-B192-8D09112A0FE5}"/>
            </a:ext>
          </a:extLst>
        </xdr:cNvPr>
        <xdr:cNvSpPr/>
      </xdr:nvSpPr>
      <xdr:spPr>
        <a:xfrm>
          <a:off x="33232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2C7413B-B6FD-4269-A182-A74DE97420F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Internet folder</a:t>
          </a:fld>
          <a:endParaRPr lang="fr-FR" sz="1100"/>
        </a:p>
      </xdr:txBody>
    </xdr:sp>
    <xdr:clientData/>
  </xdr:twoCellAnchor>
  <xdr:twoCellAnchor>
    <xdr:from>
      <xdr:col>52</xdr:col>
      <xdr:colOff>0</xdr:colOff>
      <xdr:row>3</xdr:row>
      <xdr:rowOff>0</xdr:rowOff>
    </xdr:from>
    <xdr:to>
      <xdr:col>53</xdr:col>
      <xdr:colOff>0</xdr:colOff>
      <xdr:row>5</xdr:row>
      <xdr:rowOff>0</xdr:rowOff>
    </xdr:to>
    <xdr:sp macro="JSON_TableHeaderClick" textlink="$BA$4">
      <xdr:nvSpPr>
        <xdr:cNvPr id="520" name="tReporting52428888_52">
          <a:extLst>
            <a:ext uri="{FF2B5EF4-FFF2-40B4-BE49-F238E27FC236}">
              <a16:creationId xmlns:a16="http://schemas.microsoft.com/office/drawing/2014/main" id="{68A745CE-7E07-44F6-A3E0-1ABAC769351C}"/>
            </a:ext>
          </a:extLst>
        </xdr:cNvPr>
        <xdr:cNvSpPr/>
      </xdr:nvSpPr>
      <xdr:spPr>
        <a:xfrm>
          <a:off x="33880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DAF370F-2416-43EB-868F-76130725FEB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Control Set: default?</a:t>
          </a:fld>
          <a:endParaRPr lang="fr-FR" sz="1100"/>
        </a:p>
      </xdr:txBody>
    </xdr:sp>
    <xdr:clientData/>
  </xdr:twoCellAnchor>
  <xdr:twoCellAnchor>
    <xdr:from>
      <xdr:col>53</xdr:col>
      <xdr:colOff>0</xdr:colOff>
      <xdr:row>3</xdr:row>
      <xdr:rowOff>0</xdr:rowOff>
    </xdr:from>
    <xdr:to>
      <xdr:col>54</xdr:col>
      <xdr:colOff>0</xdr:colOff>
      <xdr:row>5</xdr:row>
      <xdr:rowOff>0</xdr:rowOff>
    </xdr:to>
    <xdr:sp macro="JSON_TableHeaderClick" textlink="$BB$4">
      <xdr:nvSpPr>
        <xdr:cNvPr id="521" name="tReporting52428888_53">
          <a:extLst>
            <a:ext uri="{FF2B5EF4-FFF2-40B4-BE49-F238E27FC236}">
              <a16:creationId xmlns:a16="http://schemas.microsoft.com/office/drawing/2014/main" id="{BCBA42C6-5605-4B91-A617-F96F650F0110}"/>
            </a:ext>
          </a:extLst>
        </xdr:cNvPr>
        <xdr:cNvSpPr/>
      </xdr:nvSpPr>
      <xdr:spPr>
        <a:xfrm>
          <a:off x="34528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8B3717A-A00F-40EF-8593-DE610ABE168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Control Set</a:t>
          </a:fld>
          <a:endParaRPr lang="fr-FR" sz="1100"/>
        </a:p>
      </xdr:txBody>
    </xdr:sp>
    <xdr:clientData/>
  </xdr:twoCellAnchor>
  <xdr:twoCellAnchor>
    <xdr:from>
      <xdr:col>54</xdr:col>
      <xdr:colOff>0</xdr:colOff>
      <xdr:row>3</xdr:row>
      <xdr:rowOff>0</xdr:rowOff>
    </xdr:from>
    <xdr:to>
      <xdr:col>55</xdr:col>
      <xdr:colOff>0</xdr:colOff>
      <xdr:row>5</xdr:row>
      <xdr:rowOff>0</xdr:rowOff>
    </xdr:to>
    <xdr:sp macro="JSON_TableHeaderClick" textlink="$BC$4">
      <xdr:nvSpPr>
        <xdr:cNvPr id="522" name="tReporting52428888_54">
          <a:extLst>
            <a:ext uri="{FF2B5EF4-FFF2-40B4-BE49-F238E27FC236}">
              <a16:creationId xmlns:a16="http://schemas.microsoft.com/office/drawing/2014/main" id="{47E22979-B9A0-42EC-A397-46C3C9C39969}"/>
            </a:ext>
          </a:extLst>
        </xdr:cNvPr>
        <xdr:cNvSpPr/>
      </xdr:nvSpPr>
      <xdr:spPr>
        <a:xfrm>
          <a:off x="35175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909A92D-8A24-42D6-BF68-214325786C9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Default Level?</a:t>
          </a:fld>
          <a:endParaRPr lang="fr-FR" sz="1100"/>
        </a:p>
      </xdr:txBody>
    </xdr:sp>
    <xdr:clientData/>
  </xdr:twoCellAnchor>
  <xdr:twoCellAnchor>
    <xdr:from>
      <xdr:col>55</xdr:col>
      <xdr:colOff>0</xdr:colOff>
      <xdr:row>3</xdr:row>
      <xdr:rowOff>0</xdr:rowOff>
    </xdr:from>
    <xdr:to>
      <xdr:col>56</xdr:col>
      <xdr:colOff>0</xdr:colOff>
      <xdr:row>5</xdr:row>
      <xdr:rowOff>0</xdr:rowOff>
    </xdr:to>
    <xdr:sp macro="JSON_TableHeaderClick" textlink="$BD$4">
      <xdr:nvSpPr>
        <xdr:cNvPr id="523" name="tReporting52428888_55">
          <a:extLst>
            <a:ext uri="{FF2B5EF4-FFF2-40B4-BE49-F238E27FC236}">
              <a16:creationId xmlns:a16="http://schemas.microsoft.com/office/drawing/2014/main" id="{87F1C1DA-6AAC-402D-A333-464A5A485D2A}"/>
            </a:ext>
          </a:extLst>
        </xdr:cNvPr>
        <xdr:cNvSpPr/>
      </xdr:nvSpPr>
      <xdr:spPr>
        <a:xfrm>
          <a:off x="35823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B59C51C-84E6-4C3C-A537-4718EC0B40B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Control Level</a:t>
          </a:fld>
          <a:endParaRPr lang="fr-FR" sz="1100"/>
        </a:p>
      </xdr:txBody>
    </xdr:sp>
    <xdr:clientData/>
  </xdr:twoCellAnchor>
  <xdr:twoCellAnchor>
    <xdr:from>
      <xdr:col>56</xdr:col>
      <xdr:colOff>0</xdr:colOff>
      <xdr:row>3</xdr:row>
      <xdr:rowOff>0</xdr:rowOff>
    </xdr:from>
    <xdr:to>
      <xdr:col>57</xdr:col>
      <xdr:colOff>0</xdr:colOff>
      <xdr:row>5</xdr:row>
      <xdr:rowOff>0</xdr:rowOff>
    </xdr:to>
    <xdr:sp macro="JSON_TableHeaderClick" textlink="$BE$4">
      <xdr:nvSpPr>
        <xdr:cNvPr id="524" name="tReporting52428888_56">
          <a:extLst>
            <a:ext uri="{FF2B5EF4-FFF2-40B4-BE49-F238E27FC236}">
              <a16:creationId xmlns:a16="http://schemas.microsoft.com/office/drawing/2014/main" id="{572DF0FD-6F57-47EF-B95F-8F43450455BD}"/>
            </a:ext>
          </a:extLst>
        </xdr:cNvPr>
        <xdr:cNvSpPr/>
      </xdr:nvSpPr>
      <xdr:spPr>
        <a:xfrm>
          <a:off x="36471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7DC1F0F-2430-40B9-8432-F278B90AE89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Blocking?</a:t>
          </a:fld>
          <a:endParaRPr lang="fr-FR" sz="1100"/>
        </a:p>
      </xdr:txBody>
    </xdr:sp>
    <xdr:clientData/>
  </xdr:twoCellAnchor>
  <xdr:twoCellAnchor>
    <xdr:from>
      <xdr:col>57</xdr:col>
      <xdr:colOff>0</xdr:colOff>
      <xdr:row>3</xdr:row>
      <xdr:rowOff>0</xdr:rowOff>
    </xdr:from>
    <xdr:to>
      <xdr:col>58</xdr:col>
      <xdr:colOff>0</xdr:colOff>
      <xdr:row>5</xdr:row>
      <xdr:rowOff>0</xdr:rowOff>
    </xdr:to>
    <xdr:sp macro="JSON_TableHeaderClick" textlink="$BF$4">
      <xdr:nvSpPr>
        <xdr:cNvPr id="525" name="tReporting52428888_57">
          <a:extLst>
            <a:ext uri="{FF2B5EF4-FFF2-40B4-BE49-F238E27FC236}">
              <a16:creationId xmlns:a16="http://schemas.microsoft.com/office/drawing/2014/main" id="{70EABE9F-3AD8-4BB7-BDE9-122B40717E8D}"/>
            </a:ext>
          </a:extLst>
        </xdr:cNvPr>
        <xdr:cNvSpPr/>
      </xdr:nvSpPr>
      <xdr:spPr>
        <a:xfrm>
          <a:off x="37118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71E0219-7AAC-4242-A0D8-C11163D7B6B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Lock: default?</a:t>
          </a:fld>
          <a:endParaRPr lang="fr-FR" sz="1100"/>
        </a:p>
      </xdr:txBody>
    </xdr:sp>
    <xdr:clientData/>
  </xdr:twoCellAnchor>
  <xdr:twoCellAnchor>
    <xdr:from>
      <xdr:col>58</xdr:col>
      <xdr:colOff>0</xdr:colOff>
      <xdr:row>3</xdr:row>
      <xdr:rowOff>0</xdr:rowOff>
    </xdr:from>
    <xdr:to>
      <xdr:col>59</xdr:col>
      <xdr:colOff>0</xdr:colOff>
      <xdr:row>5</xdr:row>
      <xdr:rowOff>0</xdr:rowOff>
    </xdr:to>
    <xdr:sp macro="JSON_TableHeaderClick" textlink="$BG$4">
      <xdr:nvSpPr>
        <xdr:cNvPr id="526" name="tReporting52428888_58">
          <a:extLst>
            <a:ext uri="{FF2B5EF4-FFF2-40B4-BE49-F238E27FC236}">
              <a16:creationId xmlns:a16="http://schemas.microsoft.com/office/drawing/2014/main" id="{D70D8539-A429-4517-81AB-9E52F713860C}"/>
            </a:ext>
          </a:extLst>
        </xdr:cNvPr>
        <xdr:cNvSpPr/>
      </xdr:nvSpPr>
      <xdr:spPr>
        <a:xfrm>
          <a:off x="37766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F5C24D4-36F3-4B34-9F18-5CC6429B94D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Lock on publication</a:t>
          </a:fld>
          <a:endParaRPr lang="fr-FR" sz="1100"/>
        </a:p>
      </xdr:txBody>
    </xdr:sp>
    <xdr:clientData/>
  </xdr:twoCellAnchor>
  <xdr:twoCellAnchor>
    <xdr:from>
      <xdr:col>59</xdr:col>
      <xdr:colOff>0</xdr:colOff>
      <xdr:row>3</xdr:row>
      <xdr:rowOff>0</xdr:rowOff>
    </xdr:from>
    <xdr:to>
      <xdr:col>60</xdr:col>
      <xdr:colOff>0</xdr:colOff>
      <xdr:row>5</xdr:row>
      <xdr:rowOff>0</xdr:rowOff>
    </xdr:to>
    <xdr:sp macro="JSON_TableHeaderClick" textlink="$BH$4">
      <xdr:nvSpPr>
        <xdr:cNvPr id="527" name="tReporting52428888_59">
          <a:extLst>
            <a:ext uri="{FF2B5EF4-FFF2-40B4-BE49-F238E27FC236}">
              <a16:creationId xmlns:a16="http://schemas.microsoft.com/office/drawing/2014/main" id="{3D95E98A-5669-4E78-8697-82EEEA44FE76}"/>
            </a:ext>
          </a:extLst>
        </xdr:cNvPr>
        <xdr:cNvSpPr/>
      </xdr:nvSpPr>
      <xdr:spPr>
        <a:xfrm>
          <a:off x="38414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3779179-371D-4D2F-8C38-09F65669E59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Rule Set: default?</a:t>
          </a:fld>
          <a:endParaRPr lang="fr-FR" sz="1100"/>
        </a:p>
      </xdr:txBody>
    </xdr:sp>
    <xdr:clientData/>
  </xdr:twoCellAnchor>
  <xdr:twoCellAnchor>
    <xdr:from>
      <xdr:col>60</xdr:col>
      <xdr:colOff>0</xdr:colOff>
      <xdr:row>3</xdr:row>
      <xdr:rowOff>0</xdr:rowOff>
    </xdr:from>
    <xdr:to>
      <xdr:col>61</xdr:col>
      <xdr:colOff>0</xdr:colOff>
      <xdr:row>5</xdr:row>
      <xdr:rowOff>0</xdr:rowOff>
    </xdr:to>
    <xdr:sp macro="JSON_TableHeaderClick" textlink="$BI$4">
      <xdr:nvSpPr>
        <xdr:cNvPr id="528" name="tReporting52428888_60">
          <a:extLst>
            <a:ext uri="{FF2B5EF4-FFF2-40B4-BE49-F238E27FC236}">
              <a16:creationId xmlns:a16="http://schemas.microsoft.com/office/drawing/2014/main" id="{6C3A5D2A-4A1B-4852-96F6-FC9248B90BAA}"/>
            </a:ext>
          </a:extLst>
        </xdr:cNvPr>
        <xdr:cNvSpPr/>
      </xdr:nvSpPr>
      <xdr:spPr>
        <a:xfrm>
          <a:off x="39062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9251945-539D-4B49-9815-E12CB8DE775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Rule Set</a:t>
          </a:fld>
          <a:endParaRPr lang="fr-FR" sz="1100"/>
        </a:p>
      </xdr:txBody>
    </xdr:sp>
    <xdr:clientData/>
  </xdr:twoCellAnchor>
  <xdr:twoCellAnchor>
    <xdr:from>
      <xdr:col>61</xdr:col>
      <xdr:colOff>0</xdr:colOff>
      <xdr:row>3</xdr:row>
      <xdr:rowOff>0</xdr:rowOff>
    </xdr:from>
    <xdr:to>
      <xdr:col>62</xdr:col>
      <xdr:colOff>0</xdr:colOff>
      <xdr:row>5</xdr:row>
      <xdr:rowOff>0</xdr:rowOff>
    </xdr:to>
    <xdr:sp macro="JSON_TableHeaderClick" textlink="$BJ$4">
      <xdr:nvSpPr>
        <xdr:cNvPr id="529" name="tReporting52428888_61">
          <a:extLst>
            <a:ext uri="{FF2B5EF4-FFF2-40B4-BE49-F238E27FC236}">
              <a16:creationId xmlns:a16="http://schemas.microsoft.com/office/drawing/2014/main" id="{BF064BA6-5650-4FCF-ADBF-3339FFA6828A}"/>
            </a:ext>
          </a:extLst>
        </xdr:cNvPr>
        <xdr:cNvSpPr/>
      </xdr:nvSpPr>
      <xdr:spPr>
        <a:xfrm>
          <a:off x="39709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E76BC49-1BB9-4E96-B022-56EBC65408B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Opening balance: default?</a:t>
          </a:fld>
          <a:endParaRPr lang="fr-FR" sz="1100"/>
        </a:p>
      </xdr:txBody>
    </xdr:sp>
    <xdr:clientData/>
  </xdr:twoCellAnchor>
  <xdr:twoCellAnchor>
    <xdr:from>
      <xdr:col>62</xdr:col>
      <xdr:colOff>0</xdr:colOff>
      <xdr:row>3</xdr:row>
      <xdr:rowOff>0</xdr:rowOff>
    </xdr:from>
    <xdr:to>
      <xdr:col>63</xdr:col>
      <xdr:colOff>0</xdr:colOff>
      <xdr:row>5</xdr:row>
      <xdr:rowOff>0</xdr:rowOff>
    </xdr:to>
    <xdr:sp macro="JSON_TableHeaderClick" textlink="$BK$4">
      <xdr:nvSpPr>
        <xdr:cNvPr id="530" name="tReporting52428888_62">
          <a:extLst>
            <a:ext uri="{FF2B5EF4-FFF2-40B4-BE49-F238E27FC236}">
              <a16:creationId xmlns:a16="http://schemas.microsoft.com/office/drawing/2014/main" id="{5C8E59D6-FEF5-4ECF-93F6-C0F876BF5252}"/>
            </a:ext>
          </a:extLst>
        </xdr:cNvPr>
        <xdr:cNvSpPr/>
      </xdr:nvSpPr>
      <xdr:spPr>
        <a:xfrm>
          <a:off x="40357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15E2740-67B4-4A86-9D07-E5DEAB06A08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Opening balance?</a:t>
          </a:fld>
          <a:endParaRPr lang="fr-FR" sz="1100"/>
        </a:p>
      </xdr:txBody>
    </xdr:sp>
    <xdr:clientData/>
  </xdr:twoCellAnchor>
  <xdr:twoCellAnchor>
    <xdr:from>
      <xdr:col>63</xdr:col>
      <xdr:colOff>0</xdr:colOff>
      <xdr:row>3</xdr:row>
      <xdr:rowOff>0</xdr:rowOff>
    </xdr:from>
    <xdr:to>
      <xdr:col>64</xdr:col>
      <xdr:colOff>0</xdr:colOff>
      <xdr:row>5</xdr:row>
      <xdr:rowOff>0</xdr:rowOff>
    </xdr:to>
    <xdr:sp macro="JSON_TableHeaderClick" textlink="$BL$4">
      <xdr:nvSpPr>
        <xdr:cNvPr id="531" name="tReporting52428888_63">
          <a:extLst>
            <a:ext uri="{FF2B5EF4-FFF2-40B4-BE49-F238E27FC236}">
              <a16:creationId xmlns:a16="http://schemas.microsoft.com/office/drawing/2014/main" id="{BD080C06-C3E9-4EAC-AC6A-B5BECC44054D}"/>
            </a:ext>
          </a:extLst>
        </xdr:cNvPr>
        <xdr:cNvSpPr/>
      </xdr:nvSpPr>
      <xdr:spPr>
        <a:xfrm>
          <a:off x="41005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A2420B3-4A81-4B04-8C98-1AE3B674448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Category</a:t>
          </a:fld>
          <a:endParaRPr lang="fr-FR" sz="1100"/>
        </a:p>
      </xdr:txBody>
    </xdr:sp>
    <xdr:clientData/>
  </xdr:twoCellAnchor>
  <xdr:twoCellAnchor>
    <xdr:from>
      <xdr:col>64</xdr:col>
      <xdr:colOff>0</xdr:colOff>
      <xdr:row>3</xdr:row>
      <xdr:rowOff>0</xdr:rowOff>
    </xdr:from>
    <xdr:to>
      <xdr:col>65</xdr:col>
      <xdr:colOff>0</xdr:colOff>
      <xdr:row>5</xdr:row>
      <xdr:rowOff>0</xdr:rowOff>
    </xdr:to>
    <xdr:sp macro="JSON_TableHeaderClick" textlink="$BM$4">
      <xdr:nvSpPr>
        <xdr:cNvPr id="532" name="tReporting52428888_64">
          <a:extLst>
            <a:ext uri="{FF2B5EF4-FFF2-40B4-BE49-F238E27FC236}">
              <a16:creationId xmlns:a16="http://schemas.microsoft.com/office/drawing/2014/main" id="{C2C1958F-C181-4547-B8CE-977507134543}"/>
            </a:ext>
          </a:extLst>
        </xdr:cNvPr>
        <xdr:cNvSpPr/>
      </xdr:nvSpPr>
      <xdr:spPr>
        <a:xfrm>
          <a:off x="41652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8718F42-7196-438B-A60B-1941730B5A3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Update Period</a:t>
          </a:fld>
          <a:endParaRPr lang="fr-FR" sz="1100"/>
        </a:p>
      </xdr:txBody>
    </xdr:sp>
    <xdr:clientData/>
  </xdr:twoCellAnchor>
  <xdr:twoCellAnchor>
    <xdr:from>
      <xdr:col>65</xdr:col>
      <xdr:colOff>0</xdr:colOff>
      <xdr:row>3</xdr:row>
      <xdr:rowOff>0</xdr:rowOff>
    </xdr:from>
    <xdr:to>
      <xdr:col>66</xdr:col>
      <xdr:colOff>0</xdr:colOff>
      <xdr:row>5</xdr:row>
      <xdr:rowOff>0</xdr:rowOff>
    </xdr:to>
    <xdr:sp macro="JSON_TableHeaderClick" textlink="$BN$4">
      <xdr:nvSpPr>
        <xdr:cNvPr id="533" name="tReporting52428888_65">
          <a:extLst>
            <a:ext uri="{FF2B5EF4-FFF2-40B4-BE49-F238E27FC236}">
              <a16:creationId xmlns:a16="http://schemas.microsoft.com/office/drawing/2014/main" id="{72176DE2-0656-4C66-943D-AFFB6CACC102}"/>
            </a:ext>
          </a:extLst>
        </xdr:cNvPr>
        <xdr:cNvSpPr/>
      </xdr:nvSpPr>
      <xdr:spPr>
        <a:xfrm>
          <a:off x="42300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7B8DF87-BAA0-413F-BEC0-639DF4F9A2C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Scope</a:t>
          </a:fld>
          <a:endParaRPr lang="fr-FR" sz="1100"/>
        </a:p>
      </xdr:txBody>
    </xdr:sp>
    <xdr:clientData/>
  </xdr:twoCellAnchor>
  <xdr:twoCellAnchor>
    <xdr:from>
      <xdr:col>66</xdr:col>
      <xdr:colOff>0</xdr:colOff>
      <xdr:row>3</xdr:row>
      <xdr:rowOff>0</xdr:rowOff>
    </xdr:from>
    <xdr:to>
      <xdr:col>67</xdr:col>
      <xdr:colOff>0</xdr:colOff>
      <xdr:row>5</xdr:row>
      <xdr:rowOff>0</xdr:rowOff>
    </xdr:to>
    <xdr:sp macro="JSON_TableHeaderClick" textlink="$BO$4">
      <xdr:nvSpPr>
        <xdr:cNvPr id="534" name="tReporting52428888_66">
          <a:extLst>
            <a:ext uri="{FF2B5EF4-FFF2-40B4-BE49-F238E27FC236}">
              <a16:creationId xmlns:a16="http://schemas.microsoft.com/office/drawing/2014/main" id="{CAAD68AB-5AD2-4FFD-803D-BBB18DA943E6}"/>
            </a:ext>
          </a:extLst>
        </xdr:cNvPr>
        <xdr:cNvSpPr/>
      </xdr:nvSpPr>
      <xdr:spPr>
        <a:xfrm>
          <a:off x="42948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1842775-2B2F-4BE3-A099-E41495CE5D4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Variant</a:t>
          </a:fld>
          <a:endParaRPr lang="fr-FR" sz="1100"/>
        </a:p>
      </xdr:txBody>
    </xdr:sp>
    <xdr:clientData/>
  </xdr:twoCellAnchor>
  <xdr:twoCellAnchor>
    <xdr:from>
      <xdr:col>67</xdr:col>
      <xdr:colOff>0</xdr:colOff>
      <xdr:row>3</xdr:row>
      <xdr:rowOff>0</xdr:rowOff>
    </xdr:from>
    <xdr:to>
      <xdr:col>68</xdr:col>
      <xdr:colOff>0</xdr:colOff>
      <xdr:row>5</xdr:row>
      <xdr:rowOff>0</xdr:rowOff>
    </xdr:to>
    <xdr:sp macro="JSON_TableHeaderClick" textlink="$BP$4">
      <xdr:nvSpPr>
        <xdr:cNvPr id="535" name="tReporting52428888_67">
          <a:extLst>
            <a:ext uri="{FF2B5EF4-FFF2-40B4-BE49-F238E27FC236}">
              <a16:creationId xmlns:a16="http://schemas.microsoft.com/office/drawing/2014/main" id="{9A5A0DDE-5460-4BC9-BF57-4BFED5836477}"/>
            </a:ext>
          </a:extLst>
        </xdr:cNvPr>
        <xdr:cNvSpPr/>
      </xdr:nvSpPr>
      <xdr:spPr>
        <a:xfrm>
          <a:off x="43595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9F813A2-409D-41F1-8887-19C5ED9A693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OB Currency</a:t>
          </a:fld>
          <a:endParaRPr lang="fr-FR" sz="1100"/>
        </a:p>
      </xdr:txBody>
    </xdr:sp>
    <xdr:clientData/>
  </xdr:twoCellAnchor>
  <xdr:twoCellAnchor>
    <xdr:from>
      <xdr:col>68</xdr:col>
      <xdr:colOff>0</xdr:colOff>
      <xdr:row>2</xdr:row>
      <xdr:rowOff>63500</xdr:rowOff>
    </xdr:from>
    <xdr:to>
      <xdr:col>69</xdr:col>
      <xdr:colOff>0</xdr:colOff>
      <xdr:row>5</xdr:row>
      <xdr:rowOff>0</xdr:rowOff>
    </xdr:to>
    <xdr:sp macro="JSON_TableHeaderClick" textlink="$BQ$4">
      <xdr:nvSpPr>
        <xdr:cNvPr id="536" name="tReporting52428888_68">
          <a:extLst>
            <a:ext uri="{FF2B5EF4-FFF2-40B4-BE49-F238E27FC236}">
              <a16:creationId xmlns:a16="http://schemas.microsoft.com/office/drawing/2014/main" id="{6DADF184-60B4-4841-AAC2-5BD44776666E}"/>
            </a:ext>
          </a:extLst>
        </xdr:cNvPr>
        <xdr:cNvSpPr/>
      </xdr:nvSpPr>
      <xdr:spPr>
        <a:xfrm>
          <a:off x="442436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9B1190E1-5D5D-4ACC-A087-53C4D92622B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Operation</a:t>
          </a:fld>
          <a:endParaRPr lang="fr-FR" sz="1100"/>
        </a:p>
      </xdr:txBody>
    </xdr:sp>
    <xdr:clientData/>
  </xdr:twoCellAnchor>
  <xdr:twoCellAnchor>
    <xdr:from>
      <xdr:col>69</xdr:col>
      <xdr:colOff>0</xdr:colOff>
      <xdr:row>3</xdr:row>
      <xdr:rowOff>0</xdr:rowOff>
    </xdr:from>
    <xdr:to>
      <xdr:col>70</xdr:col>
      <xdr:colOff>0</xdr:colOff>
      <xdr:row>5</xdr:row>
      <xdr:rowOff>0</xdr:rowOff>
    </xdr:to>
    <xdr:sp macro="JSON_TableHeaderClick" textlink="$BR$4">
      <xdr:nvSpPr>
        <xdr:cNvPr id="537" name="tReporting52428888_69">
          <a:extLst>
            <a:ext uri="{FF2B5EF4-FFF2-40B4-BE49-F238E27FC236}">
              <a16:creationId xmlns:a16="http://schemas.microsoft.com/office/drawing/2014/main" id="{51B5E3A1-B46D-4692-9C40-D7EA23B93F24}"/>
            </a:ext>
          </a:extLst>
        </xdr:cNvPr>
        <xdr:cNvSpPr/>
      </xdr:nvSpPr>
      <xdr:spPr>
        <a:xfrm>
          <a:off x="44624625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E77D8A5-966D-4C9F-A96B-D639D7B2E15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Operation: default?</a:t>
          </a:fld>
          <a:endParaRPr lang="fr-FR" sz="1100"/>
        </a:p>
      </xdr:txBody>
    </xdr:sp>
    <xdr:clientData/>
  </xdr:twoCellAnchor>
  <xdr:twoCellAnchor>
    <xdr:from>
      <xdr:col>70</xdr:col>
      <xdr:colOff>0</xdr:colOff>
      <xdr:row>3</xdr:row>
      <xdr:rowOff>0</xdr:rowOff>
    </xdr:from>
    <xdr:to>
      <xdr:col>71</xdr:col>
      <xdr:colOff>0</xdr:colOff>
      <xdr:row>5</xdr:row>
      <xdr:rowOff>0</xdr:rowOff>
    </xdr:to>
    <xdr:sp macro="JSON_TableHeaderClick" textlink="$BS$4">
      <xdr:nvSpPr>
        <xdr:cNvPr id="538" name="tReporting52428888_70">
          <a:extLst>
            <a:ext uri="{FF2B5EF4-FFF2-40B4-BE49-F238E27FC236}">
              <a16:creationId xmlns:a16="http://schemas.microsoft.com/office/drawing/2014/main" id="{EBCFD33E-2377-46E9-86A0-12B766FC31E9}"/>
            </a:ext>
          </a:extLst>
        </xdr:cNvPr>
        <xdr:cNvSpPr/>
      </xdr:nvSpPr>
      <xdr:spPr>
        <a:xfrm>
          <a:off x="45339000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13AF2D3-6151-4AF9-B839-AB95E4B4A8A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Cutoff Date</a:t>
          </a:fld>
          <a:endParaRPr lang="fr-FR" sz="1100"/>
        </a:p>
      </xdr:txBody>
    </xdr:sp>
    <xdr:clientData/>
  </xdr:twoCellAnchor>
  <xdr:twoCellAnchor>
    <xdr:from>
      <xdr:col>71</xdr:col>
      <xdr:colOff>0</xdr:colOff>
      <xdr:row>3</xdr:row>
      <xdr:rowOff>0</xdr:rowOff>
    </xdr:from>
    <xdr:to>
      <xdr:col>72</xdr:col>
      <xdr:colOff>0</xdr:colOff>
      <xdr:row>5</xdr:row>
      <xdr:rowOff>0</xdr:rowOff>
    </xdr:to>
    <xdr:sp macro="JSON_TableHeaderClick" textlink="$BT$4">
      <xdr:nvSpPr>
        <xdr:cNvPr id="539" name="tReporting52428888_71">
          <a:extLst>
            <a:ext uri="{FF2B5EF4-FFF2-40B4-BE49-F238E27FC236}">
              <a16:creationId xmlns:a16="http://schemas.microsoft.com/office/drawing/2014/main" id="{9B68EEEE-DBE3-426F-ABBB-AB6BD18B9A79}"/>
            </a:ext>
          </a:extLst>
        </xdr:cNvPr>
        <xdr:cNvSpPr/>
      </xdr:nvSpPr>
      <xdr:spPr>
        <a:xfrm>
          <a:off x="46786800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C79FC91-D30A-4D35-AD39-2AB6D1571E8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Early publishing?</a:t>
          </a:fld>
          <a:endParaRPr lang="fr-FR" sz="1100"/>
        </a:p>
      </xdr:txBody>
    </xdr:sp>
    <xdr:clientData/>
  </xdr:twoCellAnchor>
  <xdr:twoCellAnchor>
    <xdr:from>
      <xdr:col>72</xdr:col>
      <xdr:colOff>0</xdr:colOff>
      <xdr:row>2</xdr:row>
      <xdr:rowOff>63500</xdr:rowOff>
    </xdr:from>
    <xdr:to>
      <xdr:col>73</xdr:col>
      <xdr:colOff>0</xdr:colOff>
      <xdr:row>5</xdr:row>
      <xdr:rowOff>0</xdr:rowOff>
    </xdr:to>
    <xdr:sp macro="JSON_TableHeaderClick" textlink="$BU$4">
      <xdr:nvSpPr>
        <xdr:cNvPr id="540" name="tReporting52428888_72">
          <a:extLst>
            <a:ext uri="{FF2B5EF4-FFF2-40B4-BE49-F238E27FC236}">
              <a16:creationId xmlns:a16="http://schemas.microsoft.com/office/drawing/2014/main" id="{BEF368EF-AFE7-4D69-A9DC-78F66ECDB052}"/>
            </a:ext>
          </a:extLst>
        </xdr:cNvPr>
        <xdr:cNvSpPr/>
      </xdr:nvSpPr>
      <xdr:spPr>
        <a:xfrm>
          <a:off x="475011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58F6B3CE-AA4E-4753-BA3D-AA7D4AB5219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publication</a:t>
          </a:fld>
          <a:endParaRPr lang="fr-FR" sz="1100"/>
        </a:p>
      </xdr:txBody>
    </xdr:sp>
    <xdr:clientData/>
  </xdr:twoCellAnchor>
  <xdr:twoCellAnchor>
    <xdr:from>
      <xdr:col>73</xdr:col>
      <xdr:colOff>0</xdr:colOff>
      <xdr:row>3</xdr:row>
      <xdr:rowOff>0</xdr:rowOff>
    </xdr:from>
    <xdr:to>
      <xdr:col>74</xdr:col>
      <xdr:colOff>0</xdr:colOff>
      <xdr:row>5</xdr:row>
      <xdr:rowOff>0</xdr:rowOff>
    </xdr:to>
    <xdr:sp macro="JSON_TableHeaderClick" textlink="$BV$4">
      <xdr:nvSpPr>
        <xdr:cNvPr id="541" name="tReporting52428888_73">
          <a:extLst>
            <a:ext uri="{FF2B5EF4-FFF2-40B4-BE49-F238E27FC236}">
              <a16:creationId xmlns:a16="http://schemas.microsoft.com/office/drawing/2014/main" id="{EC7E9820-1E4E-4A31-842B-681F0D8E4964}"/>
            </a:ext>
          </a:extLst>
        </xdr:cNvPr>
        <xdr:cNvSpPr/>
      </xdr:nvSpPr>
      <xdr:spPr>
        <a:xfrm>
          <a:off x="47882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FBDB16B-20B1-42C5-AC9F-C0672A9AADB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publication: default?</a:t>
          </a:fld>
          <a:endParaRPr lang="fr-FR" sz="1100"/>
        </a:p>
      </xdr:txBody>
    </xdr:sp>
    <xdr:clientData/>
  </xdr:twoCellAnchor>
  <xdr:twoCellAnchor>
    <xdr:from>
      <xdr:col>74</xdr:col>
      <xdr:colOff>0</xdr:colOff>
      <xdr:row>3</xdr:row>
      <xdr:rowOff>0</xdr:rowOff>
    </xdr:from>
    <xdr:to>
      <xdr:col>75</xdr:col>
      <xdr:colOff>0</xdr:colOff>
      <xdr:row>5</xdr:row>
      <xdr:rowOff>0</xdr:rowOff>
    </xdr:to>
    <xdr:sp macro="JSON_TableHeaderClick" textlink="$BW$4">
      <xdr:nvSpPr>
        <xdr:cNvPr id="542" name="tReporting52428888_74">
          <a:extLst>
            <a:ext uri="{FF2B5EF4-FFF2-40B4-BE49-F238E27FC236}">
              <a16:creationId xmlns:a16="http://schemas.microsoft.com/office/drawing/2014/main" id="{4479E04D-9F6A-4B7C-9597-27F5E1C36FE1}"/>
            </a:ext>
          </a:extLst>
        </xdr:cNvPr>
        <xdr:cNvSpPr/>
      </xdr:nvSpPr>
      <xdr:spPr>
        <a:xfrm>
          <a:off x="48529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F3ADDB7-2265-4FC6-8326-B99A81AB544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Standard pub.</a:t>
          </a:fld>
          <a:endParaRPr lang="fr-FR" sz="1100"/>
        </a:p>
      </xdr:txBody>
    </xdr:sp>
    <xdr:clientData/>
  </xdr:twoCellAnchor>
  <xdr:twoCellAnchor>
    <xdr:from>
      <xdr:col>75</xdr:col>
      <xdr:colOff>0</xdr:colOff>
      <xdr:row>3</xdr:row>
      <xdr:rowOff>0</xdr:rowOff>
    </xdr:from>
    <xdr:to>
      <xdr:col>76</xdr:col>
      <xdr:colOff>0</xdr:colOff>
      <xdr:row>5</xdr:row>
      <xdr:rowOff>0</xdr:rowOff>
    </xdr:to>
    <xdr:sp macro="JSON_TableHeaderClick" textlink="$BX$4">
      <xdr:nvSpPr>
        <xdr:cNvPr id="543" name="tReporting52428888_75">
          <a:extLst>
            <a:ext uri="{FF2B5EF4-FFF2-40B4-BE49-F238E27FC236}">
              <a16:creationId xmlns:a16="http://schemas.microsoft.com/office/drawing/2014/main" id="{5A72AE56-F4E0-425A-9D10-3295F3512DCF}"/>
            </a:ext>
          </a:extLst>
        </xdr:cNvPr>
        <xdr:cNvSpPr/>
      </xdr:nvSpPr>
      <xdr:spPr>
        <a:xfrm>
          <a:off x="49177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3676C8F-14B0-4377-AA17-49FCCA72C7F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Special pub.</a:t>
          </a:fld>
          <a:endParaRPr lang="fr-FR" sz="1100"/>
        </a:p>
      </xdr:txBody>
    </xdr:sp>
    <xdr:clientData/>
  </xdr:twoCellAnchor>
  <xdr:twoCellAnchor>
    <xdr:from>
      <xdr:col>76</xdr:col>
      <xdr:colOff>0</xdr:colOff>
      <xdr:row>3</xdr:row>
      <xdr:rowOff>0</xdr:rowOff>
    </xdr:from>
    <xdr:to>
      <xdr:col>77</xdr:col>
      <xdr:colOff>0</xdr:colOff>
      <xdr:row>5</xdr:row>
      <xdr:rowOff>0</xdr:rowOff>
    </xdr:to>
    <xdr:sp macro="JSON_TableHeaderClick" textlink="$BY$4">
      <xdr:nvSpPr>
        <xdr:cNvPr id="544" name="tReporting52428888_76">
          <a:extLst>
            <a:ext uri="{FF2B5EF4-FFF2-40B4-BE49-F238E27FC236}">
              <a16:creationId xmlns:a16="http://schemas.microsoft.com/office/drawing/2014/main" id="{ADBD6A0F-6453-483D-9DD4-777CFC55EB2F}"/>
            </a:ext>
          </a:extLst>
        </xdr:cNvPr>
        <xdr:cNvSpPr/>
      </xdr:nvSpPr>
      <xdr:spPr>
        <a:xfrm>
          <a:off x="49825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D5F4C82-61CE-4EFF-87DC-268EF143E0B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Advanced pub.</a:t>
          </a:fld>
          <a:endParaRPr lang="fr-FR" sz="1100"/>
        </a:p>
      </xdr:txBody>
    </xdr:sp>
    <xdr:clientData/>
  </xdr:twoCellAnchor>
  <xdr:twoCellAnchor>
    <xdr:from>
      <xdr:col>77</xdr:col>
      <xdr:colOff>0</xdr:colOff>
      <xdr:row>3</xdr:row>
      <xdr:rowOff>0</xdr:rowOff>
    </xdr:from>
    <xdr:to>
      <xdr:col>78</xdr:col>
      <xdr:colOff>0</xdr:colOff>
      <xdr:row>5</xdr:row>
      <xdr:rowOff>0</xdr:rowOff>
    </xdr:to>
    <xdr:sp macro="JSON_TableHeaderClick" textlink="$BZ$4">
      <xdr:nvSpPr>
        <xdr:cNvPr id="545" name="tReporting52428888_77">
          <a:extLst>
            <a:ext uri="{FF2B5EF4-FFF2-40B4-BE49-F238E27FC236}">
              <a16:creationId xmlns:a16="http://schemas.microsoft.com/office/drawing/2014/main" id="{7429A7A9-2748-46B4-86BE-18BACF21E960}"/>
            </a:ext>
          </a:extLst>
        </xdr:cNvPr>
        <xdr:cNvSpPr/>
      </xdr:nvSpPr>
      <xdr:spPr>
        <a:xfrm>
          <a:off x="50472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535A8F5-FB6B-410C-AB89-CA81B69969B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pub. Level</a:t>
          </a:fld>
          <a:endParaRPr lang="fr-FR" sz="1100"/>
        </a:p>
      </xdr:txBody>
    </xdr:sp>
    <xdr:clientData/>
  </xdr:twoCellAnchor>
  <xdr:twoCellAnchor>
    <xdr:from>
      <xdr:col>78</xdr:col>
      <xdr:colOff>0</xdr:colOff>
      <xdr:row>2</xdr:row>
      <xdr:rowOff>63500</xdr:rowOff>
    </xdr:from>
    <xdr:to>
      <xdr:col>79</xdr:col>
      <xdr:colOff>0</xdr:colOff>
      <xdr:row>5</xdr:row>
      <xdr:rowOff>0</xdr:rowOff>
    </xdr:to>
    <xdr:sp macro="JSON_TableHeaderClick" textlink="$CA$4">
      <xdr:nvSpPr>
        <xdr:cNvPr id="546" name="tReporting52428888_78">
          <a:extLst>
            <a:ext uri="{FF2B5EF4-FFF2-40B4-BE49-F238E27FC236}">
              <a16:creationId xmlns:a16="http://schemas.microsoft.com/office/drawing/2014/main" id="{0F8EBD91-8287-41E1-BB16-1074071EC923}"/>
            </a:ext>
          </a:extLst>
        </xdr:cNvPr>
        <xdr:cNvSpPr/>
      </xdr:nvSpPr>
      <xdr:spPr>
        <a:xfrm>
          <a:off x="511206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83B5082C-8780-42DB-9B5D-4A482634BE0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transfert</a:t>
          </a:fld>
          <a:endParaRPr lang="fr-FR" sz="1100"/>
        </a:p>
      </xdr:txBody>
    </xdr:sp>
    <xdr:clientData/>
  </xdr:twoCellAnchor>
  <xdr:twoCellAnchor>
    <xdr:from>
      <xdr:col>79</xdr:col>
      <xdr:colOff>0</xdr:colOff>
      <xdr:row>3</xdr:row>
      <xdr:rowOff>0</xdr:rowOff>
    </xdr:from>
    <xdr:to>
      <xdr:col>80</xdr:col>
      <xdr:colOff>0</xdr:colOff>
      <xdr:row>5</xdr:row>
      <xdr:rowOff>0</xdr:rowOff>
    </xdr:to>
    <xdr:sp macro="JSON_TableHeaderClick" textlink="$CB$4">
      <xdr:nvSpPr>
        <xdr:cNvPr id="547" name="tReporting52428888_79">
          <a:extLst>
            <a:ext uri="{FF2B5EF4-FFF2-40B4-BE49-F238E27FC236}">
              <a16:creationId xmlns:a16="http://schemas.microsoft.com/office/drawing/2014/main" id="{BCCBEF82-06FE-4B00-9E63-92F3D9877991}"/>
            </a:ext>
          </a:extLst>
        </xdr:cNvPr>
        <xdr:cNvSpPr/>
      </xdr:nvSpPr>
      <xdr:spPr>
        <a:xfrm>
          <a:off x="51501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0ABDBFE-C700-4EB7-A0FB-E238555EA4E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transfert: default?</a:t>
          </a:fld>
          <a:endParaRPr lang="fr-FR" sz="1100"/>
        </a:p>
      </xdr:txBody>
    </xdr:sp>
    <xdr:clientData/>
  </xdr:twoCellAnchor>
  <xdr:twoCellAnchor>
    <xdr:from>
      <xdr:col>80</xdr:col>
      <xdr:colOff>0</xdr:colOff>
      <xdr:row>3</xdr:row>
      <xdr:rowOff>0</xdr:rowOff>
    </xdr:from>
    <xdr:to>
      <xdr:col>81</xdr:col>
      <xdr:colOff>0</xdr:colOff>
      <xdr:row>5</xdr:row>
      <xdr:rowOff>0</xdr:rowOff>
    </xdr:to>
    <xdr:sp macro="JSON_TableHeaderClick" textlink="$CC$4">
      <xdr:nvSpPr>
        <xdr:cNvPr id="548" name="tReporting52428888_80">
          <a:extLst>
            <a:ext uri="{FF2B5EF4-FFF2-40B4-BE49-F238E27FC236}">
              <a16:creationId xmlns:a16="http://schemas.microsoft.com/office/drawing/2014/main" id="{82AD0A71-19AE-418F-AEAA-1C9A09982B6C}"/>
            </a:ext>
          </a:extLst>
        </xdr:cNvPr>
        <xdr:cNvSpPr/>
      </xdr:nvSpPr>
      <xdr:spPr>
        <a:xfrm>
          <a:off x="52149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EBC7D82-C51B-4BD3-BFE6-30BB56D7289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Standard tran.</a:t>
          </a:fld>
          <a:endParaRPr lang="fr-FR" sz="1100"/>
        </a:p>
      </xdr:txBody>
    </xdr:sp>
    <xdr:clientData/>
  </xdr:twoCellAnchor>
  <xdr:twoCellAnchor>
    <xdr:from>
      <xdr:col>81</xdr:col>
      <xdr:colOff>0</xdr:colOff>
      <xdr:row>3</xdr:row>
      <xdr:rowOff>0</xdr:rowOff>
    </xdr:from>
    <xdr:to>
      <xdr:col>82</xdr:col>
      <xdr:colOff>0</xdr:colOff>
      <xdr:row>5</xdr:row>
      <xdr:rowOff>0</xdr:rowOff>
    </xdr:to>
    <xdr:sp macro="JSON_TableHeaderClick" textlink="$CD$4">
      <xdr:nvSpPr>
        <xdr:cNvPr id="549" name="tReporting52428888_81">
          <a:extLst>
            <a:ext uri="{FF2B5EF4-FFF2-40B4-BE49-F238E27FC236}">
              <a16:creationId xmlns:a16="http://schemas.microsoft.com/office/drawing/2014/main" id="{6EE75649-1E64-4319-A8FE-9757D1237BC1}"/>
            </a:ext>
          </a:extLst>
        </xdr:cNvPr>
        <xdr:cNvSpPr/>
      </xdr:nvSpPr>
      <xdr:spPr>
        <a:xfrm>
          <a:off x="52797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4CD6552-D39C-4F81-A051-0CA53968D08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Special tran.</a:t>
          </a:fld>
          <a:endParaRPr lang="fr-FR" sz="1100"/>
        </a:p>
      </xdr:txBody>
    </xdr:sp>
    <xdr:clientData/>
  </xdr:twoCellAnchor>
  <xdr:twoCellAnchor>
    <xdr:from>
      <xdr:col>82</xdr:col>
      <xdr:colOff>0</xdr:colOff>
      <xdr:row>3</xdr:row>
      <xdr:rowOff>0</xdr:rowOff>
    </xdr:from>
    <xdr:to>
      <xdr:col>83</xdr:col>
      <xdr:colOff>0</xdr:colOff>
      <xdr:row>5</xdr:row>
      <xdr:rowOff>0</xdr:rowOff>
    </xdr:to>
    <xdr:sp macro="JSON_TableHeaderClick" textlink="$CE$4">
      <xdr:nvSpPr>
        <xdr:cNvPr id="550" name="tReporting52428888_82">
          <a:extLst>
            <a:ext uri="{FF2B5EF4-FFF2-40B4-BE49-F238E27FC236}">
              <a16:creationId xmlns:a16="http://schemas.microsoft.com/office/drawing/2014/main" id="{CCC29DFD-8044-4C2B-ADFA-9AAF961A2F63}"/>
            </a:ext>
          </a:extLst>
        </xdr:cNvPr>
        <xdr:cNvSpPr/>
      </xdr:nvSpPr>
      <xdr:spPr>
        <a:xfrm>
          <a:off x="53444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7CEF616-0989-4C00-82A1-8FA43940C77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Advanced tran.</a:t>
          </a:fld>
          <a:endParaRPr lang="fr-FR" sz="1100"/>
        </a:p>
      </xdr:txBody>
    </xdr:sp>
    <xdr:clientData/>
  </xdr:twoCellAnchor>
  <xdr:twoCellAnchor>
    <xdr:from>
      <xdr:col>83</xdr:col>
      <xdr:colOff>0</xdr:colOff>
      <xdr:row>3</xdr:row>
      <xdr:rowOff>0</xdr:rowOff>
    </xdr:from>
    <xdr:to>
      <xdr:col>84</xdr:col>
      <xdr:colOff>0</xdr:colOff>
      <xdr:row>5</xdr:row>
      <xdr:rowOff>0</xdr:rowOff>
    </xdr:to>
    <xdr:sp macro="JSON_TableHeaderClick" textlink="$CF$4">
      <xdr:nvSpPr>
        <xdr:cNvPr id="551" name="tReporting52428888_83">
          <a:extLst>
            <a:ext uri="{FF2B5EF4-FFF2-40B4-BE49-F238E27FC236}">
              <a16:creationId xmlns:a16="http://schemas.microsoft.com/office/drawing/2014/main" id="{EFDEB354-F424-4E8A-B78D-7EADD2E7C4E2}"/>
            </a:ext>
          </a:extLst>
        </xdr:cNvPr>
        <xdr:cNvSpPr/>
      </xdr:nvSpPr>
      <xdr:spPr>
        <a:xfrm>
          <a:off x="54092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FB07849-8957-423F-86A4-0D98D7FE8BB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After tran. Level</a:t>
          </a:fld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D6AC268-C630-460D-B1BA-FB018D308E74}" name="tReportings" displayName="tReportings" ref="C13:F41" totalsRowShown="0" headerRowDxfId="5" dataDxfId="0" tableBorderDxfId="6">
  <autoFilter ref="C13:F41" xr:uid="{FB5EC21C-B9FA-4263-914E-73FBD10A3437}"/>
  <tableColumns count="4">
    <tableColumn id="1" xr3:uid="{95881786-B941-42AA-BC0A-8DC5EE6793F9}" name=" 1" dataDxfId="4"/>
    <tableColumn id="2" xr3:uid="{3DFEB174-0716-466B-9543-EBC3F750C19C}" name=" 2" dataDxfId="3"/>
    <tableColumn id="3" xr3:uid="{90FA68F9-924B-4890-BF43-E6CF83110EE0}" name=" 3" dataDxfId="2"/>
    <tableColumn id="4" xr3:uid="{63C2B701-537B-4C63-8E2C-8472CCA15F7A}" name=" 4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D51007-FD45-4850-A905-E5DA67DF8353}" name="tReporting52428888" displayName="tReporting52428888" ref="B5:CF6" totalsRowShown="0" headerRowDxfId="100" dataDxfId="16" tableBorderDxfId="101">
  <autoFilter ref="B5:CF6" xr:uid="{DBB256C1-19C6-47D6-B6C0-10847BE9C491}"/>
  <tableColumns count="83">
    <tableColumn id="1" xr3:uid="{7A1B9371-EC40-482D-BC41-2FAD3E5FB171}" name=" 1" dataDxfId="99"/>
    <tableColumn id="2" xr3:uid="{432281A8-DEAF-4120-B5A0-22A6571951B2}" name=" 2" dataDxfId="98"/>
    <tableColumn id="3" xr3:uid="{7D28240A-224A-433F-BB78-28F0F9781F33}" name=" 3" dataDxfId="97"/>
    <tableColumn id="4" xr3:uid="{3679FE10-0CBB-43AF-9335-FEEC549243C0}" name=" 4" dataDxfId="96"/>
    <tableColumn id="5" xr3:uid="{A7B613A6-2DE0-4185-A84F-B608E4A35B8C}" name=" 5" dataDxfId="95"/>
    <tableColumn id="6" xr3:uid="{3B3865B8-8815-4796-8230-6EB5A385D2F8}" name=" 6" dataDxfId="94"/>
    <tableColumn id="7" xr3:uid="{93C69F9F-6D5C-4686-B04E-5334A2797CF7}" name=" 7" dataDxfId="93"/>
    <tableColumn id="8" xr3:uid="{EB9572DF-BEED-49DE-B571-65EC36000B36}" name=" 8" dataDxfId="92"/>
    <tableColumn id="9" xr3:uid="{BA0CF479-D310-4345-B2F4-98E295DD8BF5}" name=" 9" dataDxfId="91"/>
    <tableColumn id="10" xr3:uid="{740102D2-C920-4753-B6C7-1FF255A49F58}" name=" 10" dataDxfId="90"/>
    <tableColumn id="11" xr3:uid="{B7EB6765-EFF6-44A9-9029-C0E805F7ECCC}" name=" 11" dataDxfId="89"/>
    <tableColumn id="12" xr3:uid="{8F6D7222-4E6C-41D9-ADDB-846F89F52156}" name=" 12" dataDxfId="88"/>
    <tableColumn id="13" xr3:uid="{B8D24553-FEF3-4D6B-BF41-14732781B91E}" name=" 13" dataDxfId="87"/>
    <tableColumn id="14" xr3:uid="{F1A909CE-7396-416F-AF47-4CAF21FA0BA5}" name=" 14" dataDxfId="86"/>
    <tableColumn id="15" xr3:uid="{CFCD2BF9-C767-4786-A22D-14F87C90AEF7}" name=" 15" dataDxfId="85"/>
    <tableColumn id="16" xr3:uid="{55913CD3-EECE-40A8-849F-18A9A2F03852}" name=" 16" dataDxfId="84"/>
    <tableColumn id="17" xr3:uid="{E9EB8C8F-9DA3-4401-A867-B832DBE43447}" name=" 17" dataDxfId="83"/>
    <tableColumn id="18" xr3:uid="{C780E5C1-B0BA-4F15-804D-BA677B979618}" name=" 18" dataDxfId="82"/>
    <tableColumn id="19" xr3:uid="{0C9ADC62-1C36-48D9-8417-EE041ECE16BF}" name=" 19" dataDxfId="81"/>
    <tableColumn id="20" xr3:uid="{20268F4D-93C4-4CD4-98E1-70D4730B3A91}" name=" 20" dataDxfId="80"/>
    <tableColumn id="21" xr3:uid="{84DDB2A2-44A9-4CF0-8F7B-EBB30E9C08CB}" name=" 21" dataDxfId="79"/>
    <tableColumn id="22" xr3:uid="{2E8BFD2A-F348-4CD8-BA1A-7EF6070E6181}" name=" 22" dataDxfId="78"/>
    <tableColumn id="23" xr3:uid="{BD8A2197-0F22-4534-98BD-04B650C5B522}" name=" 23" dataDxfId="77"/>
    <tableColumn id="24" xr3:uid="{8D3DA39A-3F3F-4872-BE14-DD1D1083F808}" name=" 24" dataDxfId="76"/>
    <tableColumn id="25" xr3:uid="{F2223940-21F8-4BA2-8EDF-402EAC6B6E45}" name=" 25" dataDxfId="75"/>
    <tableColumn id="26" xr3:uid="{87E85B62-FD95-499E-9E59-1B756E2F6B2A}" name=" 26" dataDxfId="74"/>
    <tableColumn id="27" xr3:uid="{E3A12854-E239-489F-A79A-81BB9CCF5568}" name=" 27" dataDxfId="73"/>
    <tableColumn id="28" xr3:uid="{0D288E24-2C52-4542-B831-56583DEE98DE}" name=" 28" dataDxfId="72"/>
    <tableColumn id="29" xr3:uid="{EDBB6CE2-C6EE-4468-96E5-BE20F1B186C3}" name=" 29" dataDxfId="71"/>
    <tableColumn id="30" xr3:uid="{5599C6AA-BB78-44BB-B466-CE723252AA71}" name=" 30" dataDxfId="70"/>
    <tableColumn id="31" xr3:uid="{6AA02563-2614-48CD-9208-FD935DFD6146}" name=" 31" dataDxfId="69"/>
    <tableColumn id="32" xr3:uid="{C66C4D64-D19E-4419-B56D-8F0420AD80A4}" name=" 32" dataDxfId="68"/>
    <tableColumn id="33" xr3:uid="{159B0A82-EEBA-425F-AFB7-34374ADED86D}" name=" 33" dataDxfId="67"/>
    <tableColumn id="34" xr3:uid="{B0E9C718-D0D8-47B3-AAE2-86F4820ABEF7}" name=" 34" dataDxfId="66"/>
    <tableColumn id="35" xr3:uid="{4C1C429F-9D94-4892-A6D9-47434CE99CD0}" name=" 35" dataDxfId="65"/>
    <tableColumn id="36" xr3:uid="{314CC449-C0F8-4E8C-B2A2-E95438863118}" name=" 36" dataDxfId="64"/>
    <tableColumn id="37" xr3:uid="{41B3D6B2-7995-4BEF-A9E3-523A8007AF7A}" name=" 37" dataDxfId="63"/>
    <tableColumn id="38" xr3:uid="{6379CC1F-ABA8-4994-B0E4-5ED4352EA049}" name=" 38" dataDxfId="62"/>
    <tableColumn id="39" xr3:uid="{A23AFBD2-F637-43FB-899F-1108A72AA42E}" name=" 39" dataDxfId="61"/>
    <tableColumn id="40" xr3:uid="{4F8DAE6C-9D66-4DFD-B3CE-D3F2CC9C6296}" name=" 40" dataDxfId="60"/>
    <tableColumn id="41" xr3:uid="{D53BC701-5838-4FBA-B75F-3682D60D7233}" name=" 41" dataDxfId="59"/>
    <tableColumn id="42" xr3:uid="{5CE8ABEB-93E6-498B-B6F0-D442FD7759EA}" name=" 42" dataDxfId="58"/>
    <tableColumn id="43" xr3:uid="{3C448E1E-D81D-47CE-95FD-28B9DB8C086F}" name=" 43" dataDxfId="57"/>
    <tableColumn id="44" xr3:uid="{27830E52-2A01-48AD-BA57-946FF84F3D86}" name=" 44" dataDxfId="56"/>
    <tableColumn id="45" xr3:uid="{68B81679-3EC0-4F6A-9F53-A1393AACBDCE}" name=" 45" dataDxfId="55"/>
    <tableColumn id="46" xr3:uid="{2C14F91D-50E9-46DB-B5DE-5F30A8EBD860}" name=" 46" dataDxfId="54"/>
    <tableColumn id="47" xr3:uid="{250F95B5-A5A6-4878-8AD3-256E3CD30604}" name=" 47" dataDxfId="53"/>
    <tableColumn id="48" xr3:uid="{4FFCF737-4CA7-4FC2-B964-980FD37C9BFA}" name=" 48" dataDxfId="52"/>
    <tableColumn id="49" xr3:uid="{398CF503-65AF-4944-9921-507A1E32B66B}" name=" 49" dataDxfId="51"/>
    <tableColumn id="50" xr3:uid="{8087713A-B798-411F-9982-DCECB8AC4941}" name=" 50" dataDxfId="50"/>
    <tableColumn id="51" xr3:uid="{D83B5C1D-7DB9-4F59-82B4-85F44049FD75}" name=" 51" dataDxfId="49"/>
    <tableColumn id="52" xr3:uid="{A69166E7-4DC7-4B81-9E94-2408D300CC7B}" name=" 52" dataDxfId="48"/>
    <tableColumn id="53" xr3:uid="{7333AE4A-D489-47B0-8C2B-DAAB5445D1A5}" name=" 53" dataDxfId="47"/>
    <tableColumn id="54" xr3:uid="{CADA175E-9FD0-4FC9-8A7A-C6370A02DA93}" name=" 54" dataDxfId="46"/>
    <tableColumn id="55" xr3:uid="{EB4FEA21-31B8-42D8-8911-E152ACE817BA}" name=" 55" dataDxfId="45"/>
    <tableColumn id="56" xr3:uid="{B1F7C370-0FC2-4425-8C19-12695E384B69}" name=" 56" dataDxfId="44"/>
    <tableColumn id="57" xr3:uid="{7B1A3BFE-2FFE-47F6-8830-7BCF502C81DE}" name=" 57" dataDxfId="43"/>
    <tableColumn id="58" xr3:uid="{E1CCD8D3-4A7E-480B-A377-2FF52FEA9D2C}" name=" 58" dataDxfId="42"/>
    <tableColumn id="59" xr3:uid="{C0ECF747-2BB1-4912-B64D-DED50E10719C}" name=" 59" dataDxfId="41"/>
    <tableColumn id="60" xr3:uid="{D7F1FA3F-10B8-4681-AE53-A5C09676FFD5}" name=" 60" dataDxfId="40"/>
    <tableColumn id="61" xr3:uid="{A56B366C-4BC2-487B-9134-C2BA8E756AE1}" name=" 61" dataDxfId="39"/>
    <tableColumn id="62" xr3:uid="{E4C3F6D0-7FCC-4215-9D7F-3EC26D968DF1}" name=" 62" dataDxfId="38"/>
    <tableColumn id="63" xr3:uid="{1AAF87DE-807F-4D09-8D99-D4779DC31718}" name=" 63" dataDxfId="37"/>
    <tableColumn id="64" xr3:uid="{2B45BA2B-5F1F-49EB-ADFF-DA2AB4CD91D8}" name=" 64" dataDxfId="36"/>
    <tableColumn id="65" xr3:uid="{6A51727E-DA38-497A-9AC5-B436A8F8706D}" name=" 65" dataDxfId="35"/>
    <tableColumn id="66" xr3:uid="{AB62419F-51F9-40CA-866F-9E96855960F4}" name=" 66" dataDxfId="34"/>
    <tableColumn id="67" xr3:uid="{D44CF976-18E9-4FD5-A1B8-C0DB2C5307A0}" name=" 67" dataDxfId="33"/>
    <tableColumn id="68" xr3:uid="{832E8FFC-5454-45FD-83EB-FFCB6C9DDFD1}" name=" 68" dataDxfId="32"/>
    <tableColumn id="69" xr3:uid="{710E4D5C-23D5-4CF4-8F1B-F955182D99B6}" name=" 69" dataDxfId="31"/>
    <tableColumn id="70" xr3:uid="{3F3C8868-7891-4C4D-8D49-8904082CCC01}" name=" 70" dataDxfId="30"/>
    <tableColumn id="71" xr3:uid="{6FB1D879-788D-4EF0-9541-5206C9A6A97F}" name=" 71" dataDxfId="29"/>
    <tableColumn id="72" xr3:uid="{7F35E0E8-1390-475E-86F3-B87A7C878166}" name=" 72" dataDxfId="28"/>
    <tableColumn id="73" xr3:uid="{464E0AC4-FBD8-4B9D-8430-C0DB1C484B25}" name=" 73" dataDxfId="27"/>
    <tableColumn id="74" xr3:uid="{E484BD1B-1FAA-4A69-AA68-27EDE02AD768}" name=" 74" dataDxfId="26"/>
    <tableColumn id="75" xr3:uid="{F2E6F4CF-DDA3-4B3D-84A6-25E4536BAFDD}" name=" 75" dataDxfId="25"/>
    <tableColumn id="76" xr3:uid="{0259758F-0FC7-435A-9FE3-FF6C89DF6206}" name=" 76" dataDxfId="24"/>
    <tableColumn id="77" xr3:uid="{AA29136C-9D6A-43B3-B725-DD2B16FFBC90}" name=" 77" dataDxfId="23"/>
    <tableColumn id="78" xr3:uid="{B9D05026-47CB-45BE-BFB6-9E02761206B7}" name=" 78" dataDxfId="22"/>
    <tableColumn id="79" xr3:uid="{25877243-BE7F-4069-BE48-C2F4E8B207F0}" name=" 79" dataDxfId="21"/>
    <tableColumn id="80" xr3:uid="{342F8C06-329F-4CC1-9432-D72E1ABEC834}" name=" 80" dataDxfId="20"/>
    <tableColumn id="81" xr3:uid="{50AC0D56-E5B1-43BE-9405-5CBCC4E94495}" name=" 81" dataDxfId="19"/>
    <tableColumn id="82" xr3:uid="{97B04654-F204-412A-B26A-77443A3CB0F8}" name=" 82" dataDxfId="18"/>
    <tableColumn id="83" xr3:uid="{EA34489B-27E0-42B6-AE89-CBACD1BDAE9F}" name=" 83" dataDxfId="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18" totalsRowShown="0" dataDxfId="7">
  <autoFilter ref="A3:H118" xr:uid="{20495ABC-A0D8-40BE-8188-61D0FEE75739}"/>
  <tableColumns count="8">
    <tableColumn id="1" xr3:uid="{73903A16-45BE-4CB3-B71C-3468798E69E6}" name="ID" dataDxfId="15"/>
    <tableColumn id="3" xr3:uid="{02ADB156-C3E9-44A8-BC1B-FB2018DC836B}" name="Param1" dataDxfId="14"/>
    <tableColumn id="4" xr3:uid="{CF8C7CB6-4B86-4085-ACCC-19CBFD4C59FE}" name="Param2" dataDxfId="13"/>
    <tableColumn id="5" xr3:uid="{1227E0CB-DF13-4AEB-9B7C-A5B66DBC0C3F}" name="Param3" dataDxfId="12"/>
    <tableColumn id="6" xr3:uid="{2E60890B-30E9-4D21-92C9-7B06D14BAF00}" name="Param4" dataDxfId="11"/>
    <tableColumn id="7" xr3:uid="{03AC2232-F9FA-428A-BCAB-A8039123FBB5}" name="Param5" dataDxfId="10"/>
    <tableColumn id="9" xr3:uid="{5D6B89C0-1432-4927-AC0D-CC962FDD7705}" name="en_US" dataDxfId="9"/>
    <tableColumn id="8" xr3:uid="{8F5786B6-467E-46BD-A85E-B24EA01C31DC}" name="fr_FR" dataDxf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S91" totalsRowShown="0" dataDxfId="137">
  <autoFilter ref="B3:S91" xr:uid="{D9E8808B-D9E1-4272-8694-E8D5F2C45F29}"/>
  <tableColumns count="18">
    <tableColumn id="1" xr3:uid="{3A646773-BE89-4522-98D7-B786E44BE0DC}" name="Query" dataDxfId="136"/>
    <tableColumn id="9" xr3:uid="{C4EB6F9D-3EAD-42F0-84FF-9BBD170B0DE5}" name="Table" dataDxfId="135"/>
    <tableColumn id="8" xr3:uid="{70E4004F-52ED-4A60-A759-27AFE028F894}" name="I18N" dataDxfId="134"/>
    <tableColumn id="13" xr3:uid="{A78438C4-24D6-4E6E-A29B-E72CABDED5AB}" name="JSON Row Array" dataDxfId="133"/>
    <tableColumn id="16" xr3:uid="{02735810-2DA9-4B37-A9AB-CC1D7668127D}" name="Editable?" dataDxfId="132"/>
    <tableColumn id="2" xr3:uid="{DFC5B263-91CC-4653-8ADC-74A0368CD202}" name="JSON Column" dataDxfId="131"/>
    <tableColumn id="3" xr3:uid="{D5540814-CF2F-4ACB-B92D-22093C535E0C}" name="JSON Type" dataDxfId="130"/>
    <tableColumn id="11" xr3:uid="{EDC8EA7C-C33C-4E55-9909-B09F730AE94B}" name="Required" dataDxfId="129"/>
    <tableColumn id="4" xr3:uid="{8D0A36EB-752B-47BA-B4F5-009678ACFDD0}" name="Title" dataDxfId="128"/>
    <tableColumn id="12" xr3:uid="{B7222461-457D-4B90-9925-68BAF8D1E421}" name="Editor" dataDxfId="127"/>
    <tableColumn id="14" xr3:uid="{C8DD975C-C222-4560-AD83-9B3E4EF275CD}" name="Format" dataDxfId="126"/>
    <tableColumn id="15" xr3:uid="{30CC9560-5D67-406A-B687-D2883B19A560}" name="Level" dataDxfId="125"/>
    <tableColumn id="18" xr3:uid="{9414E3E8-B630-435F-9660-16EFF4CAEFD7}" name="Width" dataDxfId="124"/>
    <tableColumn id="5" xr3:uid="{3613A1E0-361B-4D77-AB85-A190D3D733FC}" name="Hidden" dataDxfId="123"/>
    <tableColumn id="6" xr3:uid="{4FC768DF-246E-41E4-8A37-38EE7A822849}" name="Command" dataDxfId="122"/>
    <tableColumn id="10" xr3:uid="{08F0F3AA-70C9-46BE-9E8F-F9089FF43A15}" name="Params" dataDxfId="121"/>
    <tableColumn id="7" xr3:uid="{C3148FB9-B4AC-439B-977D-F7DC6FE2F875}" name="Position" dataDxfId="120"/>
    <tableColumn id="17" xr3:uid="{AAA7A96E-0AF3-43EB-9CAA-11C66E543F5D}" name="ReturnCol" dataDxfId="11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B71501-A343-4D2E-A1D3-AC7530771EC1}" name="tJSON6" displayName="tJSON6" ref="B3:Q4" insertRow="1" totalsRowShown="0" dataDxfId="118">
  <autoFilter ref="B3:Q4" xr:uid="{D9E8808B-D9E1-4272-8694-E8D5F2C45F29}"/>
  <tableColumns count="16">
    <tableColumn id="1" xr3:uid="{848A5172-BE10-4671-A96C-19CB95280C30}" name="Query" dataDxfId="117"/>
    <tableColumn id="9" xr3:uid="{D4503C74-5BC6-42E3-9059-14AE6DF0435F}" name="Table" dataDxfId="116"/>
    <tableColumn id="8" xr3:uid="{6B1E570F-3015-4379-A06B-47DE792E9FF7}" name="I18N" dataDxfId="115"/>
    <tableColumn id="13" xr3:uid="{1F3DA983-C15A-44A1-9F86-08FE41BABCC4}" name="JSON Row Array" dataDxfId="114"/>
    <tableColumn id="2" xr3:uid="{2146287D-FA7C-4DC4-A184-861C99FB53FA}" name="JSON Column" dataDxfId="113"/>
    <tableColumn id="3" xr3:uid="{41F1B5AB-7B7D-4E20-9599-A4A18E607AC2}" name="JSON Type" dataDxfId="112"/>
    <tableColumn id="11" xr3:uid="{6B6D5F65-9066-427A-9E8E-83BC24FDA24E}" name="Required" dataDxfId="111"/>
    <tableColumn id="4" xr3:uid="{5632F87F-624C-41CA-9F02-FC8191282D24}" name="Title" dataDxfId="110"/>
    <tableColumn id="12" xr3:uid="{42F4ED45-AB09-422F-A7F0-D0219F6C21FB}" name="Editor" dataDxfId="109"/>
    <tableColumn id="14" xr3:uid="{2AA5569E-51E1-495E-B26C-0E3F01504CAF}" name="Format" dataDxfId="108"/>
    <tableColumn id="15" xr3:uid="{9FF31EFB-98A5-441C-AEEE-A8D70F766993}" name="Level" dataDxfId="107"/>
    <tableColumn id="5" xr3:uid="{AAEEF1F0-17A9-4995-BF9B-AB4346088E71}" name="Hidden" dataDxfId="106"/>
    <tableColumn id="6" xr3:uid="{7BDF45C7-3CB9-461B-82E3-465AF4328F16}" name="Command" dataDxfId="105"/>
    <tableColumn id="10" xr3:uid="{CC86848F-2654-487A-90EA-707ECEAFF905}" name="Params" dataDxfId="104"/>
    <tableColumn id="7" xr3:uid="{EB4FA941-2795-46FC-8CA9-7D002B610299}" name="Position" dataDxfId="103"/>
    <tableColumn id="17" xr3:uid="{CA1F3260-0D6C-4F7F-B7AE-4DFA8A856532}" name="ReturnCol" dataDxfId="10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B3:S54"/>
  <sheetViews>
    <sheetView showGridLines="0" showRowColHeaders="0" tabSelected="1" zoomScaleNormal="100" workbookViewId="0">
      <selection activeCell="T55" sqref="T55"/>
    </sheetView>
  </sheetViews>
  <sheetFormatPr baseColWidth="10" defaultRowHeight="15" outlineLevelCol="1" x14ac:dyDescent="0.25"/>
  <cols>
    <col min="1" max="1" width="2.85546875" style="4" customWidth="1"/>
    <col min="2" max="2" width="7.85546875" style="4" customWidth="1"/>
    <col min="3" max="3" width="14.7109375" style="4" hidden="1" customWidth="1" outlineLevel="1"/>
    <col min="4" max="4" width="14.7109375" style="4" customWidth="1" collapsed="1"/>
    <col min="5" max="5" width="14.7109375" style="4" customWidth="1"/>
    <col min="6" max="6" width="28.7109375" style="4" customWidth="1"/>
    <col min="7" max="7" width="4" style="4" customWidth="1"/>
    <col min="8" max="8" width="14.28515625" style="4" customWidth="1"/>
    <col min="9" max="10" width="12.28515625" style="4" customWidth="1"/>
    <col min="11" max="11" width="6.7109375" style="4" customWidth="1"/>
    <col min="12" max="12" width="32.85546875" style="4" customWidth="1"/>
    <col min="13" max="16384" width="11.42578125" style="4"/>
  </cols>
  <sheetData>
    <row r="3" spans="2:12" x14ac:dyDescent="0.25">
      <c r="D3" s="16"/>
    </row>
    <row r="4" spans="2:12" x14ac:dyDescent="0.25">
      <c r="B4" s="4" t="str" cm="1">
        <f t="array" ref="B4">I18N_T(cellLanguage, "RF_Title")</f>
        <v>CTS Reporting Factory</v>
      </c>
      <c r="F4" s="11"/>
      <c r="I4" s="5" t="str" cm="1">
        <f t="array" ref="I4">I18N_Version(cellLanguage)</f>
        <v>Version 0.93 - 03/08/21</v>
      </c>
    </row>
    <row r="5" spans="2:12" x14ac:dyDescent="0.25">
      <c r="C5" s="19"/>
      <c r="D5" s="20"/>
      <c r="E5" s="21"/>
      <c r="F5" s="22"/>
    </row>
    <row r="6" spans="2:12" x14ac:dyDescent="0.25">
      <c r="C6" s="23"/>
      <c r="D6" s="23"/>
      <c r="E6" s="23"/>
      <c r="F6" s="23"/>
    </row>
    <row r="7" spans="2:12" x14ac:dyDescent="0.25">
      <c r="C7"/>
      <c r="D7"/>
      <c r="E7"/>
      <c r="F7"/>
    </row>
    <row r="10" spans="2:12" x14ac:dyDescent="0.25">
      <c r="C10"/>
      <c r="D10" s="10" t="str">
        <f>I18N_T(cellLanguage, "RF_Refresh")</f>
        <v>Refresh list</v>
      </c>
      <c r="E10"/>
      <c r="F10"/>
      <c r="G10"/>
      <c r="I10" s="7"/>
      <c r="J10" s="7"/>
      <c r="L10" s="6"/>
    </row>
    <row r="11" spans="2:12" x14ac:dyDescent="0.25">
      <c r="C11"/>
      <c r="D11" s="41">
        <f>SUBTOTAL(103, tReportings[[ 2]])</f>
        <v>28</v>
      </c>
      <c r="E11"/>
      <c r="F11" s="24"/>
      <c r="G11"/>
      <c r="H11" s="16"/>
      <c r="I11" s="12"/>
      <c r="J11" s="12"/>
    </row>
    <row r="12" spans="2:12" hidden="1" x14ac:dyDescent="0.25">
      <c r="C12" s="20" t="str">
        <f>I18N_T(cellLanguage, "RF_ID")</f>
        <v>ID</v>
      </c>
      <c r="D12" s="21" t="str">
        <f>I18N_T(cellLanguage, "RF_Phase")</f>
        <v>Category</v>
      </c>
      <c r="E12" s="21" t="str">
        <f>I18N_T(cellLanguage, "RF_UpdatePeriod")</f>
        <v>Update Period</v>
      </c>
      <c r="F12" s="22" t="str">
        <f>I18N_T(cellLanguage, "RF_CreationDate")</f>
        <v>Created</v>
      </c>
      <c r="G12"/>
      <c r="H12" s="16"/>
      <c r="I12" s="12"/>
      <c r="J12" s="12"/>
    </row>
    <row r="13" spans="2:12" ht="15" customHeight="1" x14ac:dyDescent="0.25">
      <c r="C13" s="23" t="s">
        <v>204</v>
      </c>
      <c r="D13" s="23" t="s">
        <v>205</v>
      </c>
      <c r="E13" s="23" t="s">
        <v>206</v>
      </c>
      <c r="F13" s="23" t="s">
        <v>207</v>
      </c>
      <c r="H13" s="16"/>
      <c r="I13" s="12"/>
      <c r="J13" s="12"/>
    </row>
    <row r="14" spans="2:12" x14ac:dyDescent="0.25">
      <c r="C14" s="43">
        <v>52428888</v>
      </c>
      <c r="D14" s="43" t="s">
        <v>21</v>
      </c>
      <c r="E14" s="43" t="s">
        <v>604</v>
      </c>
      <c r="F14" s="43" t="s">
        <v>605</v>
      </c>
      <c r="H14" s="10" t="str">
        <f>I18N_T(cellLanguage, "RF_Modify")</f>
        <v>Modify</v>
      </c>
      <c r="I14" s="10" t="str">
        <f>I18N_T(cellLanguage, "RF_Duplicate")</f>
        <v>Duplicate</v>
      </c>
      <c r="J14" s="12"/>
      <c r="L14" s="8"/>
    </row>
    <row r="15" spans="2:12" x14ac:dyDescent="0.25">
      <c r="C15" s="43">
        <v>52428859</v>
      </c>
      <c r="D15" s="43" t="s">
        <v>21</v>
      </c>
      <c r="E15" s="43" t="s">
        <v>606</v>
      </c>
      <c r="F15" s="43" t="s">
        <v>607</v>
      </c>
      <c r="H15" s="10" t="str">
        <f>I18N_T(cellLanguage, "RF_Modify")</f>
        <v>Modify</v>
      </c>
      <c r="I15" s="10" t="str">
        <f>I18N_T(cellLanguage, "RF_Duplicate")</f>
        <v>Duplicate</v>
      </c>
      <c r="J15" s="12"/>
    </row>
    <row r="16" spans="2:12" x14ac:dyDescent="0.25">
      <c r="C16" s="43">
        <v>52428858</v>
      </c>
      <c r="D16" s="43" t="s">
        <v>21</v>
      </c>
      <c r="E16" s="43" t="s">
        <v>608</v>
      </c>
      <c r="F16" s="43" t="s">
        <v>609</v>
      </c>
      <c r="H16" s="10" t="str">
        <f>I18N_T(cellLanguage, "RF_Modify")</f>
        <v>Modify</v>
      </c>
      <c r="I16" s="10" t="str">
        <f>I18N_T(cellLanguage, "RF_Duplicate")</f>
        <v>Duplicate</v>
      </c>
      <c r="J16" s="12"/>
    </row>
    <row r="17" spans="3:10" x14ac:dyDescent="0.25">
      <c r="C17" s="43">
        <v>52428847</v>
      </c>
      <c r="D17" s="43" t="s">
        <v>21</v>
      </c>
      <c r="E17" s="43" t="s">
        <v>610</v>
      </c>
      <c r="F17" s="43" t="s">
        <v>611</v>
      </c>
      <c r="H17" s="10" t="str">
        <f>I18N_T(cellLanguage, "RF_Modify")</f>
        <v>Modify</v>
      </c>
      <c r="I17" s="10" t="str">
        <f>I18N_T(cellLanguage, "RF_Duplicate")</f>
        <v>Duplicate</v>
      </c>
      <c r="J17" s="12"/>
    </row>
    <row r="18" spans="3:10" x14ac:dyDescent="0.25">
      <c r="C18" s="43">
        <v>52428855</v>
      </c>
      <c r="D18" s="43" t="s">
        <v>21</v>
      </c>
      <c r="E18" s="43" t="s">
        <v>612</v>
      </c>
      <c r="F18" s="43" t="s">
        <v>613</v>
      </c>
      <c r="H18" s="10" t="str">
        <f>I18N_T(cellLanguage, "RF_Modify")</f>
        <v>Modify</v>
      </c>
      <c r="I18" s="10" t="str">
        <f>I18N_T(cellLanguage, "RF_Duplicate")</f>
        <v>Duplicate</v>
      </c>
      <c r="J18" s="12"/>
    </row>
    <row r="19" spans="3:10" x14ac:dyDescent="0.25">
      <c r="C19" s="43">
        <v>52428853</v>
      </c>
      <c r="D19" s="43" t="s">
        <v>21</v>
      </c>
      <c r="E19" s="43" t="s">
        <v>614</v>
      </c>
      <c r="F19" s="43" t="s">
        <v>615</v>
      </c>
      <c r="H19" s="10" t="str">
        <f>I18N_T(cellLanguage, "RF_Modify")</f>
        <v>Modify</v>
      </c>
      <c r="I19" s="10" t="str">
        <f>I18N_T(cellLanguage, "RF_Duplicate")</f>
        <v>Duplicate</v>
      </c>
      <c r="J19" s="12"/>
    </row>
    <row r="20" spans="3:10" x14ac:dyDescent="0.25">
      <c r="C20" s="43">
        <v>52428851</v>
      </c>
      <c r="D20" s="43" t="s">
        <v>21</v>
      </c>
      <c r="E20" s="43" t="s">
        <v>616</v>
      </c>
      <c r="F20" s="43" t="s">
        <v>617</v>
      </c>
      <c r="H20" s="10" t="str">
        <f>I18N_T(cellLanguage, "RF_Modify")</f>
        <v>Modify</v>
      </c>
      <c r="I20" s="10" t="str">
        <f>I18N_T(cellLanguage, "RF_Duplicate")</f>
        <v>Duplicate</v>
      </c>
      <c r="J20" s="12"/>
    </row>
    <row r="21" spans="3:10" x14ac:dyDescent="0.25">
      <c r="C21" s="43">
        <v>52428848</v>
      </c>
      <c r="D21" s="43" t="s">
        <v>21</v>
      </c>
      <c r="E21" s="43" t="s">
        <v>618</v>
      </c>
      <c r="F21" s="43" t="s">
        <v>619</v>
      </c>
      <c r="H21" s="10" t="str">
        <f>I18N_T(cellLanguage, "RF_Modify")</f>
        <v>Modify</v>
      </c>
      <c r="I21" s="10" t="str">
        <f>I18N_T(cellLanguage, "RF_Duplicate")</f>
        <v>Duplicate</v>
      </c>
      <c r="J21" s="12"/>
    </row>
    <row r="22" spans="3:10" x14ac:dyDescent="0.25">
      <c r="C22" s="43">
        <v>52428841</v>
      </c>
      <c r="D22" s="43" t="s">
        <v>21</v>
      </c>
      <c r="E22" s="43" t="s">
        <v>620</v>
      </c>
      <c r="F22" s="43" t="s">
        <v>621</v>
      </c>
      <c r="H22" s="10" t="str">
        <f>I18N_T(cellLanguage, "RF_Modify")</f>
        <v>Modify</v>
      </c>
      <c r="I22" s="10" t="str">
        <f>I18N_T(cellLanguage, "RF_Duplicate")</f>
        <v>Duplicate</v>
      </c>
      <c r="J22" s="12"/>
    </row>
    <row r="23" spans="3:10" x14ac:dyDescent="0.25">
      <c r="C23" s="43">
        <v>52428840</v>
      </c>
      <c r="D23" s="43" t="s">
        <v>21</v>
      </c>
      <c r="E23" s="43" t="s">
        <v>622</v>
      </c>
      <c r="F23" s="43" t="s">
        <v>623</v>
      </c>
      <c r="H23" s="10" t="str">
        <f>I18N_T(cellLanguage, "RF_Modify")</f>
        <v>Modify</v>
      </c>
      <c r="I23" s="10" t="str">
        <f>I18N_T(cellLanguage, "RF_Duplicate")</f>
        <v>Duplicate</v>
      </c>
      <c r="J23" s="12"/>
    </row>
    <row r="24" spans="3:10" x14ac:dyDescent="0.25">
      <c r="C24" s="43">
        <v>52428838</v>
      </c>
      <c r="D24" s="43" t="s">
        <v>21</v>
      </c>
      <c r="E24" s="43" t="s">
        <v>624</v>
      </c>
      <c r="F24" s="43" t="s">
        <v>625</v>
      </c>
      <c r="H24" s="10" t="str">
        <f>I18N_T(cellLanguage, "RF_Modify")</f>
        <v>Modify</v>
      </c>
      <c r="I24" s="10" t="str">
        <f>I18N_T(cellLanguage, "RF_Duplicate")</f>
        <v>Duplicate</v>
      </c>
      <c r="J24" s="12"/>
    </row>
    <row r="25" spans="3:10" x14ac:dyDescent="0.25">
      <c r="C25" s="43">
        <v>52428832</v>
      </c>
      <c r="D25" s="43" t="s">
        <v>21</v>
      </c>
      <c r="E25" s="43" t="s">
        <v>626</v>
      </c>
      <c r="F25" s="43" t="s">
        <v>627</v>
      </c>
      <c r="H25" s="10" t="str">
        <f>I18N_T(cellLanguage, "RF_Modify")</f>
        <v>Modify</v>
      </c>
      <c r="I25" s="10" t="str">
        <f>I18N_T(cellLanguage, "RF_Duplicate")</f>
        <v>Duplicate</v>
      </c>
      <c r="J25" s="12"/>
    </row>
    <row r="26" spans="3:10" x14ac:dyDescent="0.25">
      <c r="C26" s="43">
        <v>52428830</v>
      </c>
      <c r="D26" s="43" t="s">
        <v>21</v>
      </c>
      <c r="E26" s="43" t="s">
        <v>628</v>
      </c>
      <c r="F26" s="43" t="s">
        <v>629</v>
      </c>
      <c r="H26" s="10" t="str">
        <f>I18N_T(cellLanguage, "RF_Modify")</f>
        <v>Modify</v>
      </c>
      <c r="I26" s="10" t="str">
        <f>I18N_T(cellLanguage, "RF_Duplicate")</f>
        <v>Duplicate</v>
      </c>
      <c r="J26" s="12"/>
    </row>
    <row r="27" spans="3:10" x14ac:dyDescent="0.25">
      <c r="C27" s="43">
        <v>52428829</v>
      </c>
      <c r="D27" s="43" t="s">
        <v>21</v>
      </c>
      <c r="E27" s="43" t="s">
        <v>630</v>
      </c>
      <c r="F27" s="43" t="s">
        <v>631</v>
      </c>
      <c r="H27" s="10" t="str">
        <f>I18N_T(cellLanguage, "RF_Modify")</f>
        <v>Modify</v>
      </c>
      <c r="I27" s="10" t="str">
        <f>I18N_T(cellLanguage, "RF_Duplicate")</f>
        <v>Duplicate</v>
      </c>
      <c r="J27" s="12"/>
    </row>
    <row r="28" spans="3:10" x14ac:dyDescent="0.25">
      <c r="C28" s="43">
        <v>52428827</v>
      </c>
      <c r="D28" s="43" t="s">
        <v>21</v>
      </c>
      <c r="E28" s="43" t="s">
        <v>632</v>
      </c>
      <c r="F28" s="43" t="s">
        <v>633</v>
      </c>
      <c r="H28" s="10" t="str">
        <f>I18N_T(cellLanguage, "RF_Modify")</f>
        <v>Modify</v>
      </c>
      <c r="I28" s="10" t="str">
        <f>I18N_T(cellLanguage, "RF_Duplicate")</f>
        <v>Duplicate</v>
      </c>
      <c r="J28" s="12"/>
    </row>
    <row r="29" spans="3:10" x14ac:dyDescent="0.25">
      <c r="C29" s="43">
        <v>79</v>
      </c>
      <c r="D29" s="43" t="s">
        <v>21</v>
      </c>
      <c r="E29" s="43" t="s">
        <v>634</v>
      </c>
      <c r="F29" s="43" t="s">
        <v>635</v>
      </c>
      <c r="H29" s="10" t="str">
        <f>I18N_T(cellLanguage, "RF_Modify")</f>
        <v>Modify</v>
      </c>
      <c r="I29" s="10" t="str">
        <f>I18N_T(cellLanguage, "RF_Duplicate")</f>
        <v>Duplicate</v>
      </c>
      <c r="J29" s="12"/>
    </row>
    <row r="30" spans="3:10" x14ac:dyDescent="0.25">
      <c r="C30" s="43">
        <v>77</v>
      </c>
      <c r="D30" s="43" t="s">
        <v>21</v>
      </c>
      <c r="E30" s="43" t="s">
        <v>636</v>
      </c>
      <c r="F30" s="43" t="s">
        <v>637</v>
      </c>
      <c r="H30" s="10" t="str">
        <f>I18N_T(cellLanguage, "RF_Modify")</f>
        <v>Modify</v>
      </c>
      <c r="I30" s="10" t="str">
        <f>I18N_T(cellLanguage, "RF_Duplicate")</f>
        <v>Duplicate</v>
      </c>
      <c r="J30" s="12"/>
    </row>
    <row r="31" spans="3:10" x14ac:dyDescent="0.25">
      <c r="C31" s="43">
        <v>55</v>
      </c>
      <c r="D31" s="43" t="s">
        <v>21</v>
      </c>
      <c r="E31" s="43" t="s">
        <v>638</v>
      </c>
      <c r="F31" s="43" t="s">
        <v>639</v>
      </c>
      <c r="H31" s="10" t="str">
        <f>I18N_T(cellLanguage, "RF_Modify")</f>
        <v>Modify</v>
      </c>
      <c r="I31" s="10" t="str">
        <f>I18N_T(cellLanguage, "RF_Duplicate")</f>
        <v>Duplicate</v>
      </c>
      <c r="J31" s="12"/>
    </row>
    <row r="32" spans="3:10" x14ac:dyDescent="0.25">
      <c r="C32" s="43">
        <v>67</v>
      </c>
      <c r="D32" s="43" t="s">
        <v>21</v>
      </c>
      <c r="E32" s="43" t="s">
        <v>640</v>
      </c>
      <c r="F32" s="43" t="s">
        <v>641</v>
      </c>
      <c r="H32" s="10" t="str">
        <f>I18N_T(cellLanguage, "RF_Modify")</f>
        <v>Modify</v>
      </c>
      <c r="I32" s="10" t="str">
        <f>I18N_T(cellLanguage, "RF_Duplicate")</f>
        <v>Duplicate</v>
      </c>
      <c r="J32" s="12"/>
    </row>
    <row r="33" spans="3:13" x14ac:dyDescent="0.25">
      <c r="C33" s="43">
        <v>68</v>
      </c>
      <c r="D33" s="43" t="s">
        <v>21</v>
      </c>
      <c r="E33" s="43" t="s">
        <v>642</v>
      </c>
      <c r="F33" s="43" t="s">
        <v>643</v>
      </c>
      <c r="H33" s="10" t="str">
        <f>I18N_T(cellLanguage, "RF_Modify")</f>
        <v>Modify</v>
      </c>
      <c r="I33" s="10" t="str">
        <f>I18N_T(cellLanguage, "RF_Duplicate")</f>
        <v>Duplicate</v>
      </c>
      <c r="J33" s="12"/>
    </row>
    <row r="34" spans="3:13" x14ac:dyDescent="0.25">
      <c r="C34" s="43">
        <v>69</v>
      </c>
      <c r="D34" s="43" t="s">
        <v>21</v>
      </c>
      <c r="E34" s="43" t="s">
        <v>644</v>
      </c>
      <c r="F34" s="43" t="s">
        <v>645</v>
      </c>
      <c r="H34" s="10" t="str">
        <f>I18N_T(cellLanguage, "RF_Modify")</f>
        <v>Modify</v>
      </c>
      <c r="I34" s="10" t="str">
        <f>I18N_T(cellLanguage, "RF_Duplicate")</f>
        <v>Duplicate</v>
      </c>
      <c r="J34" s="12"/>
    </row>
    <row r="35" spans="3:13" x14ac:dyDescent="0.25">
      <c r="C35" s="43">
        <v>56</v>
      </c>
      <c r="D35" s="43" t="s">
        <v>21</v>
      </c>
      <c r="E35" s="43" t="s">
        <v>646</v>
      </c>
      <c r="F35" s="43" t="s">
        <v>647</v>
      </c>
      <c r="H35" s="10" t="str">
        <f>I18N_T(cellLanguage, "RF_Modify")</f>
        <v>Modify</v>
      </c>
      <c r="I35" s="10" t="str">
        <f>I18N_T(cellLanguage, "RF_Duplicate")</f>
        <v>Duplicate</v>
      </c>
      <c r="J35" s="12"/>
    </row>
    <row r="36" spans="3:13" x14ac:dyDescent="0.25">
      <c r="C36" s="43">
        <v>52428802</v>
      </c>
      <c r="D36" s="43" t="s">
        <v>21</v>
      </c>
      <c r="E36" s="43" t="s">
        <v>648</v>
      </c>
      <c r="F36" s="43" t="s">
        <v>649</v>
      </c>
      <c r="H36" s="10" t="str">
        <f>I18N_T(cellLanguage, "RF_Modify")</f>
        <v>Modify</v>
      </c>
      <c r="I36" s="10" t="str">
        <f>I18N_T(cellLanguage, "RF_Duplicate")</f>
        <v>Duplicate</v>
      </c>
      <c r="J36" s="12"/>
    </row>
    <row r="37" spans="3:13" x14ac:dyDescent="0.25">
      <c r="C37" s="43">
        <v>71</v>
      </c>
      <c r="D37" s="43" t="s">
        <v>21</v>
      </c>
      <c r="E37" s="43" t="s">
        <v>650</v>
      </c>
      <c r="F37" s="43" t="s">
        <v>651</v>
      </c>
      <c r="H37" s="10" t="str">
        <f>I18N_T(cellLanguage, "RF_Modify")</f>
        <v>Modify</v>
      </c>
      <c r="I37" s="10" t="str">
        <f>I18N_T(cellLanguage, "RF_Duplicate")</f>
        <v>Duplicate</v>
      </c>
      <c r="J37" s="12"/>
    </row>
    <row r="38" spans="3:13" x14ac:dyDescent="0.25">
      <c r="C38" s="43">
        <v>73</v>
      </c>
      <c r="D38" s="43" t="s">
        <v>21</v>
      </c>
      <c r="E38" s="43" t="s">
        <v>652</v>
      </c>
      <c r="F38" s="43" t="s">
        <v>653</v>
      </c>
      <c r="H38" s="10" t="str">
        <f>I18N_T(cellLanguage, "RF_Modify")</f>
        <v>Modify</v>
      </c>
      <c r="I38" s="10" t="str">
        <f>I18N_T(cellLanguage, "RF_Duplicate")</f>
        <v>Duplicate</v>
      </c>
      <c r="J38" s="12"/>
    </row>
    <row r="39" spans="3:13" x14ac:dyDescent="0.25">
      <c r="C39" s="43">
        <v>61</v>
      </c>
      <c r="D39" s="43" t="s">
        <v>21</v>
      </c>
      <c r="E39" s="43" t="s">
        <v>654</v>
      </c>
      <c r="F39" s="43" t="s">
        <v>655</v>
      </c>
      <c r="H39" s="10" t="str">
        <f>I18N_T(cellLanguage, "RF_Modify")</f>
        <v>Modify</v>
      </c>
      <c r="I39" s="10" t="str">
        <f>I18N_T(cellLanguage, "RF_Duplicate")</f>
        <v>Duplicate</v>
      </c>
      <c r="J39" s="12"/>
    </row>
    <row r="40" spans="3:13" x14ac:dyDescent="0.25">
      <c r="C40" s="43">
        <v>59</v>
      </c>
      <c r="D40" s="43" t="s">
        <v>21</v>
      </c>
      <c r="E40" s="43" t="s">
        <v>656</v>
      </c>
      <c r="F40" s="43" t="s">
        <v>657</v>
      </c>
      <c r="H40" s="10" t="str">
        <f>I18N_T(cellLanguage, "RF_Modify")</f>
        <v>Modify</v>
      </c>
      <c r="I40" s="10" t="str">
        <f>I18N_T(cellLanguage, "RF_Duplicate")</f>
        <v>Duplicate</v>
      </c>
      <c r="J40" s="12"/>
    </row>
    <row r="41" spans="3:13" x14ac:dyDescent="0.25">
      <c r="C41" s="43">
        <v>60</v>
      </c>
      <c r="D41" s="43" t="s">
        <v>21</v>
      </c>
      <c r="E41" s="43" t="s">
        <v>658</v>
      </c>
      <c r="F41" s="43" t="s">
        <v>659</v>
      </c>
      <c r="H41" s="10" t="str">
        <f>I18N_T(cellLanguage, "RF_Modify")</f>
        <v>Modify</v>
      </c>
      <c r="I41" s="10" t="str">
        <f>I18N_T(cellLanguage, "RF_Duplicate")</f>
        <v>Duplicate</v>
      </c>
      <c r="J41" s="12"/>
    </row>
    <row r="42" spans="3:13" x14ac:dyDescent="0.25">
      <c r="C42"/>
      <c r="D42"/>
      <c r="E42"/>
      <c r="F42"/>
      <c r="H42"/>
      <c r="I42"/>
      <c r="J42" s="12"/>
    </row>
    <row r="43" spans="3:13" x14ac:dyDescent="0.25">
      <c r="C43"/>
      <c r="D43"/>
      <c r="E43"/>
      <c r="F43"/>
      <c r="H43"/>
      <c r="I43"/>
      <c r="J43" s="12"/>
    </row>
    <row r="44" spans="3:13" x14ac:dyDescent="0.25">
      <c r="C44"/>
      <c r="D44"/>
      <c r="E44"/>
      <c r="F44"/>
      <c r="H44"/>
      <c r="I44"/>
      <c r="J44" s="12"/>
    </row>
    <row r="45" spans="3:13" x14ac:dyDescent="0.25">
      <c r="C45"/>
      <c r="D45"/>
      <c r="E45"/>
      <c r="F45"/>
      <c r="H45"/>
      <c r="I45"/>
      <c r="J45" s="12"/>
    </row>
    <row r="46" spans="3:13" x14ac:dyDescent="0.25">
      <c r="C46"/>
      <c r="D46"/>
      <c r="E46"/>
      <c r="F46"/>
      <c r="H46"/>
      <c r="I46"/>
      <c r="J46" s="12"/>
    </row>
    <row r="47" spans="3:13" x14ac:dyDescent="0.25">
      <c r="C47"/>
      <c r="D47"/>
      <c r="E47"/>
      <c r="F47"/>
      <c r="H47"/>
      <c r="I47"/>
      <c r="J47" s="12"/>
    </row>
    <row r="48" spans="3:13" x14ac:dyDescent="0.25">
      <c r="M48"/>
    </row>
    <row r="49" spans="14:19" x14ac:dyDescent="0.25">
      <c r="N49"/>
    </row>
    <row r="50" spans="14:19" x14ac:dyDescent="0.25">
      <c r="O50"/>
    </row>
    <row r="51" spans="14:19" x14ac:dyDescent="0.25">
      <c r="P51"/>
    </row>
    <row r="52" spans="14:19" x14ac:dyDescent="0.25">
      <c r="Q52"/>
    </row>
    <row r="53" spans="14:19" x14ac:dyDescent="0.25">
      <c r="R53"/>
    </row>
    <row r="54" spans="14:19" x14ac:dyDescent="0.25">
      <c r="S54"/>
    </row>
  </sheetData>
  <sheetProtection sheet="1" objects="1" scenarios="1" formatCells="0" formatColumns="0" formatRows="0" insertRows="0" sort="0" autoFilter="0"/>
  <hyperlinks>
    <hyperlink ref="D10" location="C3" tooltip=" " display="C3" xr:uid="{77348343-7809-42CA-B210-43A385F568A9}"/>
    <hyperlink ref="H14" location="C3" tooltip=" " display="C3" xr:uid="{7BD5F843-459F-4506-B498-72A63E2030BF}"/>
    <hyperlink ref="I14" location="C3" tooltip=" " display="C3" xr:uid="{39F24285-9F21-4584-B207-216C020DE394}"/>
    <hyperlink ref="H15" location="C3" tooltip=" " display="C3" xr:uid="{158C1E6B-FC69-4E28-80AB-C690CF0CD9E7}"/>
    <hyperlink ref="H16" location="C3" tooltip=" " display="C3" xr:uid="{3637ACDD-67A0-4C72-8C3B-5136028F74D1}"/>
    <hyperlink ref="H17" location="C3" tooltip=" " display="C3" xr:uid="{5E538374-9086-4E46-A9AB-C41FF1C2D6F3}"/>
    <hyperlink ref="H18" location="C3" tooltip=" " display="C3" xr:uid="{206DDA39-7052-49C8-93A0-D54F6F474E6E}"/>
    <hyperlink ref="H19" location="C3" tooltip=" " display="C3" xr:uid="{6476211E-9F1B-4DC0-B3DF-44724D915951}"/>
    <hyperlink ref="H20" location="C3" tooltip=" " display="C3" xr:uid="{6B4BFECD-1DAD-4ACF-AD96-B31835A0059D}"/>
    <hyperlink ref="H21" location="C3" tooltip=" " display="C3" xr:uid="{330F35C5-4EA1-4883-A5A2-49A85731008D}"/>
    <hyperlink ref="H22" location="C3" tooltip=" " display="C3" xr:uid="{46B07F48-7F47-4CCA-A308-659E2F5B730E}"/>
    <hyperlink ref="H23" location="C3" tooltip=" " display="C3" xr:uid="{6FEA8FA4-6B22-4CDE-BB96-F81A391B0201}"/>
    <hyperlink ref="H24" location="C3" tooltip=" " display="C3" xr:uid="{02203CE0-D492-4EB4-95E3-2F00B5FDC6E1}"/>
    <hyperlink ref="H25" location="C3" tooltip=" " display="C3" xr:uid="{EA84F953-0C66-4BB1-9B1F-7EB30BC90C29}"/>
    <hyperlink ref="H26" location="C3" tooltip=" " display="C3" xr:uid="{B8F85A16-3693-42BC-83A9-81E3BED0BD37}"/>
    <hyperlink ref="H27" location="C3" tooltip=" " display="C3" xr:uid="{5EC01908-2297-46AE-A965-BA081034C87F}"/>
    <hyperlink ref="H28" location="C3" tooltip=" " display="C3" xr:uid="{F532E600-62AE-424A-93BC-DD146A156213}"/>
    <hyperlink ref="H29" location="C3" tooltip=" " display="C3" xr:uid="{1DEC704D-4098-43B3-9F46-7F85272A0900}"/>
    <hyperlink ref="H30" location="C3" tooltip=" " display="C3" xr:uid="{E5A18316-9C0D-4D8B-903D-BC94A6A51BBD}"/>
    <hyperlink ref="H31" location="C3" tooltip=" " display="C3" xr:uid="{15230C73-1C97-4EDA-977D-857676D211DB}"/>
    <hyperlink ref="H32" location="C3" tooltip=" " display="C3" xr:uid="{F3595C84-7178-4EB2-8EB7-DF442DA9F597}"/>
    <hyperlink ref="H33" location="C3" tooltip=" " display="C3" xr:uid="{35421DCD-F0ED-4C65-A376-8B21145012BC}"/>
    <hyperlink ref="H34" location="C3" tooltip=" " display="C3" xr:uid="{92B04FA3-ABEA-40B9-9E33-61673D698733}"/>
    <hyperlink ref="H35" location="C3" tooltip=" " display="C3" xr:uid="{0B8469A9-AE5C-43E6-B780-B211C5C412C7}"/>
    <hyperlink ref="H36" location="C3" tooltip=" " display="C3" xr:uid="{1CA95270-27EC-4AD8-94DD-C1B808E294DF}"/>
    <hyperlink ref="H37" location="C3" tooltip=" " display="C3" xr:uid="{E26D1153-69DD-4850-8870-31381EB3A22D}"/>
    <hyperlink ref="H38" location="C3" tooltip=" " display="C3" xr:uid="{9F884200-81B2-48EB-A669-BDDBA7A376A2}"/>
    <hyperlink ref="H39" location="C3" tooltip=" " display="C3" xr:uid="{A7629AA2-A89C-4D15-8AE8-129359267246}"/>
    <hyperlink ref="H40" location="C3" tooltip=" " display="C3" xr:uid="{19C53AE7-18D1-44C5-BB33-E99D4239E40F}"/>
    <hyperlink ref="H41" location="C3" tooltip=" " display="C3" xr:uid="{D37D9078-65A6-448F-9BCA-194B1B0C4BD9}"/>
    <hyperlink ref="I15" location="C3" tooltip=" " display="C3" xr:uid="{C6830FF7-D443-4517-925A-D0D6B966BF82}"/>
    <hyperlink ref="I16" location="C3" tooltip=" " display="C3" xr:uid="{F5647801-1AB5-4E95-A4A2-831DE5BDAB7A}"/>
    <hyperlink ref="I17" location="C3" tooltip=" " display="C3" xr:uid="{0556B4BE-4AFE-4426-8DF0-1D2AE25FAE5C}"/>
    <hyperlink ref="I18" location="C3" tooltip=" " display="C3" xr:uid="{8D4E24B9-DB83-455A-A160-52DF42278503}"/>
    <hyperlink ref="I19" location="C3" tooltip=" " display="C3" xr:uid="{AE43A30B-4E91-4F6A-8539-6141BE831544}"/>
    <hyperlink ref="I20" location="C3" tooltip=" " display="C3" xr:uid="{E09C629C-0BD9-4468-A763-C3C77F66BC34}"/>
    <hyperlink ref="I21" location="C3" tooltip=" " display="C3" xr:uid="{35512E78-C381-4194-8A19-89C8CCC0E1D8}"/>
    <hyperlink ref="I22" location="C3" tooltip=" " display="C3" xr:uid="{1B495AA7-9419-4999-A00B-FBDC6F6BAD54}"/>
    <hyperlink ref="I23" location="C3" tooltip=" " display="C3" xr:uid="{86913325-5D4C-447D-8941-7FF6190FD427}"/>
    <hyperlink ref="I24" location="C3" tooltip=" " display="C3" xr:uid="{3086724B-0C77-46CA-A923-4C5971D7BFE6}"/>
    <hyperlink ref="I25" location="C3" tooltip=" " display="C3" xr:uid="{142315DF-AFF5-4A9D-93D4-F3B77A6C5A1D}"/>
    <hyperlink ref="I26" location="C3" tooltip=" " display="C3" xr:uid="{F3BDFEBB-FED1-4B6B-8005-82A2917A962C}"/>
    <hyperlink ref="I27" location="C3" tooltip=" " display="C3" xr:uid="{9AE50F09-D327-4F36-BCD4-A16168E127B3}"/>
    <hyperlink ref="I28" location="C3" tooltip=" " display="C3" xr:uid="{C46763D1-99AA-4BBE-8617-A4CCB0A70053}"/>
    <hyperlink ref="I29" location="C3" tooltip=" " display="C3" xr:uid="{586A8D1E-B645-4094-A9C6-25E962CAADF6}"/>
    <hyperlink ref="I30" location="C3" tooltip=" " display="C3" xr:uid="{DFA5D52B-B1A5-4BDF-A1BC-64889C03159E}"/>
    <hyperlink ref="I31" location="C3" tooltip=" " display="C3" xr:uid="{4A9A3DF8-1294-4072-B5FF-5C874F2EE7BE}"/>
    <hyperlink ref="I32" location="C3" tooltip=" " display="C3" xr:uid="{74BB295B-C99A-4DAE-AF08-B541FCD8C388}"/>
    <hyperlink ref="I33" location="C3" tooltip=" " display="C3" xr:uid="{BBBC8ED0-2897-4D16-B644-5C630959A089}"/>
    <hyperlink ref="I34" location="C3" tooltip=" " display="C3" xr:uid="{67E9C08D-070C-4E64-98EE-9A89F8058883}"/>
    <hyperlink ref="I35" location="C3" tooltip=" " display="C3" xr:uid="{692D02E9-2C88-4479-B907-20C0AD30A819}"/>
    <hyperlink ref="I36" location="C3" tooltip=" " display="C3" xr:uid="{45658297-CBF0-4ACB-B6DF-FEE4CB145014}"/>
    <hyperlink ref="I37" location="C3" tooltip=" " display="C3" xr:uid="{909213E1-5BD5-4EA8-B6A7-7283B8FC8A5F}"/>
    <hyperlink ref="I38" location="C3" tooltip=" " display="C3" xr:uid="{3356A6CF-F389-4A4C-AFD3-940A0B778275}"/>
    <hyperlink ref="I39" location="C3" tooltip=" " display="C3" xr:uid="{E0B4C57E-4D26-4161-AF2A-0ED106DA7EDF}"/>
    <hyperlink ref="I40" location="C3" tooltip=" " display="C3" xr:uid="{5E3CE178-A647-4498-A302-6B2B31A2D334}"/>
    <hyperlink ref="I41" location="C3" tooltip=" " display="C3" xr:uid="{A95099A1-A19B-4670-AF77-CA4D2D0A8261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0B6D-AB46-4345-839A-7EC0B08525F7}">
  <sheetPr codeName="Feuil1">
    <outlinePr summaryRight="0"/>
  </sheetPr>
  <dimension ref="B2:CF6"/>
  <sheetViews>
    <sheetView showGridLines="0" workbookViewId="0">
      <selection activeCell="B6" sqref="B6"/>
    </sheetView>
  </sheetViews>
  <sheetFormatPr baseColWidth="10" defaultColWidth="6.7109375" defaultRowHeight="15" outlineLevelCol="3" x14ac:dyDescent="0.25"/>
  <cols>
    <col min="1" max="1" width="6.7109375" style="17"/>
    <col min="2" max="2" width="5.7109375" style="17" customWidth="1"/>
    <col min="3" max="5" width="9.7109375" style="17" customWidth="1" outlineLevel="3"/>
    <col min="6" max="7" width="21.7109375" style="17" customWidth="1" outlineLevel="3"/>
    <col min="8" max="8" width="5.7109375" style="17" customWidth="1" outlineLevel="1"/>
    <col min="9" max="9" width="5.7109375" style="17" customWidth="1" outlineLevel="1" collapsed="1"/>
    <col min="10" max="29" width="9.7109375" style="17" hidden="1" customWidth="1" outlineLevel="3"/>
    <col min="30" max="30" width="5.7109375" style="17" customWidth="1" outlineLevel="1"/>
    <col min="31" max="31" width="21.7109375" style="17" customWidth="1" outlineLevel="3"/>
    <col min="32" max="32" width="10.7109375" style="17" customWidth="1" outlineLevel="3"/>
    <col min="33" max="33" width="5.7109375" style="17" customWidth="1" outlineLevel="2" collapsed="1"/>
    <col min="34" max="37" width="9.7109375" style="17" hidden="1" customWidth="1" outlineLevel="3"/>
    <col min="38" max="38" width="5.7109375" style="17" customWidth="1" outlineLevel="2" collapsed="1"/>
    <col min="39" max="42" width="9.7109375" style="17" hidden="1" customWidth="1" outlineLevel="3"/>
    <col min="43" max="43" width="5.7109375" style="17" customWidth="1"/>
    <col min="44" max="46" width="9.7109375" style="17" customWidth="1" outlineLevel="3"/>
    <col min="47" max="47" width="10.7109375" style="17" customWidth="1" outlineLevel="3"/>
    <col min="48" max="48" width="5.7109375" style="17" customWidth="1" outlineLevel="1" collapsed="1"/>
    <col min="49" max="68" width="9.7109375" style="17" hidden="1" customWidth="1" outlineLevel="3"/>
    <col min="69" max="69" width="5.7109375" style="17" customWidth="1" outlineLevel="1"/>
    <col min="70" max="70" width="10.7109375" style="17" customWidth="1" outlineLevel="3"/>
    <col min="71" max="71" width="21.7109375" style="17" customWidth="1" outlineLevel="3"/>
    <col min="72" max="72" width="10.7109375" style="17" customWidth="1" outlineLevel="3"/>
    <col min="73" max="73" width="5.7109375" style="17" customWidth="1" outlineLevel="2" collapsed="1"/>
    <col min="74" max="78" width="9.7109375" style="17" hidden="1" customWidth="1" outlineLevel="3"/>
    <col min="79" max="79" width="5.7109375" style="17" customWidth="1" outlineLevel="2" collapsed="1"/>
    <col min="80" max="84" width="9.7109375" style="17" hidden="1" customWidth="1" outlineLevel="3"/>
    <col min="85" max="16384" width="6.7109375" style="17"/>
  </cols>
  <sheetData>
    <row r="2" spans="2:84" x14ac:dyDescent="0.25">
      <c r="B2" s="10" t="str">
        <f>I18N_T(cellLanguage, "RF_Save")</f>
        <v>Save changes</v>
      </c>
    </row>
    <row r="3" spans="2:84" x14ac:dyDescent="0.25">
      <c r="C3" s="41">
        <f>SUBTOTAL(103, tReporting52428888[[ 2]])</f>
        <v>1</v>
      </c>
    </row>
    <row r="4" spans="2:84" hidden="1" x14ac:dyDescent="0.25">
      <c r="B4" s="46" t="str">
        <f>I18N_T(cellLanguage, "RF_Reporting")</f>
        <v>Reporting</v>
      </c>
      <c r="C4" s="47" t="str">
        <f>I18N_T(cellLanguage, "RF_Phase")</f>
        <v>Category</v>
      </c>
      <c r="D4" s="47" t="str">
        <f>I18N_T(cellLanguage, "RF_UpdatePeriod")</f>
        <v>Update Period</v>
      </c>
      <c r="E4" s="47" t="str">
        <f>I18N_T(cellLanguage, "RF_FrameworkVersion")</f>
        <v>Category version</v>
      </c>
      <c r="F4" s="47" t="str">
        <f>I18N_T(cellLanguage, "RF_Start")</f>
        <v>Start date</v>
      </c>
      <c r="G4" s="47" t="str">
        <f>I18N_T(cellLanguage, "RF_End")</f>
        <v>End date</v>
      </c>
      <c r="H4" s="47" t="str">
        <f>I18N_T(cellLanguage, "RF_RepDesc")</f>
        <v>Descriptions</v>
      </c>
      <c r="I4" s="47" t="str">
        <f>I18N_T(cellLanguage, "RF_RepPack")</f>
        <v>Package</v>
      </c>
      <c r="J4" s="47" t="str">
        <f>I18N_T(cellLanguage, "RF_UseDefaultWindowsFolder")</f>
        <v>Default Windows Folder?</v>
      </c>
      <c r="K4" s="47" t="str">
        <f>I18N_T(cellLanguage, "RF_WindowsFolder")</f>
        <v>Windows folder</v>
      </c>
      <c r="L4" s="47" t="str">
        <f>I18N_T(cellLanguage, "RF_UseDefaultInternetFolder")</f>
        <v>Default Internet Folder?</v>
      </c>
      <c r="M4" s="47" t="str">
        <f>I18N_T(cellLanguage, "RF_InternetFolder")</f>
        <v>Internet folder</v>
      </c>
      <c r="N4" s="47" t="str">
        <f>I18N_T(cellLanguage, "RF_UseDefaultSetOfControls")</f>
        <v>Control Set: default?</v>
      </c>
      <c r="O4" s="47" t="str">
        <f>I18N_T(cellLanguage, "RF_SetOfControls")</f>
        <v>Control Set</v>
      </c>
      <c r="P4" s="47" t="str">
        <f>I18N_T(cellLanguage, "RF_UseDefaultLevel")</f>
        <v>Default Level?</v>
      </c>
      <c r="Q4" s="47" t="str">
        <f>I18N_T(cellLanguage, "RF_LevelToReach")</f>
        <v>Control Level</v>
      </c>
      <c r="R4" s="47" t="str">
        <f>I18N_T(cellLanguage, "RF_Blocking")</f>
        <v>Blocking?</v>
      </c>
      <c r="S4" s="47" t="str">
        <f>I18N_T(cellLanguage, "RF_UseDefaultLock")</f>
        <v>Lock: default?</v>
      </c>
      <c r="T4" s="47" t="str">
        <f>I18N_T(cellLanguage, "RF_LockOnPublication")</f>
        <v>Lock on publication</v>
      </c>
      <c r="U4" s="47" t="str">
        <f>I18N_T(cellLanguage, "RF_UseDefaultRuleSet")</f>
        <v>Rule Set: default?</v>
      </c>
      <c r="V4" s="47" t="str">
        <f>I18N_T(cellLanguage, "RF_RuleSet")</f>
        <v>Rule Set</v>
      </c>
      <c r="W4" s="47" t="str">
        <f>I18N_T(cellLanguage, "RF_UseDefaultOpbal")</f>
        <v>Opening balance: default?</v>
      </c>
      <c r="X4" s="47" t="str">
        <f>I18N_T(cellLanguage, "RF_HasOpBal")</f>
        <v>Opening balance?</v>
      </c>
      <c r="Y4" s="47" t="str">
        <f>I18N_T(cellLanguage, "RF_OpbPhase")</f>
        <v>OB Category</v>
      </c>
      <c r="Z4" s="47" t="str">
        <f>I18N_T(cellLanguage, "RF_OpbUpdatePeriod")</f>
        <v>OB Update Period</v>
      </c>
      <c r="AA4" s="47" t="str">
        <f>I18N_T(cellLanguage, "RF_OpbScope")</f>
        <v>OB Scope</v>
      </c>
      <c r="AB4" s="47" t="str">
        <f>I18N_T(cellLanguage, "RF_OpbVariant")</f>
        <v>OB Variant</v>
      </c>
      <c r="AC4" s="47" t="str">
        <f>I18N_T(cellLanguage, "RF_OpbConsCurrency")</f>
        <v>OB Currency</v>
      </c>
      <c r="AD4" s="47" t="str">
        <f>I18N_T(cellLanguage, "RF_RepOp")</f>
        <v>Operation</v>
      </c>
      <c r="AE4" s="47" t="str">
        <f>I18N_T(cellLanguage, "RF_CutoffDate")</f>
        <v>Cutoff Date</v>
      </c>
      <c r="AF4" s="47" t="str">
        <f>I18N_T(cellLanguage, "RF_EarlyPublishing")</f>
        <v>Early publishing?</v>
      </c>
      <c r="AG4" s="47" t="str">
        <f>I18N_T(cellLanguage, "RF_RepOpAftPub")</f>
        <v>After publication</v>
      </c>
      <c r="AH4" s="47" t="str">
        <f>I18N_T(cellLanguage, "RF_RepOpAftPubStd")</f>
        <v>Standard pub.</v>
      </c>
      <c r="AI4" s="47" t="str">
        <f>I18N_T(cellLanguage, "RF_RepOpAftPubSpe")</f>
        <v>Special pub.</v>
      </c>
      <c r="AJ4" s="47" t="str">
        <f>I18N_T(cellLanguage, "RF_RepOpAftPubAdv")</f>
        <v>Advanced pub.</v>
      </c>
      <c r="AK4" s="47" t="str">
        <f>I18N_T(cellLanguage, "RF_RepOpAftPubLvl")</f>
        <v>After pub. Level</v>
      </c>
      <c r="AL4" s="47" t="str">
        <f>I18N_T(cellLanguage, "RF_RepOpAftTran")</f>
        <v>After transfert</v>
      </c>
      <c r="AM4" s="47" t="str">
        <f>I18N_T(cellLanguage, "RF_RepOpAftTranStd")</f>
        <v>Standard tran.</v>
      </c>
      <c r="AN4" s="47" t="str">
        <f>I18N_T(cellLanguage, "RF_RepOpAftTranSpe")</f>
        <v>Special tran.</v>
      </c>
      <c r="AO4" s="47" t="str">
        <f>I18N_T(cellLanguage, "RF_RepOpAftTranAdv")</f>
        <v>Advanced tran.</v>
      </c>
      <c r="AP4" s="47" t="str">
        <f>I18N_T(cellLanguage, "RF_RepOpAftTranLvl")</f>
        <v>After tran. Level</v>
      </c>
      <c r="AQ4" s="47" t="str">
        <f>I18N_T(cellLanguage, "RF_Entity")</f>
        <v>Entity</v>
      </c>
      <c r="AR4" s="47" t="str">
        <f>I18N_T(cellLanguage, "RF_Entity2")</f>
        <v>Name</v>
      </c>
      <c r="AS4" s="47" t="str">
        <f>I18N_T(cellLanguage, "RF_InputCurrency")</f>
        <v>Currency</v>
      </c>
      <c r="AT4" s="47" t="str">
        <f>I18N_T(cellLanguage, "RF_InputSite")</f>
        <v>Input Site</v>
      </c>
      <c r="AU4" s="47" t="str">
        <f>I18N_T(cellLanguage, "RF_PublicationSite")</f>
        <v>Publication Site</v>
      </c>
      <c r="AV4" s="47" t="str">
        <f>I18N_T(cellLanguage, "RF_EntPack")</f>
        <v>Package</v>
      </c>
      <c r="AW4" s="47" t="str">
        <f>I18N_T(cellLanguage, "RF_EntUseDefaultWindowsFolder")</f>
        <v>Default Windows Folder?</v>
      </c>
      <c r="AX4" s="47" t="str">
        <f>I18N_T(cellLanguage, "RF_EntWindowsFolder")</f>
        <v>Windows folder</v>
      </c>
      <c r="AY4" s="47" t="str">
        <f>I18N_T(cellLanguage, "RF_EntUseDefaultInternetFolder")</f>
        <v>Default Internet Folder?</v>
      </c>
      <c r="AZ4" s="47" t="str">
        <f>I18N_T(cellLanguage, "RF_EntInternetFolder")</f>
        <v>Internet folder</v>
      </c>
      <c r="BA4" s="47" t="str">
        <f>I18N_T(cellLanguage, "RF_EntUseDefaultSetOfControls")</f>
        <v>Control Set: default?</v>
      </c>
      <c r="BB4" s="47" t="str">
        <f>I18N_T(cellLanguage, "RF_EntSetOfControls")</f>
        <v>Control Set</v>
      </c>
      <c r="BC4" s="47" t="str">
        <f>I18N_T(cellLanguage, "RF_EntUseDefaultLevel")</f>
        <v>Default Level?</v>
      </c>
      <c r="BD4" s="47" t="str">
        <f>I18N_T(cellLanguage, "RF_EntLevelToReach")</f>
        <v>Control Level</v>
      </c>
      <c r="BE4" s="47" t="str">
        <f>I18N_T(cellLanguage, "RF_EntBlocking")</f>
        <v>Blocking?</v>
      </c>
      <c r="BF4" s="47" t="str">
        <f>I18N_T(cellLanguage, "RF_EntUseDefaultLock")</f>
        <v>Lock: default?</v>
      </c>
      <c r="BG4" s="47" t="str">
        <f>I18N_T(cellLanguage, "RF_EntLockOnPublication")</f>
        <v>Lock on publication</v>
      </c>
      <c r="BH4" s="47" t="str">
        <f>I18N_T(cellLanguage, "RF_EntUseDefaultRuleSet")</f>
        <v>Rule Set: default?</v>
      </c>
      <c r="BI4" s="47" t="str">
        <f>I18N_T(cellLanguage, "RF_EntRuleSet")</f>
        <v>Rule Set</v>
      </c>
      <c r="BJ4" s="47" t="str">
        <f>I18N_T(cellLanguage, "RF_EntUseDefaultOpbal")</f>
        <v>Opening balance: default?</v>
      </c>
      <c r="BK4" s="47" t="str">
        <f>I18N_T(cellLanguage, "RF_EntHasOpBal")</f>
        <v>Opening balance?</v>
      </c>
      <c r="BL4" s="47" t="str">
        <f>I18N_T(cellLanguage, "RF_EntOpbPhase")</f>
        <v>OB Category</v>
      </c>
      <c r="BM4" s="47" t="str">
        <f>I18N_T(cellLanguage, "RF_EntOpbUpdatePeriod")</f>
        <v>OB Update Period</v>
      </c>
      <c r="BN4" s="47" t="str">
        <f>I18N_T(cellLanguage, "RF_EntOpbScope")</f>
        <v>OB Scope</v>
      </c>
      <c r="BO4" s="47" t="str">
        <f>I18N_T(cellLanguage, "RF_EntOpbVariant")</f>
        <v>OB Variant</v>
      </c>
      <c r="BP4" s="47" t="str">
        <f>I18N_T(cellLanguage, "RF_EntOpbConsCurrency")</f>
        <v>OB Currency</v>
      </c>
      <c r="BQ4" s="47" t="str">
        <f>I18N_T(cellLanguage, "RF_EntOp")</f>
        <v>Operation</v>
      </c>
      <c r="BR4" s="47" t="str">
        <f>I18N_T(cellLanguage, "RF_EntUseDefaultPublish")</f>
        <v>Operation: default?</v>
      </c>
      <c r="BS4" s="47" t="str">
        <f>I18N_T(cellLanguage, "RF_EntPackPublishingCutOffDate")</f>
        <v>Cutoff Date</v>
      </c>
      <c r="BT4" s="47" t="str">
        <f>I18N_T(cellLanguage, "RF_EntAllowEarlyPublishing")</f>
        <v>Early publishing?</v>
      </c>
      <c r="BU4" s="47" t="str">
        <f>I18N_T(cellLanguage, "RF_EntOpAftPub")</f>
        <v>After publication</v>
      </c>
      <c r="BV4" s="47" t="str">
        <f>I18N_T(cellLanguage, "RF_EntUseDefaultAfterPub")</f>
        <v>After publication: default?</v>
      </c>
      <c r="BW4" s="47" t="str">
        <f>I18N_T(cellLanguage, "RF_EntAftPubStandard")</f>
        <v>Standard pub.</v>
      </c>
      <c r="BX4" s="47" t="str">
        <f>I18N_T(cellLanguage, "RF_EntAftPubSpecial")</f>
        <v>Special pub.</v>
      </c>
      <c r="BY4" s="47" t="str">
        <f>I18N_T(cellLanguage, "RF_EntAftPubAdvanced")</f>
        <v>Advanced pub.</v>
      </c>
      <c r="BZ4" s="47" t="str">
        <f>I18N_T(cellLanguage, "RF_EntAftPubLevel")</f>
        <v>After pub. Level</v>
      </c>
      <c r="CA4" s="47" t="str">
        <f>I18N_T(cellLanguage, "RF_EntOpAftTran")</f>
        <v>After transfert</v>
      </c>
      <c r="CB4" s="47" t="str">
        <f>I18N_T(cellLanguage, "RF_EntUseDefaultAfterTran")</f>
        <v>After transfert: default?</v>
      </c>
      <c r="CC4" s="47" t="str">
        <f>I18N_T(cellLanguage, "RF_EntAftTranStandard")</f>
        <v>Standard tran.</v>
      </c>
      <c r="CD4" s="47" t="str">
        <f>I18N_T(cellLanguage, "RF_EntAftTranSpecial")</f>
        <v>Special tran.</v>
      </c>
      <c r="CE4" s="47" t="str">
        <f>I18N_T(cellLanguage, "RF_EntAftTranAdvanced")</f>
        <v>Advanced tran.</v>
      </c>
      <c r="CF4" s="48" t="str">
        <f>I18N_T(cellLanguage, "RF_EntAftTranLevel")</f>
        <v>After tran. Level</v>
      </c>
    </row>
    <row r="5" spans="2:84" ht="66" customHeight="1" x14ac:dyDescent="0.25">
      <c r="B5" s="45" t="s">
        <v>204</v>
      </c>
      <c r="C5" s="45" t="s">
        <v>205</v>
      </c>
      <c r="D5" s="45" t="s">
        <v>206</v>
      </c>
      <c r="E5" s="45" t="s">
        <v>207</v>
      </c>
      <c r="F5" s="45" t="s">
        <v>660</v>
      </c>
      <c r="G5" s="45" t="s">
        <v>661</v>
      </c>
      <c r="H5" s="45" t="s">
        <v>662</v>
      </c>
      <c r="I5" s="45" t="s">
        <v>663</v>
      </c>
      <c r="J5" s="45" t="s">
        <v>664</v>
      </c>
      <c r="K5" s="45" t="s">
        <v>665</v>
      </c>
      <c r="L5" s="45" t="s">
        <v>666</v>
      </c>
      <c r="M5" s="45" t="s">
        <v>667</v>
      </c>
      <c r="N5" s="45" t="s">
        <v>668</v>
      </c>
      <c r="O5" s="45" t="s">
        <v>669</v>
      </c>
      <c r="P5" s="45" t="s">
        <v>670</v>
      </c>
      <c r="Q5" s="45" t="s">
        <v>671</v>
      </c>
      <c r="R5" s="45" t="s">
        <v>672</v>
      </c>
      <c r="S5" s="45" t="s">
        <v>673</v>
      </c>
      <c r="T5" s="45" t="s">
        <v>674</v>
      </c>
      <c r="U5" s="45" t="s">
        <v>675</v>
      </c>
      <c r="V5" s="45" t="s">
        <v>676</v>
      </c>
      <c r="W5" s="45" t="s">
        <v>677</v>
      </c>
      <c r="X5" s="45" t="s">
        <v>678</v>
      </c>
      <c r="Y5" s="45" t="s">
        <v>679</v>
      </c>
      <c r="Z5" s="45" t="s">
        <v>680</v>
      </c>
      <c r="AA5" s="45" t="s">
        <v>681</v>
      </c>
      <c r="AB5" s="45" t="s">
        <v>682</v>
      </c>
      <c r="AC5" s="45" t="s">
        <v>683</v>
      </c>
      <c r="AD5" s="45" t="s">
        <v>684</v>
      </c>
      <c r="AE5" s="45" t="s">
        <v>685</v>
      </c>
      <c r="AF5" s="45" t="s">
        <v>686</v>
      </c>
      <c r="AG5" s="45" t="s">
        <v>687</v>
      </c>
      <c r="AH5" s="45" t="s">
        <v>688</v>
      </c>
      <c r="AI5" s="45" t="s">
        <v>689</v>
      </c>
      <c r="AJ5" s="45" t="s">
        <v>690</v>
      </c>
      <c r="AK5" s="45" t="s">
        <v>691</v>
      </c>
      <c r="AL5" s="45" t="s">
        <v>692</v>
      </c>
      <c r="AM5" s="45" t="s">
        <v>693</v>
      </c>
      <c r="AN5" s="45" t="s">
        <v>694</v>
      </c>
      <c r="AO5" s="45" t="s">
        <v>695</v>
      </c>
      <c r="AP5" s="45" t="s">
        <v>696</v>
      </c>
      <c r="AQ5" s="45" t="s">
        <v>697</v>
      </c>
      <c r="AR5" s="45" t="s">
        <v>698</v>
      </c>
      <c r="AS5" s="45" t="s">
        <v>699</v>
      </c>
      <c r="AT5" s="45" t="s">
        <v>700</v>
      </c>
      <c r="AU5" s="45" t="s">
        <v>701</v>
      </c>
      <c r="AV5" s="45" t="s">
        <v>702</v>
      </c>
      <c r="AW5" s="45" t="s">
        <v>703</v>
      </c>
      <c r="AX5" s="45" t="s">
        <v>704</v>
      </c>
      <c r="AY5" s="45" t="s">
        <v>705</v>
      </c>
      <c r="AZ5" s="45" t="s">
        <v>706</v>
      </c>
      <c r="BA5" s="45" t="s">
        <v>707</v>
      </c>
      <c r="BB5" s="45" t="s">
        <v>708</v>
      </c>
      <c r="BC5" s="45" t="s">
        <v>709</v>
      </c>
      <c r="BD5" s="45" t="s">
        <v>710</v>
      </c>
      <c r="BE5" s="45" t="s">
        <v>711</v>
      </c>
      <c r="BF5" s="45" t="s">
        <v>712</v>
      </c>
      <c r="BG5" s="45" t="s">
        <v>713</v>
      </c>
      <c r="BH5" s="45" t="s">
        <v>714</v>
      </c>
      <c r="BI5" s="45" t="s">
        <v>715</v>
      </c>
      <c r="BJ5" s="45" t="s">
        <v>716</v>
      </c>
      <c r="BK5" s="45" t="s">
        <v>717</v>
      </c>
      <c r="BL5" s="45" t="s">
        <v>718</v>
      </c>
      <c r="BM5" s="45" t="s">
        <v>719</v>
      </c>
      <c r="BN5" s="45" t="s">
        <v>720</v>
      </c>
      <c r="BO5" s="45" t="s">
        <v>721</v>
      </c>
      <c r="BP5" s="45" t="s">
        <v>722</v>
      </c>
      <c r="BQ5" s="45" t="s">
        <v>723</v>
      </c>
      <c r="BR5" s="45" t="s">
        <v>724</v>
      </c>
      <c r="BS5" s="45" t="s">
        <v>725</v>
      </c>
      <c r="BT5" s="45" t="s">
        <v>726</v>
      </c>
      <c r="BU5" s="45" t="s">
        <v>727</v>
      </c>
      <c r="BV5" s="45" t="s">
        <v>728</v>
      </c>
      <c r="BW5" s="45" t="s">
        <v>729</v>
      </c>
      <c r="BX5" s="45" t="s">
        <v>730</v>
      </c>
      <c r="BY5" s="45" t="s">
        <v>731</v>
      </c>
      <c r="BZ5" s="45" t="s">
        <v>732</v>
      </c>
      <c r="CA5" s="45" t="s">
        <v>733</v>
      </c>
      <c r="CB5" s="45" t="s">
        <v>734</v>
      </c>
      <c r="CC5" s="45" t="s">
        <v>735</v>
      </c>
      <c r="CD5" s="45" t="s">
        <v>736</v>
      </c>
      <c r="CE5" s="45" t="s">
        <v>737</v>
      </c>
      <c r="CF5" s="45" t="s">
        <v>738</v>
      </c>
    </row>
    <row r="6" spans="2:84" x14ac:dyDescent="0.25">
      <c r="B6" s="49"/>
      <c r="C6" s="49" t="s">
        <v>21</v>
      </c>
      <c r="D6" s="49" t="s">
        <v>604</v>
      </c>
      <c r="E6" s="49" t="s">
        <v>22</v>
      </c>
      <c r="F6" s="49" t="s">
        <v>742</v>
      </c>
      <c r="G6" s="49" t="s">
        <v>743</v>
      </c>
      <c r="H6" s="49"/>
      <c r="I6" s="49"/>
      <c r="J6" s="49" t="b">
        <v>1</v>
      </c>
      <c r="K6" s="49"/>
      <c r="L6" s="49" t="b">
        <v>1</v>
      </c>
      <c r="M6" s="49"/>
      <c r="N6" s="49" t="b">
        <v>1</v>
      </c>
      <c r="O6" s="49"/>
      <c r="P6" s="49" t="b">
        <v>1</v>
      </c>
      <c r="Q6" s="49"/>
      <c r="R6" s="49" t="b">
        <v>0</v>
      </c>
      <c r="S6" s="49" t="b">
        <v>1</v>
      </c>
      <c r="T6" s="49">
        <v>0</v>
      </c>
      <c r="U6" s="49" t="b">
        <v>1</v>
      </c>
      <c r="V6" s="49"/>
      <c r="W6" s="49" t="b">
        <v>1</v>
      </c>
      <c r="X6" s="49" t="b">
        <v>0</v>
      </c>
      <c r="Y6" s="49"/>
      <c r="Z6" s="49"/>
      <c r="AA6" s="49"/>
      <c r="AB6" s="49"/>
      <c r="AC6" s="49"/>
      <c r="AD6" s="49"/>
      <c r="AE6" s="49" t="s">
        <v>744</v>
      </c>
      <c r="AF6" s="49" t="b">
        <v>1</v>
      </c>
      <c r="AG6" s="49"/>
      <c r="AH6" s="49" t="b">
        <v>1</v>
      </c>
      <c r="AI6" s="49" t="b">
        <v>1</v>
      </c>
      <c r="AJ6" s="49" t="b">
        <v>1</v>
      </c>
      <c r="AK6" s="49">
        <v>2</v>
      </c>
      <c r="AL6" s="49"/>
      <c r="AM6" s="49" t="b">
        <v>0</v>
      </c>
      <c r="AN6" s="49" t="b">
        <v>1</v>
      </c>
      <c r="AO6" s="49" t="b">
        <v>0</v>
      </c>
      <c r="AP6" s="49"/>
      <c r="AQ6" s="49"/>
      <c r="AR6" s="49" t="s">
        <v>745</v>
      </c>
      <c r="AS6" s="49" t="s">
        <v>746</v>
      </c>
      <c r="AT6" s="49" t="s">
        <v>747</v>
      </c>
      <c r="AU6" s="49" t="s">
        <v>747</v>
      </c>
      <c r="AV6" s="49"/>
      <c r="AW6" s="49" t="b">
        <v>1</v>
      </c>
      <c r="AX6" s="49"/>
      <c r="AY6" s="49" t="b">
        <v>1</v>
      </c>
      <c r="AZ6" s="49"/>
      <c r="BA6" s="49" t="b">
        <v>1</v>
      </c>
      <c r="BB6" s="49"/>
      <c r="BC6" s="49" t="b">
        <v>1</v>
      </c>
      <c r="BD6" s="49"/>
      <c r="BE6" s="49" t="b">
        <v>0</v>
      </c>
      <c r="BF6" s="49" t="b">
        <v>1</v>
      </c>
      <c r="BG6" s="49">
        <v>0</v>
      </c>
      <c r="BH6" s="49" t="b">
        <v>1</v>
      </c>
      <c r="BI6" s="49"/>
      <c r="BJ6" s="49" t="b">
        <v>1</v>
      </c>
      <c r="BK6" s="49" t="b">
        <v>0</v>
      </c>
      <c r="BL6" s="49"/>
      <c r="BM6" s="49"/>
      <c r="BN6" s="49"/>
      <c r="BO6" s="49"/>
      <c r="BP6" s="49"/>
      <c r="BQ6" s="49"/>
      <c r="BR6" s="49" t="b">
        <v>1</v>
      </c>
      <c r="BS6" s="49" t="s">
        <v>748</v>
      </c>
      <c r="BT6" s="49" t="b">
        <v>0</v>
      </c>
      <c r="BU6" s="49"/>
      <c r="BV6" s="49" t="b">
        <v>1</v>
      </c>
      <c r="BW6" s="49" t="b">
        <v>0</v>
      </c>
      <c r="BX6" s="49" t="b">
        <v>0</v>
      </c>
      <c r="BY6" s="49" t="b">
        <v>0</v>
      </c>
      <c r="BZ6" s="49"/>
      <c r="CA6" s="49"/>
      <c r="CB6" s="49" t="b">
        <v>1</v>
      </c>
      <c r="CC6" s="49" t="b">
        <v>0</v>
      </c>
      <c r="CD6" s="49" t="b">
        <v>0</v>
      </c>
      <c r="CE6" s="49" t="b">
        <v>0</v>
      </c>
      <c r="CF6" s="49"/>
    </row>
  </sheetData>
  <sheetProtection sheet="1" objects="1" scenarios="1" formatCells="0" formatColumns="0" formatRows="0" insertRows="0" sort="0" autoFilter="0"/>
  <hyperlinks>
    <hyperlink ref="B2" location="C3" tooltip=" " display="C3" xr:uid="{DC1979C5-6803-4280-AE40-3D90C8F3018B}"/>
  </hyperlink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K170"/>
  <sheetViews>
    <sheetView workbookViewId="0">
      <selection activeCell="D13" sqref="D13"/>
    </sheetView>
  </sheetViews>
  <sheetFormatPr baseColWidth="10" defaultRowHeight="15" x14ac:dyDescent="0.25"/>
  <cols>
    <col min="1" max="1" width="18.85546875" style="2" customWidth="1"/>
    <col min="2" max="2" width="18.5703125" style="2" bestFit="1" customWidth="1"/>
    <col min="3" max="3" width="9.140625" style="2" bestFit="1" customWidth="1"/>
    <col min="4" max="4" width="24.42578125" style="30" customWidth="1"/>
    <col min="5" max="5" width="5.85546875" style="2" customWidth="1"/>
    <col min="6" max="6" width="11.7109375" style="2" bestFit="1" customWidth="1"/>
    <col min="7" max="7" width="16.5703125" style="2" bestFit="1" customWidth="1"/>
    <col min="8" max="8" width="7.28515625" style="2" bestFit="1" customWidth="1"/>
    <col min="9" max="9" width="5.28515625" style="2" bestFit="1" customWidth="1"/>
    <col min="10" max="10" width="6.28515625" style="2" bestFit="1" customWidth="1"/>
    <col min="11" max="11" width="21.7109375" style="2" bestFit="1" customWidth="1"/>
    <col min="12" max="16384" width="11.42578125" style="2"/>
  </cols>
  <sheetData>
    <row r="1" spans="1:11" x14ac:dyDescent="0.25">
      <c r="B1" s="2" t="s">
        <v>231</v>
      </c>
      <c r="C1" s="31">
        <v>2</v>
      </c>
      <c r="F1" s="37" t="s">
        <v>499</v>
      </c>
      <c r="G1" s="37" t="s">
        <v>500</v>
      </c>
      <c r="H1" s="37" t="s">
        <v>501</v>
      </c>
      <c r="I1" s="37" t="s">
        <v>502</v>
      </c>
      <c r="J1" s="37" t="s">
        <v>503</v>
      </c>
      <c r="K1" s="37" t="s">
        <v>504</v>
      </c>
    </row>
    <row r="3" spans="1:11" x14ac:dyDescent="0.25">
      <c r="A3" s="2" t="s">
        <v>230</v>
      </c>
      <c r="B3" s="2" t="s">
        <v>238</v>
      </c>
      <c r="C3" s="2" t="s">
        <v>235</v>
      </c>
      <c r="D3" s="30" t="s">
        <v>236</v>
      </c>
      <c r="E3" s="2" t="s">
        <v>229</v>
      </c>
    </row>
    <row r="4" spans="1:11" x14ac:dyDescent="0.25">
      <c r="A4" s="2" t="s">
        <v>495</v>
      </c>
      <c r="B4" s="2" t="s">
        <v>113</v>
      </c>
      <c r="C4" s="2" t="s">
        <v>602</v>
      </c>
      <c r="D4" s="30">
        <v>44270.778275462966</v>
      </c>
      <c r="E4" s="2" t="s">
        <v>603</v>
      </c>
    </row>
    <row r="5" spans="1:11" x14ac:dyDescent="0.25">
      <c r="A5" s="2" t="s">
        <v>495</v>
      </c>
      <c r="B5" s="2" t="s">
        <v>113</v>
      </c>
      <c r="C5" s="2" t="s">
        <v>602</v>
      </c>
      <c r="D5" s="30">
        <v>44270.786400462966</v>
      </c>
      <c r="E5" s="2" t="s">
        <v>603</v>
      </c>
    </row>
    <row r="6" spans="1:11" x14ac:dyDescent="0.25">
      <c r="A6" s="2" t="s">
        <v>495</v>
      </c>
      <c r="B6" s="2" t="s">
        <v>113</v>
      </c>
      <c r="C6" s="2" t="s">
        <v>602</v>
      </c>
      <c r="D6" s="30">
        <v>44270.786909722221</v>
      </c>
      <c r="E6" s="2" t="s">
        <v>603</v>
      </c>
    </row>
    <row r="7" spans="1:11" x14ac:dyDescent="0.25">
      <c r="A7" s="2" t="s">
        <v>739</v>
      </c>
      <c r="B7" s="2" t="s">
        <v>740</v>
      </c>
      <c r="C7" s="2" t="s">
        <v>602</v>
      </c>
      <c r="D7" s="30">
        <v>44270.787141203706</v>
      </c>
      <c r="E7" s="2" t="s">
        <v>741</v>
      </c>
    </row>
    <row r="8" spans="1:11" x14ac:dyDescent="0.25">
      <c r="A8" s="2" t="s">
        <v>495</v>
      </c>
      <c r="B8" s="2" t="s">
        <v>113</v>
      </c>
      <c r="C8" s="2" t="s">
        <v>602</v>
      </c>
      <c r="D8" s="30">
        <v>44270.791712962964</v>
      </c>
      <c r="E8" s="2" t="s">
        <v>749</v>
      </c>
    </row>
    <row r="9" spans="1:11" x14ac:dyDescent="0.25">
      <c r="A9" s="2" t="s">
        <v>495</v>
      </c>
      <c r="B9" s="2" t="s">
        <v>113</v>
      </c>
      <c r="C9" s="2" t="s">
        <v>602</v>
      </c>
      <c r="D9" s="30">
        <v>44270.792997685188</v>
      </c>
      <c r="E9" s="2" t="s">
        <v>749</v>
      </c>
    </row>
    <row r="10" spans="1:11" x14ac:dyDescent="0.25">
      <c r="A10" s="2" t="s">
        <v>739</v>
      </c>
      <c r="B10" s="2" t="s">
        <v>740</v>
      </c>
      <c r="C10" s="2" t="s">
        <v>602</v>
      </c>
      <c r="D10" s="30">
        <v>44270.793136574073</v>
      </c>
      <c r="E10" s="2" t="s">
        <v>750</v>
      </c>
    </row>
    <row r="11" spans="1:11" x14ac:dyDescent="0.25">
      <c r="A11" s="2" t="s">
        <v>751</v>
      </c>
      <c r="B11" s="2" t="s">
        <v>752</v>
      </c>
      <c r="C11" s="2" t="s">
        <v>602</v>
      </c>
      <c r="D11" s="30">
        <v>44270.793333333335</v>
      </c>
      <c r="E11" s="2" t="s">
        <v>753</v>
      </c>
    </row>
    <row r="12" spans="1:11" x14ac:dyDescent="0.25">
      <c r="A12" s="2" t="s">
        <v>754</v>
      </c>
      <c r="B12" s="2" t="s">
        <v>601</v>
      </c>
      <c r="C12" s="2" t="s">
        <v>602</v>
      </c>
      <c r="D12" s="30">
        <v>44270.793368055558</v>
      </c>
      <c r="E12" s="2" t="s">
        <v>755</v>
      </c>
    </row>
    <row r="13" spans="1:11" x14ac:dyDescent="0.25">
      <c r="A13" s="2" t="s">
        <v>495</v>
      </c>
      <c r="B13" s="2" t="s">
        <v>113</v>
      </c>
      <c r="C13" s="2" t="s">
        <v>602</v>
      </c>
      <c r="D13" s="30">
        <v>44271.413842592592</v>
      </c>
      <c r="E13" s="2" t="s">
        <v>603</v>
      </c>
    </row>
    <row r="14" spans="1:11" x14ac:dyDescent="0.25">
      <c r="A14" s="2" t="s">
        <v>751</v>
      </c>
      <c r="B14" s="2" t="s">
        <v>752</v>
      </c>
      <c r="C14" s="2" t="s">
        <v>602</v>
      </c>
      <c r="D14" s="30">
        <v>44271.413877314815</v>
      </c>
      <c r="E14" s="2" t="s">
        <v>756</v>
      </c>
    </row>
    <row r="15" spans="1:11" x14ac:dyDescent="0.25">
      <c r="A15" s="2" t="s">
        <v>754</v>
      </c>
      <c r="B15" s="2" t="s">
        <v>601</v>
      </c>
      <c r="C15" s="2" t="s">
        <v>602</v>
      </c>
      <c r="D15" s="30">
        <v>44271.413912037038</v>
      </c>
      <c r="E15" s="2" t="s">
        <v>755</v>
      </c>
    </row>
    <row r="16" spans="1:11" x14ac:dyDescent="0.25">
      <c r="A16" s="2" t="s">
        <v>757</v>
      </c>
      <c r="B16" s="2" t="s">
        <v>368</v>
      </c>
      <c r="C16" s="2" t="s">
        <v>602</v>
      </c>
      <c r="D16" s="30">
        <v>44271.413946759261</v>
      </c>
      <c r="E16" s="2" t="s">
        <v>758</v>
      </c>
    </row>
    <row r="17" spans="1:5" x14ac:dyDescent="0.25">
      <c r="A17" s="2" t="s">
        <v>759</v>
      </c>
      <c r="B17" s="2" t="s">
        <v>760</v>
      </c>
      <c r="C17" s="2" t="s">
        <v>602</v>
      </c>
      <c r="D17" s="30">
        <v>44271.413981481484</v>
      </c>
      <c r="E17" s="2" t="s">
        <v>755</v>
      </c>
    </row>
    <row r="18" spans="1:5" x14ac:dyDescent="0.25">
      <c r="A18" s="2" t="s">
        <v>761</v>
      </c>
      <c r="B18" s="2" t="s">
        <v>369</v>
      </c>
      <c r="C18" s="2" t="s">
        <v>602</v>
      </c>
      <c r="D18" s="30">
        <v>44271.414027777777</v>
      </c>
      <c r="E18" s="2" t="s">
        <v>755</v>
      </c>
    </row>
    <row r="19" spans="1:5" x14ac:dyDescent="0.25">
      <c r="A19" s="2" t="s">
        <v>762</v>
      </c>
      <c r="B19" s="2" t="s">
        <v>370</v>
      </c>
      <c r="C19" s="2" t="s">
        <v>602</v>
      </c>
      <c r="D19" s="30">
        <v>44271.4140625</v>
      </c>
      <c r="E19" s="2" t="s">
        <v>755</v>
      </c>
    </row>
    <row r="20" spans="1:5" x14ac:dyDescent="0.25">
      <c r="A20" s="2" t="s">
        <v>763</v>
      </c>
      <c r="B20" s="2" t="s">
        <v>764</v>
      </c>
      <c r="C20" s="2" t="s">
        <v>602</v>
      </c>
      <c r="D20" s="30">
        <v>44271.414097222223</v>
      </c>
      <c r="E20" s="2" t="s">
        <v>755</v>
      </c>
    </row>
    <row r="21" spans="1:5" x14ac:dyDescent="0.25">
      <c r="A21" s="2" t="s">
        <v>765</v>
      </c>
      <c r="B21" s="2" t="s">
        <v>181</v>
      </c>
      <c r="C21" s="2" t="s">
        <v>602</v>
      </c>
      <c r="D21" s="30">
        <v>44271.414097222223</v>
      </c>
      <c r="E21" s="2" t="s">
        <v>755</v>
      </c>
    </row>
    <row r="22" spans="1:5" x14ac:dyDescent="0.25">
      <c r="A22" s="2" t="s">
        <v>766</v>
      </c>
      <c r="B22" s="2" t="s">
        <v>45</v>
      </c>
      <c r="C22" s="2" t="s">
        <v>602</v>
      </c>
      <c r="D22" s="30">
        <v>44271.414131944446</v>
      </c>
      <c r="E22" s="2" t="s">
        <v>755</v>
      </c>
    </row>
    <row r="23" spans="1:5" x14ac:dyDescent="0.25">
      <c r="A23" s="2" t="s">
        <v>767</v>
      </c>
      <c r="B23" s="2" t="s">
        <v>371</v>
      </c>
      <c r="C23" s="2" t="s">
        <v>602</v>
      </c>
      <c r="D23" s="30">
        <v>44271.414131944446</v>
      </c>
      <c r="E23" s="2" t="s">
        <v>755</v>
      </c>
    </row>
    <row r="24" spans="1:5" x14ac:dyDescent="0.25">
      <c r="A24" s="2" t="s">
        <v>739</v>
      </c>
      <c r="B24" s="2" t="s">
        <v>740</v>
      </c>
      <c r="C24" s="2" t="s">
        <v>602</v>
      </c>
      <c r="D24" s="30">
        <v>44271.423032407409</v>
      </c>
      <c r="E24" s="2" t="s">
        <v>741</v>
      </c>
    </row>
    <row r="25" spans="1:5" x14ac:dyDescent="0.25">
      <c r="A25" s="2" t="s">
        <v>768</v>
      </c>
      <c r="B25" s="2" t="s">
        <v>769</v>
      </c>
      <c r="C25" s="2" t="s">
        <v>602</v>
      </c>
      <c r="D25" s="30">
        <v>44271.423055555555</v>
      </c>
      <c r="E25" s="2" t="s">
        <v>770</v>
      </c>
    </row>
    <row r="26" spans="1:5" x14ac:dyDescent="0.25">
      <c r="A26" s="2" t="s">
        <v>771</v>
      </c>
      <c r="B26" s="2" t="s">
        <v>772</v>
      </c>
      <c r="C26" s="2" t="s">
        <v>773</v>
      </c>
      <c r="D26" s="30">
        <v>44271.423159722224</v>
      </c>
      <c r="E26" s="2" t="s">
        <v>774</v>
      </c>
    </row>
    <row r="27" spans="1:5" x14ac:dyDescent="0.25">
      <c r="A27" s="2" t="s">
        <v>771</v>
      </c>
      <c r="B27" s="2" t="s">
        <v>775</v>
      </c>
      <c r="C27" s="2" t="s">
        <v>602</v>
      </c>
      <c r="D27" s="30">
        <v>44271.423206018517</v>
      </c>
      <c r="E27" s="2" t="s">
        <v>776</v>
      </c>
    </row>
    <row r="28" spans="1:5" x14ac:dyDescent="0.25">
      <c r="A28" s="2" t="s">
        <v>771</v>
      </c>
      <c r="B28" s="2" t="s">
        <v>772</v>
      </c>
      <c r="C28" s="2" t="s">
        <v>773</v>
      </c>
      <c r="D28" s="30">
        <v>44271.423761574071</v>
      </c>
      <c r="E28" s="2" t="s">
        <v>774</v>
      </c>
    </row>
    <row r="29" spans="1:5" x14ac:dyDescent="0.25">
      <c r="A29" s="2" t="s">
        <v>771</v>
      </c>
      <c r="B29" s="2" t="s">
        <v>775</v>
      </c>
      <c r="C29" s="2" t="s">
        <v>602</v>
      </c>
      <c r="D29" s="30">
        <v>44271.423796296294</v>
      </c>
      <c r="E29" s="2" t="s">
        <v>776</v>
      </c>
    </row>
    <row r="30" spans="1:5" x14ac:dyDescent="0.25">
      <c r="A30" s="2" t="s">
        <v>495</v>
      </c>
      <c r="B30" s="2" t="s">
        <v>113</v>
      </c>
      <c r="C30" s="2" t="s">
        <v>602</v>
      </c>
      <c r="D30" s="30">
        <v>44271.441006944442</v>
      </c>
      <c r="E30" s="2" t="s">
        <v>749</v>
      </c>
    </row>
    <row r="31" spans="1:5" x14ac:dyDescent="0.25">
      <c r="A31" s="2" t="s">
        <v>739</v>
      </c>
      <c r="B31" s="2" t="s">
        <v>740</v>
      </c>
      <c r="C31" s="2" t="s">
        <v>602</v>
      </c>
      <c r="D31" s="30">
        <v>44271.441122685188</v>
      </c>
      <c r="E31" s="2" t="s">
        <v>750</v>
      </c>
    </row>
    <row r="32" spans="1:5" x14ac:dyDescent="0.25">
      <c r="A32" s="2" t="s">
        <v>495</v>
      </c>
      <c r="B32" s="2" t="s">
        <v>113</v>
      </c>
      <c r="C32" s="2" t="s">
        <v>602</v>
      </c>
      <c r="D32" s="30">
        <v>44271.448900462965</v>
      </c>
      <c r="E32" s="2" t="s">
        <v>749</v>
      </c>
    </row>
    <row r="33" spans="1:5" x14ac:dyDescent="0.25">
      <c r="A33" s="2" t="s">
        <v>495</v>
      </c>
      <c r="B33" s="2" t="s">
        <v>113</v>
      </c>
      <c r="C33" s="2" t="s">
        <v>602</v>
      </c>
      <c r="D33" s="30">
        <v>44271.456944444442</v>
      </c>
      <c r="E33" s="2" t="s">
        <v>749</v>
      </c>
    </row>
    <row r="34" spans="1:5" x14ac:dyDescent="0.25">
      <c r="A34" s="2" t="s">
        <v>495</v>
      </c>
      <c r="B34" s="2" t="s">
        <v>113</v>
      </c>
      <c r="C34" s="2" t="s">
        <v>602</v>
      </c>
      <c r="D34" s="30">
        <v>44271.459456018521</v>
      </c>
      <c r="E34" s="2" t="s">
        <v>749</v>
      </c>
    </row>
    <row r="35" spans="1:5" x14ac:dyDescent="0.25">
      <c r="A35" s="2" t="s">
        <v>495</v>
      </c>
      <c r="B35" s="2" t="s">
        <v>113</v>
      </c>
      <c r="C35" s="2" t="s">
        <v>602</v>
      </c>
      <c r="D35" s="30">
        <v>44271.459537037037</v>
      </c>
      <c r="E35" s="2" t="s">
        <v>749</v>
      </c>
    </row>
    <row r="36" spans="1:5" x14ac:dyDescent="0.25">
      <c r="A36" s="2" t="s">
        <v>739</v>
      </c>
      <c r="B36" s="2" t="s">
        <v>740</v>
      </c>
      <c r="C36" s="2" t="s">
        <v>602</v>
      </c>
      <c r="D36" s="30">
        <v>44271.466435185182</v>
      </c>
      <c r="E36" s="2" t="s">
        <v>750</v>
      </c>
    </row>
    <row r="37" spans="1:5" x14ac:dyDescent="0.25">
      <c r="A37" s="2" t="s">
        <v>495</v>
      </c>
      <c r="B37" s="2" t="s">
        <v>113</v>
      </c>
      <c r="C37" s="2" t="s">
        <v>602</v>
      </c>
      <c r="D37" s="30">
        <v>44271.466643518521</v>
      </c>
      <c r="E37" s="2" t="s">
        <v>749</v>
      </c>
    </row>
    <row r="38" spans="1:5" x14ac:dyDescent="0.25">
      <c r="A38" s="2" t="s">
        <v>495</v>
      </c>
      <c r="B38" s="2" t="s">
        <v>113</v>
      </c>
      <c r="C38" s="2" t="s">
        <v>602</v>
      </c>
      <c r="D38" s="30">
        <v>44271.467118055552</v>
      </c>
      <c r="E38" s="2" t="s">
        <v>749</v>
      </c>
    </row>
    <row r="39" spans="1:5" x14ac:dyDescent="0.25">
      <c r="A39" s="2" t="s">
        <v>495</v>
      </c>
      <c r="B39" s="2" t="s">
        <v>113</v>
      </c>
      <c r="C39" s="2" t="s">
        <v>602</v>
      </c>
      <c r="D39" s="30">
        <v>44271.467175925929</v>
      </c>
      <c r="E39" s="2" t="s">
        <v>749</v>
      </c>
    </row>
    <row r="40" spans="1:5" x14ac:dyDescent="0.25">
      <c r="A40" s="2" t="s">
        <v>739</v>
      </c>
      <c r="B40" s="2" t="s">
        <v>740</v>
      </c>
      <c r="C40" s="2" t="s">
        <v>602</v>
      </c>
      <c r="D40" s="30">
        <v>44271.46733796296</v>
      </c>
      <c r="E40" s="2" t="s">
        <v>750</v>
      </c>
    </row>
    <row r="41" spans="1:5" x14ac:dyDescent="0.25">
      <c r="A41" s="2" t="s">
        <v>751</v>
      </c>
      <c r="B41" s="2" t="s">
        <v>752</v>
      </c>
      <c r="C41" s="2" t="s">
        <v>602</v>
      </c>
      <c r="D41" s="30">
        <v>44271.467476851853</v>
      </c>
      <c r="E41" s="2" t="s">
        <v>753</v>
      </c>
    </row>
    <row r="42" spans="1:5" x14ac:dyDescent="0.25">
      <c r="A42" s="2" t="s">
        <v>754</v>
      </c>
      <c r="B42" s="2" t="s">
        <v>601</v>
      </c>
      <c r="C42" s="2" t="s">
        <v>602</v>
      </c>
      <c r="D42" s="30">
        <v>44271.467476851853</v>
      </c>
      <c r="E42" s="2" t="s">
        <v>755</v>
      </c>
    </row>
    <row r="43" spans="1:5" x14ac:dyDescent="0.25">
      <c r="A43" s="2" t="s">
        <v>757</v>
      </c>
      <c r="B43" s="2" t="s">
        <v>368</v>
      </c>
      <c r="C43" s="2" t="s">
        <v>602</v>
      </c>
      <c r="D43" s="30">
        <v>44271.467511574076</v>
      </c>
      <c r="E43" s="2" t="s">
        <v>782</v>
      </c>
    </row>
    <row r="44" spans="1:5" x14ac:dyDescent="0.25">
      <c r="A44" s="2" t="s">
        <v>759</v>
      </c>
      <c r="B44" s="2" t="s">
        <v>760</v>
      </c>
      <c r="C44" s="2" t="s">
        <v>602</v>
      </c>
      <c r="D44" s="30">
        <v>44271.467511574076</v>
      </c>
      <c r="E44" s="2" t="s">
        <v>755</v>
      </c>
    </row>
    <row r="45" spans="1:5" x14ac:dyDescent="0.25">
      <c r="A45" s="2" t="s">
        <v>761</v>
      </c>
      <c r="B45" s="2" t="s">
        <v>369</v>
      </c>
      <c r="C45" s="2" t="s">
        <v>602</v>
      </c>
      <c r="D45" s="30">
        <v>44271.467557870368</v>
      </c>
      <c r="E45" s="2" t="s">
        <v>755</v>
      </c>
    </row>
    <row r="46" spans="1:5" x14ac:dyDescent="0.25">
      <c r="A46" s="2" t="s">
        <v>762</v>
      </c>
      <c r="B46" s="2" t="s">
        <v>370</v>
      </c>
      <c r="C46" s="2" t="s">
        <v>602</v>
      </c>
      <c r="D46" s="30">
        <v>44271.467592592591</v>
      </c>
      <c r="E46" s="2" t="s">
        <v>755</v>
      </c>
    </row>
    <row r="47" spans="1:5" x14ac:dyDescent="0.25">
      <c r="A47" s="2" t="s">
        <v>763</v>
      </c>
      <c r="B47" s="2" t="s">
        <v>764</v>
      </c>
      <c r="C47" s="2" t="s">
        <v>602</v>
      </c>
      <c r="D47" s="30">
        <v>44271.467592592591</v>
      </c>
      <c r="E47" s="2" t="s">
        <v>755</v>
      </c>
    </row>
    <row r="48" spans="1:5" x14ac:dyDescent="0.25">
      <c r="A48" s="2" t="s">
        <v>765</v>
      </c>
      <c r="B48" s="2" t="s">
        <v>181</v>
      </c>
      <c r="C48" s="2" t="s">
        <v>602</v>
      </c>
      <c r="D48" s="30">
        <v>44271.467638888891</v>
      </c>
      <c r="E48" s="2" t="s">
        <v>755</v>
      </c>
    </row>
    <row r="49" spans="1:5" x14ac:dyDescent="0.25">
      <c r="A49" s="2" t="s">
        <v>766</v>
      </c>
      <c r="B49" s="2" t="s">
        <v>45</v>
      </c>
      <c r="C49" s="2" t="s">
        <v>602</v>
      </c>
      <c r="D49" s="30">
        <v>44271.467673611114</v>
      </c>
      <c r="E49" s="2" t="s">
        <v>755</v>
      </c>
    </row>
    <row r="50" spans="1:5" x14ac:dyDescent="0.25">
      <c r="A50" s="2" t="s">
        <v>767</v>
      </c>
      <c r="B50" s="2" t="s">
        <v>371</v>
      </c>
      <c r="C50" s="2" t="s">
        <v>602</v>
      </c>
      <c r="D50" s="30">
        <v>44271.467673611114</v>
      </c>
      <c r="E50" s="2" t="s">
        <v>755</v>
      </c>
    </row>
    <row r="51" spans="1:5" x14ac:dyDescent="0.25">
      <c r="A51" s="2" t="s">
        <v>495</v>
      </c>
      <c r="B51" s="2" t="s">
        <v>113</v>
      </c>
      <c r="C51" s="2" t="s">
        <v>602</v>
      </c>
      <c r="D51" s="30">
        <v>44271.480104166665</v>
      </c>
      <c r="E51" s="2" t="s">
        <v>749</v>
      </c>
    </row>
    <row r="52" spans="1:5" x14ac:dyDescent="0.25">
      <c r="A52" s="2" t="s">
        <v>495</v>
      </c>
      <c r="B52" s="2" t="s">
        <v>113</v>
      </c>
      <c r="C52" s="2" t="s">
        <v>602</v>
      </c>
      <c r="D52" s="30">
        <v>44271.481307870374</v>
      </c>
      <c r="E52" s="2" t="s">
        <v>749</v>
      </c>
    </row>
    <row r="53" spans="1:5" x14ac:dyDescent="0.25">
      <c r="A53" s="2" t="s">
        <v>739</v>
      </c>
      <c r="B53" s="2" t="s">
        <v>740</v>
      </c>
      <c r="C53" s="2" t="s">
        <v>602</v>
      </c>
      <c r="D53" s="30">
        <v>44271.481412037036</v>
      </c>
      <c r="E53" s="2" t="s">
        <v>750</v>
      </c>
    </row>
    <row r="54" spans="1:5" x14ac:dyDescent="0.25">
      <c r="A54" s="2" t="s">
        <v>751</v>
      </c>
      <c r="B54" s="2" t="s">
        <v>752</v>
      </c>
      <c r="C54" s="2" t="s">
        <v>602</v>
      </c>
      <c r="D54" s="30">
        <v>44271.481493055559</v>
      </c>
      <c r="E54" s="2" t="s">
        <v>753</v>
      </c>
    </row>
    <row r="55" spans="1:5" x14ac:dyDescent="0.25">
      <c r="A55" s="2" t="s">
        <v>754</v>
      </c>
      <c r="B55" s="2" t="s">
        <v>601</v>
      </c>
      <c r="C55" s="2" t="s">
        <v>602</v>
      </c>
      <c r="D55" s="30">
        <v>44271.481527777774</v>
      </c>
      <c r="E55" s="2" t="s">
        <v>755</v>
      </c>
    </row>
    <row r="56" spans="1:5" x14ac:dyDescent="0.25">
      <c r="A56" s="2" t="s">
        <v>757</v>
      </c>
      <c r="B56" s="2" t="s">
        <v>368</v>
      </c>
      <c r="C56" s="2" t="s">
        <v>602</v>
      </c>
      <c r="D56" s="30">
        <v>44271.481562499997</v>
      </c>
      <c r="E56" s="2" t="s">
        <v>782</v>
      </c>
    </row>
    <row r="57" spans="1:5" x14ac:dyDescent="0.25">
      <c r="A57" s="2" t="s">
        <v>759</v>
      </c>
      <c r="B57" s="2" t="s">
        <v>760</v>
      </c>
      <c r="C57" s="2" t="s">
        <v>602</v>
      </c>
      <c r="D57" s="30">
        <v>44271.481608796297</v>
      </c>
      <c r="E57" s="2" t="s">
        <v>755</v>
      </c>
    </row>
    <row r="58" spans="1:5" x14ac:dyDescent="0.25">
      <c r="A58" s="2" t="s">
        <v>761</v>
      </c>
      <c r="B58" s="2" t="s">
        <v>369</v>
      </c>
      <c r="C58" s="2" t="s">
        <v>602</v>
      </c>
      <c r="D58" s="30">
        <v>44271.48164351852</v>
      </c>
      <c r="E58" s="2" t="s">
        <v>755</v>
      </c>
    </row>
    <row r="59" spans="1:5" x14ac:dyDescent="0.25">
      <c r="A59" s="2" t="s">
        <v>762</v>
      </c>
      <c r="B59" s="2" t="s">
        <v>370</v>
      </c>
      <c r="C59" s="2" t="s">
        <v>602</v>
      </c>
      <c r="D59" s="30">
        <v>44271.48164351852</v>
      </c>
      <c r="E59" s="2" t="s">
        <v>755</v>
      </c>
    </row>
    <row r="60" spans="1:5" x14ac:dyDescent="0.25">
      <c r="A60" s="2" t="s">
        <v>763</v>
      </c>
      <c r="B60" s="2" t="s">
        <v>764</v>
      </c>
      <c r="C60" s="2" t="s">
        <v>602</v>
      </c>
      <c r="D60" s="30">
        <v>44271.481689814813</v>
      </c>
      <c r="E60" s="2" t="s">
        <v>755</v>
      </c>
    </row>
    <row r="61" spans="1:5" x14ac:dyDescent="0.25">
      <c r="A61" s="2" t="s">
        <v>765</v>
      </c>
      <c r="B61" s="2" t="s">
        <v>181</v>
      </c>
      <c r="C61" s="2" t="s">
        <v>602</v>
      </c>
      <c r="D61" s="30">
        <v>44271.481724537036</v>
      </c>
      <c r="E61" s="2" t="s">
        <v>755</v>
      </c>
    </row>
    <row r="62" spans="1:5" x14ac:dyDescent="0.25">
      <c r="A62" s="2" t="s">
        <v>766</v>
      </c>
      <c r="B62" s="2" t="s">
        <v>45</v>
      </c>
      <c r="C62" s="2" t="s">
        <v>602</v>
      </c>
      <c r="D62" s="30">
        <v>44271.481759259259</v>
      </c>
      <c r="E62" s="2" t="s">
        <v>755</v>
      </c>
    </row>
    <row r="63" spans="1:5" x14ac:dyDescent="0.25">
      <c r="A63" s="2" t="s">
        <v>767</v>
      </c>
      <c r="B63" s="2" t="s">
        <v>371</v>
      </c>
      <c r="C63" s="2" t="s">
        <v>602</v>
      </c>
      <c r="D63" s="30">
        <v>44271.481759259259</v>
      </c>
      <c r="E63" s="2" t="s">
        <v>755</v>
      </c>
    </row>
    <row r="64" spans="1:5" x14ac:dyDescent="0.25">
      <c r="A64" s="2" t="s">
        <v>495</v>
      </c>
      <c r="B64" s="2" t="s">
        <v>113</v>
      </c>
      <c r="C64" s="2" t="s">
        <v>602</v>
      </c>
      <c r="D64" s="30">
        <v>44271.488946759258</v>
      </c>
      <c r="E64" s="2" t="s">
        <v>749</v>
      </c>
    </row>
    <row r="65" spans="1:5" x14ac:dyDescent="0.25">
      <c r="A65" s="2" t="s">
        <v>495</v>
      </c>
      <c r="B65" s="2" t="s">
        <v>113</v>
      </c>
      <c r="C65" s="2" t="s">
        <v>602</v>
      </c>
      <c r="D65" s="30">
        <v>44271.489155092589</v>
      </c>
      <c r="E65" s="2" t="s">
        <v>749</v>
      </c>
    </row>
    <row r="66" spans="1:5" x14ac:dyDescent="0.25">
      <c r="A66" s="2" t="s">
        <v>495</v>
      </c>
      <c r="B66" s="2" t="s">
        <v>113</v>
      </c>
      <c r="C66" s="2" t="s">
        <v>602</v>
      </c>
      <c r="D66" s="30">
        <v>44271.490173611113</v>
      </c>
      <c r="E66" s="2" t="s">
        <v>749</v>
      </c>
    </row>
    <row r="67" spans="1:5" x14ac:dyDescent="0.25">
      <c r="A67" s="2" t="s">
        <v>495</v>
      </c>
      <c r="B67" s="2" t="s">
        <v>113</v>
      </c>
      <c r="C67" s="2" t="s">
        <v>602</v>
      </c>
      <c r="D67" s="30">
        <v>44271.490231481483</v>
      </c>
      <c r="E67" s="2" t="s">
        <v>749</v>
      </c>
    </row>
    <row r="68" spans="1:5" x14ac:dyDescent="0.25">
      <c r="A68" s="2" t="s">
        <v>751</v>
      </c>
      <c r="B68" s="2" t="s">
        <v>752</v>
      </c>
      <c r="C68" s="2" t="s">
        <v>602</v>
      </c>
      <c r="D68" s="30">
        <v>44271.490312499998</v>
      </c>
      <c r="E68" s="2" t="s">
        <v>753</v>
      </c>
    </row>
    <row r="69" spans="1:5" x14ac:dyDescent="0.25">
      <c r="A69" s="2" t="s">
        <v>754</v>
      </c>
      <c r="B69" s="2" t="s">
        <v>601</v>
      </c>
      <c r="C69" s="2" t="s">
        <v>602</v>
      </c>
      <c r="D69" s="30">
        <v>44271.490347222221</v>
      </c>
      <c r="E69" s="2" t="s">
        <v>755</v>
      </c>
    </row>
    <row r="70" spans="1:5" x14ac:dyDescent="0.25">
      <c r="A70" s="2" t="s">
        <v>771</v>
      </c>
      <c r="B70" s="2" t="s">
        <v>791</v>
      </c>
      <c r="C70" s="2" t="s">
        <v>773</v>
      </c>
      <c r="D70" s="30">
        <v>44271.497256944444</v>
      </c>
      <c r="E70" s="2" t="s">
        <v>792</v>
      </c>
    </row>
    <row r="71" spans="1:5" x14ac:dyDescent="0.25">
      <c r="A71" s="2" t="s">
        <v>495</v>
      </c>
      <c r="B71" s="2" t="s">
        <v>113</v>
      </c>
      <c r="C71" s="2" t="s">
        <v>602</v>
      </c>
      <c r="D71" s="30">
        <v>44271.497974537036</v>
      </c>
      <c r="E71" s="2" t="s">
        <v>603</v>
      </c>
    </row>
    <row r="72" spans="1:5" x14ac:dyDescent="0.25">
      <c r="A72" s="2" t="s">
        <v>739</v>
      </c>
      <c r="B72" s="2" t="s">
        <v>740</v>
      </c>
      <c r="C72" s="2" t="s">
        <v>602</v>
      </c>
      <c r="D72" s="30">
        <v>44271.498090277775</v>
      </c>
      <c r="E72" s="2" t="s">
        <v>741</v>
      </c>
    </row>
    <row r="73" spans="1:5" x14ac:dyDescent="0.25">
      <c r="A73" s="2" t="s">
        <v>771</v>
      </c>
      <c r="B73" s="2" t="s">
        <v>791</v>
      </c>
      <c r="C73" s="2" t="s">
        <v>773</v>
      </c>
      <c r="D73" s="30">
        <v>44271.498148148145</v>
      </c>
      <c r="E73" s="2" t="s">
        <v>792</v>
      </c>
    </row>
    <row r="74" spans="1:5" x14ac:dyDescent="0.25">
      <c r="A74" s="2" t="s">
        <v>771</v>
      </c>
      <c r="B74" s="2" t="s">
        <v>793</v>
      </c>
      <c r="C74" s="2" t="s">
        <v>602</v>
      </c>
      <c r="D74" s="30">
        <v>44271.498182870368</v>
      </c>
      <c r="E74" s="2" t="s">
        <v>794</v>
      </c>
    </row>
    <row r="75" spans="1:5" x14ac:dyDescent="0.25">
      <c r="A75" s="2" t="s">
        <v>771</v>
      </c>
      <c r="B75" s="2" t="s">
        <v>791</v>
      </c>
      <c r="C75" s="2" t="s">
        <v>773</v>
      </c>
      <c r="D75" s="30">
        <v>44271.498287037037</v>
      </c>
      <c r="E75" s="2" t="s">
        <v>792</v>
      </c>
    </row>
    <row r="76" spans="1:5" x14ac:dyDescent="0.25">
      <c r="A76" s="2" t="s">
        <v>771</v>
      </c>
      <c r="B76" s="2" t="s">
        <v>793</v>
      </c>
      <c r="C76" s="2" t="s">
        <v>602</v>
      </c>
      <c r="D76" s="30">
        <v>44271.498287037037</v>
      </c>
      <c r="E76" s="2" t="s">
        <v>794</v>
      </c>
    </row>
    <row r="77" spans="1:5" x14ac:dyDescent="0.25">
      <c r="A77" s="2" t="s">
        <v>771</v>
      </c>
      <c r="B77" s="2" t="s">
        <v>772</v>
      </c>
      <c r="C77" s="2" t="s">
        <v>773</v>
      </c>
      <c r="D77" s="30">
        <v>44271.498368055552</v>
      </c>
      <c r="E77" s="2" t="s">
        <v>774</v>
      </c>
    </row>
    <row r="78" spans="1:5" x14ac:dyDescent="0.25">
      <c r="A78" s="2" t="s">
        <v>771</v>
      </c>
      <c r="B78" s="2" t="s">
        <v>775</v>
      </c>
      <c r="C78" s="2" t="s">
        <v>602</v>
      </c>
      <c r="D78" s="30">
        <v>44271.498368055552</v>
      </c>
      <c r="E78" s="2" t="s">
        <v>776</v>
      </c>
    </row>
    <row r="79" spans="1:5" x14ac:dyDescent="0.25">
      <c r="A79" s="2" t="s">
        <v>751</v>
      </c>
      <c r="B79" s="2" t="s">
        <v>752</v>
      </c>
      <c r="C79" s="2" t="s">
        <v>602</v>
      </c>
      <c r="D79" s="30">
        <v>44271.499374999999</v>
      </c>
      <c r="E79" s="2" t="s">
        <v>753</v>
      </c>
    </row>
    <row r="80" spans="1:5" x14ac:dyDescent="0.25">
      <c r="A80" s="2" t="s">
        <v>754</v>
      </c>
      <c r="B80" s="2" t="s">
        <v>601</v>
      </c>
      <c r="C80" s="2" t="s">
        <v>602</v>
      </c>
      <c r="D80" s="30">
        <v>44271.499409722222</v>
      </c>
      <c r="E80" s="2" t="s">
        <v>755</v>
      </c>
    </row>
    <row r="81" spans="1:5" x14ac:dyDescent="0.25">
      <c r="A81" s="2" t="s">
        <v>757</v>
      </c>
      <c r="B81" s="2" t="s">
        <v>368</v>
      </c>
      <c r="C81" s="2" t="s">
        <v>602</v>
      </c>
      <c r="D81" s="30">
        <v>44271.499456018515</v>
      </c>
      <c r="E81" s="2" t="s">
        <v>782</v>
      </c>
    </row>
    <row r="82" spans="1:5" x14ac:dyDescent="0.25">
      <c r="A82" s="2" t="s">
        <v>759</v>
      </c>
      <c r="B82" s="2" t="s">
        <v>760</v>
      </c>
      <c r="C82" s="2" t="s">
        <v>602</v>
      </c>
      <c r="D82" s="30">
        <v>44271.499490740738</v>
      </c>
      <c r="E82" s="2" t="s">
        <v>755</v>
      </c>
    </row>
    <row r="83" spans="1:5" x14ac:dyDescent="0.25">
      <c r="A83" s="2" t="s">
        <v>761</v>
      </c>
      <c r="B83" s="2" t="s">
        <v>369</v>
      </c>
      <c r="C83" s="2" t="s">
        <v>602</v>
      </c>
      <c r="D83" s="30">
        <v>44271.499525462961</v>
      </c>
      <c r="E83" s="2" t="s">
        <v>755</v>
      </c>
    </row>
    <row r="84" spans="1:5" x14ac:dyDescent="0.25">
      <c r="A84" s="2" t="s">
        <v>762</v>
      </c>
      <c r="B84" s="2" t="s">
        <v>370</v>
      </c>
      <c r="C84" s="2" t="s">
        <v>602</v>
      </c>
      <c r="D84" s="30">
        <v>44271.499560185184</v>
      </c>
      <c r="E84" s="2" t="s">
        <v>755</v>
      </c>
    </row>
    <row r="85" spans="1:5" x14ac:dyDescent="0.25">
      <c r="A85" s="2" t="s">
        <v>763</v>
      </c>
      <c r="B85" s="2" t="s">
        <v>764</v>
      </c>
      <c r="C85" s="2" t="s">
        <v>602</v>
      </c>
      <c r="D85" s="30">
        <v>44271.499594907407</v>
      </c>
      <c r="E85" s="2" t="s">
        <v>755</v>
      </c>
    </row>
    <row r="86" spans="1:5" x14ac:dyDescent="0.25">
      <c r="A86" s="2" t="s">
        <v>765</v>
      </c>
      <c r="B86" s="2" t="s">
        <v>181</v>
      </c>
      <c r="C86" s="2" t="s">
        <v>602</v>
      </c>
      <c r="D86" s="30">
        <v>44271.499641203707</v>
      </c>
      <c r="E86" s="2" t="s">
        <v>755</v>
      </c>
    </row>
    <row r="87" spans="1:5" x14ac:dyDescent="0.25">
      <c r="A87" s="2" t="s">
        <v>766</v>
      </c>
      <c r="B87" s="2" t="s">
        <v>45</v>
      </c>
      <c r="C87" s="2" t="s">
        <v>602</v>
      </c>
      <c r="D87" s="30">
        <v>44271.499675925923</v>
      </c>
      <c r="E87" s="2" t="s">
        <v>755</v>
      </c>
    </row>
    <row r="88" spans="1:5" x14ac:dyDescent="0.25">
      <c r="A88" s="2" t="s">
        <v>767</v>
      </c>
      <c r="B88" s="2" t="s">
        <v>371</v>
      </c>
      <c r="C88" s="2" t="s">
        <v>602</v>
      </c>
      <c r="D88" s="30">
        <v>44271.499710648146</v>
      </c>
      <c r="E88" s="2" t="s">
        <v>755</v>
      </c>
    </row>
    <row r="89" spans="1:5" x14ac:dyDescent="0.25">
      <c r="A89" s="2" t="s">
        <v>495</v>
      </c>
      <c r="B89" s="2" t="s">
        <v>113</v>
      </c>
      <c r="C89" s="2" t="s">
        <v>602</v>
      </c>
      <c r="D89" s="30">
        <v>44271.577048611114</v>
      </c>
      <c r="E89" s="2" t="s">
        <v>749</v>
      </c>
    </row>
    <row r="90" spans="1:5" x14ac:dyDescent="0.25">
      <c r="A90" s="2" t="s">
        <v>739</v>
      </c>
      <c r="B90" s="2" t="s">
        <v>740</v>
      </c>
      <c r="C90" s="2" t="s">
        <v>602</v>
      </c>
      <c r="D90" s="30">
        <v>44271.577152777776</v>
      </c>
      <c r="E90" s="2" t="s">
        <v>750</v>
      </c>
    </row>
    <row r="91" spans="1:5" x14ac:dyDescent="0.25">
      <c r="A91" s="2" t="s">
        <v>751</v>
      </c>
      <c r="B91" s="2" t="s">
        <v>752</v>
      </c>
      <c r="C91" s="2" t="s">
        <v>602</v>
      </c>
      <c r="D91" s="30">
        <v>44271.577291666668</v>
      </c>
      <c r="E91" s="2" t="s">
        <v>753</v>
      </c>
    </row>
    <row r="92" spans="1:5" x14ac:dyDescent="0.25">
      <c r="A92" s="2" t="s">
        <v>754</v>
      </c>
      <c r="B92" s="2" t="s">
        <v>601</v>
      </c>
      <c r="C92" s="2" t="s">
        <v>602</v>
      </c>
      <c r="D92" s="30">
        <v>44271.577291666668</v>
      </c>
      <c r="E92" s="2" t="s">
        <v>755</v>
      </c>
    </row>
    <row r="93" spans="1:5" x14ac:dyDescent="0.25">
      <c r="A93" s="2" t="s">
        <v>757</v>
      </c>
      <c r="B93" s="2" t="s">
        <v>368</v>
      </c>
      <c r="C93" s="2" t="s">
        <v>602</v>
      </c>
      <c r="D93" s="30">
        <v>44271.577326388891</v>
      </c>
      <c r="E93" s="2" t="s">
        <v>782</v>
      </c>
    </row>
    <row r="94" spans="1:5" x14ac:dyDescent="0.25">
      <c r="A94" s="2" t="s">
        <v>759</v>
      </c>
      <c r="B94" s="2" t="s">
        <v>760</v>
      </c>
      <c r="C94" s="2" t="s">
        <v>602</v>
      </c>
      <c r="D94" s="30">
        <v>44271.577372685184</v>
      </c>
      <c r="E94" s="2" t="s">
        <v>755</v>
      </c>
    </row>
    <row r="95" spans="1:5" x14ac:dyDescent="0.25">
      <c r="A95" s="2" t="s">
        <v>761</v>
      </c>
      <c r="B95" s="2" t="s">
        <v>369</v>
      </c>
      <c r="C95" s="2" t="s">
        <v>602</v>
      </c>
      <c r="D95" s="30">
        <v>44271.577372685184</v>
      </c>
      <c r="E95" s="2" t="s">
        <v>755</v>
      </c>
    </row>
    <row r="96" spans="1:5" x14ac:dyDescent="0.25">
      <c r="A96" s="2" t="s">
        <v>762</v>
      </c>
      <c r="B96" s="2" t="s">
        <v>370</v>
      </c>
      <c r="C96" s="2" t="s">
        <v>602</v>
      </c>
      <c r="D96" s="30">
        <v>44271.577407407407</v>
      </c>
      <c r="E96" s="2" t="s">
        <v>755</v>
      </c>
    </row>
    <row r="97" spans="1:5" x14ac:dyDescent="0.25">
      <c r="A97" s="2" t="s">
        <v>763</v>
      </c>
      <c r="B97" s="2" t="s">
        <v>764</v>
      </c>
      <c r="C97" s="2" t="s">
        <v>602</v>
      </c>
      <c r="D97" s="30">
        <v>44271.57744212963</v>
      </c>
      <c r="E97" s="2" t="s">
        <v>755</v>
      </c>
    </row>
    <row r="98" spans="1:5" x14ac:dyDescent="0.25">
      <c r="A98" s="2" t="s">
        <v>765</v>
      </c>
      <c r="B98" s="2" t="s">
        <v>181</v>
      </c>
      <c r="C98" s="2" t="s">
        <v>602</v>
      </c>
      <c r="D98" s="30">
        <v>44271.577476851853</v>
      </c>
      <c r="E98" s="2" t="s">
        <v>755</v>
      </c>
    </row>
    <row r="99" spans="1:5" x14ac:dyDescent="0.25">
      <c r="A99" s="2" t="s">
        <v>766</v>
      </c>
      <c r="B99" s="2" t="s">
        <v>45</v>
      </c>
      <c r="C99" s="2" t="s">
        <v>602</v>
      </c>
      <c r="D99" s="30">
        <v>44271.577476851853</v>
      </c>
      <c r="E99" s="2" t="s">
        <v>755</v>
      </c>
    </row>
    <row r="100" spans="1:5" x14ac:dyDescent="0.25">
      <c r="A100" s="2" t="s">
        <v>767</v>
      </c>
      <c r="B100" s="2" t="s">
        <v>371</v>
      </c>
      <c r="C100" s="2" t="s">
        <v>602</v>
      </c>
      <c r="D100" s="30">
        <v>44271.577511574076</v>
      </c>
      <c r="E100" s="2" t="s">
        <v>755</v>
      </c>
    </row>
    <row r="101" spans="1:5" x14ac:dyDescent="0.25">
      <c r="A101" s="2" t="s">
        <v>495</v>
      </c>
      <c r="B101" s="2" t="s">
        <v>113</v>
      </c>
      <c r="C101" s="2" t="s">
        <v>602</v>
      </c>
      <c r="D101" s="30">
        <v>44271.591793981483</v>
      </c>
      <c r="E101" s="2" t="s">
        <v>749</v>
      </c>
    </row>
    <row r="102" spans="1:5" x14ac:dyDescent="0.25">
      <c r="A102" s="2" t="s">
        <v>751</v>
      </c>
      <c r="B102" s="2" t="s">
        <v>752</v>
      </c>
      <c r="C102" s="2" t="s">
        <v>602</v>
      </c>
      <c r="D102" s="30">
        <v>44271.591886574075</v>
      </c>
      <c r="E102" s="2" t="s">
        <v>753</v>
      </c>
    </row>
    <row r="103" spans="1:5" x14ac:dyDescent="0.25">
      <c r="A103" s="2" t="s">
        <v>751</v>
      </c>
      <c r="B103" s="2" t="s">
        <v>752</v>
      </c>
      <c r="C103" s="2" t="s">
        <v>602</v>
      </c>
      <c r="D103" s="30">
        <v>44271.592199074075</v>
      </c>
      <c r="E103" s="2" t="s">
        <v>753</v>
      </c>
    </row>
    <row r="104" spans="1:5" x14ac:dyDescent="0.25">
      <c r="A104" s="2" t="s">
        <v>751</v>
      </c>
      <c r="B104" s="2" t="s">
        <v>752</v>
      </c>
      <c r="C104" s="2" t="s">
        <v>602</v>
      </c>
      <c r="D104" s="30">
        <v>44271.592465277776</v>
      </c>
      <c r="E104" s="2" t="s">
        <v>753</v>
      </c>
    </row>
    <row r="105" spans="1:5" x14ac:dyDescent="0.25">
      <c r="A105" s="2" t="s">
        <v>751</v>
      </c>
      <c r="B105" s="2" t="s">
        <v>752</v>
      </c>
      <c r="C105" s="2" t="s">
        <v>602</v>
      </c>
      <c r="D105" s="30">
        <v>44271.592534722222</v>
      </c>
      <c r="E105" s="2" t="s">
        <v>753</v>
      </c>
    </row>
    <row r="106" spans="1:5" x14ac:dyDescent="0.25">
      <c r="A106" s="2" t="s">
        <v>751</v>
      </c>
      <c r="B106" s="2" t="s">
        <v>752</v>
      </c>
      <c r="C106" s="2" t="s">
        <v>602</v>
      </c>
      <c r="D106" s="30">
        <v>44271.592604166668</v>
      </c>
      <c r="E106" s="2" t="s">
        <v>753</v>
      </c>
    </row>
    <row r="107" spans="1:5" x14ac:dyDescent="0.25">
      <c r="A107" s="2" t="s">
        <v>751</v>
      </c>
      <c r="B107" s="2" t="s">
        <v>752</v>
      </c>
      <c r="C107" s="2" t="s">
        <v>602</v>
      </c>
      <c r="D107" s="30">
        <v>44271.592627314814</v>
      </c>
      <c r="E107" s="2" t="s">
        <v>753</v>
      </c>
    </row>
    <row r="108" spans="1:5" x14ac:dyDescent="0.25">
      <c r="A108" s="2" t="s">
        <v>751</v>
      </c>
      <c r="B108" s="2" t="s">
        <v>752</v>
      </c>
      <c r="C108" s="2" t="s">
        <v>602</v>
      </c>
      <c r="D108" s="30">
        <v>44271.592650462961</v>
      </c>
      <c r="E108" s="2" t="s">
        <v>753</v>
      </c>
    </row>
    <row r="109" spans="1:5" x14ac:dyDescent="0.25">
      <c r="A109" s="2" t="s">
        <v>751</v>
      </c>
      <c r="B109" s="2" t="s">
        <v>752</v>
      </c>
      <c r="C109" s="2" t="s">
        <v>602</v>
      </c>
      <c r="D109" s="30">
        <v>44271.592673611114</v>
      </c>
      <c r="E109" s="2" t="s">
        <v>753</v>
      </c>
    </row>
    <row r="110" spans="1:5" x14ac:dyDescent="0.25">
      <c r="A110" s="2" t="s">
        <v>751</v>
      </c>
      <c r="B110" s="2" t="s">
        <v>752</v>
      </c>
      <c r="C110" s="2" t="s">
        <v>602</v>
      </c>
      <c r="D110" s="30">
        <v>44271.592719907407</v>
      </c>
      <c r="E110" s="2" t="s">
        <v>753</v>
      </c>
    </row>
    <row r="111" spans="1:5" x14ac:dyDescent="0.25">
      <c r="A111" s="2" t="s">
        <v>751</v>
      </c>
      <c r="B111" s="2" t="s">
        <v>752</v>
      </c>
      <c r="C111" s="2" t="s">
        <v>602</v>
      </c>
      <c r="D111" s="30">
        <v>44271.592766203707</v>
      </c>
      <c r="E111" s="2" t="s">
        <v>753</v>
      </c>
    </row>
    <row r="112" spans="1:5" x14ac:dyDescent="0.25">
      <c r="A112" s="2" t="s">
        <v>751</v>
      </c>
      <c r="B112" s="2" t="s">
        <v>752</v>
      </c>
      <c r="C112" s="2" t="s">
        <v>602</v>
      </c>
      <c r="D112" s="30">
        <v>44271.592835648145</v>
      </c>
      <c r="E112" s="2" t="s">
        <v>753</v>
      </c>
    </row>
    <row r="113" spans="1:5" x14ac:dyDescent="0.25">
      <c r="A113" s="2" t="s">
        <v>751</v>
      </c>
      <c r="B113" s="2" t="s">
        <v>752</v>
      </c>
      <c r="C113" s="2" t="s">
        <v>602</v>
      </c>
      <c r="D113" s="30">
        <v>44271.592905092592</v>
      </c>
      <c r="E113" s="2" t="s">
        <v>753</v>
      </c>
    </row>
    <row r="114" spans="1:5" x14ac:dyDescent="0.25">
      <c r="A114" s="2" t="s">
        <v>751</v>
      </c>
      <c r="B114" s="2" t="s">
        <v>752</v>
      </c>
      <c r="C114" s="2" t="s">
        <v>602</v>
      </c>
      <c r="D114" s="30">
        <v>44271.592905092592</v>
      </c>
      <c r="E114" s="2" t="s">
        <v>753</v>
      </c>
    </row>
    <row r="115" spans="1:5" x14ac:dyDescent="0.25">
      <c r="A115" s="2" t="s">
        <v>751</v>
      </c>
      <c r="B115" s="2" t="s">
        <v>752</v>
      </c>
      <c r="C115" s="2" t="s">
        <v>602</v>
      </c>
      <c r="D115" s="30">
        <v>44271.592997685184</v>
      </c>
      <c r="E115" s="2" t="s">
        <v>753</v>
      </c>
    </row>
    <row r="116" spans="1:5" x14ac:dyDescent="0.25">
      <c r="A116" s="2" t="s">
        <v>751</v>
      </c>
      <c r="B116" s="2" t="s">
        <v>752</v>
      </c>
      <c r="C116" s="2" t="s">
        <v>602</v>
      </c>
      <c r="D116" s="30">
        <v>44271.59302083333</v>
      </c>
      <c r="E116" s="2" t="s">
        <v>753</v>
      </c>
    </row>
    <row r="117" spans="1:5" x14ac:dyDescent="0.25">
      <c r="A117" s="2" t="s">
        <v>751</v>
      </c>
      <c r="B117" s="2" t="s">
        <v>752</v>
      </c>
      <c r="C117" s="2" t="s">
        <v>602</v>
      </c>
      <c r="D117" s="30">
        <v>44271.593043981484</v>
      </c>
      <c r="E117" s="2" t="s">
        <v>753</v>
      </c>
    </row>
    <row r="118" spans="1:5" x14ac:dyDescent="0.25">
      <c r="A118" s="2" t="s">
        <v>751</v>
      </c>
      <c r="B118" s="2" t="s">
        <v>752</v>
      </c>
      <c r="C118" s="2" t="s">
        <v>602</v>
      </c>
      <c r="D118" s="30">
        <v>44271.59306712963</v>
      </c>
      <c r="E118" s="2" t="s">
        <v>753</v>
      </c>
    </row>
    <row r="119" spans="1:5" x14ac:dyDescent="0.25">
      <c r="A119" s="2" t="s">
        <v>751</v>
      </c>
      <c r="B119" s="2" t="s">
        <v>752</v>
      </c>
      <c r="C119" s="2" t="s">
        <v>602</v>
      </c>
      <c r="D119" s="30">
        <v>44271.593078703707</v>
      </c>
      <c r="E119" s="2" t="s">
        <v>753</v>
      </c>
    </row>
    <row r="120" spans="1:5" x14ac:dyDescent="0.25">
      <c r="A120" s="2" t="s">
        <v>751</v>
      </c>
      <c r="B120" s="2" t="s">
        <v>752</v>
      </c>
      <c r="C120" s="2" t="s">
        <v>602</v>
      </c>
      <c r="D120" s="30">
        <v>44271.593090277776</v>
      </c>
      <c r="E120" s="2" t="s">
        <v>753</v>
      </c>
    </row>
    <row r="121" spans="1:5" x14ac:dyDescent="0.25">
      <c r="A121" s="2" t="s">
        <v>751</v>
      </c>
      <c r="B121" s="2" t="s">
        <v>752</v>
      </c>
      <c r="C121" s="2" t="s">
        <v>602</v>
      </c>
      <c r="D121" s="30">
        <v>44271.593124999999</v>
      </c>
      <c r="E121" s="2" t="s">
        <v>753</v>
      </c>
    </row>
    <row r="122" spans="1:5" x14ac:dyDescent="0.25">
      <c r="A122" s="2" t="s">
        <v>751</v>
      </c>
      <c r="B122" s="2" t="s">
        <v>752</v>
      </c>
      <c r="C122" s="2" t="s">
        <v>602</v>
      </c>
      <c r="D122" s="30">
        <v>44271.593136574076</v>
      </c>
      <c r="E122" s="2" t="s">
        <v>753</v>
      </c>
    </row>
    <row r="123" spans="1:5" x14ac:dyDescent="0.25">
      <c r="A123" s="2" t="s">
        <v>751</v>
      </c>
      <c r="B123" s="2" t="s">
        <v>752</v>
      </c>
      <c r="C123" s="2" t="s">
        <v>602</v>
      </c>
      <c r="D123" s="30">
        <v>44271.593148148146</v>
      </c>
      <c r="E123" s="2" t="s">
        <v>753</v>
      </c>
    </row>
    <row r="124" spans="1:5" x14ac:dyDescent="0.25">
      <c r="A124" s="2" t="s">
        <v>751</v>
      </c>
      <c r="B124" s="2" t="s">
        <v>752</v>
      </c>
      <c r="C124" s="2" t="s">
        <v>602</v>
      </c>
      <c r="D124" s="30">
        <v>44271.593159722222</v>
      </c>
      <c r="E124" s="2" t="s">
        <v>753</v>
      </c>
    </row>
    <row r="125" spans="1:5" x14ac:dyDescent="0.25">
      <c r="A125" s="2" t="s">
        <v>751</v>
      </c>
      <c r="B125" s="2" t="s">
        <v>752</v>
      </c>
      <c r="C125" s="2" t="s">
        <v>602</v>
      </c>
      <c r="D125" s="30">
        <v>44271.593171296299</v>
      </c>
      <c r="E125" s="2" t="s">
        <v>753</v>
      </c>
    </row>
    <row r="126" spans="1:5" x14ac:dyDescent="0.25">
      <c r="A126" s="2" t="s">
        <v>751</v>
      </c>
      <c r="B126" s="2" t="s">
        <v>752</v>
      </c>
      <c r="C126" s="2" t="s">
        <v>602</v>
      </c>
      <c r="D126" s="30">
        <v>44271.593182870369</v>
      </c>
      <c r="E126" s="2" t="s">
        <v>753</v>
      </c>
    </row>
    <row r="127" spans="1:5" x14ac:dyDescent="0.25">
      <c r="A127" s="2" t="s">
        <v>751</v>
      </c>
      <c r="B127" s="2" t="s">
        <v>752</v>
      </c>
      <c r="C127" s="2" t="s">
        <v>602</v>
      </c>
      <c r="D127" s="30">
        <v>44271.593194444446</v>
      </c>
      <c r="E127" s="2" t="s">
        <v>753</v>
      </c>
    </row>
    <row r="128" spans="1:5" x14ac:dyDescent="0.25">
      <c r="A128" s="2" t="s">
        <v>751</v>
      </c>
      <c r="B128" s="2" t="s">
        <v>752</v>
      </c>
      <c r="C128" s="2" t="s">
        <v>602</v>
      </c>
      <c r="D128" s="30">
        <v>44271.593240740738</v>
      </c>
      <c r="E128" s="2" t="s">
        <v>753</v>
      </c>
    </row>
    <row r="129" spans="1:5" x14ac:dyDescent="0.25">
      <c r="A129" s="2" t="s">
        <v>751</v>
      </c>
      <c r="B129" s="2" t="s">
        <v>752</v>
      </c>
      <c r="C129" s="2" t="s">
        <v>602</v>
      </c>
      <c r="D129" s="30">
        <v>44271.593263888892</v>
      </c>
      <c r="E129" s="2" t="s">
        <v>753</v>
      </c>
    </row>
    <row r="130" spans="1:5" x14ac:dyDescent="0.25">
      <c r="A130" s="2" t="s">
        <v>751</v>
      </c>
      <c r="B130" s="2" t="s">
        <v>752</v>
      </c>
      <c r="C130" s="2" t="s">
        <v>602</v>
      </c>
      <c r="D130" s="30">
        <v>44271.593275462961</v>
      </c>
      <c r="E130" s="2" t="s">
        <v>753</v>
      </c>
    </row>
    <row r="131" spans="1:5" x14ac:dyDescent="0.25">
      <c r="A131" s="2" t="s">
        <v>751</v>
      </c>
      <c r="B131" s="2" t="s">
        <v>752</v>
      </c>
      <c r="C131" s="2" t="s">
        <v>602</v>
      </c>
      <c r="D131" s="30">
        <v>44271.593287037038</v>
      </c>
      <c r="E131" s="2" t="s">
        <v>753</v>
      </c>
    </row>
    <row r="132" spans="1:5" x14ac:dyDescent="0.25">
      <c r="A132" s="2" t="s">
        <v>751</v>
      </c>
      <c r="B132" s="2" t="s">
        <v>752</v>
      </c>
      <c r="C132" s="2" t="s">
        <v>602</v>
      </c>
      <c r="D132" s="30">
        <v>44271.593298611115</v>
      </c>
      <c r="E132" s="2" t="s">
        <v>753</v>
      </c>
    </row>
    <row r="133" spans="1:5" x14ac:dyDescent="0.25">
      <c r="A133" s="2" t="s">
        <v>751</v>
      </c>
      <c r="B133" s="2" t="s">
        <v>752</v>
      </c>
      <c r="C133" s="2" t="s">
        <v>602</v>
      </c>
      <c r="D133" s="30">
        <v>44271.593333333331</v>
      </c>
      <c r="E133" s="2" t="s">
        <v>753</v>
      </c>
    </row>
    <row r="134" spans="1:5" x14ac:dyDescent="0.25">
      <c r="A134" s="2" t="s">
        <v>751</v>
      </c>
      <c r="B134" s="2" t="s">
        <v>752</v>
      </c>
      <c r="C134" s="2" t="s">
        <v>602</v>
      </c>
      <c r="D134" s="30">
        <v>44271.593344907407</v>
      </c>
      <c r="E134" s="2" t="s">
        <v>753</v>
      </c>
    </row>
    <row r="135" spans="1:5" x14ac:dyDescent="0.25">
      <c r="A135" s="2" t="s">
        <v>751</v>
      </c>
      <c r="B135" s="2" t="s">
        <v>752</v>
      </c>
      <c r="C135" s="2" t="s">
        <v>602</v>
      </c>
      <c r="D135" s="30">
        <v>44271.593356481484</v>
      </c>
      <c r="E135" s="2" t="s">
        <v>753</v>
      </c>
    </row>
    <row r="136" spans="1:5" x14ac:dyDescent="0.25">
      <c r="A136" s="2" t="s">
        <v>751</v>
      </c>
      <c r="B136" s="2" t="s">
        <v>752</v>
      </c>
      <c r="C136" s="2" t="s">
        <v>602</v>
      </c>
      <c r="D136" s="30">
        <v>44271.593368055554</v>
      </c>
      <c r="E136" s="2" t="s">
        <v>753</v>
      </c>
    </row>
    <row r="137" spans="1:5" x14ac:dyDescent="0.25">
      <c r="A137" s="2" t="s">
        <v>751</v>
      </c>
      <c r="B137" s="2" t="s">
        <v>752</v>
      </c>
      <c r="C137" s="2" t="s">
        <v>602</v>
      </c>
      <c r="D137" s="30">
        <v>44271.59337962963</v>
      </c>
      <c r="E137" s="2" t="s">
        <v>753</v>
      </c>
    </row>
    <row r="138" spans="1:5" x14ac:dyDescent="0.25">
      <c r="A138" s="2" t="s">
        <v>751</v>
      </c>
      <c r="B138" s="2" t="s">
        <v>752</v>
      </c>
      <c r="C138" s="2" t="s">
        <v>602</v>
      </c>
      <c r="D138" s="30">
        <v>44271.593391203707</v>
      </c>
      <c r="E138" s="2" t="s">
        <v>753</v>
      </c>
    </row>
    <row r="139" spans="1:5" x14ac:dyDescent="0.25">
      <c r="A139" s="2" t="s">
        <v>751</v>
      </c>
      <c r="B139" s="2" t="s">
        <v>752</v>
      </c>
      <c r="C139" s="2" t="s">
        <v>602</v>
      </c>
      <c r="D139" s="30">
        <v>44271.5934375</v>
      </c>
      <c r="E139" s="2" t="s">
        <v>753</v>
      </c>
    </row>
    <row r="140" spans="1:5" x14ac:dyDescent="0.25">
      <c r="A140" s="2" t="s">
        <v>751</v>
      </c>
      <c r="B140" s="2" t="s">
        <v>752</v>
      </c>
      <c r="C140" s="2" t="s">
        <v>602</v>
      </c>
      <c r="D140" s="30">
        <v>44271.593460648146</v>
      </c>
      <c r="E140" s="2" t="s">
        <v>753</v>
      </c>
    </row>
    <row r="141" spans="1:5" x14ac:dyDescent="0.25">
      <c r="A141" s="2" t="s">
        <v>751</v>
      </c>
      <c r="B141" s="2" t="s">
        <v>752</v>
      </c>
      <c r="C141" s="2" t="s">
        <v>602</v>
      </c>
      <c r="D141" s="30">
        <v>44271.5934837963</v>
      </c>
      <c r="E141" s="2" t="s">
        <v>753</v>
      </c>
    </row>
    <row r="142" spans="1:5" x14ac:dyDescent="0.25">
      <c r="A142" s="2" t="s">
        <v>751</v>
      </c>
      <c r="B142" s="2" t="s">
        <v>752</v>
      </c>
      <c r="C142" s="2" t="s">
        <v>602</v>
      </c>
      <c r="D142" s="30">
        <v>44271.593506944446</v>
      </c>
      <c r="E142" s="2" t="s">
        <v>753</v>
      </c>
    </row>
    <row r="143" spans="1:5" x14ac:dyDescent="0.25">
      <c r="A143" s="2" t="s">
        <v>751</v>
      </c>
      <c r="B143" s="2" t="s">
        <v>752</v>
      </c>
      <c r="C143" s="2" t="s">
        <v>602</v>
      </c>
      <c r="D143" s="30">
        <v>44271.593530092592</v>
      </c>
      <c r="E143" s="2" t="s">
        <v>753</v>
      </c>
    </row>
    <row r="144" spans="1:5" x14ac:dyDescent="0.25">
      <c r="A144" s="2" t="s">
        <v>751</v>
      </c>
      <c r="B144" s="2" t="s">
        <v>752</v>
      </c>
      <c r="C144" s="2" t="s">
        <v>602</v>
      </c>
      <c r="D144" s="30">
        <v>44271.593541666669</v>
      </c>
      <c r="E144" s="2" t="s">
        <v>753</v>
      </c>
    </row>
    <row r="145" spans="1:5" x14ac:dyDescent="0.25">
      <c r="A145" s="2" t="s">
        <v>751</v>
      </c>
      <c r="B145" s="2" t="s">
        <v>752</v>
      </c>
      <c r="C145" s="2" t="s">
        <v>602</v>
      </c>
      <c r="D145" s="30">
        <v>44271.593564814815</v>
      </c>
      <c r="E145" s="2" t="s">
        <v>753</v>
      </c>
    </row>
    <row r="146" spans="1:5" x14ac:dyDescent="0.25">
      <c r="A146" s="2" t="s">
        <v>751</v>
      </c>
      <c r="B146" s="2" t="s">
        <v>752</v>
      </c>
      <c r="C146" s="2" t="s">
        <v>602</v>
      </c>
      <c r="D146" s="30">
        <v>44271.593576388892</v>
      </c>
      <c r="E146" s="2" t="s">
        <v>753</v>
      </c>
    </row>
    <row r="147" spans="1:5" x14ac:dyDescent="0.25">
      <c r="A147" s="2" t="s">
        <v>751</v>
      </c>
      <c r="B147" s="2" t="s">
        <v>752</v>
      </c>
      <c r="C147" s="2" t="s">
        <v>602</v>
      </c>
      <c r="D147" s="30">
        <v>44271.593622685185</v>
      </c>
      <c r="E147" s="2" t="s">
        <v>753</v>
      </c>
    </row>
    <row r="148" spans="1:5" x14ac:dyDescent="0.25">
      <c r="A148" s="2" t="s">
        <v>751</v>
      </c>
      <c r="B148" s="2" t="s">
        <v>752</v>
      </c>
      <c r="C148" s="2" t="s">
        <v>602</v>
      </c>
      <c r="D148" s="30">
        <v>44271.593634259261</v>
      </c>
      <c r="E148" s="2" t="s">
        <v>753</v>
      </c>
    </row>
    <row r="149" spans="1:5" x14ac:dyDescent="0.25">
      <c r="A149" s="2" t="s">
        <v>751</v>
      </c>
      <c r="B149" s="2" t="s">
        <v>752</v>
      </c>
      <c r="C149" s="2" t="s">
        <v>602</v>
      </c>
      <c r="D149" s="30">
        <v>44271.593645833331</v>
      </c>
      <c r="E149" s="2" t="s">
        <v>753</v>
      </c>
    </row>
    <row r="150" spans="1:5" x14ac:dyDescent="0.25">
      <c r="A150" s="2" t="s">
        <v>751</v>
      </c>
      <c r="B150" s="2" t="s">
        <v>752</v>
      </c>
      <c r="C150" s="2" t="s">
        <v>602</v>
      </c>
      <c r="D150" s="30">
        <v>44271.593657407408</v>
      </c>
      <c r="E150" s="2" t="s">
        <v>753</v>
      </c>
    </row>
    <row r="151" spans="1:5" x14ac:dyDescent="0.25">
      <c r="A151" s="2" t="s">
        <v>751</v>
      </c>
      <c r="B151" s="2" t="s">
        <v>752</v>
      </c>
      <c r="C151" s="2" t="s">
        <v>602</v>
      </c>
      <c r="D151" s="30">
        <v>44271.593680555554</v>
      </c>
      <c r="E151" s="2" t="s">
        <v>753</v>
      </c>
    </row>
    <row r="152" spans="1:5" x14ac:dyDescent="0.25">
      <c r="A152" s="2" t="s">
        <v>751</v>
      </c>
      <c r="B152" s="2" t="s">
        <v>752</v>
      </c>
      <c r="C152" s="2" t="s">
        <v>602</v>
      </c>
      <c r="D152" s="30">
        <v>44271.593692129631</v>
      </c>
      <c r="E152" s="2" t="s">
        <v>753</v>
      </c>
    </row>
    <row r="153" spans="1:5" x14ac:dyDescent="0.25">
      <c r="A153" s="2" t="s">
        <v>751</v>
      </c>
      <c r="B153" s="2" t="s">
        <v>752</v>
      </c>
      <c r="C153" s="2" t="s">
        <v>602</v>
      </c>
      <c r="D153" s="30">
        <v>44271.5937037037</v>
      </c>
      <c r="E153" s="2" t="s">
        <v>753</v>
      </c>
    </row>
    <row r="154" spans="1:5" x14ac:dyDescent="0.25">
      <c r="A154" s="2" t="s">
        <v>751</v>
      </c>
      <c r="B154" s="2" t="s">
        <v>752</v>
      </c>
      <c r="C154" s="2" t="s">
        <v>602</v>
      </c>
      <c r="D154" s="30">
        <v>44271.593715277777</v>
      </c>
      <c r="E154" s="2" t="s">
        <v>753</v>
      </c>
    </row>
    <row r="155" spans="1:5" x14ac:dyDescent="0.25">
      <c r="A155" s="2" t="s">
        <v>751</v>
      </c>
      <c r="B155" s="2" t="s">
        <v>752</v>
      </c>
      <c r="C155" s="2" t="s">
        <v>602</v>
      </c>
      <c r="D155" s="30">
        <v>44271.59375</v>
      </c>
      <c r="E155" s="2" t="s">
        <v>753</v>
      </c>
    </row>
    <row r="156" spans="1:5" x14ac:dyDescent="0.25">
      <c r="A156" s="2" t="s">
        <v>751</v>
      </c>
      <c r="B156" s="2" t="s">
        <v>752</v>
      </c>
      <c r="C156" s="2" t="s">
        <v>602</v>
      </c>
      <c r="D156" s="30">
        <v>44271.593761574077</v>
      </c>
      <c r="E156" s="2" t="s">
        <v>753</v>
      </c>
    </row>
    <row r="157" spans="1:5" x14ac:dyDescent="0.25">
      <c r="A157" s="2" t="s">
        <v>751</v>
      </c>
      <c r="B157" s="2" t="s">
        <v>752</v>
      </c>
      <c r="C157" s="2" t="s">
        <v>602</v>
      </c>
      <c r="D157" s="30">
        <v>44271.593773148146</v>
      </c>
      <c r="E157" s="2" t="s">
        <v>753</v>
      </c>
    </row>
    <row r="158" spans="1:5" x14ac:dyDescent="0.25">
      <c r="A158" s="2" t="s">
        <v>751</v>
      </c>
      <c r="B158" s="2" t="s">
        <v>752</v>
      </c>
      <c r="C158" s="2" t="s">
        <v>602</v>
      </c>
      <c r="D158" s="30">
        <v>44271.594050925924</v>
      </c>
      <c r="E158" s="2" t="s">
        <v>753</v>
      </c>
    </row>
    <row r="159" spans="1:5" x14ac:dyDescent="0.25">
      <c r="A159" s="2" t="s">
        <v>495</v>
      </c>
      <c r="B159" s="2" t="s">
        <v>113</v>
      </c>
      <c r="C159" s="2" t="s">
        <v>602</v>
      </c>
      <c r="D159" s="30">
        <v>44271.594513888886</v>
      </c>
      <c r="E159" s="2" t="s">
        <v>749</v>
      </c>
    </row>
    <row r="160" spans="1:5" x14ac:dyDescent="0.25">
      <c r="A160" s="2" t="s">
        <v>751</v>
      </c>
      <c r="B160" s="2" t="s">
        <v>752</v>
      </c>
      <c r="C160" s="2" t="s">
        <v>602</v>
      </c>
      <c r="D160" s="30">
        <v>44271.594606481478</v>
      </c>
      <c r="E160" s="2" t="s">
        <v>753</v>
      </c>
    </row>
    <row r="161" spans="1:5" x14ac:dyDescent="0.25">
      <c r="A161" s="2" t="s">
        <v>751</v>
      </c>
      <c r="B161" s="2" t="s">
        <v>752</v>
      </c>
      <c r="C161" s="2" t="s">
        <v>602</v>
      </c>
      <c r="D161" s="30">
        <v>44271.594641203701</v>
      </c>
      <c r="E161" s="2" t="s">
        <v>753</v>
      </c>
    </row>
    <row r="162" spans="1:5" x14ac:dyDescent="0.25">
      <c r="A162" s="2" t="s">
        <v>751</v>
      </c>
      <c r="B162" s="2" t="s">
        <v>752</v>
      </c>
      <c r="C162" s="2" t="s">
        <v>602</v>
      </c>
      <c r="D162" s="30">
        <v>44271.59479166667</v>
      </c>
      <c r="E162" s="2" t="s">
        <v>753</v>
      </c>
    </row>
    <row r="163" spans="1:5" x14ac:dyDescent="0.25">
      <c r="A163" s="2" t="s">
        <v>495</v>
      </c>
      <c r="B163" s="2" t="s">
        <v>113</v>
      </c>
      <c r="C163" s="2" t="s">
        <v>602</v>
      </c>
      <c r="D163" s="30">
        <v>44271.59888888889</v>
      </c>
      <c r="E163" s="2" t="s">
        <v>603</v>
      </c>
    </row>
    <row r="164" spans="1:5" x14ac:dyDescent="0.25">
      <c r="A164" s="2" t="s">
        <v>751</v>
      </c>
      <c r="B164" s="2" t="s">
        <v>752</v>
      </c>
      <c r="C164" s="2" t="s">
        <v>602</v>
      </c>
      <c r="D164" s="30">
        <v>44271.598981481482</v>
      </c>
      <c r="E164" s="2" t="s">
        <v>756</v>
      </c>
    </row>
    <row r="165" spans="1:5" x14ac:dyDescent="0.25">
      <c r="A165" s="2" t="s">
        <v>495</v>
      </c>
      <c r="B165" s="2" t="s">
        <v>113</v>
      </c>
      <c r="C165" s="2" t="s">
        <v>602</v>
      </c>
      <c r="D165" s="30">
        <v>44271.629513888889</v>
      </c>
      <c r="E165" s="2" t="s">
        <v>603</v>
      </c>
    </row>
    <row r="166" spans="1:5" x14ac:dyDescent="0.25">
      <c r="A166" s="2" t="s">
        <v>751</v>
      </c>
      <c r="B166" s="2" t="s">
        <v>752</v>
      </c>
      <c r="C166" s="2" t="s">
        <v>602</v>
      </c>
      <c r="D166" s="30">
        <v>44271.629606481481</v>
      </c>
      <c r="E166" s="2" t="s">
        <v>756</v>
      </c>
    </row>
    <row r="167" spans="1:5" x14ac:dyDescent="0.25">
      <c r="A167" s="2" t="s">
        <v>739</v>
      </c>
      <c r="B167" s="2" t="s">
        <v>740</v>
      </c>
      <c r="C167" s="2" t="s">
        <v>602</v>
      </c>
      <c r="D167" s="30">
        <v>44271.629652777781</v>
      </c>
      <c r="E167" s="2" t="s">
        <v>741</v>
      </c>
    </row>
    <row r="168" spans="1:5" x14ac:dyDescent="0.25">
      <c r="A168" s="2" t="s">
        <v>495</v>
      </c>
      <c r="B168" s="2" t="s">
        <v>113</v>
      </c>
      <c r="C168" s="2" t="s">
        <v>602</v>
      </c>
      <c r="D168" s="30">
        <v>44271.633310185185</v>
      </c>
      <c r="E168" s="2" t="s">
        <v>749</v>
      </c>
    </row>
    <row r="169" spans="1:5" x14ac:dyDescent="0.25">
      <c r="A169" s="2" t="s">
        <v>751</v>
      </c>
      <c r="B169" s="2" t="s">
        <v>752</v>
      </c>
      <c r="C169" s="2" t="s">
        <v>602</v>
      </c>
      <c r="D169" s="30">
        <v>44271.633564814816</v>
      </c>
      <c r="E169" s="2" t="s">
        <v>795</v>
      </c>
    </row>
    <row r="170" spans="1:5" x14ac:dyDescent="0.25">
      <c r="A170" s="2" t="s">
        <v>739</v>
      </c>
      <c r="B170" s="2" t="s">
        <v>740</v>
      </c>
      <c r="C170" s="2" t="s">
        <v>602</v>
      </c>
      <c r="D170" s="30">
        <v>44271.633599537039</v>
      </c>
      <c r="E170" s="2" t="s">
        <v>750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 filterMode="1"/>
  <dimension ref="A3:M77"/>
  <sheetViews>
    <sheetView topLeftCell="M17" zoomScaleNormal="100" workbookViewId="0">
      <selection activeCell="M71" sqref="M71"/>
    </sheetView>
  </sheetViews>
  <sheetFormatPr baseColWidth="10" defaultRowHeight="15" x14ac:dyDescent="0.25"/>
  <cols>
    <col min="1" max="1" width="15.85546875" bestFit="1" customWidth="1"/>
    <col min="2" max="2" width="39.140625" bestFit="1" customWidth="1"/>
    <col min="6" max="6" width="11.42578125" style="17"/>
  </cols>
  <sheetData>
    <row r="3" spans="1:3" x14ac:dyDescent="0.25">
      <c r="A3" t="s">
        <v>20</v>
      </c>
      <c r="B3" t="s">
        <v>21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23</v>
      </c>
      <c r="C5" t="s">
        <v>27</v>
      </c>
    </row>
    <row r="9" spans="1:3" x14ac:dyDescent="0.25">
      <c r="A9" t="s">
        <v>28</v>
      </c>
      <c r="B9" t="s">
        <v>22</v>
      </c>
      <c r="C9" t="s">
        <v>29</v>
      </c>
    </row>
    <row r="12" spans="1:3" x14ac:dyDescent="0.25">
      <c r="A12" t="s">
        <v>30</v>
      </c>
      <c r="B12" t="s">
        <v>31</v>
      </c>
    </row>
    <row r="13" spans="1:3" x14ac:dyDescent="0.25">
      <c r="B13" t="s">
        <v>36</v>
      </c>
    </row>
    <row r="17" spans="1:13" x14ac:dyDescent="0.25">
      <c r="A17" t="s">
        <v>37</v>
      </c>
      <c r="C17" t="s">
        <v>64</v>
      </c>
      <c r="D17" t="s">
        <v>66</v>
      </c>
      <c r="F17" s="18">
        <v>44019</v>
      </c>
      <c r="G17" s="25">
        <v>44033</v>
      </c>
      <c r="H17" s="25">
        <v>44039</v>
      </c>
      <c r="I17" s="25">
        <v>44171</v>
      </c>
      <c r="J17" s="25">
        <v>44255</v>
      </c>
      <c r="K17" s="25">
        <v>44263</v>
      </c>
      <c r="L17" s="25">
        <v>44266</v>
      </c>
      <c r="M17" s="25">
        <v>44271</v>
      </c>
    </row>
    <row r="18" spans="1:13" hidden="1" x14ac:dyDescent="0.25">
      <c r="B18" t="s">
        <v>70</v>
      </c>
      <c r="D18">
        <v>1</v>
      </c>
      <c r="F18" s="17" t="s">
        <v>138</v>
      </c>
      <c r="G18" t="s">
        <v>138</v>
      </c>
      <c r="H18" t="s">
        <v>138</v>
      </c>
      <c r="I18" t="s">
        <v>138</v>
      </c>
      <c r="J18" t="s">
        <v>138</v>
      </c>
      <c r="K18" t="s">
        <v>138</v>
      </c>
      <c r="L18" t="s">
        <v>138</v>
      </c>
      <c r="M18" t="s">
        <v>138</v>
      </c>
    </row>
    <row r="19" spans="1:13" hidden="1" x14ac:dyDescent="0.25">
      <c r="B19" t="s">
        <v>65</v>
      </c>
      <c r="C19">
        <v>0.25</v>
      </c>
      <c r="D19">
        <v>0.25</v>
      </c>
      <c r="F19" s="17" t="s">
        <v>138</v>
      </c>
      <c r="G19" t="s">
        <v>138</v>
      </c>
      <c r="H19" t="s">
        <v>138</v>
      </c>
      <c r="I19" t="s">
        <v>138</v>
      </c>
      <c r="J19" t="s">
        <v>138</v>
      </c>
      <c r="K19" t="s">
        <v>138</v>
      </c>
      <c r="L19" t="s">
        <v>138</v>
      </c>
      <c r="M19" t="s">
        <v>138</v>
      </c>
    </row>
    <row r="20" spans="1:13" hidden="1" x14ac:dyDescent="0.25">
      <c r="B20" t="s">
        <v>85</v>
      </c>
      <c r="D20">
        <v>0.25</v>
      </c>
      <c r="G20" t="s">
        <v>138</v>
      </c>
      <c r="H20" t="s">
        <v>138</v>
      </c>
      <c r="I20" t="s">
        <v>138</v>
      </c>
      <c r="J20" t="s">
        <v>138</v>
      </c>
      <c r="K20" t="s">
        <v>138</v>
      </c>
      <c r="L20" t="s">
        <v>138</v>
      </c>
      <c r="M20" t="s">
        <v>138</v>
      </c>
    </row>
    <row r="21" spans="1:13" hidden="1" x14ac:dyDescent="0.25">
      <c r="B21" t="s">
        <v>152</v>
      </c>
      <c r="G21" t="s">
        <v>138</v>
      </c>
      <c r="H21" t="s">
        <v>138</v>
      </c>
      <c r="I21" t="s">
        <v>138</v>
      </c>
      <c r="J21" t="s">
        <v>138</v>
      </c>
      <c r="K21" t="s">
        <v>138</v>
      </c>
      <c r="L21" t="s">
        <v>138</v>
      </c>
      <c r="M21" t="s">
        <v>138</v>
      </c>
    </row>
    <row r="22" spans="1:13" hidden="1" x14ac:dyDescent="0.25">
      <c r="B22" t="s">
        <v>153</v>
      </c>
      <c r="G22" t="s">
        <v>138</v>
      </c>
      <c r="H22" t="s">
        <v>138</v>
      </c>
      <c r="I22" t="s">
        <v>138</v>
      </c>
      <c r="J22" t="s">
        <v>138</v>
      </c>
      <c r="K22" t="s">
        <v>138</v>
      </c>
      <c r="L22" t="s">
        <v>138</v>
      </c>
      <c r="M22" t="s">
        <v>138</v>
      </c>
    </row>
    <row r="23" spans="1:13" x14ac:dyDescent="0.25">
      <c r="B23" t="s">
        <v>86</v>
      </c>
      <c r="D23">
        <v>0.25</v>
      </c>
    </row>
    <row r="24" spans="1:13" hidden="1" x14ac:dyDescent="0.25">
      <c r="B24" t="s">
        <v>218</v>
      </c>
      <c r="H24">
        <v>0.25</v>
      </c>
      <c r="I24" t="s">
        <v>138</v>
      </c>
      <c r="J24" t="s">
        <v>138</v>
      </c>
      <c r="K24" t="s">
        <v>138</v>
      </c>
      <c r="L24" t="s">
        <v>138</v>
      </c>
      <c r="M24" t="s">
        <v>138</v>
      </c>
    </row>
    <row r="25" spans="1:13" x14ac:dyDescent="0.25">
      <c r="B25" t="s">
        <v>208</v>
      </c>
      <c r="H25">
        <v>0.25</v>
      </c>
      <c r="I25">
        <v>0.25</v>
      </c>
      <c r="J25">
        <v>0.25</v>
      </c>
      <c r="K25">
        <v>0.25</v>
      </c>
      <c r="L25">
        <v>0.25</v>
      </c>
      <c r="M25">
        <v>0.25</v>
      </c>
    </row>
    <row r="26" spans="1:13" hidden="1" x14ac:dyDescent="0.25">
      <c r="B26" t="s">
        <v>219</v>
      </c>
      <c r="H26">
        <v>0.25</v>
      </c>
      <c r="I26">
        <v>0.25</v>
      </c>
      <c r="J26" t="s">
        <v>138</v>
      </c>
      <c r="K26" t="s">
        <v>138</v>
      </c>
      <c r="L26" t="s">
        <v>138</v>
      </c>
      <c r="M26" t="s">
        <v>138</v>
      </c>
    </row>
    <row r="27" spans="1:13" hidden="1" x14ac:dyDescent="0.25">
      <c r="B27" t="s">
        <v>228</v>
      </c>
      <c r="I27">
        <v>0.25</v>
      </c>
      <c r="J27" t="s">
        <v>138</v>
      </c>
      <c r="K27" t="s">
        <v>138</v>
      </c>
      <c r="L27" t="s">
        <v>138</v>
      </c>
      <c r="M27" t="s">
        <v>138</v>
      </c>
    </row>
    <row r="28" spans="1:13" x14ac:dyDescent="0.25">
      <c r="B28" t="s">
        <v>176</v>
      </c>
      <c r="D28">
        <v>0.25</v>
      </c>
    </row>
    <row r="29" spans="1:13" hidden="1" x14ac:dyDescent="0.25">
      <c r="B29" t="s">
        <v>143</v>
      </c>
      <c r="I29">
        <v>0.25</v>
      </c>
      <c r="J29">
        <v>0.25</v>
      </c>
      <c r="K29" t="s">
        <v>138</v>
      </c>
      <c r="L29" t="s">
        <v>138</v>
      </c>
      <c r="M29" t="s">
        <v>138</v>
      </c>
    </row>
    <row r="30" spans="1:13" hidden="1" x14ac:dyDescent="0.25">
      <c r="B30" t="s">
        <v>141</v>
      </c>
      <c r="D30">
        <v>0.25</v>
      </c>
      <c r="G30" t="s">
        <v>138</v>
      </c>
      <c r="H30" t="s">
        <v>138</v>
      </c>
      <c r="I30" t="s">
        <v>138</v>
      </c>
      <c r="J30" t="s">
        <v>138</v>
      </c>
      <c r="K30" t="s">
        <v>138</v>
      </c>
      <c r="L30" t="s">
        <v>138</v>
      </c>
      <c r="M30" t="s">
        <v>138</v>
      </c>
    </row>
    <row r="31" spans="1:13" hidden="1" x14ac:dyDescent="0.25">
      <c r="B31" t="s">
        <v>144</v>
      </c>
      <c r="D31">
        <v>0.25</v>
      </c>
      <c r="M31" t="s">
        <v>138</v>
      </c>
    </row>
    <row r="32" spans="1:13" hidden="1" x14ac:dyDescent="0.25">
      <c r="B32" t="s">
        <v>142</v>
      </c>
      <c r="D32">
        <v>0.25</v>
      </c>
      <c r="G32" t="s">
        <v>138</v>
      </c>
      <c r="H32" t="s">
        <v>138</v>
      </c>
      <c r="I32" t="s">
        <v>138</v>
      </c>
      <c r="J32" t="s">
        <v>138</v>
      </c>
      <c r="K32" t="s">
        <v>138</v>
      </c>
      <c r="L32" t="s">
        <v>138</v>
      </c>
      <c r="M32" t="s">
        <v>138</v>
      </c>
    </row>
    <row r="33" spans="2:13" hidden="1" x14ac:dyDescent="0.25">
      <c r="B33" t="s">
        <v>179</v>
      </c>
      <c r="H33">
        <v>0.25</v>
      </c>
      <c r="I33" t="s">
        <v>138</v>
      </c>
      <c r="J33" t="s">
        <v>138</v>
      </c>
      <c r="K33" t="s">
        <v>138</v>
      </c>
      <c r="L33" t="s">
        <v>138</v>
      </c>
      <c r="M33" t="s">
        <v>138</v>
      </c>
    </row>
    <row r="34" spans="2:13" hidden="1" x14ac:dyDescent="0.25">
      <c r="B34" t="s">
        <v>203</v>
      </c>
      <c r="H34">
        <v>0.25</v>
      </c>
      <c r="I34" t="s">
        <v>138</v>
      </c>
      <c r="J34" t="s">
        <v>138</v>
      </c>
      <c r="K34" t="s">
        <v>138</v>
      </c>
      <c r="L34" t="s">
        <v>138</v>
      </c>
      <c r="M34" t="s">
        <v>138</v>
      </c>
    </row>
    <row r="35" spans="2:13" x14ac:dyDescent="0.25">
      <c r="B35" t="s">
        <v>145</v>
      </c>
      <c r="D35">
        <v>0.5</v>
      </c>
    </row>
    <row r="36" spans="2:13" x14ac:dyDescent="0.25">
      <c r="B36" t="s">
        <v>241</v>
      </c>
      <c r="I36">
        <v>0.5</v>
      </c>
      <c r="J36">
        <v>0.5</v>
      </c>
      <c r="K36">
        <v>0.5</v>
      </c>
      <c r="L36">
        <v>0.5</v>
      </c>
      <c r="M36">
        <v>0.5</v>
      </c>
    </row>
    <row r="37" spans="2:13" x14ac:dyDescent="0.25">
      <c r="B37" t="s">
        <v>67</v>
      </c>
      <c r="C37">
        <v>0.5</v>
      </c>
      <c r="D37">
        <v>1</v>
      </c>
      <c r="I37">
        <v>0.5</v>
      </c>
      <c r="J37">
        <v>0.5</v>
      </c>
      <c r="K37">
        <v>0.5</v>
      </c>
      <c r="L37">
        <v>0.5</v>
      </c>
      <c r="M37">
        <v>0.5</v>
      </c>
    </row>
    <row r="38" spans="2:13" hidden="1" x14ac:dyDescent="0.25">
      <c r="B38" t="s">
        <v>68</v>
      </c>
      <c r="C38">
        <v>0.25</v>
      </c>
      <c r="D38">
        <v>0.25</v>
      </c>
      <c r="I38" t="s">
        <v>138</v>
      </c>
      <c r="J38" t="s">
        <v>138</v>
      </c>
      <c r="K38" t="s">
        <v>138</v>
      </c>
      <c r="L38" t="s">
        <v>138</v>
      </c>
      <c r="M38" t="s">
        <v>138</v>
      </c>
    </row>
    <row r="39" spans="2:13" x14ac:dyDescent="0.25">
      <c r="B39" t="s">
        <v>30</v>
      </c>
      <c r="C39">
        <v>0.25</v>
      </c>
    </row>
    <row r="40" spans="2:13" hidden="1" x14ac:dyDescent="0.25">
      <c r="B40" t="s">
        <v>38</v>
      </c>
      <c r="D40">
        <v>0.5</v>
      </c>
      <c r="I40" t="s">
        <v>138</v>
      </c>
      <c r="J40" t="s">
        <v>138</v>
      </c>
      <c r="K40" t="s">
        <v>138</v>
      </c>
      <c r="L40" t="s">
        <v>138</v>
      </c>
      <c r="M40" t="s">
        <v>138</v>
      </c>
    </row>
    <row r="41" spans="2:13" hidden="1" x14ac:dyDescent="0.25">
      <c r="B41" t="s">
        <v>39</v>
      </c>
      <c r="D41">
        <v>0.5</v>
      </c>
      <c r="I41" t="s">
        <v>138</v>
      </c>
      <c r="J41" t="s">
        <v>138</v>
      </c>
      <c r="K41" t="s">
        <v>138</v>
      </c>
      <c r="L41" t="s">
        <v>138</v>
      </c>
      <c r="M41" t="s">
        <v>138</v>
      </c>
    </row>
    <row r="42" spans="2:13" x14ac:dyDescent="0.25">
      <c r="B42" t="s">
        <v>35</v>
      </c>
      <c r="D42">
        <v>0.5</v>
      </c>
    </row>
    <row r="43" spans="2:13" hidden="1" x14ac:dyDescent="0.25">
      <c r="B43" t="s">
        <v>40</v>
      </c>
      <c r="D43">
        <v>0.5</v>
      </c>
      <c r="I43" t="s">
        <v>138</v>
      </c>
      <c r="J43" t="s">
        <v>138</v>
      </c>
      <c r="K43" t="s">
        <v>138</v>
      </c>
      <c r="L43" t="s">
        <v>138</v>
      </c>
      <c r="M43" t="s">
        <v>138</v>
      </c>
    </row>
    <row r="44" spans="2:13" x14ac:dyDescent="0.25">
      <c r="B44" t="s">
        <v>32</v>
      </c>
      <c r="C44">
        <v>0.25</v>
      </c>
    </row>
    <row r="45" spans="2:13" x14ac:dyDescent="0.25">
      <c r="B45" t="s">
        <v>41</v>
      </c>
    </row>
    <row r="46" spans="2:13" x14ac:dyDescent="0.25">
      <c r="B46" t="s">
        <v>33</v>
      </c>
      <c r="C46">
        <v>0.25</v>
      </c>
    </row>
    <row r="47" spans="2:13" x14ac:dyDescent="0.25">
      <c r="B47" t="s">
        <v>42</v>
      </c>
      <c r="C47">
        <v>0.25</v>
      </c>
    </row>
    <row r="48" spans="2:13" x14ac:dyDescent="0.25">
      <c r="B48" t="s">
        <v>43</v>
      </c>
      <c r="D48">
        <v>0.5</v>
      </c>
    </row>
    <row r="49" spans="2:13" x14ac:dyDescent="0.25">
      <c r="B49" t="s">
        <v>44</v>
      </c>
      <c r="C49">
        <v>0.25</v>
      </c>
    </row>
    <row r="50" spans="2:13" x14ac:dyDescent="0.25">
      <c r="B50" t="s">
        <v>45</v>
      </c>
      <c r="C50">
        <v>0.25</v>
      </c>
    </row>
    <row r="51" spans="2:13" hidden="1" x14ac:dyDescent="0.25">
      <c r="B51" t="s">
        <v>69</v>
      </c>
      <c r="C51">
        <v>2</v>
      </c>
      <c r="D51">
        <v>0.5</v>
      </c>
      <c r="I51">
        <v>2</v>
      </c>
      <c r="J51" t="s">
        <v>138</v>
      </c>
      <c r="K51" t="s">
        <v>138</v>
      </c>
      <c r="L51" t="s">
        <v>138</v>
      </c>
      <c r="M51" t="s">
        <v>138</v>
      </c>
    </row>
    <row r="52" spans="2:13" hidden="1" x14ac:dyDescent="0.25">
      <c r="B52" t="s">
        <v>71</v>
      </c>
      <c r="C52">
        <v>4</v>
      </c>
      <c r="D52">
        <v>4</v>
      </c>
      <c r="J52" t="s">
        <v>138</v>
      </c>
      <c r="K52" t="s">
        <v>138</v>
      </c>
      <c r="L52" t="s">
        <v>138</v>
      </c>
      <c r="M52" t="s">
        <v>138</v>
      </c>
    </row>
    <row r="53" spans="2:13" hidden="1" x14ac:dyDescent="0.25">
      <c r="B53" t="s">
        <v>511</v>
      </c>
      <c r="J53" t="s">
        <v>138</v>
      </c>
      <c r="K53" t="s">
        <v>138</v>
      </c>
      <c r="L53" t="s">
        <v>138</v>
      </c>
      <c r="M53" t="s">
        <v>138</v>
      </c>
    </row>
    <row r="54" spans="2:13" hidden="1" x14ac:dyDescent="0.25">
      <c r="B54" t="s">
        <v>584</v>
      </c>
      <c r="K54">
        <v>0.3</v>
      </c>
      <c r="L54" t="s">
        <v>138</v>
      </c>
      <c r="M54" t="s">
        <v>138</v>
      </c>
    </row>
    <row r="55" spans="2:13" hidden="1" x14ac:dyDescent="0.25">
      <c r="B55" t="s">
        <v>518</v>
      </c>
      <c r="J55">
        <v>0.25</v>
      </c>
      <c r="K55" t="s">
        <v>138</v>
      </c>
      <c r="L55" t="s">
        <v>138</v>
      </c>
      <c r="M55" t="s">
        <v>138</v>
      </c>
    </row>
    <row r="56" spans="2:13" hidden="1" x14ac:dyDescent="0.25">
      <c r="B56" t="s">
        <v>526</v>
      </c>
      <c r="K56" t="s">
        <v>138</v>
      </c>
      <c r="L56" t="s">
        <v>138</v>
      </c>
      <c r="M56" t="s">
        <v>138</v>
      </c>
    </row>
    <row r="57" spans="2:13" hidden="1" x14ac:dyDescent="0.25">
      <c r="B57" t="s">
        <v>519</v>
      </c>
      <c r="J57">
        <v>0.25</v>
      </c>
      <c r="K57" t="s">
        <v>138</v>
      </c>
      <c r="L57" t="s">
        <v>138</v>
      </c>
      <c r="M57" t="s">
        <v>138</v>
      </c>
    </row>
    <row r="58" spans="2:13" hidden="1" x14ac:dyDescent="0.25">
      <c r="B58" t="s">
        <v>524</v>
      </c>
      <c r="K58" t="s">
        <v>138</v>
      </c>
      <c r="L58" t="s">
        <v>138</v>
      </c>
      <c r="M58" t="s">
        <v>138</v>
      </c>
    </row>
    <row r="59" spans="2:13" hidden="1" x14ac:dyDescent="0.25">
      <c r="B59" t="s">
        <v>525</v>
      </c>
      <c r="K59" t="s">
        <v>138</v>
      </c>
      <c r="L59" t="s">
        <v>138</v>
      </c>
      <c r="M59" t="s">
        <v>138</v>
      </c>
    </row>
    <row r="60" spans="2:13" x14ac:dyDescent="0.25">
      <c r="B60" t="s">
        <v>512</v>
      </c>
      <c r="J60">
        <v>0.25</v>
      </c>
      <c r="K60">
        <v>0.2</v>
      </c>
      <c r="L60">
        <v>0.2</v>
      </c>
      <c r="M60">
        <v>0.2</v>
      </c>
    </row>
    <row r="61" spans="2:13" x14ac:dyDescent="0.25">
      <c r="B61" t="s">
        <v>517</v>
      </c>
      <c r="J61">
        <v>0.25</v>
      </c>
      <c r="K61">
        <v>0.2</v>
      </c>
      <c r="L61">
        <v>0.2</v>
      </c>
      <c r="M61">
        <v>0.2</v>
      </c>
    </row>
    <row r="62" spans="2:13" x14ac:dyDescent="0.25">
      <c r="B62" t="s">
        <v>588</v>
      </c>
      <c r="K62">
        <v>0.2</v>
      </c>
      <c r="L62">
        <v>0.2</v>
      </c>
      <c r="M62">
        <v>0.2</v>
      </c>
    </row>
    <row r="63" spans="2:13" x14ac:dyDescent="0.25">
      <c r="B63" t="s">
        <v>515</v>
      </c>
      <c r="J63">
        <v>0.5</v>
      </c>
      <c r="K63">
        <v>0.3</v>
      </c>
      <c r="L63">
        <v>0.3</v>
      </c>
      <c r="M63">
        <v>0.3</v>
      </c>
    </row>
    <row r="64" spans="2:13" x14ac:dyDescent="0.25">
      <c r="B64" t="s">
        <v>599</v>
      </c>
      <c r="L64">
        <v>0.2</v>
      </c>
      <c r="M64">
        <v>0.2</v>
      </c>
    </row>
    <row r="65" spans="2:13" x14ac:dyDescent="0.25">
      <c r="B65" t="s">
        <v>510</v>
      </c>
      <c r="J65">
        <v>0.25</v>
      </c>
      <c r="K65">
        <v>0.1</v>
      </c>
      <c r="L65">
        <v>0.1</v>
      </c>
      <c r="M65">
        <v>0.1</v>
      </c>
    </row>
    <row r="66" spans="2:13" x14ac:dyDescent="0.25">
      <c r="B66" t="s">
        <v>514</v>
      </c>
      <c r="J66">
        <v>0.25</v>
      </c>
      <c r="K66">
        <v>0.25</v>
      </c>
      <c r="L66">
        <v>0.25</v>
      </c>
      <c r="M66">
        <v>0.25</v>
      </c>
    </row>
    <row r="67" spans="2:13" x14ac:dyDescent="0.25">
      <c r="B67" t="s">
        <v>513</v>
      </c>
      <c r="J67">
        <v>0.5</v>
      </c>
      <c r="K67">
        <v>0.5</v>
      </c>
      <c r="L67">
        <v>0.5</v>
      </c>
      <c r="M67">
        <v>0.5</v>
      </c>
    </row>
    <row r="68" spans="2:13" x14ac:dyDescent="0.25">
      <c r="B68" t="s">
        <v>509</v>
      </c>
      <c r="J68">
        <v>1</v>
      </c>
      <c r="K68">
        <v>1</v>
      </c>
      <c r="L68">
        <v>1</v>
      </c>
      <c r="M68">
        <v>1</v>
      </c>
    </row>
    <row r="69" spans="2:13" x14ac:dyDescent="0.25">
      <c r="B69" t="s">
        <v>533</v>
      </c>
      <c r="K69">
        <v>0.2</v>
      </c>
      <c r="L69">
        <v>0.2</v>
      </c>
      <c r="M69">
        <v>0.2</v>
      </c>
    </row>
    <row r="70" spans="2:13" x14ac:dyDescent="0.25">
      <c r="B70" t="s">
        <v>778</v>
      </c>
      <c r="M70">
        <v>0.1</v>
      </c>
    </row>
    <row r="71" spans="2:13" x14ac:dyDescent="0.25">
      <c r="B71" t="s">
        <v>508</v>
      </c>
      <c r="J71">
        <v>0.5</v>
      </c>
      <c r="K71">
        <v>0.5</v>
      </c>
      <c r="L71">
        <v>0.5</v>
      </c>
      <c r="M71">
        <v>0.5</v>
      </c>
    </row>
    <row r="72" spans="2:13" x14ac:dyDescent="0.25">
      <c r="B72" t="s">
        <v>72</v>
      </c>
      <c r="C72">
        <v>3</v>
      </c>
      <c r="D72">
        <v>3</v>
      </c>
      <c r="J72">
        <v>2</v>
      </c>
      <c r="K72">
        <v>2</v>
      </c>
      <c r="L72">
        <v>2</v>
      </c>
      <c r="M72">
        <v>2</v>
      </c>
    </row>
    <row r="74" spans="2:13" x14ac:dyDescent="0.25">
      <c r="B74" s="27">
        <f>0+C74+D74</f>
        <v>26</v>
      </c>
      <c r="C74" s="28">
        <f>SUM(C18:C72)</f>
        <v>11.5</v>
      </c>
      <c r="D74" s="29">
        <f>SUM(D18:D72)</f>
        <v>14.5</v>
      </c>
      <c r="F74" s="17">
        <f t="shared" ref="F74:M74" si="0">SUMIF(F18:F73,"",$C18:$C73)+SUMIF(F18:F73,"",$D18:$D73)+SUBTOTAL(109,F18:F73)</f>
        <v>24.5</v>
      </c>
      <c r="G74" s="17">
        <f t="shared" si="0"/>
        <v>23.75</v>
      </c>
      <c r="H74" s="17">
        <f t="shared" si="0"/>
        <v>24</v>
      </c>
      <c r="I74" s="17">
        <f t="shared" si="0"/>
        <v>19</v>
      </c>
      <c r="J74" s="17">
        <f t="shared" si="0"/>
        <v>10.5</v>
      </c>
      <c r="K74" s="17">
        <f t="shared" si="0"/>
        <v>10.45</v>
      </c>
      <c r="L74" s="17">
        <f t="shared" si="0"/>
        <v>10.65</v>
      </c>
      <c r="M74" s="17">
        <f t="shared" si="0"/>
        <v>10.5</v>
      </c>
    </row>
    <row r="77" spans="2:13" x14ac:dyDescent="0.25">
      <c r="B77" t="s">
        <v>46</v>
      </c>
    </row>
  </sheetData>
  <autoFilter ref="F17:M74" xr:uid="{00379212-E3CF-4218-9FEE-9E59D27F5740}">
    <filterColumn colId="7">
      <filters blank="1">
        <filter val="0,1"/>
        <filter val="0,2"/>
        <filter val="0,25"/>
        <filter val="0,3"/>
        <filter val="0,5"/>
        <filter val="1"/>
        <filter val="10,4"/>
        <filter val="2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81"/>
  <sheetViews>
    <sheetView workbookViewId="0">
      <selection activeCell="C3" sqref="C3"/>
    </sheetView>
  </sheetViews>
  <sheetFormatPr baseColWidth="10" defaultRowHeight="15" outlineLevelRow="2" x14ac:dyDescent="0.25"/>
  <cols>
    <col min="1" max="1" width="13.42578125" bestFit="1" customWidth="1"/>
  </cols>
  <sheetData>
    <row r="3" spans="1:3" x14ac:dyDescent="0.25">
      <c r="A3" t="s">
        <v>84</v>
      </c>
    </row>
    <row r="4" spans="1:3" outlineLevel="1" x14ac:dyDescent="0.25">
      <c r="B4" t="s">
        <v>220</v>
      </c>
    </row>
    <row r="5" spans="1:3" outlineLevel="1" x14ac:dyDescent="0.25">
      <c r="B5" t="s">
        <v>221</v>
      </c>
    </row>
    <row r="6" spans="1:3" outlineLevel="1" x14ac:dyDescent="0.25">
      <c r="B6" t="s">
        <v>222</v>
      </c>
    </row>
    <row r="7" spans="1:3" outlineLevel="1" x14ac:dyDescent="0.25">
      <c r="B7" t="s">
        <v>507</v>
      </c>
    </row>
    <row r="8" spans="1:3" outlineLevel="1" x14ac:dyDescent="0.25"/>
    <row r="11" spans="1:3" x14ac:dyDescent="0.25">
      <c r="A11" t="s">
        <v>521</v>
      </c>
      <c r="B11" t="s">
        <v>522</v>
      </c>
      <c r="C11" t="s">
        <v>523</v>
      </c>
    </row>
    <row r="12" spans="1:3" outlineLevel="1" x14ac:dyDescent="0.25">
      <c r="B12" t="s">
        <v>496</v>
      </c>
    </row>
    <row r="13" spans="1:3" outlineLevel="1" x14ac:dyDescent="0.25">
      <c r="B13" t="s">
        <v>497</v>
      </c>
    </row>
    <row r="14" spans="1:3" outlineLevel="1" x14ac:dyDescent="0.25">
      <c r="B14" t="s">
        <v>498</v>
      </c>
    </row>
    <row r="15" spans="1:3" outlineLevel="1" x14ac:dyDescent="0.25"/>
    <row r="16" spans="1:3" outlineLevel="1" x14ac:dyDescent="0.25"/>
    <row r="19" spans="1:3" collapsed="1" x14ac:dyDescent="0.25">
      <c r="A19" t="s">
        <v>247</v>
      </c>
      <c r="B19" t="s">
        <v>248</v>
      </c>
      <c r="C19" t="s">
        <v>249</v>
      </c>
    </row>
    <row r="20" spans="1:3" hidden="1" outlineLevel="1" x14ac:dyDescent="0.25">
      <c r="B20" t="s">
        <v>496</v>
      </c>
    </row>
    <row r="21" spans="1:3" hidden="1" outlineLevel="1" x14ac:dyDescent="0.25">
      <c r="B21" t="s">
        <v>497</v>
      </c>
    </row>
    <row r="22" spans="1:3" hidden="1" outlineLevel="1" x14ac:dyDescent="0.25">
      <c r="B22" t="s">
        <v>498</v>
      </c>
    </row>
    <row r="23" spans="1:3" hidden="1" outlineLevel="1" x14ac:dyDescent="0.25"/>
    <row r="24" spans="1:3" hidden="1" outlineLevel="1" x14ac:dyDescent="0.25"/>
    <row r="26" spans="1:3" collapsed="1" x14ac:dyDescent="0.25">
      <c r="A26" t="s">
        <v>246</v>
      </c>
      <c r="B26" t="s">
        <v>227</v>
      </c>
      <c r="C26" t="s">
        <v>243</v>
      </c>
    </row>
    <row r="27" spans="1:3" hidden="1" outlineLevel="1" x14ac:dyDescent="0.25"/>
    <row r="28" spans="1:3" hidden="1" outlineLevel="1" x14ac:dyDescent="0.25"/>
    <row r="29" spans="1:3" hidden="1" outlineLevel="1" x14ac:dyDescent="0.25"/>
    <row r="31" spans="1:3" collapsed="1" x14ac:dyDescent="0.25">
      <c r="A31" t="s">
        <v>242</v>
      </c>
      <c r="B31" t="s">
        <v>227</v>
      </c>
      <c r="C31" t="s">
        <v>243</v>
      </c>
    </row>
    <row r="32" spans="1:3" hidden="1" outlineLevel="1" x14ac:dyDescent="0.25">
      <c r="B32" t="s">
        <v>244</v>
      </c>
    </row>
    <row r="33" spans="1:3" hidden="1" outlineLevel="1" x14ac:dyDescent="0.25">
      <c r="B33" t="s">
        <v>245</v>
      </c>
    </row>
    <row r="34" spans="1:3" hidden="1" outlineLevel="1" x14ac:dyDescent="0.25"/>
    <row r="36" spans="1:3" collapsed="1" x14ac:dyDescent="0.25">
      <c r="A36" t="s">
        <v>226</v>
      </c>
      <c r="B36" t="s">
        <v>227</v>
      </c>
      <c r="C36" t="s">
        <v>80</v>
      </c>
    </row>
    <row r="37" spans="1:3" hidden="1" outlineLevel="1" x14ac:dyDescent="0.25">
      <c r="B37" t="s">
        <v>232</v>
      </c>
    </row>
    <row r="38" spans="1:3" hidden="1" outlineLevel="1" x14ac:dyDescent="0.25">
      <c r="B38" t="s">
        <v>233</v>
      </c>
    </row>
    <row r="39" spans="1:3" hidden="1" outlineLevel="1" x14ac:dyDescent="0.25">
      <c r="B39" t="s">
        <v>234</v>
      </c>
    </row>
    <row r="40" spans="1:3" hidden="1" outlineLevel="1" x14ac:dyDescent="0.25">
      <c r="B40" t="s">
        <v>240</v>
      </c>
    </row>
    <row r="41" spans="1:3" hidden="1" outlineLevel="1" x14ac:dyDescent="0.25"/>
    <row r="43" spans="1:3" collapsed="1" x14ac:dyDescent="0.25">
      <c r="A43" t="s">
        <v>210</v>
      </c>
      <c r="B43" t="s">
        <v>211</v>
      </c>
      <c r="C43" t="s">
        <v>224</v>
      </c>
    </row>
    <row r="44" spans="1:3" hidden="1" outlineLevel="1" x14ac:dyDescent="0.25">
      <c r="B44" t="s">
        <v>214</v>
      </c>
    </row>
    <row r="45" spans="1:3" hidden="1" outlineLevel="1" x14ac:dyDescent="0.25">
      <c r="B45" t="s">
        <v>212</v>
      </c>
    </row>
    <row r="46" spans="1:3" hidden="1" outlineLevel="1" x14ac:dyDescent="0.25">
      <c r="B46" t="s">
        <v>213</v>
      </c>
    </row>
    <row r="47" spans="1:3" hidden="1" outlineLevel="1" x14ac:dyDescent="0.25"/>
    <row r="49" spans="1:3" collapsed="1" x14ac:dyDescent="0.25">
      <c r="A49" t="s">
        <v>215</v>
      </c>
      <c r="B49" t="s">
        <v>216</v>
      </c>
      <c r="C49" t="s">
        <v>225</v>
      </c>
    </row>
    <row r="50" spans="1:3" hidden="1" outlineLevel="1" x14ac:dyDescent="0.25">
      <c r="B50" t="s">
        <v>217</v>
      </c>
    </row>
    <row r="51" spans="1:3" hidden="1" outlineLevel="1" x14ac:dyDescent="0.25"/>
    <row r="52" spans="1:3" hidden="1" outlineLevel="1" x14ac:dyDescent="0.25"/>
    <row r="53" spans="1:3" hidden="1" outlineLevel="1" x14ac:dyDescent="0.25"/>
    <row r="56" spans="1:3" collapsed="1" x14ac:dyDescent="0.25">
      <c r="A56" t="s">
        <v>139</v>
      </c>
    </row>
    <row r="57" spans="1:3" hidden="1" outlineLevel="1" collapsed="1" x14ac:dyDescent="0.25">
      <c r="B57" t="s">
        <v>223</v>
      </c>
    </row>
    <row r="58" spans="1:3" hidden="1" outlineLevel="2" x14ac:dyDescent="0.25">
      <c r="B58" t="s">
        <v>117</v>
      </c>
    </row>
    <row r="59" spans="1:3" hidden="1" outlineLevel="2" x14ac:dyDescent="0.25"/>
    <row r="60" spans="1:3" hidden="1" outlineLevel="2" x14ac:dyDescent="0.25">
      <c r="B60" t="s">
        <v>118</v>
      </c>
    </row>
    <row r="61" spans="1:3" hidden="1" outlineLevel="2" x14ac:dyDescent="0.25"/>
    <row r="62" spans="1:3" hidden="1" outlineLevel="2" x14ac:dyDescent="0.25">
      <c r="B62" t="s">
        <v>119</v>
      </c>
    </row>
    <row r="63" spans="1:3" hidden="1" outlineLevel="2" x14ac:dyDescent="0.25">
      <c r="B63" t="s">
        <v>120</v>
      </c>
    </row>
    <row r="64" spans="1:3" hidden="1" outlineLevel="2" x14ac:dyDescent="0.25">
      <c r="B64" t="s">
        <v>121</v>
      </c>
    </row>
    <row r="65" spans="2:2" hidden="1" outlineLevel="2" x14ac:dyDescent="0.25">
      <c r="B65" t="s">
        <v>122</v>
      </c>
    </row>
    <row r="66" spans="2:2" hidden="1" outlineLevel="2" x14ac:dyDescent="0.25">
      <c r="B66" t="s">
        <v>123</v>
      </c>
    </row>
    <row r="67" spans="2:2" hidden="1" outlineLevel="2" x14ac:dyDescent="0.25">
      <c r="B67" t="s">
        <v>124</v>
      </c>
    </row>
    <row r="68" spans="2:2" hidden="1" outlineLevel="2" x14ac:dyDescent="0.25"/>
    <row r="69" spans="2:2" hidden="1" outlineLevel="2" x14ac:dyDescent="0.25">
      <c r="B69" t="s">
        <v>125</v>
      </c>
    </row>
    <row r="70" spans="2:2" hidden="1" outlineLevel="2" x14ac:dyDescent="0.25">
      <c r="B70" t="s">
        <v>126</v>
      </c>
    </row>
    <row r="71" spans="2:2" hidden="1" outlineLevel="2" x14ac:dyDescent="0.25"/>
    <row r="72" spans="2:2" hidden="1" outlineLevel="2" x14ac:dyDescent="0.25">
      <c r="B72" t="s">
        <v>127</v>
      </c>
    </row>
    <row r="73" spans="2:2" hidden="1" outlineLevel="2" x14ac:dyDescent="0.25">
      <c r="B73" t="s">
        <v>128</v>
      </c>
    </row>
    <row r="74" spans="2:2" hidden="1" outlineLevel="2" x14ac:dyDescent="0.25">
      <c r="B74" t="s">
        <v>129</v>
      </c>
    </row>
    <row r="75" spans="2:2" hidden="1" outlineLevel="2" x14ac:dyDescent="0.25">
      <c r="B75" t="s">
        <v>130</v>
      </c>
    </row>
    <row r="76" spans="2:2" hidden="1" outlineLevel="2" x14ac:dyDescent="0.25">
      <c r="B76" t="s">
        <v>131</v>
      </c>
    </row>
    <row r="77" spans="2:2" hidden="1" outlineLevel="2" x14ac:dyDescent="0.25">
      <c r="B77" t="s">
        <v>132</v>
      </c>
    </row>
    <row r="78" spans="2:2" hidden="1" outlineLevel="2" x14ac:dyDescent="0.25">
      <c r="B78" t="s">
        <v>133</v>
      </c>
    </row>
    <row r="79" spans="2:2" hidden="1" outlineLevel="1" x14ac:dyDescent="0.25"/>
    <row r="80" spans="2:2" hidden="1" outlineLevel="1" collapsed="1" x14ac:dyDescent="0.25">
      <c r="B80" t="s">
        <v>140</v>
      </c>
    </row>
    <row r="81" spans="3:3" hidden="1" outlineLevel="2" x14ac:dyDescent="0.25">
      <c r="C81" t="s">
        <v>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18"/>
  <sheetViews>
    <sheetView workbookViewId="0">
      <selection activeCell="H32" sqref="H32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11</v>
      </c>
      <c r="L1" t="s">
        <v>56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157</v>
      </c>
      <c r="B6" s="2"/>
      <c r="C6" s="3"/>
      <c r="D6" s="3"/>
      <c r="E6" s="2" t="s">
        <v>63</v>
      </c>
      <c r="F6" s="2" t="s">
        <v>63</v>
      </c>
      <c r="G6" s="2" t="s">
        <v>158</v>
      </c>
      <c r="H6" s="2" t="s">
        <v>159</v>
      </c>
    </row>
    <row r="7" spans="1:12" x14ac:dyDescent="0.25">
      <c r="A7" s="2" t="s">
        <v>160</v>
      </c>
      <c r="B7" s="2"/>
      <c r="C7" s="3"/>
      <c r="D7" s="3"/>
      <c r="E7" s="2"/>
      <c r="F7" s="2"/>
      <c r="G7" s="2" t="s">
        <v>161</v>
      </c>
      <c r="H7" s="2" t="s">
        <v>168</v>
      </c>
    </row>
    <row r="8" spans="1:12" x14ac:dyDescent="0.25">
      <c r="A8" s="2" t="s">
        <v>162</v>
      </c>
      <c r="B8" s="2"/>
      <c r="C8" s="3"/>
      <c r="D8" s="3"/>
      <c r="E8" s="2"/>
      <c r="F8" s="2"/>
      <c r="G8" s="2" t="s">
        <v>163</v>
      </c>
      <c r="H8" s="2" t="s">
        <v>164</v>
      </c>
    </row>
    <row r="9" spans="1:12" x14ac:dyDescent="0.25">
      <c r="A9" s="2" t="s">
        <v>167</v>
      </c>
      <c r="B9" s="2"/>
      <c r="C9" s="3"/>
      <c r="D9" s="3"/>
      <c r="E9" s="2"/>
      <c r="F9" s="2"/>
      <c r="G9" s="2" t="s">
        <v>169</v>
      </c>
      <c r="H9" s="2" t="s">
        <v>170</v>
      </c>
    </row>
    <row r="10" spans="1:12" x14ac:dyDescent="0.25">
      <c r="A10" s="2" t="s">
        <v>53</v>
      </c>
      <c r="B10" s="2" t="s">
        <v>165</v>
      </c>
      <c r="C10" s="3" t="s">
        <v>166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57</v>
      </c>
      <c r="B11" s="2" t="s">
        <v>63</v>
      </c>
      <c r="C11" s="2" t="s">
        <v>63</v>
      </c>
      <c r="D11" s="2" t="s">
        <v>63</v>
      </c>
      <c r="E11" s="2" t="s">
        <v>63</v>
      </c>
      <c r="F11" s="2" t="s">
        <v>63</v>
      </c>
      <c r="G11" s="2" t="s">
        <v>58</v>
      </c>
      <c r="H11" s="2" t="s">
        <v>59</v>
      </c>
    </row>
    <row r="12" spans="1:12" x14ac:dyDescent="0.25">
      <c r="A12" s="2" t="s">
        <v>60</v>
      </c>
      <c r="B12" s="2" t="s">
        <v>63</v>
      </c>
      <c r="C12" s="2" t="s">
        <v>63</v>
      </c>
      <c r="D12" s="2" t="s">
        <v>63</v>
      </c>
      <c r="E12" s="2" t="s">
        <v>63</v>
      </c>
      <c r="F12" s="2" t="s">
        <v>63</v>
      </c>
      <c r="G12" s="2" t="s">
        <v>62</v>
      </c>
      <c r="H12" s="2" t="s">
        <v>61</v>
      </c>
    </row>
    <row r="13" spans="1:12" x14ac:dyDescent="0.25">
      <c r="A13" s="2" t="s">
        <v>49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50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51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52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171</v>
      </c>
      <c r="B18" s="2"/>
      <c r="C18" s="2"/>
      <c r="D18" s="2"/>
      <c r="E18" s="2"/>
      <c r="F18" s="2"/>
      <c r="G18" s="2" t="s">
        <v>493</v>
      </c>
      <c r="H18" s="2" t="s">
        <v>237</v>
      </c>
    </row>
    <row r="19" spans="1:8" x14ac:dyDescent="0.25">
      <c r="A19" s="2" t="s">
        <v>172</v>
      </c>
      <c r="B19" s="2"/>
      <c r="C19" s="2"/>
      <c r="D19" s="2"/>
      <c r="E19" s="2"/>
      <c r="F19" s="2"/>
      <c r="G19" s="2" t="s">
        <v>174</v>
      </c>
      <c r="H19" s="2" t="s">
        <v>173</v>
      </c>
    </row>
    <row r="20" spans="1:8" x14ac:dyDescent="0.25">
      <c r="A20" s="2" t="s">
        <v>175</v>
      </c>
      <c r="B20" s="2"/>
      <c r="C20" s="2"/>
      <c r="D20" s="2"/>
      <c r="E20" s="2"/>
      <c r="F20" s="2"/>
      <c r="G20" s="2" t="s">
        <v>115</v>
      </c>
      <c r="H20" s="2" t="s">
        <v>65</v>
      </c>
    </row>
    <row r="21" spans="1:8" x14ac:dyDescent="0.25">
      <c r="A21" s="2" t="s">
        <v>75</v>
      </c>
      <c r="B21" s="2"/>
      <c r="C21" s="2"/>
      <c r="D21" s="2"/>
      <c r="E21" s="2"/>
      <c r="F21" s="2"/>
      <c r="G21" s="2" t="s">
        <v>76</v>
      </c>
      <c r="H21" s="2" t="s">
        <v>77</v>
      </c>
    </row>
    <row r="22" spans="1:8" x14ac:dyDescent="0.25">
      <c r="A22" s="2" t="s">
        <v>93</v>
      </c>
      <c r="B22" s="2"/>
      <c r="C22" s="2"/>
      <c r="D22" s="2"/>
      <c r="E22" s="2"/>
      <c r="F22" s="2"/>
      <c r="G22" s="2" t="s">
        <v>0</v>
      </c>
      <c r="H22" s="2" t="s">
        <v>0</v>
      </c>
    </row>
    <row r="23" spans="1:8" x14ac:dyDescent="0.25">
      <c r="A23" s="2" t="s">
        <v>73</v>
      </c>
      <c r="B23" s="2"/>
      <c r="C23" s="2"/>
      <c r="D23" s="2"/>
      <c r="E23" s="2"/>
      <c r="F23" s="2"/>
      <c r="G23" s="2" t="s">
        <v>20</v>
      </c>
      <c r="H23" s="2" t="s">
        <v>47</v>
      </c>
    </row>
    <row r="24" spans="1:8" x14ac:dyDescent="0.25">
      <c r="A24" s="2" t="s">
        <v>105</v>
      </c>
      <c r="B24" s="2"/>
      <c r="C24" s="2"/>
      <c r="D24" s="2"/>
      <c r="E24" s="2"/>
      <c r="F24" s="2"/>
      <c r="G24" s="2" t="s">
        <v>28</v>
      </c>
      <c r="H24" s="2" t="s">
        <v>107</v>
      </c>
    </row>
    <row r="25" spans="1:8" x14ac:dyDescent="0.25">
      <c r="A25" s="2" t="s">
        <v>103</v>
      </c>
      <c r="B25" s="2"/>
      <c r="C25" s="2"/>
      <c r="D25" s="2"/>
      <c r="E25" s="2"/>
      <c r="F25" s="2"/>
      <c r="G25" s="2" t="s">
        <v>104</v>
      </c>
      <c r="H25" s="2" t="s">
        <v>48</v>
      </c>
    </row>
    <row r="26" spans="1:8" x14ac:dyDescent="0.25">
      <c r="A26" s="2" t="s">
        <v>74</v>
      </c>
      <c r="B26" s="2"/>
      <c r="C26" s="2"/>
      <c r="D26" s="2"/>
      <c r="E26" s="2"/>
      <c r="F26" s="2"/>
      <c r="G26" s="2" t="s">
        <v>54</v>
      </c>
      <c r="H26" s="2" t="s">
        <v>55</v>
      </c>
    </row>
    <row r="27" spans="1:8" x14ac:dyDescent="0.25">
      <c r="A27" s="2" t="s">
        <v>87</v>
      </c>
      <c r="B27" s="2"/>
      <c r="C27" s="2"/>
      <c r="D27" s="2"/>
      <c r="E27" s="2"/>
      <c r="F27" s="2"/>
      <c r="G27" s="50" t="s">
        <v>88</v>
      </c>
      <c r="H27" s="50" t="s">
        <v>89</v>
      </c>
    </row>
    <row r="28" spans="1:8" x14ac:dyDescent="0.25">
      <c r="A28" s="2" t="s">
        <v>777</v>
      </c>
      <c r="B28" s="2"/>
      <c r="C28" s="2"/>
      <c r="D28" s="2"/>
      <c r="E28" s="2"/>
      <c r="F28" s="2"/>
      <c r="G28" s="2" t="s">
        <v>789</v>
      </c>
      <c r="H28" s="2" t="s">
        <v>790</v>
      </c>
    </row>
    <row r="29" spans="1:8" x14ac:dyDescent="0.25">
      <c r="A29" s="2" t="s">
        <v>83</v>
      </c>
      <c r="B29" s="2"/>
      <c r="C29" s="2"/>
      <c r="D29" s="2"/>
      <c r="E29" s="2"/>
      <c r="F29" s="2"/>
      <c r="G29" s="2" t="s">
        <v>79</v>
      </c>
      <c r="H29" s="2" t="s">
        <v>81</v>
      </c>
    </row>
    <row r="30" spans="1:8" x14ac:dyDescent="0.25">
      <c r="A30" s="2" t="s">
        <v>779</v>
      </c>
      <c r="B30" s="2"/>
      <c r="C30" s="2"/>
      <c r="D30" s="2"/>
      <c r="E30" s="2"/>
      <c r="F30" s="2"/>
      <c r="G30" s="2" t="s">
        <v>780</v>
      </c>
      <c r="H30" s="2" t="s">
        <v>781</v>
      </c>
    </row>
    <row r="31" spans="1:8" x14ac:dyDescent="0.25">
      <c r="A31" s="2" t="s">
        <v>78</v>
      </c>
      <c r="B31" s="2"/>
      <c r="C31" s="2"/>
      <c r="D31" s="2"/>
      <c r="E31" s="2"/>
      <c r="F31" s="2"/>
      <c r="G31" s="2" t="s">
        <v>80</v>
      </c>
      <c r="H31" s="2" t="s">
        <v>82</v>
      </c>
    </row>
    <row r="32" spans="1:8" x14ac:dyDescent="0.25">
      <c r="A32" s="2" t="s">
        <v>783</v>
      </c>
      <c r="B32" s="2"/>
      <c r="C32" s="2"/>
      <c r="D32" s="2"/>
      <c r="E32" s="2"/>
      <c r="F32" s="2"/>
      <c r="G32" s="2" t="s">
        <v>784</v>
      </c>
      <c r="H32" s="2" t="s">
        <v>785</v>
      </c>
    </row>
    <row r="33" spans="1:8" x14ac:dyDescent="0.25">
      <c r="A33" s="26" t="s">
        <v>146</v>
      </c>
      <c r="B33" s="2"/>
      <c r="C33" s="2"/>
      <c r="D33" s="2"/>
      <c r="E33" s="2"/>
      <c r="F33" s="2"/>
      <c r="G33" s="2" t="s">
        <v>181</v>
      </c>
      <c r="H33" s="2" t="s">
        <v>182</v>
      </c>
    </row>
    <row r="34" spans="1:8" x14ac:dyDescent="0.25">
      <c r="A34" s="26" t="s">
        <v>147</v>
      </c>
      <c r="B34" s="2"/>
      <c r="C34" s="2"/>
      <c r="D34" s="2"/>
      <c r="E34" s="2"/>
      <c r="F34" s="2"/>
      <c r="G34" s="2" t="s">
        <v>45</v>
      </c>
      <c r="H34" s="2" t="s">
        <v>183</v>
      </c>
    </row>
    <row r="35" spans="1:8" x14ac:dyDescent="0.25">
      <c r="A35" s="26" t="s">
        <v>148</v>
      </c>
      <c r="B35" s="2"/>
      <c r="C35" s="2"/>
      <c r="D35" s="2"/>
      <c r="E35" s="2"/>
      <c r="F35" s="2"/>
      <c r="G35" s="2" t="s">
        <v>184</v>
      </c>
      <c r="H35" s="2" t="s">
        <v>185</v>
      </c>
    </row>
    <row r="36" spans="1:8" x14ac:dyDescent="0.25">
      <c r="A36" s="26" t="s">
        <v>180</v>
      </c>
      <c r="B36" s="2"/>
      <c r="C36" s="2"/>
      <c r="D36" s="2"/>
      <c r="E36" s="2"/>
      <c r="F36" s="2"/>
      <c r="G36" s="2" t="s">
        <v>582</v>
      </c>
      <c r="H36" s="2" t="s">
        <v>583</v>
      </c>
    </row>
    <row r="37" spans="1:8" x14ac:dyDescent="0.25">
      <c r="A37" s="26" t="s">
        <v>150</v>
      </c>
      <c r="B37" s="2"/>
      <c r="C37" s="2"/>
      <c r="D37" s="2"/>
      <c r="E37" s="2"/>
      <c r="F37" s="2"/>
      <c r="G37" s="2" t="s">
        <v>186</v>
      </c>
      <c r="H37" s="2" t="s">
        <v>188</v>
      </c>
    </row>
    <row r="38" spans="1:8" x14ac:dyDescent="0.25">
      <c r="A38" s="26" t="s">
        <v>151</v>
      </c>
      <c r="B38" s="2"/>
      <c r="C38" s="2"/>
      <c r="D38" s="2"/>
      <c r="E38" s="2"/>
      <c r="F38" s="2"/>
      <c r="G38" s="2" t="s">
        <v>187</v>
      </c>
      <c r="H38" s="2" t="s">
        <v>189</v>
      </c>
    </row>
    <row r="39" spans="1:8" x14ac:dyDescent="0.25">
      <c r="A39" s="2" t="s">
        <v>134</v>
      </c>
      <c r="B39" s="2"/>
      <c r="C39" s="2"/>
      <c r="D39" s="2"/>
      <c r="E39" s="2"/>
      <c r="F39" s="2"/>
      <c r="G39" s="2" t="s">
        <v>209</v>
      </c>
      <c r="H39" s="2" t="s">
        <v>190</v>
      </c>
    </row>
    <row r="40" spans="1:8" x14ac:dyDescent="0.25">
      <c r="A40" s="2" t="s">
        <v>786</v>
      </c>
      <c r="B40" s="2"/>
      <c r="C40" s="2"/>
      <c r="D40" s="2"/>
      <c r="E40" s="2"/>
      <c r="F40" s="2"/>
      <c r="G40" s="2" t="s">
        <v>787</v>
      </c>
      <c r="H40" s="2" t="s">
        <v>788</v>
      </c>
    </row>
    <row r="41" spans="1:8" x14ac:dyDescent="0.25">
      <c r="A41" s="26" t="s">
        <v>199</v>
      </c>
      <c r="B41" s="2"/>
      <c r="C41" s="2"/>
      <c r="D41" s="2"/>
      <c r="E41" s="2"/>
      <c r="F41" s="2"/>
      <c r="G41" s="2" t="s">
        <v>19</v>
      </c>
      <c r="H41" s="2" t="s">
        <v>19</v>
      </c>
    </row>
    <row r="42" spans="1:8" x14ac:dyDescent="0.25">
      <c r="A42" s="26" t="s">
        <v>197</v>
      </c>
      <c r="B42" s="2"/>
      <c r="C42" s="2"/>
      <c r="D42" s="2"/>
      <c r="E42" s="2"/>
      <c r="F42" s="2"/>
      <c r="G42" s="2" t="s">
        <v>201</v>
      </c>
      <c r="H42" s="2" t="s">
        <v>200</v>
      </c>
    </row>
    <row r="43" spans="1:8" x14ac:dyDescent="0.25">
      <c r="A43" s="26" t="s">
        <v>198</v>
      </c>
      <c r="B43" s="2"/>
      <c r="C43" s="2"/>
      <c r="D43" s="2"/>
      <c r="E43" s="2"/>
      <c r="F43" s="2"/>
      <c r="G43" s="2" t="s">
        <v>34</v>
      </c>
      <c r="H43" s="2" t="s">
        <v>202</v>
      </c>
    </row>
    <row r="44" spans="1:8" x14ac:dyDescent="0.25">
      <c r="A44" s="36" t="s">
        <v>372</v>
      </c>
      <c r="B44" s="2"/>
      <c r="C44" s="2"/>
      <c r="D44" s="2"/>
      <c r="E44" s="2"/>
      <c r="F44" s="2"/>
      <c r="G44" s="2" t="s">
        <v>470</v>
      </c>
      <c r="H44" s="2" t="s">
        <v>17</v>
      </c>
    </row>
    <row r="45" spans="1:8" x14ac:dyDescent="0.25">
      <c r="A45" s="36" t="s">
        <v>373</v>
      </c>
      <c r="B45" s="2"/>
      <c r="C45" s="2"/>
      <c r="D45" s="2"/>
      <c r="E45" s="2"/>
      <c r="F45" s="2"/>
      <c r="G45" s="2" t="s">
        <v>471</v>
      </c>
      <c r="H45" s="2" t="s">
        <v>472</v>
      </c>
    </row>
    <row r="46" spans="1:8" x14ac:dyDescent="0.25">
      <c r="A46" s="35" t="s">
        <v>323</v>
      </c>
      <c r="B46" s="2"/>
      <c r="C46" s="2"/>
      <c r="D46" s="2"/>
      <c r="E46" s="2"/>
      <c r="F46" s="2"/>
      <c r="G46" s="2" t="s">
        <v>473</v>
      </c>
      <c r="H46" s="2" t="s">
        <v>474</v>
      </c>
    </row>
    <row r="47" spans="1:8" x14ac:dyDescent="0.25">
      <c r="A47" s="36" t="s">
        <v>450</v>
      </c>
      <c r="B47" s="2"/>
      <c r="C47" s="2"/>
      <c r="D47" s="2"/>
      <c r="E47" s="2"/>
      <c r="F47" s="2"/>
      <c r="G47" s="2" t="s">
        <v>475</v>
      </c>
      <c r="H47" s="38" t="s">
        <v>483</v>
      </c>
    </row>
    <row r="48" spans="1:8" x14ac:dyDescent="0.25">
      <c r="A48" s="36" t="s">
        <v>451</v>
      </c>
      <c r="B48" s="2"/>
      <c r="C48" s="2"/>
      <c r="D48" s="2"/>
      <c r="E48" s="2"/>
      <c r="F48" s="2"/>
      <c r="G48" s="2" t="s">
        <v>479</v>
      </c>
      <c r="H48" s="2" t="s">
        <v>481</v>
      </c>
    </row>
    <row r="49" spans="1:8" x14ac:dyDescent="0.25">
      <c r="A49" s="36" t="s">
        <v>452</v>
      </c>
      <c r="B49" s="2"/>
      <c r="C49" s="2"/>
      <c r="D49" s="2"/>
      <c r="E49" s="2"/>
      <c r="F49" s="2"/>
      <c r="G49" s="2" t="s">
        <v>476</v>
      </c>
      <c r="H49" s="38" t="s">
        <v>484</v>
      </c>
    </row>
    <row r="50" spans="1:8" x14ac:dyDescent="0.25">
      <c r="A50" s="36" t="s">
        <v>453</v>
      </c>
      <c r="B50" s="2"/>
      <c r="C50" s="2"/>
      <c r="D50" s="2"/>
      <c r="E50" s="2"/>
      <c r="F50" s="2"/>
      <c r="G50" s="2" t="s">
        <v>480</v>
      </c>
      <c r="H50" s="2" t="s">
        <v>482</v>
      </c>
    </row>
    <row r="51" spans="1:8" x14ac:dyDescent="0.25">
      <c r="A51" s="36" t="s">
        <v>454</v>
      </c>
      <c r="B51" s="2"/>
      <c r="C51" s="2"/>
      <c r="D51" s="2"/>
      <c r="E51" s="2"/>
      <c r="F51" s="2"/>
      <c r="G51" s="2" t="s">
        <v>485</v>
      </c>
      <c r="H51" s="2" t="s">
        <v>486</v>
      </c>
    </row>
    <row r="52" spans="1:8" x14ac:dyDescent="0.25">
      <c r="A52" s="36" t="s">
        <v>455</v>
      </c>
      <c r="B52" s="2"/>
      <c r="C52" s="2"/>
      <c r="D52" s="2"/>
      <c r="E52" s="2"/>
      <c r="F52" s="2"/>
      <c r="G52" s="2" t="s">
        <v>487</v>
      </c>
      <c r="H52" s="2" t="s">
        <v>488</v>
      </c>
    </row>
    <row r="53" spans="1:8" x14ac:dyDescent="0.25">
      <c r="A53" s="36" t="s">
        <v>456</v>
      </c>
      <c r="B53" s="2"/>
      <c r="C53" s="2"/>
      <c r="D53" s="2"/>
      <c r="E53" s="2"/>
      <c r="F53" s="2"/>
      <c r="G53" s="2" t="s">
        <v>477</v>
      </c>
      <c r="H53" s="2" t="s">
        <v>489</v>
      </c>
    </row>
    <row r="54" spans="1:8" x14ac:dyDescent="0.25">
      <c r="A54" s="36" t="s">
        <v>457</v>
      </c>
      <c r="B54" s="2"/>
      <c r="C54" s="2"/>
      <c r="D54" s="2"/>
      <c r="E54" s="2"/>
      <c r="F54" s="2"/>
      <c r="G54" s="2" t="s">
        <v>490</v>
      </c>
      <c r="H54" s="2" t="s">
        <v>491</v>
      </c>
    </row>
    <row r="55" spans="1:8" x14ac:dyDescent="0.25">
      <c r="A55" s="36" t="s">
        <v>458</v>
      </c>
      <c r="B55" s="2"/>
      <c r="C55" s="2"/>
      <c r="D55" s="2"/>
      <c r="E55" s="2"/>
      <c r="F55" s="2"/>
      <c r="G55" s="2" t="s">
        <v>478</v>
      </c>
      <c r="H55" s="2" t="s">
        <v>492</v>
      </c>
    </row>
    <row r="56" spans="1:8" x14ac:dyDescent="0.25">
      <c r="A56" s="36" t="s">
        <v>459</v>
      </c>
      <c r="B56" s="2"/>
      <c r="C56" s="2"/>
      <c r="D56" s="2"/>
      <c r="E56" s="2"/>
      <c r="F56" s="2"/>
      <c r="G56" s="36" t="s">
        <v>527</v>
      </c>
      <c r="H56" s="36" t="s">
        <v>528</v>
      </c>
    </row>
    <row r="57" spans="1:8" x14ac:dyDescent="0.25">
      <c r="A57" s="36" t="s">
        <v>460</v>
      </c>
      <c r="B57" s="2"/>
      <c r="C57" s="2"/>
      <c r="D57" s="2"/>
      <c r="E57" s="2"/>
      <c r="F57" s="2"/>
      <c r="G57" s="36" t="s">
        <v>530</v>
      </c>
      <c r="H57" s="36" t="s">
        <v>529</v>
      </c>
    </row>
    <row r="58" spans="1:8" x14ac:dyDescent="0.25">
      <c r="A58" s="36" t="s">
        <v>461</v>
      </c>
      <c r="B58" s="2"/>
      <c r="C58" s="2"/>
      <c r="D58" s="2"/>
      <c r="E58" s="2"/>
      <c r="F58" s="2"/>
      <c r="G58" s="36" t="s">
        <v>531</v>
      </c>
      <c r="H58" s="36" t="s">
        <v>532</v>
      </c>
    </row>
    <row r="59" spans="1:8" x14ac:dyDescent="0.25">
      <c r="A59" s="36" t="s">
        <v>462</v>
      </c>
      <c r="B59" s="2"/>
      <c r="C59" s="2"/>
      <c r="D59" s="2"/>
      <c r="E59" s="2"/>
      <c r="F59" s="2"/>
      <c r="G59" s="36" t="s">
        <v>534</v>
      </c>
      <c r="H59" s="36" t="s">
        <v>535</v>
      </c>
    </row>
    <row r="60" spans="1:8" x14ac:dyDescent="0.25">
      <c r="A60" s="36" t="s">
        <v>463</v>
      </c>
      <c r="B60" s="2"/>
      <c r="C60" s="2"/>
      <c r="D60" s="2"/>
      <c r="E60" s="2"/>
      <c r="F60" s="2"/>
      <c r="G60" s="36" t="s">
        <v>536</v>
      </c>
      <c r="H60" s="36" t="s">
        <v>538</v>
      </c>
    </row>
    <row r="61" spans="1:8" x14ac:dyDescent="0.25">
      <c r="A61" s="36" t="s">
        <v>464</v>
      </c>
      <c r="B61" s="2"/>
      <c r="C61" s="2"/>
      <c r="D61" s="2"/>
      <c r="E61" s="2"/>
      <c r="F61" s="2"/>
      <c r="G61" s="36" t="s">
        <v>537</v>
      </c>
      <c r="H61" s="36" t="s">
        <v>539</v>
      </c>
    </row>
    <row r="62" spans="1:8" x14ac:dyDescent="0.25">
      <c r="A62" s="36" t="s">
        <v>465</v>
      </c>
      <c r="B62" s="2"/>
      <c r="C62" s="2"/>
      <c r="D62" s="2"/>
      <c r="E62" s="2"/>
      <c r="F62" s="2"/>
      <c r="G62" s="36" t="s">
        <v>540</v>
      </c>
      <c r="H62" s="36" t="s">
        <v>541</v>
      </c>
    </row>
    <row r="63" spans="1:8" x14ac:dyDescent="0.25">
      <c r="A63" s="36" t="s">
        <v>466</v>
      </c>
      <c r="B63" s="2"/>
      <c r="C63" s="2"/>
      <c r="D63" s="2"/>
      <c r="E63" s="2"/>
      <c r="F63" s="2"/>
      <c r="G63" s="36" t="s">
        <v>542</v>
      </c>
      <c r="H63" s="36" t="s">
        <v>543</v>
      </c>
    </row>
    <row r="64" spans="1:8" x14ac:dyDescent="0.25">
      <c r="A64" s="36" t="s">
        <v>467</v>
      </c>
      <c r="B64" s="2"/>
      <c r="C64" s="2"/>
      <c r="D64" s="2"/>
      <c r="E64" s="2"/>
      <c r="F64" s="2"/>
      <c r="G64" s="36" t="s">
        <v>544</v>
      </c>
      <c r="H64" s="36" t="s">
        <v>545</v>
      </c>
    </row>
    <row r="65" spans="1:8" x14ac:dyDescent="0.25">
      <c r="A65" s="36" t="s">
        <v>468</v>
      </c>
      <c r="B65" s="2"/>
      <c r="C65" s="2"/>
      <c r="D65" s="2"/>
      <c r="E65" s="2"/>
      <c r="F65" s="2"/>
      <c r="G65" s="36" t="s">
        <v>546</v>
      </c>
      <c r="H65" s="36" t="s">
        <v>547</v>
      </c>
    </row>
    <row r="66" spans="1:8" x14ac:dyDescent="0.25">
      <c r="A66" s="36" t="s">
        <v>469</v>
      </c>
      <c r="B66" s="2"/>
      <c r="C66" s="2"/>
      <c r="D66" s="2"/>
      <c r="E66" s="2"/>
      <c r="F66" s="2"/>
      <c r="G66" s="36" t="s">
        <v>548</v>
      </c>
      <c r="H66" s="36" t="s">
        <v>549</v>
      </c>
    </row>
    <row r="67" spans="1:8" x14ac:dyDescent="0.25">
      <c r="A67" s="35" t="s">
        <v>324</v>
      </c>
      <c r="B67" s="2"/>
      <c r="C67" s="2"/>
      <c r="D67" s="2"/>
      <c r="E67" s="2"/>
      <c r="F67" s="2"/>
      <c r="G67" s="35" t="s">
        <v>34</v>
      </c>
      <c r="H67" s="35" t="s">
        <v>202</v>
      </c>
    </row>
    <row r="68" spans="1:8" x14ac:dyDescent="0.25">
      <c r="A68" s="35" t="s">
        <v>325</v>
      </c>
      <c r="B68" s="2"/>
      <c r="C68" s="2"/>
      <c r="D68" s="2"/>
      <c r="E68" s="2"/>
      <c r="F68" s="2"/>
      <c r="G68" s="35" t="s">
        <v>550</v>
      </c>
      <c r="H68" s="35" t="s">
        <v>551</v>
      </c>
    </row>
    <row r="69" spans="1:8" x14ac:dyDescent="0.25">
      <c r="A69" s="36" t="s">
        <v>407</v>
      </c>
      <c r="B69" s="2"/>
      <c r="C69" s="2"/>
      <c r="D69" s="2"/>
      <c r="E69" s="2"/>
      <c r="F69" s="2"/>
      <c r="G69" s="36" t="s">
        <v>552</v>
      </c>
      <c r="H69" s="36" t="s">
        <v>553</v>
      </c>
    </row>
    <row r="70" spans="1:8" x14ac:dyDescent="0.25">
      <c r="A70" s="36" t="s">
        <v>408</v>
      </c>
      <c r="B70" s="2"/>
      <c r="C70" s="2"/>
      <c r="D70" s="2"/>
      <c r="E70" s="2"/>
      <c r="F70" s="2"/>
      <c r="G70" s="36" t="s">
        <v>554</v>
      </c>
      <c r="H70" s="36" t="s">
        <v>555</v>
      </c>
    </row>
    <row r="71" spans="1:8" x14ac:dyDescent="0.25">
      <c r="A71" s="36" t="s">
        <v>409</v>
      </c>
      <c r="B71" s="2"/>
      <c r="C71" s="2"/>
      <c r="D71" s="2"/>
      <c r="E71" s="2"/>
      <c r="F71" s="2"/>
      <c r="G71" s="36" t="s">
        <v>556</v>
      </c>
      <c r="H71" s="36" t="s">
        <v>557</v>
      </c>
    </row>
    <row r="72" spans="1:8" x14ac:dyDescent="0.25">
      <c r="A72" s="36" t="s">
        <v>410</v>
      </c>
      <c r="B72" s="2"/>
      <c r="C72" s="2"/>
      <c r="D72" s="2"/>
      <c r="E72" s="2"/>
      <c r="F72" s="2"/>
      <c r="G72" s="36" t="s">
        <v>558</v>
      </c>
      <c r="H72" s="36" t="s">
        <v>559</v>
      </c>
    </row>
    <row r="73" spans="1:8" x14ac:dyDescent="0.25">
      <c r="A73" s="35" t="s">
        <v>326</v>
      </c>
      <c r="B73" s="2"/>
      <c r="C73" s="2"/>
      <c r="D73" s="2"/>
      <c r="E73" s="2"/>
      <c r="F73" s="2"/>
      <c r="G73" s="35" t="s">
        <v>560</v>
      </c>
      <c r="H73" s="35" t="s">
        <v>561</v>
      </c>
    </row>
    <row r="74" spans="1:8" x14ac:dyDescent="0.25">
      <c r="A74" s="36" t="s">
        <v>411</v>
      </c>
      <c r="B74" s="2"/>
      <c r="C74" s="2"/>
      <c r="D74" s="2"/>
      <c r="E74" s="2"/>
      <c r="F74" s="2"/>
      <c r="G74" s="36" t="s">
        <v>562</v>
      </c>
      <c r="H74" s="36" t="s">
        <v>568</v>
      </c>
    </row>
    <row r="75" spans="1:8" x14ac:dyDescent="0.25">
      <c r="A75" s="36" t="s">
        <v>412</v>
      </c>
      <c r="B75" s="2"/>
      <c r="C75" s="2"/>
      <c r="D75" s="2"/>
      <c r="E75" s="2"/>
      <c r="F75" s="2"/>
      <c r="G75" s="36" t="s">
        <v>565</v>
      </c>
      <c r="H75" s="36" t="s">
        <v>569</v>
      </c>
    </row>
    <row r="76" spans="1:8" x14ac:dyDescent="0.25">
      <c r="A76" s="36" t="s">
        <v>413</v>
      </c>
      <c r="B76" s="2"/>
      <c r="C76" s="2"/>
      <c r="D76" s="2"/>
      <c r="E76" s="2"/>
      <c r="F76" s="2"/>
      <c r="G76" s="36" t="s">
        <v>566</v>
      </c>
      <c r="H76" s="36" t="s">
        <v>570</v>
      </c>
    </row>
    <row r="77" spans="1:8" x14ac:dyDescent="0.25">
      <c r="A77" s="36" t="s">
        <v>414</v>
      </c>
      <c r="B77" s="2"/>
      <c r="C77" s="2"/>
      <c r="D77" s="2"/>
      <c r="E77" s="2"/>
      <c r="F77" s="2"/>
      <c r="G77" s="36" t="s">
        <v>567</v>
      </c>
      <c r="H77" s="36" t="s">
        <v>571</v>
      </c>
    </row>
    <row r="78" spans="1:8" x14ac:dyDescent="0.25">
      <c r="A78" s="35" t="s">
        <v>327</v>
      </c>
      <c r="B78" s="2"/>
      <c r="C78" s="2"/>
      <c r="D78" s="2"/>
      <c r="E78" s="2"/>
      <c r="F78" s="2"/>
      <c r="G78" s="35" t="s">
        <v>563</v>
      </c>
      <c r="H78" s="35" t="s">
        <v>564</v>
      </c>
    </row>
    <row r="79" spans="1:8" x14ac:dyDescent="0.25">
      <c r="A79" s="36" t="s">
        <v>251</v>
      </c>
      <c r="B79" s="2"/>
      <c r="C79" s="2"/>
      <c r="D79" s="2"/>
      <c r="E79" s="2"/>
      <c r="F79" s="2"/>
      <c r="G79" s="36" t="s">
        <v>251</v>
      </c>
      <c r="H79" s="36" t="s">
        <v>251</v>
      </c>
    </row>
    <row r="80" spans="1:8" x14ac:dyDescent="0.25">
      <c r="A80" s="36" t="s">
        <v>415</v>
      </c>
      <c r="B80" s="2"/>
      <c r="C80" s="2"/>
      <c r="D80" s="2"/>
      <c r="E80" s="2"/>
      <c r="F80" s="2"/>
      <c r="G80" s="36" t="s">
        <v>572</v>
      </c>
      <c r="H80" s="36" t="s">
        <v>573</v>
      </c>
    </row>
    <row r="81" spans="1:8" x14ac:dyDescent="0.25">
      <c r="A81" s="36" t="s">
        <v>416</v>
      </c>
      <c r="B81" s="2"/>
      <c r="C81" s="2"/>
      <c r="D81" s="2"/>
      <c r="E81" s="2"/>
      <c r="F81" s="2"/>
      <c r="G81" s="36" t="s">
        <v>574</v>
      </c>
      <c r="H81" s="36" t="s">
        <v>575</v>
      </c>
    </row>
    <row r="82" spans="1:8" x14ac:dyDescent="0.25">
      <c r="A82" s="35" t="s">
        <v>364</v>
      </c>
      <c r="B82" s="2"/>
      <c r="C82" s="2"/>
      <c r="D82" s="2"/>
      <c r="E82" s="2"/>
      <c r="F82" s="2"/>
      <c r="G82" s="35" t="s">
        <v>473</v>
      </c>
      <c r="H82" s="35" t="s">
        <v>474</v>
      </c>
    </row>
    <row r="83" spans="1:8" x14ac:dyDescent="0.25">
      <c r="A83" s="36" t="s">
        <v>417</v>
      </c>
      <c r="B83" s="2"/>
      <c r="C83" s="2"/>
      <c r="D83" s="2"/>
      <c r="E83" s="2"/>
      <c r="F83" s="2"/>
      <c r="G83" s="2" t="s">
        <v>475</v>
      </c>
      <c r="H83" s="38" t="s">
        <v>483</v>
      </c>
    </row>
    <row r="84" spans="1:8" x14ac:dyDescent="0.25">
      <c r="A84" s="36" t="s">
        <v>436</v>
      </c>
      <c r="B84" s="2"/>
      <c r="C84" s="2"/>
      <c r="D84" s="2"/>
      <c r="E84" s="2"/>
      <c r="F84" s="2"/>
      <c r="G84" s="2" t="s">
        <v>479</v>
      </c>
      <c r="H84" s="2" t="s">
        <v>481</v>
      </c>
    </row>
    <row r="85" spans="1:8" x14ac:dyDescent="0.25">
      <c r="A85" s="36" t="s">
        <v>418</v>
      </c>
      <c r="B85" s="2"/>
      <c r="C85" s="2"/>
      <c r="D85" s="2"/>
      <c r="E85" s="2"/>
      <c r="F85" s="2"/>
      <c r="G85" s="2" t="s">
        <v>476</v>
      </c>
      <c r="H85" s="38" t="s">
        <v>484</v>
      </c>
    </row>
    <row r="86" spans="1:8" x14ac:dyDescent="0.25">
      <c r="A86" s="36" t="s">
        <v>449</v>
      </c>
      <c r="B86" s="2"/>
      <c r="C86" s="2"/>
      <c r="D86" s="2"/>
      <c r="E86" s="2"/>
      <c r="F86" s="2"/>
      <c r="G86" s="2" t="s">
        <v>480</v>
      </c>
      <c r="H86" s="2" t="s">
        <v>482</v>
      </c>
    </row>
    <row r="87" spans="1:8" x14ac:dyDescent="0.25">
      <c r="A87" s="36" t="s">
        <v>419</v>
      </c>
      <c r="B87" s="2"/>
      <c r="C87" s="2"/>
      <c r="D87" s="2"/>
      <c r="E87" s="2"/>
      <c r="F87" s="2"/>
      <c r="G87" s="2" t="s">
        <v>485</v>
      </c>
      <c r="H87" s="2" t="s">
        <v>486</v>
      </c>
    </row>
    <row r="88" spans="1:8" x14ac:dyDescent="0.25">
      <c r="A88" s="36" t="s">
        <v>437</v>
      </c>
      <c r="B88" s="2"/>
      <c r="C88" s="2"/>
      <c r="D88" s="2"/>
      <c r="E88" s="2"/>
      <c r="F88" s="2"/>
      <c r="G88" s="2" t="s">
        <v>487</v>
      </c>
      <c r="H88" s="2" t="s">
        <v>488</v>
      </c>
    </row>
    <row r="89" spans="1:8" x14ac:dyDescent="0.25">
      <c r="A89" s="36" t="s">
        <v>420</v>
      </c>
      <c r="B89" s="2"/>
      <c r="C89" s="2"/>
      <c r="D89" s="2"/>
      <c r="E89" s="2"/>
      <c r="F89" s="2"/>
      <c r="G89" s="2" t="s">
        <v>477</v>
      </c>
      <c r="H89" s="2" t="s">
        <v>489</v>
      </c>
    </row>
    <row r="90" spans="1:8" x14ac:dyDescent="0.25">
      <c r="A90" s="36" t="s">
        <v>421</v>
      </c>
      <c r="B90" s="2"/>
      <c r="C90" s="2"/>
      <c r="D90" s="2"/>
      <c r="E90" s="2"/>
      <c r="F90" s="2"/>
      <c r="G90" s="2" t="s">
        <v>490</v>
      </c>
      <c r="H90" s="2" t="s">
        <v>491</v>
      </c>
    </row>
    <row r="91" spans="1:8" x14ac:dyDescent="0.25">
      <c r="A91" s="36" t="s">
        <v>422</v>
      </c>
      <c r="B91" s="2"/>
      <c r="C91" s="2"/>
      <c r="D91" s="2"/>
      <c r="E91" s="2"/>
      <c r="F91" s="2"/>
      <c r="G91" s="2" t="s">
        <v>478</v>
      </c>
      <c r="H91" s="2" t="s">
        <v>492</v>
      </c>
    </row>
    <row r="92" spans="1:8" x14ac:dyDescent="0.25">
      <c r="A92" s="36" t="s">
        <v>423</v>
      </c>
      <c r="B92" s="2"/>
      <c r="C92" s="2"/>
      <c r="D92" s="2"/>
      <c r="E92" s="2"/>
      <c r="F92" s="2"/>
      <c r="G92" s="36" t="s">
        <v>527</v>
      </c>
      <c r="H92" s="36" t="s">
        <v>528</v>
      </c>
    </row>
    <row r="93" spans="1:8" x14ac:dyDescent="0.25">
      <c r="A93" s="36" t="s">
        <v>438</v>
      </c>
      <c r="B93" s="2"/>
      <c r="C93" s="2"/>
      <c r="D93" s="2"/>
      <c r="E93" s="2"/>
      <c r="F93" s="2"/>
      <c r="G93" s="36" t="s">
        <v>530</v>
      </c>
      <c r="H93" s="36" t="s">
        <v>529</v>
      </c>
    </row>
    <row r="94" spans="1:8" x14ac:dyDescent="0.25">
      <c r="A94" s="36" t="s">
        <v>424</v>
      </c>
      <c r="B94" s="2"/>
      <c r="C94" s="2"/>
      <c r="D94" s="2"/>
      <c r="E94" s="2"/>
      <c r="F94" s="2"/>
      <c r="G94" s="36" t="s">
        <v>531</v>
      </c>
      <c r="H94" s="36" t="s">
        <v>532</v>
      </c>
    </row>
    <row r="95" spans="1:8" x14ac:dyDescent="0.25">
      <c r="A95" s="36" t="s">
        <v>439</v>
      </c>
      <c r="B95" s="2"/>
      <c r="C95" s="2"/>
      <c r="D95" s="2"/>
      <c r="E95" s="2"/>
      <c r="F95" s="2"/>
      <c r="G95" s="36" t="s">
        <v>534</v>
      </c>
      <c r="H95" s="36" t="s">
        <v>535</v>
      </c>
    </row>
    <row r="96" spans="1:8" x14ac:dyDescent="0.25">
      <c r="A96" s="36" t="s">
        <v>425</v>
      </c>
      <c r="B96" s="2"/>
      <c r="C96" s="2"/>
      <c r="D96" s="2"/>
      <c r="E96" s="2"/>
      <c r="F96" s="2"/>
      <c r="G96" s="36" t="s">
        <v>536</v>
      </c>
      <c r="H96" s="36" t="s">
        <v>538</v>
      </c>
    </row>
    <row r="97" spans="1:8" x14ac:dyDescent="0.25">
      <c r="A97" s="36" t="s">
        <v>426</v>
      </c>
      <c r="B97" s="2"/>
      <c r="C97" s="2"/>
      <c r="D97" s="2"/>
      <c r="E97" s="2"/>
      <c r="F97" s="2"/>
      <c r="G97" s="36" t="s">
        <v>537</v>
      </c>
      <c r="H97" s="36" t="s">
        <v>539</v>
      </c>
    </row>
    <row r="98" spans="1:8" x14ac:dyDescent="0.25">
      <c r="A98" s="36" t="s">
        <v>440</v>
      </c>
      <c r="B98" s="2"/>
      <c r="C98" s="2"/>
      <c r="D98" s="2"/>
      <c r="E98" s="2"/>
      <c r="F98" s="2"/>
      <c r="G98" s="36" t="s">
        <v>540</v>
      </c>
      <c r="H98" s="36" t="s">
        <v>541</v>
      </c>
    </row>
    <row r="99" spans="1:8" x14ac:dyDescent="0.25">
      <c r="A99" s="36" t="s">
        <v>427</v>
      </c>
      <c r="B99" s="2"/>
      <c r="C99" s="2"/>
      <c r="D99" s="2"/>
      <c r="E99" s="2"/>
      <c r="F99" s="2"/>
      <c r="G99" s="36" t="s">
        <v>542</v>
      </c>
      <c r="H99" s="36" t="s">
        <v>543</v>
      </c>
    </row>
    <row r="100" spans="1:8" x14ac:dyDescent="0.25">
      <c r="A100" s="36" t="s">
        <v>428</v>
      </c>
      <c r="B100" s="2"/>
      <c r="C100" s="2"/>
      <c r="D100" s="2"/>
      <c r="E100" s="2"/>
      <c r="F100" s="2"/>
      <c r="G100" s="36" t="s">
        <v>544</v>
      </c>
      <c r="H100" s="36" t="s">
        <v>545</v>
      </c>
    </row>
    <row r="101" spans="1:8" x14ac:dyDescent="0.25">
      <c r="A101" s="36" t="s">
        <v>429</v>
      </c>
      <c r="B101" s="2"/>
      <c r="C101" s="2"/>
      <c r="D101" s="2"/>
      <c r="E101" s="2"/>
      <c r="F101" s="2"/>
      <c r="G101" s="36" t="s">
        <v>546</v>
      </c>
      <c r="H101" s="36" t="s">
        <v>547</v>
      </c>
    </row>
    <row r="102" spans="1:8" x14ac:dyDescent="0.25">
      <c r="A102" s="36" t="s">
        <v>430</v>
      </c>
      <c r="B102" s="2"/>
      <c r="C102" s="2"/>
      <c r="D102" s="2"/>
      <c r="E102" s="2"/>
      <c r="F102" s="2"/>
      <c r="G102" s="36" t="s">
        <v>548</v>
      </c>
      <c r="H102" s="36" t="s">
        <v>549</v>
      </c>
    </row>
    <row r="103" spans="1:8" x14ac:dyDescent="0.25">
      <c r="A103" s="35" t="s">
        <v>365</v>
      </c>
      <c r="B103" s="2"/>
      <c r="C103" s="2"/>
      <c r="D103" s="2"/>
      <c r="E103" s="2"/>
      <c r="F103" s="2"/>
      <c r="G103" s="35" t="s">
        <v>34</v>
      </c>
      <c r="H103" s="35" t="s">
        <v>202</v>
      </c>
    </row>
    <row r="104" spans="1:8" x14ac:dyDescent="0.25">
      <c r="A104" s="36" t="s">
        <v>431</v>
      </c>
      <c r="B104" s="2"/>
      <c r="C104" s="2"/>
      <c r="D104" s="2"/>
      <c r="E104" s="2"/>
      <c r="F104" s="2"/>
      <c r="G104" s="35" t="s">
        <v>580</v>
      </c>
      <c r="H104" s="35" t="s">
        <v>581</v>
      </c>
    </row>
    <row r="105" spans="1:8" x14ac:dyDescent="0.25">
      <c r="A105" s="36" t="s">
        <v>432</v>
      </c>
      <c r="B105" s="2"/>
      <c r="C105" s="2"/>
      <c r="D105" s="2"/>
      <c r="E105" s="2"/>
      <c r="F105" s="2"/>
      <c r="G105" s="36" t="s">
        <v>184</v>
      </c>
      <c r="H105" s="36" t="s">
        <v>185</v>
      </c>
    </row>
    <row r="106" spans="1:8" x14ac:dyDescent="0.25">
      <c r="A106" s="36" t="s">
        <v>433</v>
      </c>
      <c r="B106" s="2"/>
      <c r="C106" s="2"/>
      <c r="D106" s="2"/>
      <c r="E106" s="2"/>
      <c r="F106" s="2"/>
      <c r="G106" s="36" t="s">
        <v>582</v>
      </c>
      <c r="H106" s="36" t="s">
        <v>583</v>
      </c>
    </row>
    <row r="107" spans="1:8" x14ac:dyDescent="0.25">
      <c r="A107" s="35" t="s">
        <v>366</v>
      </c>
      <c r="B107" s="2"/>
      <c r="C107" s="2"/>
      <c r="D107" s="2"/>
      <c r="E107" s="2"/>
      <c r="F107" s="2"/>
      <c r="G107" s="35" t="s">
        <v>550</v>
      </c>
      <c r="H107" s="35" t="s">
        <v>551</v>
      </c>
    </row>
    <row r="108" spans="1:8" x14ac:dyDescent="0.25">
      <c r="A108" s="36" t="s">
        <v>434</v>
      </c>
      <c r="B108" s="2"/>
      <c r="C108" s="2"/>
      <c r="D108" s="2"/>
      <c r="E108" s="2"/>
      <c r="F108" s="2"/>
      <c r="G108" s="35" t="s">
        <v>578</v>
      </c>
      <c r="H108" s="35" t="s">
        <v>579</v>
      </c>
    </row>
    <row r="109" spans="1:8" x14ac:dyDescent="0.25">
      <c r="A109" s="36" t="s">
        <v>441</v>
      </c>
      <c r="B109" s="2"/>
      <c r="C109" s="2"/>
      <c r="D109" s="2"/>
      <c r="E109" s="2"/>
      <c r="F109" s="2"/>
      <c r="G109" s="36" t="s">
        <v>552</v>
      </c>
      <c r="H109" s="36" t="s">
        <v>553</v>
      </c>
    </row>
    <row r="110" spans="1:8" x14ac:dyDescent="0.25">
      <c r="A110" s="36" t="s">
        <v>447</v>
      </c>
      <c r="B110" s="2"/>
      <c r="C110" s="2"/>
      <c r="D110" s="2"/>
      <c r="E110" s="2"/>
      <c r="F110" s="2"/>
      <c r="G110" s="36" t="s">
        <v>554</v>
      </c>
      <c r="H110" s="36" t="s">
        <v>555</v>
      </c>
    </row>
    <row r="111" spans="1:8" x14ac:dyDescent="0.25">
      <c r="A111" s="36" t="s">
        <v>448</v>
      </c>
      <c r="B111" s="2"/>
      <c r="C111" s="2"/>
      <c r="D111" s="2"/>
      <c r="E111" s="2"/>
      <c r="F111" s="2"/>
      <c r="G111" s="36" t="s">
        <v>556</v>
      </c>
      <c r="H111" s="36" t="s">
        <v>557</v>
      </c>
    </row>
    <row r="112" spans="1:8" x14ac:dyDescent="0.25">
      <c r="A112" s="36" t="s">
        <v>442</v>
      </c>
      <c r="B112" s="2"/>
      <c r="C112" s="2"/>
      <c r="D112" s="2"/>
      <c r="E112" s="2"/>
      <c r="F112" s="2"/>
      <c r="G112" s="36" t="s">
        <v>558</v>
      </c>
      <c r="H112" s="36" t="s">
        <v>559</v>
      </c>
    </row>
    <row r="113" spans="1:8" x14ac:dyDescent="0.25">
      <c r="A113" s="35" t="s">
        <v>367</v>
      </c>
      <c r="B113" s="2"/>
      <c r="C113" s="2"/>
      <c r="D113" s="2"/>
      <c r="E113" s="2"/>
      <c r="F113" s="2"/>
      <c r="G113" s="35" t="s">
        <v>560</v>
      </c>
      <c r="H113" s="35" t="s">
        <v>561</v>
      </c>
    </row>
    <row r="114" spans="1:8" x14ac:dyDescent="0.25">
      <c r="A114" s="36" t="s">
        <v>435</v>
      </c>
      <c r="B114" s="2"/>
      <c r="C114" s="2"/>
      <c r="D114" s="2"/>
      <c r="E114" s="2"/>
      <c r="F114" s="2"/>
      <c r="G114" s="35" t="s">
        <v>576</v>
      </c>
      <c r="H114" s="35" t="s">
        <v>577</v>
      </c>
    </row>
    <row r="115" spans="1:8" x14ac:dyDescent="0.25">
      <c r="A115" s="36" t="s">
        <v>443</v>
      </c>
      <c r="B115" s="2"/>
      <c r="C115" s="2"/>
      <c r="D115" s="2"/>
      <c r="E115" s="2"/>
      <c r="F115" s="2"/>
      <c r="G115" s="36" t="s">
        <v>562</v>
      </c>
      <c r="H115" s="36" t="s">
        <v>568</v>
      </c>
    </row>
    <row r="116" spans="1:8" x14ac:dyDescent="0.25">
      <c r="A116" s="36" t="s">
        <v>444</v>
      </c>
      <c r="B116" s="2"/>
      <c r="C116" s="2"/>
      <c r="D116" s="2"/>
      <c r="E116" s="2"/>
      <c r="F116" s="2"/>
      <c r="G116" s="36" t="s">
        <v>565</v>
      </c>
      <c r="H116" s="36" t="s">
        <v>569</v>
      </c>
    </row>
    <row r="117" spans="1:8" x14ac:dyDescent="0.25">
      <c r="A117" s="36" t="s">
        <v>445</v>
      </c>
      <c r="B117" s="2"/>
      <c r="C117" s="2"/>
      <c r="D117" s="2"/>
      <c r="E117" s="2"/>
      <c r="F117" s="2"/>
      <c r="G117" s="36" t="s">
        <v>566</v>
      </c>
      <c r="H117" s="36" t="s">
        <v>570</v>
      </c>
    </row>
    <row r="118" spans="1:8" x14ac:dyDescent="0.25">
      <c r="A118" s="36" t="s">
        <v>446</v>
      </c>
      <c r="B118" s="2"/>
      <c r="C118" s="2"/>
      <c r="D118" s="2"/>
      <c r="E118" s="2"/>
      <c r="F118" s="2"/>
      <c r="G118" s="36" t="s">
        <v>567</v>
      </c>
      <c r="H118" s="36" t="s">
        <v>571</v>
      </c>
    </row>
  </sheetData>
  <phoneticPr fontId="1" type="noConversion"/>
  <dataValidations count="1">
    <dataValidation type="list" showInputMessage="1" promptTitle="Language" prompt="Choose a language" sqref="J1" xr:uid="{98C2BC7A-D6A4-42DB-912E-803CE7507133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S91"/>
  <sheetViews>
    <sheetView topLeftCell="A7" zoomScale="82" zoomScaleNormal="82" workbookViewId="0">
      <selection activeCell="J38" sqref="J38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12" bestFit="1" customWidth="1"/>
    <col min="7" max="7" width="51.42578125" bestFit="1" customWidth="1"/>
    <col min="8" max="8" width="12.7109375" customWidth="1"/>
    <col min="9" max="9" width="11.42578125" bestFit="1" customWidth="1"/>
    <col min="10" max="10" width="30.85546875" bestFit="1" customWidth="1"/>
    <col min="11" max="11" width="16.5703125" customWidth="1"/>
    <col min="12" max="12" width="19.140625" bestFit="1" customWidth="1"/>
    <col min="13" max="13" width="9.7109375" bestFit="1" customWidth="1"/>
    <col min="14" max="14" width="9.7109375" customWidth="1"/>
    <col min="15" max="15" width="12.5703125" bestFit="1" customWidth="1"/>
    <col min="16" max="16" width="12.5703125" customWidth="1"/>
    <col min="17" max="17" width="31.5703125" customWidth="1"/>
    <col min="18" max="18" width="23.28515625" bestFit="1" customWidth="1"/>
    <col min="19" max="19" width="12.5703125" customWidth="1"/>
  </cols>
  <sheetData>
    <row r="1" spans="2:19" x14ac:dyDescent="0.25">
      <c r="B1" t="s">
        <v>114</v>
      </c>
      <c r="J1" s="9"/>
      <c r="P1" s="44" t="s">
        <v>589</v>
      </c>
      <c r="Q1" s="9" t="s">
        <v>600</v>
      </c>
    </row>
    <row r="3" spans="2:19" x14ac:dyDescent="0.25">
      <c r="B3" t="s">
        <v>90</v>
      </c>
      <c r="C3" t="s">
        <v>112</v>
      </c>
      <c r="D3" t="s">
        <v>110</v>
      </c>
      <c r="E3" t="s">
        <v>136</v>
      </c>
      <c r="F3" t="s">
        <v>585</v>
      </c>
      <c r="G3" t="s">
        <v>97</v>
      </c>
      <c r="H3" t="s">
        <v>100</v>
      </c>
      <c r="I3" t="s">
        <v>135</v>
      </c>
      <c r="J3" t="s">
        <v>91</v>
      </c>
      <c r="K3" t="s">
        <v>155</v>
      </c>
      <c r="L3" t="s">
        <v>154</v>
      </c>
      <c r="M3" t="s">
        <v>196</v>
      </c>
      <c r="N3" t="s">
        <v>587</v>
      </c>
      <c r="O3" t="s">
        <v>92</v>
      </c>
      <c r="P3" t="s">
        <v>111</v>
      </c>
      <c r="Q3" s="39" t="s">
        <v>116</v>
      </c>
      <c r="R3" t="s">
        <v>108</v>
      </c>
      <c r="S3" t="s">
        <v>322</v>
      </c>
    </row>
    <row r="4" spans="2:19" ht="30" x14ac:dyDescent="0.25">
      <c r="B4" s="13" t="s">
        <v>495</v>
      </c>
      <c r="C4" s="14" t="s">
        <v>113</v>
      </c>
      <c r="D4" s="14" t="s">
        <v>94</v>
      </c>
      <c r="E4" s="14" t="s">
        <v>137</v>
      </c>
      <c r="F4" s="14" t="s">
        <v>96</v>
      </c>
      <c r="G4" s="14" t="s">
        <v>0</v>
      </c>
      <c r="H4" s="14" t="s">
        <v>98</v>
      </c>
      <c r="I4" s="14" t="s">
        <v>94</v>
      </c>
      <c r="J4" s="14" t="s">
        <v>93</v>
      </c>
      <c r="K4" s="14"/>
      <c r="L4" s="14"/>
      <c r="M4" s="14">
        <v>1</v>
      </c>
      <c r="N4" s="14">
        <v>14</v>
      </c>
      <c r="O4" s="14" t="s">
        <v>94</v>
      </c>
      <c r="P4" s="14" t="s">
        <v>87</v>
      </c>
      <c r="Q4" s="15" t="s">
        <v>177</v>
      </c>
      <c r="R4" s="14" t="s">
        <v>106</v>
      </c>
      <c r="S4" s="14"/>
    </row>
    <row r="5" spans="2:19" ht="30" x14ac:dyDescent="0.25">
      <c r="B5" s="14"/>
      <c r="C5" s="14"/>
      <c r="D5" s="14"/>
      <c r="E5" s="14"/>
      <c r="F5" s="14"/>
      <c r="G5" s="14" t="s">
        <v>47</v>
      </c>
      <c r="H5" s="14" t="s">
        <v>101</v>
      </c>
      <c r="I5" s="14" t="s">
        <v>94</v>
      </c>
      <c r="J5" s="14" t="s">
        <v>73</v>
      </c>
      <c r="K5" s="14"/>
      <c r="L5" s="14"/>
      <c r="M5" s="14">
        <v>1</v>
      </c>
      <c r="N5" s="14">
        <v>14</v>
      </c>
      <c r="O5" s="14" t="s">
        <v>96</v>
      </c>
      <c r="P5" s="14" t="s">
        <v>83</v>
      </c>
      <c r="Q5" s="15" t="s">
        <v>178</v>
      </c>
      <c r="R5" s="14" t="s">
        <v>109</v>
      </c>
      <c r="S5" s="14"/>
    </row>
    <row r="6" spans="2:19" ht="30" x14ac:dyDescent="0.25">
      <c r="B6" s="14"/>
      <c r="C6" s="14"/>
      <c r="D6" s="14"/>
      <c r="E6" s="14"/>
      <c r="F6" s="14"/>
      <c r="G6" s="14" t="s">
        <v>102</v>
      </c>
      <c r="H6" s="14" t="s">
        <v>101</v>
      </c>
      <c r="I6" s="14" t="s">
        <v>94</v>
      </c>
      <c r="J6" s="14" t="s">
        <v>103</v>
      </c>
      <c r="K6" s="14"/>
      <c r="L6" s="14"/>
      <c r="M6" s="14">
        <v>1</v>
      </c>
      <c r="N6" s="14">
        <v>14</v>
      </c>
      <c r="O6" s="14" t="s">
        <v>96</v>
      </c>
      <c r="P6" s="14" t="s">
        <v>78</v>
      </c>
      <c r="Q6" s="15" t="s">
        <v>178</v>
      </c>
      <c r="R6" s="14" t="s">
        <v>109</v>
      </c>
      <c r="S6" s="14"/>
    </row>
    <row r="7" spans="2:19" x14ac:dyDescent="0.25">
      <c r="B7" s="14"/>
      <c r="C7" s="14"/>
      <c r="D7" s="14"/>
      <c r="E7" s="14"/>
      <c r="F7" s="14"/>
      <c r="G7" s="14" t="s">
        <v>95</v>
      </c>
      <c r="H7" s="14" t="s">
        <v>99</v>
      </c>
      <c r="I7" s="14" t="s">
        <v>96</v>
      </c>
      <c r="J7" s="14" t="s">
        <v>74</v>
      </c>
      <c r="K7" s="14"/>
      <c r="L7" s="14" t="s">
        <v>156</v>
      </c>
      <c r="M7" s="14">
        <v>1</v>
      </c>
      <c r="N7" s="14">
        <v>28</v>
      </c>
      <c r="O7" s="14" t="s">
        <v>96</v>
      </c>
      <c r="P7" s="14"/>
      <c r="Q7" s="15"/>
      <c r="R7" s="14"/>
      <c r="S7" s="14"/>
    </row>
    <row r="8" spans="2:19" x14ac:dyDescent="0.25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5"/>
      <c r="R8" s="14"/>
      <c r="S8" s="14"/>
    </row>
    <row r="9" spans="2:19" ht="30" x14ac:dyDescent="0.25">
      <c r="B9" s="13" t="s">
        <v>494</v>
      </c>
      <c r="C9" s="14" t="s">
        <v>239</v>
      </c>
      <c r="D9" s="14" t="s">
        <v>94</v>
      </c>
      <c r="E9" s="15" t="s">
        <v>516</v>
      </c>
      <c r="F9" s="15" t="s">
        <v>94</v>
      </c>
      <c r="G9" s="14" t="s">
        <v>586</v>
      </c>
      <c r="H9" s="14"/>
      <c r="I9" s="14"/>
      <c r="J9" s="14" t="s">
        <v>199</v>
      </c>
      <c r="K9" s="14"/>
      <c r="L9" s="14"/>
      <c r="M9" s="14">
        <v>1</v>
      </c>
      <c r="N9" s="14">
        <v>5</v>
      </c>
      <c r="O9" s="14"/>
      <c r="P9" s="14" t="s">
        <v>134</v>
      </c>
      <c r="Q9" s="15" t="s">
        <v>520</v>
      </c>
      <c r="R9" s="14" t="s">
        <v>106</v>
      </c>
      <c r="S9" s="14"/>
    </row>
    <row r="10" spans="2:19" x14ac:dyDescent="0.25">
      <c r="B10" s="14"/>
      <c r="C10" s="14"/>
      <c r="D10" s="14"/>
      <c r="E10" s="14"/>
      <c r="F10" s="14"/>
      <c r="G10" s="33" t="s">
        <v>191</v>
      </c>
      <c r="H10" s="33" t="s">
        <v>101</v>
      </c>
      <c r="I10" s="33" t="s">
        <v>94</v>
      </c>
      <c r="J10" s="32" t="s">
        <v>73</v>
      </c>
      <c r="K10" s="32" t="s">
        <v>590</v>
      </c>
      <c r="L10" s="33"/>
      <c r="M10" s="33">
        <v>4</v>
      </c>
      <c r="N10" s="33">
        <v>9</v>
      </c>
      <c r="O10" s="33" t="s">
        <v>96</v>
      </c>
      <c r="P10" s="34"/>
      <c r="Q10" s="40"/>
      <c r="R10" s="34"/>
      <c r="S10" s="33" t="s">
        <v>250</v>
      </c>
    </row>
    <row r="11" spans="2:19" x14ac:dyDescent="0.25">
      <c r="B11" s="14"/>
      <c r="C11" s="14"/>
      <c r="D11" s="14"/>
      <c r="E11" s="14"/>
      <c r="F11" s="14"/>
      <c r="G11" s="33" t="s">
        <v>192</v>
      </c>
      <c r="H11" s="33" t="s">
        <v>101</v>
      </c>
      <c r="I11" s="33" t="s">
        <v>94</v>
      </c>
      <c r="J11" s="32" t="s">
        <v>103</v>
      </c>
      <c r="K11" s="33" t="s">
        <v>601</v>
      </c>
      <c r="L11" s="33"/>
      <c r="M11" s="33">
        <v>4</v>
      </c>
      <c r="N11" s="33">
        <v>9</v>
      </c>
      <c r="O11" s="33" t="s">
        <v>96</v>
      </c>
      <c r="P11" s="34"/>
      <c r="Q11" s="40"/>
      <c r="R11" s="34"/>
      <c r="S11" s="33" t="s">
        <v>281</v>
      </c>
    </row>
    <row r="12" spans="2:19" x14ac:dyDescent="0.25">
      <c r="B12" s="14"/>
      <c r="C12" s="14"/>
      <c r="D12" s="14"/>
      <c r="E12" s="14"/>
      <c r="F12" s="14"/>
      <c r="G12" s="33" t="s">
        <v>193</v>
      </c>
      <c r="H12" s="33" t="s">
        <v>101</v>
      </c>
      <c r="I12" s="33" t="s">
        <v>94</v>
      </c>
      <c r="J12" s="32" t="s">
        <v>105</v>
      </c>
      <c r="K12" s="33" t="s">
        <v>591</v>
      </c>
      <c r="L12" s="33"/>
      <c r="M12" s="33">
        <v>4</v>
      </c>
      <c r="N12" s="33">
        <v>9</v>
      </c>
      <c r="O12" s="33" t="s">
        <v>96</v>
      </c>
      <c r="P12" s="34"/>
      <c r="Q12" s="40"/>
      <c r="R12" s="34"/>
      <c r="S12" s="33" t="s">
        <v>282</v>
      </c>
    </row>
    <row r="13" spans="2:19" x14ac:dyDescent="0.25">
      <c r="B13" s="14"/>
      <c r="C13" s="14"/>
      <c r="D13" s="14"/>
      <c r="E13" s="14"/>
      <c r="F13" s="14"/>
      <c r="G13" s="33" t="s">
        <v>374</v>
      </c>
      <c r="H13" s="33" t="s">
        <v>99</v>
      </c>
      <c r="I13" s="33" t="s">
        <v>94</v>
      </c>
      <c r="J13" s="33" t="s">
        <v>372</v>
      </c>
      <c r="K13" s="33"/>
      <c r="L13" s="32" t="s">
        <v>194</v>
      </c>
      <c r="M13" s="33">
        <v>4</v>
      </c>
      <c r="N13" s="33">
        <v>21</v>
      </c>
      <c r="O13" s="33" t="s">
        <v>96</v>
      </c>
      <c r="P13" s="34"/>
      <c r="Q13" s="40"/>
      <c r="R13" s="34"/>
      <c r="S13" s="33" t="s">
        <v>283</v>
      </c>
    </row>
    <row r="14" spans="2:19" x14ac:dyDescent="0.25">
      <c r="B14" s="14"/>
      <c r="C14" s="14"/>
      <c r="D14" s="14"/>
      <c r="E14" s="14"/>
      <c r="F14" s="14"/>
      <c r="G14" s="33" t="s">
        <v>375</v>
      </c>
      <c r="H14" s="33" t="s">
        <v>99</v>
      </c>
      <c r="I14" s="33" t="s">
        <v>94</v>
      </c>
      <c r="J14" s="33" t="s">
        <v>373</v>
      </c>
      <c r="K14" s="33"/>
      <c r="L14" s="32" t="s">
        <v>194</v>
      </c>
      <c r="M14" s="33">
        <v>4</v>
      </c>
      <c r="N14" s="33">
        <v>21</v>
      </c>
      <c r="O14" s="33" t="s">
        <v>96</v>
      </c>
      <c r="P14" s="34"/>
      <c r="Q14" s="40"/>
      <c r="R14" s="34"/>
      <c r="S14" s="33" t="s">
        <v>284</v>
      </c>
    </row>
    <row r="15" spans="2:19" x14ac:dyDescent="0.25">
      <c r="B15" s="14"/>
      <c r="C15" s="14"/>
      <c r="D15" s="14"/>
      <c r="E15" s="14"/>
      <c r="F15" s="14"/>
      <c r="G15" s="32" t="s">
        <v>195</v>
      </c>
      <c r="H15" s="32"/>
      <c r="I15" s="33"/>
      <c r="J15" s="32" t="s">
        <v>327</v>
      </c>
      <c r="K15" s="32"/>
      <c r="L15" s="32"/>
      <c r="M15" s="32">
        <v>2</v>
      </c>
      <c r="N15" s="42">
        <v>5</v>
      </c>
      <c r="O15" s="33"/>
      <c r="P15" s="34"/>
      <c r="Q15" s="40"/>
      <c r="R15" s="34"/>
      <c r="S15" s="33"/>
    </row>
    <row r="16" spans="2:19" x14ac:dyDescent="0.25">
      <c r="B16" s="14"/>
      <c r="C16" s="14"/>
      <c r="D16" s="14"/>
      <c r="E16" s="14"/>
      <c r="F16" s="14"/>
      <c r="G16" s="32" t="s">
        <v>195</v>
      </c>
      <c r="H16" s="32"/>
      <c r="I16" s="33"/>
      <c r="J16" s="32" t="s">
        <v>323</v>
      </c>
      <c r="K16" s="32"/>
      <c r="L16" s="32"/>
      <c r="M16" s="32">
        <v>2</v>
      </c>
      <c r="N16" s="42">
        <v>5</v>
      </c>
      <c r="O16" s="33"/>
      <c r="P16" s="34"/>
      <c r="Q16" s="40"/>
      <c r="R16" s="34"/>
      <c r="S16" s="33"/>
    </row>
    <row r="17" spans="2:19" x14ac:dyDescent="0.25">
      <c r="B17" s="14"/>
      <c r="C17" s="14"/>
      <c r="D17" s="14"/>
      <c r="E17" s="14"/>
      <c r="F17" s="14"/>
      <c r="G17" s="33" t="s">
        <v>376</v>
      </c>
      <c r="H17" s="33" t="s">
        <v>149</v>
      </c>
      <c r="I17" s="33" t="s">
        <v>96</v>
      </c>
      <c r="J17" s="33" t="s">
        <v>450</v>
      </c>
      <c r="K17" s="33"/>
      <c r="L17" s="33"/>
      <c r="M17" s="33">
        <v>4</v>
      </c>
      <c r="N17" s="33">
        <v>9</v>
      </c>
      <c r="O17" s="33" t="s">
        <v>96</v>
      </c>
      <c r="P17" s="34"/>
      <c r="Q17" s="40"/>
      <c r="R17" s="34"/>
      <c r="S17" s="33" t="s">
        <v>252</v>
      </c>
    </row>
    <row r="18" spans="2:19" x14ac:dyDescent="0.25">
      <c r="B18" s="14"/>
      <c r="C18" s="14"/>
      <c r="D18" s="14"/>
      <c r="E18" s="14"/>
      <c r="F18" s="14"/>
      <c r="G18" s="33" t="s">
        <v>377</v>
      </c>
      <c r="H18" s="33" t="s">
        <v>101</v>
      </c>
      <c r="I18" s="33" t="s">
        <v>96</v>
      </c>
      <c r="J18" s="33" t="s">
        <v>451</v>
      </c>
      <c r="K18" s="33" t="s">
        <v>368</v>
      </c>
      <c r="L18" s="33"/>
      <c r="M18" s="33">
        <v>4</v>
      </c>
      <c r="N18" s="33">
        <v>9</v>
      </c>
      <c r="O18" s="33" t="s">
        <v>96</v>
      </c>
      <c r="P18" s="34"/>
      <c r="Q18" s="40"/>
      <c r="R18" s="34"/>
      <c r="S18" s="33" t="s">
        <v>253</v>
      </c>
    </row>
    <row r="19" spans="2:19" x14ac:dyDescent="0.25">
      <c r="B19" s="14"/>
      <c r="C19" s="14"/>
      <c r="D19" s="14"/>
      <c r="E19" s="14"/>
      <c r="F19" s="14"/>
      <c r="G19" s="33" t="s">
        <v>378</v>
      </c>
      <c r="H19" s="33" t="s">
        <v>149</v>
      </c>
      <c r="I19" s="33" t="s">
        <v>96</v>
      </c>
      <c r="J19" s="33" t="s">
        <v>452</v>
      </c>
      <c r="K19" s="33"/>
      <c r="L19" s="33"/>
      <c r="M19" s="33">
        <v>4</v>
      </c>
      <c r="N19" s="33">
        <v>9</v>
      </c>
      <c r="O19" s="33" t="s">
        <v>96</v>
      </c>
      <c r="P19" s="34"/>
      <c r="Q19" s="40"/>
      <c r="R19" s="34"/>
      <c r="S19" s="33" t="s">
        <v>254</v>
      </c>
    </row>
    <row r="20" spans="2:19" x14ac:dyDescent="0.25">
      <c r="B20" s="14"/>
      <c r="C20" s="14"/>
      <c r="D20" s="14"/>
      <c r="E20" s="14"/>
      <c r="F20" s="14"/>
      <c r="G20" s="33" t="s">
        <v>379</v>
      </c>
      <c r="H20" s="33" t="s">
        <v>101</v>
      </c>
      <c r="I20" s="33" t="s">
        <v>96</v>
      </c>
      <c r="J20" s="33" t="s">
        <v>453</v>
      </c>
      <c r="K20" s="33" t="s">
        <v>368</v>
      </c>
      <c r="L20" s="33"/>
      <c r="M20" s="33">
        <v>4</v>
      </c>
      <c r="N20" s="33">
        <v>9</v>
      </c>
      <c r="O20" s="33" t="s">
        <v>96</v>
      </c>
      <c r="P20" s="34"/>
      <c r="Q20" s="40"/>
      <c r="R20" s="34"/>
      <c r="S20" s="33" t="s">
        <v>255</v>
      </c>
    </row>
    <row r="21" spans="2:19" x14ac:dyDescent="0.25">
      <c r="B21" s="14"/>
      <c r="C21" s="14"/>
      <c r="D21" s="14"/>
      <c r="E21" s="14"/>
      <c r="F21" s="14"/>
      <c r="G21" s="33" t="s">
        <v>380</v>
      </c>
      <c r="H21" s="33" t="s">
        <v>149</v>
      </c>
      <c r="I21" s="33" t="s">
        <v>96</v>
      </c>
      <c r="J21" s="33" t="s">
        <v>454</v>
      </c>
      <c r="K21" s="33"/>
      <c r="L21" s="33"/>
      <c r="M21" s="33">
        <v>4</v>
      </c>
      <c r="N21" s="33">
        <v>9</v>
      </c>
      <c r="O21" s="33" t="s">
        <v>96</v>
      </c>
      <c r="P21" s="34"/>
      <c r="Q21" s="40"/>
      <c r="R21" s="34"/>
      <c r="S21" s="33" t="s">
        <v>256</v>
      </c>
    </row>
    <row r="22" spans="2:19" x14ac:dyDescent="0.25">
      <c r="B22" s="14"/>
      <c r="C22" s="14"/>
      <c r="D22" s="14"/>
      <c r="E22" s="14"/>
      <c r="F22" s="14"/>
      <c r="G22" s="33" t="s">
        <v>381</v>
      </c>
      <c r="H22" s="33" t="s">
        <v>101</v>
      </c>
      <c r="I22" s="33" t="s">
        <v>96</v>
      </c>
      <c r="J22" s="33" t="s">
        <v>455</v>
      </c>
      <c r="K22" s="33" t="s">
        <v>597</v>
      </c>
      <c r="L22" s="33"/>
      <c r="M22" s="33">
        <v>4</v>
      </c>
      <c r="N22" s="33">
        <v>9</v>
      </c>
      <c r="O22" s="33" t="s">
        <v>96</v>
      </c>
      <c r="P22" s="34"/>
      <c r="Q22" s="40"/>
      <c r="R22" s="34"/>
      <c r="S22" s="33" t="s">
        <v>257</v>
      </c>
    </row>
    <row r="23" spans="2:19" x14ac:dyDescent="0.25">
      <c r="B23" s="14"/>
      <c r="C23" s="14"/>
      <c r="D23" s="14"/>
      <c r="E23" s="14"/>
      <c r="F23" s="14"/>
      <c r="G23" s="33" t="s">
        <v>382</v>
      </c>
      <c r="H23" s="33" t="s">
        <v>149</v>
      </c>
      <c r="I23" s="33" t="s">
        <v>96</v>
      </c>
      <c r="J23" s="33" t="s">
        <v>456</v>
      </c>
      <c r="K23" s="33"/>
      <c r="L23" s="33"/>
      <c r="M23" s="33">
        <v>4</v>
      </c>
      <c r="N23" s="33">
        <v>9</v>
      </c>
      <c r="O23" s="33" t="s">
        <v>96</v>
      </c>
      <c r="P23" s="34"/>
      <c r="Q23" s="40"/>
      <c r="R23" s="34"/>
      <c r="S23" s="33" t="s">
        <v>258</v>
      </c>
    </row>
    <row r="24" spans="2:19" x14ac:dyDescent="0.25">
      <c r="B24" s="14"/>
      <c r="C24" s="14"/>
      <c r="D24" s="14"/>
      <c r="E24" s="14"/>
      <c r="F24" s="14"/>
      <c r="G24" s="33" t="s">
        <v>383</v>
      </c>
      <c r="H24" s="33" t="s">
        <v>98</v>
      </c>
      <c r="I24" s="33" t="s">
        <v>96</v>
      </c>
      <c r="J24" s="33" t="s">
        <v>457</v>
      </c>
      <c r="K24" s="33" t="s">
        <v>598</v>
      </c>
      <c r="L24" s="33"/>
      <c r="M24" s="33">
        <v>4</v>
      </c>
      <c r="N24" s="33">
        <v>9</v>
      </c>
      <c r="O24" s="33" t="s">
        <v>96</v>
      </c>
      <c r="P24" s="34"/>
      <c r="Q24" s="40"/>
      <c r="R24" s="34"/>
      <c r="S24" s="33" t="s">
        <v>259</v>
      </c>
    </row>
    <row r="25" spans="2:19" x14ac:dyDescent="0.25">
      <c r="B25" s="14"/>
      <c r="C25" s="14"/>
      <c r="D25" s="14"/>
      <c r="E25" s="14"/>
      <c r="F25" s="14"/>
      <c r="G25" s="33" t="s">
        <v>384</v>
      </c>
      <c r="H25" s="33" t="s">
        <v>149</v>
      </c>
      <c r="I25" s="33" t="s">
        <v>96</v>
      </c>
      <c r="J25" s="33" t="s">
        <v>458</v>
      </c>
      <c r="K25" s="33"/>
      <c r="L25" s="33"/>
      <c r="M25" s="33">
        <v>4</v>
      </c>
      <c r="N25" s="33">
        <v>9</v>
      </c>
      <c r="O25" s="33" t="s">
        <v>96</v>
      </c>
      <c r="P25" s="34"/>
      <c r="Q25" s="40"/>
      <c r="R25" s="34"/>
      <c r="S25" s="33" t="s">
        <v>260</v>
      </c>
    </row>
    <row r="26" spans="2:19" x14ac:dyDescent="0.25">
      <c r="B26" s="14"/>
      <c r="C26" s="14"/>
      <c r="D26" s="14"/>
      <c r="E26" s="14"/>
      <c r="F26" s="14"/>
      <c r="G26" s="33" t="s">
        <v>385</v>
      </c>
      <c r="H26" s="33" t="s">
        <v>149</v>
      </c>
      <c r="I26" s="33" t="s">
        <v>96</v>
      </c>
      <c r="J26" s="33" t="s">
        <v>459</v>
      </c>
      <c r="K26" s="33"/>
      <c r="L26" s="33"/>
      <c r="M26" s="33">
        <v>4</v>
      </c>
      <c r="N26" s="33">
        <v>9</v>
      </c>
      <c r="O26" s="33" t="s">
        <v>96</v>
      </c>
      <c r="P26" s="34"/>
      <c r="Q26" s="40"/>
      <c r="R26" s="34"/>
      <c r="S26" s="33" t="s">
        <v>261</v>
      </c>
    </row>
    <row r="27" spans="2:19" x14ac:dyDescent="0.25">
      <c r="B27" s="14"/>
      <c r="C27" s="14"/>
      <c r="D27" s="14"/>
      <c r="E27" s="14"/>
      <c r="F27" s="14"/>
      <c r="G27" s="33" t="s">
        <v>386</v>
      </c>
      <c r="H27" s="33" t="s">
        <v>98</v>
      </c>
      <c r="I27" s="33" t="s">
        <v>96</v>
      </c>
      <c r="J27" s="33" t="s">
        <v>460</v>
      </c>
      <c r="K27" s="33" t="s">
        <v>369</v>
      </c>
      <c r="L27" s="33"/>
      <c r="M27" s="33">
        <v>4</v>
      </c>
      <c r="N27" s="33">
        <v>9</v>
      </c>
      <c r="O27" s="33" t="s">
        <v>96</v>
      </c>
      <c r="P27" s="34"/>
      <c r="Q27" s="40"/>
      <c r="R27" s="34"/>
      <c r="S27" s="33" t="s">
        <v>262</v>
      </c>
    </row>
    <row r="28" spans="2:19" x14ac:dyDescent="0.25">
      <c r="B28" s="14"/>
      <c r="C28" s="14"/>
      <c r="D28" s="14"/>
      <c r="E28" s="14"/>
      <c r="F28" s="14"/>
      <c r="G28" s="33" t="s">
        <v>387</v>
      </c>
      <c r="H28" s="33" t="s">
        <v>149</v>
      </c>
      <c r="I28" s="33" t="s">
        <v>96</v>
      </c>
      <c r="J28" s="33" t="s">
        <v>461</v>
      </c>
      <c r="K28" s="33"/>
      <c r="L28" s="33"/>
      <c r="M28" s="33">
        <v>4</v>
      </c>
      <c r="N28" s="33">
        <v>9</v>
      </c>
      <c r="O28" s="33" t="s">
        <v>96</v>
      </c>
      <c r="P28" s="34"/>
      <c r="Q28" s="40"/>
      <c r="R28" s="34"/>
      <c r="S28" s="33" t="s">
        <v>263</v>
      </c>
    </row>
    <row r="29" spans="2:19" x14ac:dyDescent="0.25">
      <c r="B29" s="14"/>
      <c r="C29" s="14"/>
      <c r="D29" s="14"/>
      <c r="E29" s="14"/>
      <c r="F29" s="14"/>
      <c r="G29" s="33" t="s">
        <v>388</v>
      </c>
      <c r="H29" s="33" t="s">
        <v>101</v>
      </c>
      <c r="I29" s="33" t="s">
        <v>96</v>
      </c>
      <c r="J29" s="33" t="s">
        <v>462</v>
      </c>
      <c r="K29" s="33" t="s">
        <v>370</v>
      </c>
      <c r="L29" s="33"/>
      <c r="M29" s="33">
        <v>4</v>
      </c>
      <c r="N29" s="33">
        <v>9</v>
      </c>
      <c r="O29" s="33" t="s">
        <v>96</v>
      </c>
      <c r="P29" s="34"/>
      <c r="Q29" s="40"/>
      <c r="R29" s="34"/>
      <c r="S29" s="33" t="s">
        <v>264</v>
      </c>
    </row>
    <row r="30" spans="2:19" x14ac:dyDescent="0.25">
      <c r="B30" s="14"/>
      <c r="C30" s="14"/>
      <c r="D30" s="14"/>
      <c r="E30" s="14"/>
      <c r="F30" s="14"/>
      <c r="G30" s="33" t="s">
        <v>389</v>
      </c>
      <c r="H30" s="33" t="s">
        <v>149</v>
      </c>
      <c r="I30" s="33" t="s">
        <v>96</v>
      </c>
      <c r="J30" s="33" t="s">
        <v>463</v>
      </c>
      <c r="K30" s="33"/>
      <c r="L30" s="33"/>
      <c r="M30" s="33">
        <v>4</v>
      </c>
      <c r="N30" s="33">
        <v>9</v>
      </c>
      <c r="O30" s="33" t="s">
        <v>96</v>
      </c>
      <c r="P30" s="34"/>
      <c r="Q30" s="40"/>
      <c r="R30" s="34"/>
      <c r="S30" s="33" t="s">
        <v>265</v>
      </c>
    </row>
    <row r="31" spans="2:19" x14ac:dyDescent="0.25">
      <c r="B31" s="14"/>
      <c r="C31" s="14"/>
      <c r="D31" s="14"/>
      <c r="E31" s="14"/>
      <c r="F31" s="14"/>
      <c r="G31" s="33" t="s">
        <v>390</v>
      </c>
      <c r="H31" s="33" t="s">
        <v>149</v>
      </c>
      <c r="I31" s="33" t="s">
        <v>96</v>
      </c>
      <c r="J31" s="33" t="s">
        <v>464</v>
      </c>
      <c r="K31" s="33"/>
      <c r="L31" s="33"/>
      <c r="M31" s="33">
        <v>4</v>
      </c>
      <c r="N31" s="33">
        <v>9</v>
      </c>
      <c r="O31" s="33" t="s">
        <v>96</v>
      </c>
      <c r="P31" s="34"/>
      <c r="Q31" s="40"/>
      <c r="R31" s="34"/>
      <c r="S31" s="33" t="s">
        <v>266</v>
      </c>
    </row>
    <row r="32" spans="2:19" x14ac:dyDescent="0.25">
      <c r="B32" s="14"/>
      <c r="C32" s="14"/>
      <c r="D32" s="14"/>
      <c r="E32" s="14"/>
      <c r="F32" s="14"/>
      <c r="G32" s="33" t="s">
        <v>391</v>
      </c>
      <c r="H32" s="33" t="s">
        <v>101</v>
      </c>
      <c r="I32" s="33" t="s">
        <v>96</v>
      </c>
      <c r="J32" s="33" t="s">
        <v>465</v>
      </c>
      <c r="K32" s="33" t="s">
        <v>592</v>
      </c>
      <c r="L32" s="33"/>
      <c r="M32" s="33">
        <v>4</v>
      </c>
      <c r="N32" s="33">
        <v>9</v>
      </c>
      <c r="O32" s="33" t="s">
        <v>96</v>
      </c>
      <c r="P32" s="34"/>
      <c r="Q32" s="40"/>
      <c r="R32" s="34"/>
      <c r="S32" s="33" t="s">
        <v>267</v>
      </c>
    </row>
    <row r="33" spans="2:19" x14ac:dyDescent="0.25">
      <c r="B33" s="14"/>
      <c r="C33" s="14"/>
      <c r="D33" s="14"/>
      <c r="E33" s="14"/>
      <c r="F33" s="14"/>
      <c r="G33" s="33" t="s">
        <v>392</v>
      </c>
      <c r="H33" s="33" t="s">
        <v>101</v>
      </c>
      <c r="I33" s="33" t="s">
        <v>96</v>
      </c>
      <c r="J33" s="33" t="s">
        <v>466</v>
      </c>
      <c r="K33" s="33" t="s">
        <v>593</v>
      </c>
      <c r="L33" s="33"/>
      <c r="M33" s="33">
        <v>4</v>
      </c>
      <c r="N33" s="33">
        <v>9</v>
      </c>
      <c r="O33" s="33" t="s">
        <v>96</v>
      </c>
      <c r="P33" s="34"/>
      <c r="Q33" s="40"/>
      <c r="R33" s="34"/>
      <c r="S33" s="33" t="s">
        <v>268</v>
      </c>
    </row>
    <row r="34" spans="2:19" x14ac:dyDescent="0.25">
      <c r="B34" s="14"/>
      <c r="C34" s="14"/>
      <c r="D34" s="14"/>
      <c r="E34" s="14"/>
      <c r="F34" s="14"/>
      <c r="G34" s="33" t="s">
        <v>393</v>
      </c>
      <c r="H34" s="33" t="s">
        <v>101</v>
      </c>
      <c r="I34" s="33" t="s">
        <v>96</v>
      </c>
      <c r="J34" s="33" t="s">
        <v>467</v>
      </c>
      <c r="K34" s="33" t="s">
        <v>594</v>
      </c>
      <c r="L34" s="33"/>
      <c r="M34" s="33">
        <v>4</v>
      </c>
      <c r="N34" s="33">
        <v>9</v>
      </c>
      <c r="O34" s="33" t="s">
        <v>96</v>
      </c>
      <c r="P34" s="34"/>
      <c r="Q34" s="40"/>
      <c r="R34" s="34"/>
      <c r="S34" s="33" t="s">
        <v>269</v>
      </c>
    </row>
    <row r="35" spans="2:19" x14ac:dyDescent="0.25">
      <c r="B35" s="14"/>
      <c r="C35" s="14"/>
      <c r="D35" s="14"/>
      <c r="E35" s="14"/>
      <c r="F35" s="14"/>
      <c r="G35" s="33" t="s">
        <v>394</v>
      </c>
      <c r="H35" s="33" t="s">
        <v>101</v>
      </c>
      <c r="I35" s="33" t="s">
        <v>96</v>
      </c>
      <c r="J35" s="33" t="s">
        <v>468</v>
      </c>
      <c r="K35" s="33" t="s">
        <v>595</v>
      </c>
      <c r="L35" s="33"/>
      <c r="M35" s="33">
        <v>4</v>
      </c>
      <c r="N35" s="33">
        <v>9</v>
      </c>
      <c r="O35" s="33" t="s">
        <v>96</v>
      </c>
      <c r="P35" s="34"/>
      <c r="Q35" s="40"/>
      <c r="R35" s="34"/>
      <c r="S35" s="33" t="s">
        <v>270</v>
      </c>
    </row>
    <row r="36" spans="2:19" x14ac:dyDescent="0.25">
      <c r="B36" s="14"/>
      <c r="C36" s="14"/>
      <c r="D36" s="14"/>
      <c r="E36" s="14"/>
      <c r="F36" s="14"/>
      <c r="G36" s="33" t="s">
        <v>395</v>
      </c>
      <c r="H36" s="33" t="s">
        <v>101</v>
      </c>
      <c r="I36" s="33" t="s">
        <v>96</v>
      </c>
      <c r="J36" s="33" t="s">
        <v>469</v>
      </c>
      <c r="K36" s="33" t="s">
        <v>596</v>
      </c>
      <c r="L36" s="33"/>
      <c r="M36" s="33">
        <v>4</v>
      </c>
      <c r="N36" s="33">
        <v>9</v>
      </c>
      <c r="O36" s="33" t="s">
        <v>96</v>
      </c>
      <c r="P36" s="34"/>
      <c r="Q36" s="40"/>
      <c r="R36" s="34"/>
      <c r="S36" s="33" t="s">
        <v>271</v>
      </c>
    </row>
    <row r="37" spans="2:19" x14ac:dyDescent="0.25">
      <c r="B37" s="14"/>
      <c r="C37" s="14"/>
      <c r="D37" s="14"/>
      <c r="E37" s="14"/>
      <c r="F37" s="14"/>
      <c r="G37" s="32" t="s">
        <v>586</v>
      </c>
      <c r="H37" s="32"/>
      <c r="I37" s="33"/>
      <c r="J37" s="32" t="s">
        <v>324</v>
      </c>
      <c r="K37" s="32"/>
      <c r="L37" s="32"/>
      <c r="M37" s="32">
        <v>2</v>
      </c>
      <c r="N37" s="33">
        <v>5</v>
      </c>
      <c r="O37" s="33"/>
      <c r="P37" s="34"/>
      <c r="Q37" s="40"/>
      <c r="R37" s="34"/>
      <c r="S37" s="33"/>
    </row>
    <row r="38" spans="2:19" x14ac:dyDescent="0.25">
      <c r="B38" s="14"/>
      <c r="C38" s="14"/>
      <c r="D38" s="14"/>
      <c r="E38" s="14"/>
      <c r="F38" s="14"/>
      <c r="G38" s="33" t="s">
        <v>396</v>
      </c>
      <c r="H38" s="33" t="s">
        <v>99</v>
      </c>
      <c r="I38" s="33" t="s">
        <v>96</v>
      </c>
      <c r="J38" s="32" t="s">
        <v>148</v>
      </c>
      <c r="K38" s="33"/>
      <c r="L38" s="32" t="s">
        <v>194</v>
      </c>
      <c r="M38" s="33">
        <v>4</v>
      </c>
      <c r="N38" s="33">
        <v>21</v>
      </c>
      <c r="O38" s="33" t="s">
        <v>96</v>
      </c>
      <c r="P38" s="34"/>
      <c r="Q38" s="40"/>
      <c r="R38" s="34"/>
      <c r="S38" s="33" t="s">
        <v>272</v>
      </c>
    </row>
    <row r="39" spans="2:19" x14ac:dyDescent="0.25">
      <c r="B39" s="14"/>
      <c r="C39" s="14"/>
      <c r="D39" s="14"/>
      <c r="E39" s="14"/>
      <c r="F39" s="14"/>
      <c r="G39" s="33" t="s">
        <v>397</v>
      </c>
      <c r="H39" s="33" t="s">
        <v>149</v>
      </c>
      <c r="I39" s="33" t="s">
        <v>96</v>
      </c>
      <c r="J39" s="32" t="s">
        <v>180</v>
      </c>
      <c r="K39" s="33"/>
      <c r="L39" s="33"/>
      <c r="M39" s="33">
        <v>4</v>
      </c>
      <c r="N39" s="33">
        <v>10</v>
      </c>
      <c r="O39" s="33" t="s">
        <v>96</v>
      </c>
      <c r="P39" s="34"/>
      <c r="Q39" s="40"/>
      <c r="R39" s="34"/>
      <c r="S39" s="33" t="s">
        <v>138</v>
      </c>
    </row>
    <row r="40" spans="2:19" x14ac:dyDescent="0.25">
      <c r="B40" s="14"/>
      <c r="C40" s="14"/>
      <c r="D40" s="14"/>
      <c r="E40" s="14"/>
      <c r="F40" s="14"/>
      <c r="G40" s="32" t="s">
        <v>195</v>
      </c>
      <c r="H40" s="32"/>
      <c r="I40" s="33"/>
      <c r="J40" s="32" t="s">
        <v>325</v>
      </c>
      <c r="K40" s="32"/>
      <c r="L40" s="32"/>
      <c r="M40" s="32">
        <v>3</v>
      </c>
      <c r="N40" s="33">
        <v>5</v>
      </c>
      <c r="O40" s="33"/>
      <c r="P40" s="34"/>
      <c r="Q40" s="40"/>
      <c r="R40" s="34"/>
      <c r="S40" s="33"/>
    </row>
    <row r="41" spans="2:19" x14ac:dyDescent="0.25">
      <c r="B41" s="14"/>
      <c r="C41" s="14"/>
      <c r="D41" s="14"/>
      <c r="E41" s="14"/>
      <c r="F41" s="14"/>
      <c r="G41" s="33" t="s">
        <v>398</v>
      </c>
      <c r="H41" s="33" t="s">
        <v>149</v>
      </c>
      <c r="I41" s="33" t="s">
        <v>96</v>
      </c>
      <c r="J41" s="33" t="s">
        <v>407</v>
      </c>
      <c r="K41" s="33"/>
      <c r="L41" s="33"/>
      <c r="M41" s="33">
        <v>4</v>
      </c>
      <c r="N41" s="33">
        <v>9</v>
      </c>
      <c r="O41" s="33" t="s">
        <v>96</v>
      </c>
      <c r="P41" s="34"/>
      <c r="Q41" s="40"/>
      <c r="R41" s="34"/>
      <c r="S41" s="33" t="s">
        <v>273</v>
      </c>
    </row>
    <row r="42" spans="2:19" x14ac:dyDescent="0.25">
      <c r="B42" s="14"/>
      <c r="C42" s="14"/>
      <c r="D42" s="14"/>
      <c r="E42" s="14"/>
      <c r="F42" s="14"/>
      <c r="G42" s="33" t="s">
        <v>399</v>
      </c>
      <c r="H42" s="33" t="s">
        <v>149</v>
      </c>
      <c r="I42" s="33" t="s">
        <v>96</v>
      </c>
      <c r="J42" s="33" t="s">
        <v>408</v>
      </c>
      <c r="K42" s="33"/>
      <c r="L42" s="33"/>
      <c r="M42" s="33">
        <v>4</v>
      </c>
      <c r="N42" s="33">
        <v>9</v>
      </c>
      <c r="O42" s="33" t="s">
        <v>96</v>
      </c>
      <c r="P42" s="34"/>
      <c r="Q42" s="40"/>
      <c r="R42" s="34"/>
      <c r="S42" s="33" t="s">
        <v>274</v>
      </c>
    </row>
    <row r="43" spans="2:19" x14ac:dyDescent="0.25">
      <c r="B43" s="14"/>
      <c r="C43" s="14"/>
      <c r="D43" s="14"/>
      <c r="E43" s="14"/>
      <c r="F43" s="14"/>
      <c r="G43" s="33" t="s">
        <v>400</v>
      </c>
      <c r="H43" s="33" t="s">
        <v>149</v>
      </c>
      <c r="I43" s="33" t="s">
        <v>96</v>
      </c>
      <c r="J43" s="33" t="s">
        <v>409</v>
      </c>
      <c r="K43" s="33"/>
      <c r="L43" s="33"/>
      <c r="M43" s="33">
        <v>4</v>
      </c>
      <c r="N43" s="33">
        <v>9</v>
      </c>
      <c r="O43" s="33" t="s">
        <v>96</v>
      </c>
      <c r="P43" s="34"/>
      <c r="Q43" s="40"/>
      <c r="R43" s="34"/>
      <c r="S43" s="33" t="s">
        <v>275</v>
      </c>
    </row>
    <row r="44" spans="2:19" x14ac:dyDescent="0.25">
      <c r="B44" s="14"/>
      <c r="C44" s="14"/>
      <c r="D44" s="14"/>
      <c r="E44" s="14"/>
      <c r="F44" s="14"/>
      <c r="G44" s="33" t="s">
        <v>401</v>
      </c>
      <c r="H44" s="33" t="s">
        <v>98</v>
      </c>
      <c r="I44" s="33" t="s">
        <v>96</v>
      </c>
      <c r="J44" s="33" t="s">
        <v>410</v>
      </c>
      <c r="K44" s="33" t="s">
        <v>598</v>
      </c>
      <c r="L44" s="33"/>
      <c r="M44" s="33">
        <v>4</v>
      </c>
      <c r="N44" s="33">
        <v>9</v>
      </c>
      <c r="O44" s="33" t="s">
        <v>96</v>
      </c>
      <c r="P44" s="34"/>
      <c r="Q44" s="40"/>
      <c r="R44" s="34"/>
      <c r="S44" s="33" t="s">
        <v>276</v>
      </c>
    </row>
    <row r="45" spans="2:19" x14ac:dyDescent="0.25">
      <c r="B45" s="14"/>
      <c r="C45" s="14"/>
      <c r="D45" s="14"/>
      <c r="E45" s="14"/>
      <c r="F45" s="14"/>
      <c r="G45" s="32" t="s">
        <v>195</v>
      </c>
      <c r="H45" s="32"/>
      <c r="I45" s="33"/>
      <c r="J45" s="32" t="s">
        <v>326</v>
      </c>
      <c r="K45" s="32"/>
      <c r="L45" s="32"/>
      <c r="M45" s="32">
        <v>3</v>
      </c>
      <c r="N45" s="33">
        <v>5</v>
      </c>
      <c r="O45" s="33"/>
      <c r="P45" s="34"/>
      <c r="Q45" s="40"/>
      <c r="R45" s="34"/>
      <c r="S45" s="33"/>
    </row>
    <row r="46" spans="2:19" x14ac:dyDescent="0.25">
      <c r="B46" s="14"/>
      <c r="C46" s="14"/>
      <c r="D46" s="14"/>
      <c r="E46" s="14"/>
      <c r="F46" s="14"/>
      <c r="G46" s="33" t="s">
        <v>402</v>
      </c>
      <c r="H46" s="33" t="s">
        <v>149</v>
      </c>
      <c r="I46" s="33" t="s">
        <v>96</v>
      </c>
      <c r="J46" s="33" t="s">
        <v>411</v>
      </c>
      <c r="K46" s="33"/>
      <c r="L46" s="33"/>
      <c r="M46" s="33">
        <v>4</v>
      </c>
      <c r="N46" s="33">
        <v>9</v>
      </c>
      <c r="O46" s="33" t="s">
        <v>96</v>
      </c>
      <c r="P46" s="34"/>
      <c r="Q46" s="40"/>
      <c r="R46" s="34"/>
      <c r="S46" s="33" t="s">
        <v>277</v>
      </c>
    </row>
    <row r="47" spans="2:19" x14ac:dyDescent="0.25">
      <c r="B47" s="14"/>
      <c r="C47" s="14"/>
      <c r="D47" s="14"/>
      <c r="E47" s="14"/>
      <c r="F47" s="14"/>
      <c r="G47" s="33" t="s">
        <v>403</v>
      </c>
      <c r="H47" s="33" t="s">
        <v>149</v>
      </c>
      <c r="I47" s="33" t="s">
        <v>96</v>
      </c>
      <c r="J47" s="33" t="s">
        <v>412</v>
      </c>
      <c r="K47" s="33"/>
      <c r="L47" s="33"/>
      <c r="M47" s="33">
        <v>4</v>
      </c>
      <c r="N47" s="33">
        <v>9</v>
      </c>
      <c r="O47" s="33" t="s">
        <v>96</v>
      </c>
      <c r="P47" s="34"/>
      <c r="Q47" s="40"/>
      <c r="R47" s="34"/>
      <c r="S47" s="33" t="s">
        <v>278</v>
      </c>
    </row>
    <row r="48" spans="2:19" x14ac:dyDescent="0.25">
      <c r="B48" s="14"/>
      <c r="C48" s="14"/>
      <c r="D48" s="14"/>
      <c r="E48" s="14"/>
      <c r="F48" s="14"/>
      <c r="G48" s="33" t="s">
        <v>404</v>
      </c>
      <c r="H48" s="33" t="s">
        <v>149</v>
      </c>
      <c r="I48" s="33" t="s">
        <v>96</v>
      </c>
      <c r="J48" s="33" t="s">
        <v>413</v>
      </c>
      <c r="K48" s="33"/>
      <c r="L48" s="33"/>
      <c r="M48" s="33">
        <v>4</v>
      </c>
      <c r="N48" s="33">
        <v>9</v>
      </c>
      <c r="O48" s="33" t="s">
        <v>96</v>
      </c>
      <c r="P48" s="34"/>
      <c r="Q48" s="40"/>
      <c r="R48" s="34"/>
      <c r="S48" s="33" t="s">
        <v>279</v>
      </c>
    </row>
    <row r="49" spans="2:19" x14ac:dyDescent="0.25">
      <c r="B49" s="14"/>
      <c r="C49" s="14"/>
      <c r="D49" s="14"/>
      <c r="E49" s="14"/>
      <c r="F49" s="14"/>
      <c r="G49" s="33" t="s">
        <v>405</v>
      </c>
      <c r="H49" s="33" t="s">
        <v>98</v>
      </c>
      <c r="I49" s="33" t="s">
        <v>96</v>
      </c>
      <c r="J49" s="33" t="s">
        <v>414</v>
      </c>
      <c r="K49" s="33" t="s">
        <v>598</v>
      </c>
      <c r="L49" s="33"/>
      <c r="M49" s="33">
        <v>4</v>
      </c>
      <c r="N49" s="33">
        <v>9</v>
      </c>
      <c r="O49" s="33" t="s">
        <v>96</v>
      </c>
      <c r="P49" s="34"/>
      <c r="Q49" s="40"/>
      <c r="R49" s="34"/>
      <c r="S49" s="33" t="s">
        <v>280</v>
      </c>
    </row>
    <row r="50" spans="2:19" x14ac:dyDescent="0.25">
      <c r="B50" s="14"/>
      <c r="C50" s="14"/>
      <c r="D50" s="14"/>
      <c r="E50" s="14"/>
      <c r="F50" s="14"/>
      <c r="G50" s="32" t="s">
        <v>586</v>
      </c>
      <c r="H50" s="32"/>
      <c r="I50" s="33"/>
      <c r="J50" s="32" t="s">
        <v>146</v>
      </c>
      <c r="K50" s="32"/>
      <c r="L50" s="32"/>
      <c r="M50" s="32">
        <v>1</v>
      </c>
      <c r="N50" s="33">
        <v>5</v>
      </c>
      <c r="O50" s="33"/>
      <c r="P50" s="34"/>
      <c r="Q50" s="40"/>
      <c r="R50" s="34"/>
      <c r="S50" s="33"/>
    </row>
    <row r="51" spans="2:19" x14ac:dyDescent="0.25">
      <c r="B51" s="14"/>
      <c r="C51" s="14"/>
      <c r="D51" s="14"/>
      <c r="E51" s="14"/>
      <c r="F51" s="14"/>
      <c r="G51" s="33" t="s">
        <v>181</v>
      </c>
      <c r="H51" s="33" t="s">
        <v>101</v>
      </c>
      <c r="I51" s="33" t="s">
        <v>94</v>
      </c>
      <c r="J51" s="32" t="s">
        <v>197</v>
      </c>
      <c r="K51" s="33" t="s">
        <v>181</v>
      </c>
      <c r="L51" s="33"/>
      <c r="M51" s="33">
        <v>4</v>
      </c>
      <c r="N51" s="33">
        <v>9</v>
      </c>
      <c r="O51" s="33" t="s">
        <v>96</v>
      </c>
      <c r="P51" s="34"/>
      <c r="Q51" s="40"/>
      <c r="R51" s="34"/>
      <c r="S51" s="33" t="s">
        <v>285</v>
      </c>
    </row>
    <row r="52" spans="2:19" x14ac:dyDescent="0.25">
      <c r="B52" s="14"/>
      <c r="C52" s="14"/>
      <c r="D52" s="14"/>
      <c r="E52" s="14"/>
      <c r="F52" s="14"/>
      <c r="G52" s="33" t="s">
        <v>328</v>
      </c>
      <c r="H52" s="33" t="s">
        <v>101</v>
      </c>
      <c r="I52" s="33" t="s">
        <v>94</v>
      </c>
      <c r="J52" s="32" t="s">
        <v>147</v>
      </c>
      <c r="K52" s="33" t="s">
        <v>45</v>
      </c>
      <c r="L52" s="33"/>
      <c r="M52" s="33">
        <v>4</v>
      </c>
      <c r="N52" s="33">
        <v>9</v>
      </c>
      <c r="O52" s="33" t="s">
        <v>96</v>
      </c>
      <c r="P52" s="34"/>
      <c r="Q52" s="40"/>
      <c r="R52" s="34"/>
      <c r="S52" s="33" t="s">
        <v>286</v>
      </c>
    </row>
    <row r="53" spans="2:19" x14ac:dyDescent="0.25">
      <c r="B53" s="14"/>
      <c r="C53" s="14"/>
      <c r="D53" s="14"/>
      <c r="E53" s="14"/>
      <c r="F53" s="14"/>
      <c r="G53" s="33" t="s">
        <v>329</v>
      </c>
      <c r="H53" s="33" t="s">
        <v>101</v>
      </c>
      <c r="I53" s="33" t="s">
        <v>94</v>
      </c>
      <c r="J53" s="33" t="s">
        <v>415</v>
      </c>
      <c r="K53" s="33" t="s">
        <v>371</v>
      </c>
      <c r="L53" s="33"/>
      <c r="M53" s="33">
        <v>4</v>
      </c>
      <c r="N53" s="33">
        <v>9</v>
      </c>
      <c r="O53" s="33" t="s">
        <v>96</v>
      </c>
      <c r="P53" s="34"/>
      <c r="Q53" s="40"/>
      <c r="R53" s="34"/>
      <c r="S53" s="33" t="s">
        <v>287</v>
      </c>
    </row>
    <row r="54" spans="2:19" x14ac:dyDescent="0.25">
      <c r="B54" s="14"/>
      <c r="C54" s="14"/>
      <c r="D54" s="14"/>
      <c r="E54" s="14"/>
      <c r="F54" s="14"/>
      <c r="G54" s="33" t="s">
        <v>330</v>
      </c>
      <c r="H54" s="33" t="s">
        <v>101</v>
      </c>
      <c r="I54" s="33" t="s">
        <v>94</v>
      </c>
      <c r="J54" s="33" t="s">
        <v>416</v>
      </c>
      <c r="K54" s="33" t="s">
        <v>371</v>
      </c>
      <c r="L54" s="33"/>
      <c r="M54" s="33">
        <v>4</v>
      </c>
      <c r="N54" s="33">
        <v>10</v>
      </c>
      <c r="O54" s="33" t="s">
        <v>96</v>
      </c>
      <c r="P54" s="34"/>
      <c r="Q54" s="40"/>
      <c r="R54" s="34"/>
      <c r="S54" s="33" t="s">
        <v>288</v>
      </c>
    </row>
    <row r="55" spans="2:19" x14ac:dyDescent="0.25">
      <c r="B55" s="14"/>
      <c r="C55" s="14"/>
      <c r="D55" s="14"/>
      <c r="E55" s="14"/>
      <c r="F55" s="14"/>
      <c r="G55" s="32" t="s">
        <v>195</v>
      </c>
      <c r="H55" s="32"/>
      <c r="I55" s="33"/>
      <c r="J55" s="32" t="s">
        <v>364</v>
      </c>
      <c r="K55" s="32"/>
      <c r="L55" s="32"/>
      <c r="M55" s="32">
        <v>2</v>
      </c>
      <c r="N55" s="33">
        <v>5</v>
      </c>
      <c r="O55" s="33"/>
      <c r="P55" s="34"/>
      <c r="Q55" s="40"/>
      <c r="R55" s="34"/>
      <c r="S55" s="33"/>
    </row>
    <row r="56" spans="2:19" x14ac:dyDescent="0.25">
      <c r="B56" s="14"/>
      <c r="C56" s="14"/>
      <c r="D56" s="14"/>
      <c r="E56" s="14"/>
      <c r="F56" s="14"/>
      <c r="G56" s="33" t="s">
        <v>331</v>
      </c>
      <c r="H56" s="33" t="s">
        <v>149</v>
      </c>
      <c r="I56" s="33" t="s">
        <v>96</v>
      </c>
      <c r="J56" s="33" t="s">
        <v>417</v>
      </c>
      <c r="K56" s="33"/>
      <c r="L56" s="33"/>
      <c r="M56" s="33">
        <v>4</v>
      </c>
      <c r="N56" s="33">
        <v>9</v>
      </c>
      <c r="O56" s="33" t="s">
        <v>96</v>
      </c>
      <c r="P56" s="34"/>
      <c r="Q56" s="40"/>
      <c r="R56" s="34"/>
      <c r="S56" s="33" t="s">
        <v>289</v>
      </c>
    </row>
    <row r="57" spans="2:19" x14ac:dyDescent="0.25">
      <c r="B57" s="14"/>
      <c r="C57" s="14"/>
      <c r="D57" s="14"/>
      <c r="E57" s="14"/>
      <c r="F57" s="14"/>
      <c r="G57" s="33" t="s">
        <v>332</v>
      </c>
      <c r="H57" s="33" t="s">
        <v>101</v>
      </c>
      <c r="I57" s="33" t="s">
        <v>96</v>
      </c>
      <c r="J57" s="33" t="s">
        <v>436</v>
      </c>
      <c r="K57" s="33" t="s">
        <v>368</v>
      </c>
      <c r="L57" s="33"/>
      <c r="M57" s="33">
        <v>4</v>
      </c>
      <c r="N57" s="33">
        <v>9</v>
      </c>
      <c r="O57" s="33" t="s">
        <v>96</v>
      </c>
      <c r="P57" s="34"/>
      <c r="Q57" s="40"/>
      <c r="R57" s="34"/>
      <c r="S57" s="33" t="s">
        <v>290</v>
      </c>
    </row>
    <row r="58" spans="2:19" x14ac:dyDescent="0.25">
      <c r="B58" s="14"/>
      <c r="C58" s="14"/>
      <c r="D58" s="14"/>
      <c r="E58" s="14"/>
      <c r="F58" s="14"/>
      <c r="G58" s="33" t="s">
        <v>333</v>
      </c>
      <c r="H58" s="33" t="s">
        <v>149</v>
      </c>
      <c r="I58" s="33" t="s">
        <v>96</v>
      </c>
      <c r="J58" s="33" t="s">
        <v>418</v>
      </c>
      <c r="K58" s="33"/>
      <c r="L58" s="33"/>
      <c r="M58" s="33">
        <v>4</v>
      </c>
      <c r="N58" s="33">
        <v>9</v>
      </c>
      <c r="O58" s="33" t="s">
        <v>96</v>
      </c>
      <c r="P58" s="34"/>
      <c r="Q58" s="40"/>
      <c r="R58" s="34"/>
      <c r="S58" s="33" t="s">
        <v>291</v>
      </c>
    </row>
    <row r="59" spans="2:19" x14ac:dyDescent="0.25">
      <c r="B59" s="14"/>
      <c r="C59" s="14"/>
      <c r="D59" s="14"/>
      <c r="E59" s="14"/>
      <c r="F59" s="14"/>
      <c r="G59" s="33" t="s">
        <v>334</v>
      </c>
      <c r="H59" s="33" t="s">
        <v>101</v>
      </c>
      <c r="I59" s="33" t="s">
        <v>96</v>
      </c>
      <c r="J59" s="33" t="s">
        <v>449</v>
      </c>
      <c r="K59" s="33" t="s">
        <v>368</v>
      </c>
      <c r="L59" s="33"/>
      <c r="M59" s="33">
        <v>4</v>
      </c>
      <c r="N59" s="33">
        <v>9</v>
      </c>
      <c r="O59" s="33" t="s">
        <v>96</v>
      </c>
      <c r="P59" s="34"/>
      <c r="Q59" s="40"/>
      <c r="R59" s="34"/>
      <c r="S59" s="33" t="s">
        <v>292</v>
      </c>
    </row>
    <row r="60" spans="2:19" x14ac:dyDescent="0.25">
      <c r="B60" s="14"/>
      <c r="C60" s="14"/>
      <c r="D60" s="14"/>
      <c r="E60" s="14"/>
      <c r="F60" s="14"/>
      <c r="G60" s="33" t="s">
        <v>335</v>
      </c>
      <c r="H60" s="33" t="s">
        <v>149</v>
      </c>
      <c r="I60" s="33" t="s">
        <v>96</v>
      </c>
      <c r="J60" s="33" t="s">
        <v>419</v>
      </c>
      <c r="K60" s="33"/>
      <c r="L60" s="33"/>
      <c r="M60" s="33">
        <v>4</v>
      </c>
      <c r="N60" s="33">
        <v>9</v>
      </c>
      <c r="O60" s="33" t="s">
        <v>96</v>
      </c>
      <c r="P60" s="34"/>
      <c r="Q60" s="40"/>
      <c r="R60" s="34"/>
      <c r="S60" s="33" t="s">
        <v>293</v>
      </c>
    </row>
    <row r="61" spans="2:19" x14ac:dyDescent="0.25">
      <c r="B61" s="14"/>
      <c r="C61" s="14"/>
      <c r="D61" s="14"/>
      <c r="E61" s="14"/>
      <c r="F61" s="14"/>
      <c r="G61" s="33" t="s">
        <v>336</v>
      </c>
      <c r="H61" s="33" t="s">
        <v>101</v>
      </c>
      <c r="I61" s="33" t="s">
        <v>96</v>
      </c>
      <c r="J61" s="33" t="s">
        <v>437</v>
      </c>
      <c r="K61" s="33" t="s">
        <v>597</v>
      </c>
      <c r="L61" s="33"/>
      <c r="M61" s="33">
        <v>4</v>
      </c>
      <c r="N61" s="33">
        <v>9</v>
      </c>
      <c r="O61" s="33" t="s">
        <v>96</v>
      </c>
      <c r="P61" s="34"/>
      <c r="Q61" s="40"/>
      <c r="R61" s="34"/>
      <c r="S61" s="33" t="s">
        <v>294</v>
      </c>
    </row>
    <row r="62" spans="2:19" x14ac:dyDescent="0.25">
      <c r="B62" s="14"/>
      <c r="C62" s="14"/>
      <c r="D62" s="14"/>
      <c r="E62" s="14"/>
      <c r="F62" s="14"/>
      <c r="G62" s="33" t="s">
        <v>337</v>
      </c>
      <c r="H62" s="33" t="s">
        <v>149</v>
      </c>
      <c r="I62" s="33" t="s">
        <v>96</v>
      </c>
      <c r="J62" s="33" t="s">
        <v>420</v>
      </c>
      <c r="K62" s="33"/>
      <c r="L62" s="33"/>
      <c r="M62" s="33">
        <v>4</v>
      </c>
      <c r="N62" s="33">
        <v>9</v>
      </c>
      <c r="O62" s="33" t="s">
        <v>96</v>
      </c>
      <c r="P62" s="34"/>
      <c r="Q62" s="40"/>
      <c r="R62" s="34"/>
      <c r="S62" s="33" t="s">
        <v>295</v>
      </c>
    </row>
    <row r="63" spans="2:19" x14ac:dyDescent="0.25">
      <c r="B63" s="14"/>
      <c r="C63" s="14"/>
      <c r="D63" s="14"/>
      <c r="E63" s="14"/>
      <c r="F63" s="14"/>
      <c r="G63" s="33" t="s">
        <v>338</v>
      </c>
      <c r="H63" s="33" t="s">
        <v>98</v>
      </c>
      <c r="I63" s="33" t="s">
        <v>96</v>
      </c>
      <c r="J63" s="33" t="s">
        <v>421</v>
      </c>
      <c r="K63" s="33" t="s">
        <v>598</v>
      </c>
      <c r="L63" s="33"/>
      <c r="M63" s="33">
        <v>4</v>
      </c>
      <c r="N63" s="33">
        <v>9</v>
      </c>
      <c r="O63" s="33" t="s">
        <v>96</v>
      </c>
      <c r="P63" s="34"/>
      <c r="Q63" s="40"/>
      <c r="R63" s="34"/>
      <c r="S63" s="33" t="s">
        <v>296</v>
      </c>
    </row>
    <row r="64" spans="2:19" x14ac:dyDescent="0.25">
      <c r="B64" s="14"/>
      <c r="C64" s="14"/>
      <c r="D64" s="14"/>
      <c r="E64" s="14"/>
      <c r="F64" s="14"/>
      <c r="G64" s="33" t="s">
        <v>339</v>
      </c>
      <c r="H64" s="33" t="s">
        <v>149</v>
      </c>
      <c r="I64" s="33" t="s">
        <v>96</v>
      </c>
      <c r="J64" s="33" t="s">
        <v>422</v>
      </c>
      <c r="K64" s="33"/>
      <c r="L64" s="33"/>
      <c r="M64" s="33">
        <v>4</v>
      </c>
      <c r="N64" s="33">
        <v>9</v>
      </c>
      <c r="O64" s="33" t="s">
        <v>96</v>
      </c>
      <c r="P64" s="34"/>
      <c r="Q64" s="40"/>
      <c r="R64" s="34"/>
      <c r="S64" s="33" t="s">
        <v>297</v>
      </c>
    </row>
    <row r="65" spans="2:19" x14ac:dyDescent="0.25">
      <c r="B65" s="14"/>
      <c r="C65" s="14"/>
      <c r="D65" s="14"/>
      <c r="E65" s="14"/>
      <c r="F65" s="14"/>
      <c r="G65" s="33" t="s">
        <v>340</v>
      </c>
      <c r="H65" s="33" t="s">
        <v>149</v>
      </c>
      <c r="I65" s="33" t="s">
        <v>96</v>
      </c>
      <c r="J65" s="33" t="s">
        <v>423</v>
      </c>
      <c r="K65" s="33"/>
      <c r="L65" s="33"/>
      <c r="M65" s="33">
        <v>4</v>
      </c>
      <c r="N65" s="33">
        <v>9</v>
      </c>
      <c r="O65" s="33" t="s">
        <v>96</v>
      </c>
      <c r="P65" s="34"/>
      <c r="Q65" s="40"/>
      <c r="R65" s="34"/>
      <c r="S65" s="33" t="s">
        <v>298</v>
      </c>
    </row>
    <row r="66" spans="2:19" x14ac:dyDescent="0.25">
      <c r="B66" s="14"/>
      <c r="C66" s="14"/>
      <c r="D66" s="14"/>
      <c r="E66" s="14"/>
      <c r="F66" s="14"/>
      <c r="G66" s="33" t="s">
        <v>341</v>
      </c>
      <c r="H66" s="33" t="s">
        <v>98</v>
      </c>
      <c r="I66" s="33" t="s">
        <v>96</v>
      </c>
      <c r="J66" s="33" t="s">
        <v>438</v>
      </c>
      <c r="K66" s="33" t="s">
        <v>369</v>
      </c>
      <c r="L66" s="33"/>
      <c r="M66" s="33">
        <v>4</v>
      </c>
      <c r="N66" s="33">
        <v>9</v>
      </c>
      <c r="O66" s="33" t="s">
        <v>96</v>
      </c>
      <c r="P66" s="34"/>
      <c r="Q66" s="40"/>
      <c r="R66" s="34"/>
      <c r="S66" s="33" t="s">
        <v>299</v>
      </c>
    </row>
    <row r="67" spans="2:19" x14ac:dyDescent="0.25">
      <c r="B67" s="14"/>
      <c r="C67" s="14"/>
      <c r="D67" s="14"/>
      <c r="E67" s="14"/>
      <c r="F67" s="14"/>
      <c r="G67" s="33" t="s">
        <v>342</v>
      </c>
      <c r="H67" s="33" t="s">
        <v>149</v>
      </c>
      <c r="I67" s="33" t="s">
        <v>96</v>
      </c>
      <c r="J67" s="33" t="s">
        <v>424</v>
      </c>
      <c r="K67" s="33"/>
      <c r="L67" s="33"/>
      <c r="M67" s="33">
        <v>4</v>
      </c>
      <c r="N67" s="33">
        <v>9</v>
      </c>
      <c r="O67" s="33" t="s">
        <v>96</v>
      </c>
      <c r="P67" s="34"/>
      <c r="Q67" s="40"/>
      <c r="R67" s="34"/>
      <c r="S67" s="33" t="s">
        <v>300</v>
      </c>
    </row>
    <row r="68" spans="2:19" x14ac:dyDescent="0.25">
      <c r="B68" s="14"/>
      <c r="C68" s="14"/>
      <c r="D68" s="14"/>
      <c r="E68" s="14"/>
      <c r="F68" s="14"/>
      <c r="G68" s="33" t="s">
        <v>343</v>
      </c>
      <c r="H68" s="33" t="s">
        <v>101</v>
      </c>
      <c r="I68" s="33" t="s">
        <v>96</v>
      </c>
      <c r="J68" s="33" t="s">
        <v>439</v>
      </c>
      <c r="K68" s="33" t="s">
        <v>370</v>
      </c>
      <c r="L68" s="33"/>
      <c r="M68" s="33">
        <v>4</v>
      </c>
      <c r="N68" s="33">
        <v>9</v>
      </c>
      <c r="O68" s="33" t="s">
        <v>96</v>
      </c>
      <c r="P68" s="34"/>
      <c r="Q68" s="40"/>
      <c r="R68" s="34"/>
      <c r="S68" s="33" t="s">
        <v>301</v>
      </c>
    </row>
    <row r="69" spans="2:19" x14ac:dyDescent="0.25">
      <c r="B69" s="14"/>
      <c r="C69" s="14"/>
      <c r="D69" s="14"/>
      <c r="E69" s="14"/>
      <c r="F69" s="14"/>
      <c r="G69" s="33" t="s">
        <v>344</v>
      </c>
      <c r="H69" s="33" t="s">
        <v>149</v>
      </c>
      <c r="I69" s="33" t="s">
        <v>96</v>
      </c>
      <c r="J69" s="33" t="s">
        <v>425</v>
      </c>
      <c r="K69" s="33"/>
      <c r="L69" s="33"/>
      <c r="M69" s="33">
        <v>4</v>
      </c>
      <c r="N69" s="33">
        <v>9</v>
      </c>
      <c r="O69" s="33" t="s">
        <v>96</v>
      </c>
      <c r="P69" s="34"/>
      <c r="Q69" s="40"/>
      <c r="R69" s="34"/>
      <c r="S69" s="33" t="s">
        <v>302</v>
      </c>
    </row>
    <row r="70" spans="2:19" x14ac:dyDescent="0.25">
      <c r="B70" s="14"/>
      <c r="C70" s="14"/>
      <c r="D70" s="14"/>
      <c r="E70" s="14"/>
      <c r="F70" s="14"/>
      <c r="G70" s="33" t="s">
        <v>345</v>
      </c>
      <c r="H70" s="33" t="s">
        <v>149</v>
      </c>
      <c r="I70" s="33" t="s">
        <v>96</v>
      </c>
      <c r="J70" s="33" t="s">
        <v>426</v>
      </c>
      <c r="K70" s="33"/>
      <c r="L70" s="33"/>
      <c r="M70" s="33">
        <v>4</v>
      </c>
      <c r="N70" s="33">
        <v>9</v>
      </c>
      <c r="O70" s="33" t="s">
        <v>96</v>
      </c>
      <c r="P70" s="34"/>
      <c r="Q70" s="40"/>
      <c r="R70" s="34"/>
      <c r="S70" s="33" t="s">
        <v>303</v>
      </c>
    </row>
    <row r="71" spans="2:19" x14ac:dyDescent="0.25">
      <c r="B71" s="14"/>
      <c r="C71" s="14"/>
      <c r="D71" s="14"/>
      <c r="E71" s="14"/>
      <c r="F71" s="14"/>
      <c r="G71" s="33" t="s">
        <v>346</v>
      </c>
      <c r="H71" s="33" t="s">
        <v>101</v>
      </c>
      <c r="I71" s="33" t="s">
        <v>96</v>
      </c>
      <c r="J71" s="33" t="s">
        <v>440</v>
      </c>
      <c r="K71" s="33" t="s">
        <v>592</v>
      </c>
      <c r="L71" s="33"/>
      <c r="M71" s="33">
        <v>4</v>
      </c>
      <c r="N71" s="33">
        <v>9</v>
      </c>
      <c r="O71" s="33" t="s">
        <v>96</v>
      </c>
      <c r="P71" s="34"/>
      <c r="Q71" s="40"/>
      <c r="R71" s="34"/>
      <c r="S71" s="33" t="s">
        <v>304</v>
      </c>
    </row>
    <row r="72" spans="2:19" x14ac:dyDescent="0.25">
      <c r="B72" s="14"/>
      <c r="C72" s="14"/>
      <c r="D72" s="14"/>
      <c r="E72" s="14"/>
      <c r="F72" s="14"/>
      <c r="G72" s="33" t="s">
        <v>347</v>
      </c>
      <c r="H72" s="33" t="s">
        <v>101</v>
      </c>
      <c r="I72" s="33" t="s">
        <v>96</v>
      </c>
      <c r="J72" s="33" t="s">
        <v>427</v>
      </c>
      <c r="K72" s="33" t="s">
        <v>593</v>
      </c>
      <c r="L72" s="33"/>
      <c r="M72" s="33">
        <v>4</v>
      </c>
      <c r="N72" s="33">
        <v>9</v>
      </c>
      <c r="O72" s="33" t="s">
        <v>96</v>
      </c>
      <c r="P72" s="34"/>
      <c r="Q72" s="40"/>
      <c r="R72" s="34"/>
      <c r="S72" s="33" t="s">
        <v>305</v>
      </c>
    </row>
    <row r="73" spans="2:19" x14ac:dyDescent="0.25">
      <c r="B73" s="14"/>
      <c r="C73" s="14"/>
      <c r="D73" s="14"/>
      <c r="E73" s="14"/>
      <c r="F73" s="14"/>
      <c r="G73" s="33" t="s">
        <v>348</v>
      </c>
      <c r="H73" s="33" t="s">
        <v>101</v>
      </c>
      <c r="I73" s="33" t="s">
        <v>96</v>
      </c>
      <c r="J73" s="33" t="s">
        <v>428</v>
      </c>
      <c r="K73" s="33" t="s">
        <v>594</v>
      </c>
      <c r="L73" s="33"/>
      <c r="M73" s="33">
        <v>4</v>
      </c>
      <c r="N73" s="33">
        <v>9</v>
      </c>
      <c r="O73" s="33" t="s">
        <v>96</v>
      </c>
      <c r="P73" s="34"/>
      <c r="Q73" s="40"/>
      <c r="R73" s="34"/>
      <c r="S73" s="33" t="s">
        <v>306</v>
      </c>
    </row>
    <row r="74" spans="2:19" x14ac:dyDescent="0.25">
      <c r="B74" s="14"/>
      <c r="C74" s="14"/>
      <c r="D74" s="14"/>
      <c r="E74" s="14"/>
      <c r="F74" s="14"/>
      <c r="G74" s="33" t="s">
        <v>349</v>
      </c>
      <c r="H74" s="33" t="s">
        <v>101</v>
      </c>
      <c r="I74" s="33" t="s">
        <v>96</v>
      </c>
      <c r="J74" s="33" t="s">
        <v>429</v>
      </c>
      <c r="K74" s="33" t="s">
        <v>595</v>
      </c>
      <c r="L74" s="33"/>
      <c r="M74" s="33">
        <v>4</v>
      </c>
      <c r="N74" s="33">
        <v>9</v>
      </c>
      <c r="O74" s="33" t="s">
        <v>96</v>
      </c>
      <c r="P74" s="34"/>
      <c r="Q74" s="40"/>
      <c r="R74" s="34"/>
      <c r="S74" s="33" t="s">
        <v>307</v>
      </c>
    </row>
    <row r="75" spans="2:19" x14ac:dyDescent="0.25">
      <c r="B75" s="14"/>
      <c r="C75" s="14"/>
      <c r="D75" s="14"/>
      <c r="E75" s="14"/>
      <c r="F75" s="14"/>
      <c r="G75" s="33" t="s">
        <v>350</v>
      </c>
      <c r="H75" s="33" t="s">
        <v>101</v>
      </c>
      <c r="I75" s="33" t="s">
        <v>96</v>
      </c>
      <c r="J75" s="33" t="s">
        <v>430</v>
      </c>
      <c r="K75" s="33" t="s">
        <v>596</v>
      </c>
      <c r="L75" s="33"/>
      <c r="M75" s="33">
        <v>4</v>
      </c>
      <c r="N75" s="33">
        <v>9</v>
      </c>
      <c r="O75" s="33" t="s">
        <v>96</v>
      </c>
      <c r="P75" s="34"/>
      <c r="Q75" s="40"/>
      <c r="R75" s="34"/>
      <c r="S75" s="33" t="s">
        <v>308</v>
      </c>
    </row>
    <row r="76" spans="2:19" x14ac:dyDescent="0.25">
      <c r="B76" s="14"/>
      <c r="C76" s="14"/>
      <c r="D76" s="14"/>
      <c r="E76" s="14"/>
      <c r="F76" s="14"/>
      <c r="G76" s="32" t="s">
        <v>586</v>
      </c>
      <c r="H76" s="32"/>
      <c r="I76" s="33"/>
      <c r="J76" s="32" t="s">
        <v>365</v>
      </c>
      <c r="K76" s="32"/>
      <c r="L76" s="32"/>
      <c r="M76" s="32">
        <v>2</v>
      </c>
      <c r="N76" s="33">
        <v>5</v>
      </c>
      <c r="O76" s="33"/>
      <c r="P76" s="34"/>
      <c r="Q76" s="40"/>
      <c r="R76" s="34"/>
      <c r="S76" s="33"/>
    </row>
    <row r="77" spans="2:19" x14ac:dyDescent="0.25">
      <c r="B77" s="14"/>
      <c r="C77" s="14"/>
      <c r="D77" s="14"/>
      <c r="E77" s="14"/>
      <c r="F77" s="14"/>
      <c r="G77" s="33" t="s">
        <v>351</v>
      </c>
      <c r="H77" s="33" t="s">
        <v>149</v>
      </c>
      <c r="I77" s="33" t="s">
        <v>96</v>
      </c>
      <c r="J77" s="33" t="s">
        <v>431</v>
      </c>
      <c r="K77" s="33"/>
      <c r="L77" s="33"/>
      <c r="M77" s="33">
        <v>4</v>
      </c>
      <c r="N77" s="33">
        <v>10</v>
      </c>
      <c r="O77" s="33" t="s">
        <v>96</v>
      </c>
      <c r="P77" s="34"/>
      <c r="Q77" s="40"/>
      <c r="R77" s="34"/>
      <c r="S77" s="33" t="s">
        <v>309</v>
      </c>
    </row>
    <row r="78" spans="2:19" x14ac:dyDescent="0.25">
      <c r="B78" s="14"/>
      <c r="C78" s="14"/>
      <c r="D78" s="14"/>
      <c r="E78" s="14"/>
      <c r="F78" s="14"/>
      <c r="G78" s="33" t="s">
        <v>352</v>
      </c>
      <c r="H78" s="33" t="s">
        <v>99</v>
      </c>
      <c r="I78" s="33" t="s">
        <v>96</v>
      </c>
      <c r="J78" s="33" t="s">
        <v>432</v>
      </c>
      <c r="K78" s="33"/>
      <c r="L78" s="32" t="s">
        <v>194</v>
      </c>
      <c r="M78" s="33">
        <v>4</v>
      </c>
      <c r="N78" s="33">
        <v>21</v>
      </c>
      <c r="O78" s="33" t="s">
        <v>96</v>
      </c>
      <c r="P78" s="34"/>
      <c r="Q78" s="40"/>
      <c r="R78" s="34"/>
      <c r="S78" s="33" t="s">
        <v>310</v>
      </c>
    </row>
    <row r="79" spans="2:19" x14ac:dyDescent="0.25">
      <c r="B79" s="14"/>
      <c r="C79" s="14"/>
      <c r="D79" s="14"/>
      <c r="E79" s="14"/>
      <c r="F79" s="14"/>
      <c r="G79" s="33" t="s">
        <v>353</v>
      </c>
      <c r="H79" s="33" t="s">
        <v>149</v>
      </c>
      <c r="I79" s="33" t="s">
        <v>96</v>
      </c>
      <c r="J79" s="33" t="s">
        <v>433</v>
      </c>
      <c r="K79" s="33"/>
      <c r="L79" s="33"/>
      <c r="M79" s="33">
        <v>4</v>
      </c>
      <c r="N79" s="33">
        <v>10</v>
      </c>
      <c r="O79" s="33" t="s">
        <v>96</v>
      </c>
      <c r="P79" s="34"/>
      <c r="Q79" s="40"/>
      <c r="R79" s="34"/>
      <c r="S79" s="33" t="s">
        <v>311</v>
      </c>
    </row>
    <row r="80" spans="2:19" x14ac:dyDescent="0.25">
      <c r="B80" s="14"/>
      <c r="C80" s="14"/>
      <c r="D80" s="14"/>
      <c r="E80" s="14"/>
      <c r="F80" s="14"/>
      <c r="G80" s="32" t="s">
        <v>195</v>
      </c>
      <c r="H80" s="32"/>
      <c r="I80" s="33"/>
      <c r="J80" s="32" t="s">
        <v>366</v>
      </c>
      <c r="K80" s="32"/>
      <c r="L80" s="32"/>
      <c r="M80" s="32">
        <v>3</v>
      </c>
      <c r="N80" s="33">
        <v>5</v>
      </c>
      <c r="O80" s="33"/>
      <c r="P80" s="34"/>
      <c r="Q80" s="40"/>
      <c r="R80" s="34"/>
      <c r="S80" s="33"/>
    </row>
    <row r="81" spans="2:19" x14ac:dyDescent="0.25">
      <c r="B81" s="14"/>
      <c r="C81" s="14"/>
      <c r="D81" s="14"/>
      <c r="E81" s="14"/>
      <c r="F81" s="14"/>
      <c r="G81" s="33" t="s">
        <v>354</v>
      </c>
      <c r="H81" s="33" t="s">
        <v>149</v>
      </c>
      <c r="I81" s="33" t="s">
        <v>96</v>
      </c>
      <c r="J81" s="33" t="s">
        <v>434</v>
      </c>
      <c r="K81" s="33"/>
      <c r="L81" s="33"/>
      <c r="M81" s="33">
        <v>4</v>
      </c>
      <c r="N81" s="33">
        <v>9</v>
      </c>
      <c r="O81" s="33" t="s">
        <v>96</v>
      </c>
      <c r="P81" s="34"/>
      <c r="Q81" s="40"/>
      <c r="R81" s="34"/>
      <c r="S81" s="33" t="s">
        <v>312</v>
      </c>
    </row>
    <row r="82" spans="2:19" x14ac:dyDescent="0.25">
      <c r="B82" s="14"/>
      <c r="C82" s="14"/>
      <c r="D82" s="14"/>
      <c r="E82" s="14"/>
      <c r="F82" s="14"/>
      <c r="G82" s="33" t="s">
        <v>355</v>
      </c>
      <c r="H82" s="33" t="s">
        <v>149</v>
      </c>
      <c r="I82" s="33" t="s">
        <v>96</v>
      </c>
      <c r="J82" s="33" t="s">
        <v>441</v>
      </c>
      <c r="K82" s="33"/>
      <c r="L82" s="33"/>
      <c r="M82" s="33">
        <v>4</v>
      </c>
      <c r="N82" s="33">
        <v>9</v>
      </c>
      <c r="O82" s="33" t="s">
        <v>96</v>
      </c>
      <c r="P82" s="34"/>
      <c r="Q82" s="40"/>
      <c r="R82" s="34"/>
      <c r="S82" s="33" t="s">
        <v>313</v>
      </c>
    </row>
    <row r="83" spans="2:19" x14ac:dyDescent="0.25">
      <c r="B83" s="14"/>
      <c r="C83" s="14"/>
      <c r="D83" s="14"/>
      <c r="E83" s="14"/>
      <c r="F83" s="14"/>
      <c r="G83" s="33" t="s">
        <v>356</v>
      </c>
      <c r="H83" s="33" t="s">
        <v>149</v>
      </c>
      <c r="I83" s="33" t="s">
        <v>96</v>
      </c>
      <c r="J83" s="33" t="s">
        <v>447</v>
      </c>
      <c r="K83" s="33"/>
      <c r="L83" s="33"/>
      <c r="M83" s="33">
        <v>4</v>
      </c>
      <c r="N83" s="33">
        <v>9</v>
      </c>
      <c r="O83" s="33" t="s">
        <v>96</v>
      </c>
      <c r="P83" s="34"/>
      <c r="Q83" s="40"/>
      <c r="R83" s="34"/>
      <c r="S83" s="33" t="s">
        <v>314</v>
      </c>
    </row>
    <row r="84" spans="2:19" x14ac:dyDescent="0.25">
      <c r="B84" s="14"/>
      <c r="C84" s="14"/>
      <c r="D84" s="14"/>
      <c r="E84" s="14"/>
      <c r="F84" s="14"/>
      <c r="G84" s="33" t="s">
        <v>357</v>
      </c>
      <c r="H84" s="33" t="s">
        <v>149</v>
      </c>
      <c r="I84" s="33" t="s">
        <v>96</v>
      </c>
      <c r="J84" s="33" t="s">
        <v>448</v>
      </c>
      <c r="K84" s="33"/>
      <c r="L84" s="33"/>
      <c r="M84" s="33">
        <v>4</v>
      </c>
      <c r="N84" s="33">
        <v>9</v>
      </c>
      <c r="O84" s="33" t="s">
        <v>96</v>
      </c>
      <c r="P84" s="34"/>
      <c r="Q84" s="40"/>
      <c r="R84" s="34"/>
      <c r="S84" s="33" t="s">
        <v>315</v>
      </c>
    </row>
    <row r="85" spans="2:19" x14ac:dyDescent="0.25">
      <c r="B85" s="14"/>
      <c r="C85" s="14"/>
      <c r="D85" s="14"/>
      <c r="E85" s="14"/>
      <c r="F85" s="14"/>
      <c r="G85" s="33" t="s">
        <v>358</v>
      </c>
      <c r="H85" s="33" t="s">
        <v>98</v>
      </c>
      <c r="I85" s="33" t="s">
        <v>96</v>
      </c>
      <c r="J85" s="33" t="s">
        <v>442</v>
      </c>
      <c r="K85" s="33" t="s">
        <v>598</v>
      </c>
      <c r="L85" s="33"/>
      <c r="M85" s="33">
        <v>4</v>
      </c>
      <c r="N85" s="33">
        <v>9</v>
      </c>
      <c r="O85" s="33" t="s">
        <v>96</v>
      </c>
      <c r="P85" s="34"/>
      <c r="Q85" s="40"/>
      <c r="R85" s="34"/>
      <c r="S85" s="33" t="s">
        <v>316</v>
      </c>
    </row>
    <row r="86" spans="2:19" x14ac:dyDescent="0.25">
      <c r="B86" s="14"/>
      <c r="C86" s="14"/>
      <c r="D86" s="14"/>
      <c r="E86" s="14"/>
      <c r="F86" s="14"/>
      <c r="G86" s="32" t="s">
        <v>195</v>
      </c>
      <c r="H86" s="32"/>
      <c r="I86" s="33"/>
      <c r="J86" s="32" t="s">
        <v>367</v>
      </c>
      <c r="K86" s="32"/>
      <c r="L86" s="32"/>
      <c r="M86" s="32">
        <v>3</v>
      </c>
      <c r="N86" s="33">
        <v>5</v>
      </c>
      <c r="O86" s="33"/>
      <c r="P86" s="34"/>
      <c r="Q86" s="40"/>
      <c r="R86" s="34"/>
      <c r="S86" s="33"/>
    </row>
    <row r="87" spans="2:19" x14ac:dyDescent="0.25">
      <c r="B87" s="14"/>
      <c r="C87" s="14"/>
      <c r="D87" s="14"/>
      <c r="E87" s="14"/>
      <c r="F87" s="14"/>
      <c r="G87" s="33" t="s">
        <v>359</v>
      </c>
      <c r="H87" s="33" t="s">
        <v>149</v>
      </c>
      <c r="I87" s="33" t="s">
        <v>96</v>
      </c>
      <c r="J87" s="33" t="s">
        <v>435</v>
      </c>
      <c r="K87" s="33"/>
      <c r="L87" s="33"/>
      <c r="M87" s="33">
        <v>4</v>
      </c>
      <c r="N87" s="33">
        <v>9</v>
      </c>
      <c r="O87" s="33" t="s">
        <v>96</v>
      </c>
      <c r="P87" s="34"/>
      <c r="Q87" s="40"/>
      <c r="R87" s="34"/>
      <c r="S87" s="33" t="s">
        <v>317</v>
      </c>
    </row>
    <row r="88" spans="2:19" x14ac:dyDescent="0.25">
      <c r="B88" s="14"/>
      <c r="C88" s="14"/>
      <c r="D88" s="14"/>
      <c r="E88" s="14"/>
      <c r="F88" s="14"/>
      <c r="G88" s="33" t="s">
        <v>360</v>
      </c>
      <c r="H88" s="33" t="s">
        <v>149</v>
      </c>
      <c r="I88" s="33" t="s">
        <v>96</v>
      </c>
      <c r="J88" s="33" t="s">
        <v>443</v>
      </c>
      <c r="K88" s="33"/>
      <c r="L88" s="33"/>
      <c r="M88" s="33">
        <v>4</v>
      </c>
      <c r="N88" s="33">
        <v>9</v>
      </c>
      <c r="O88" s="33" t="s">
        <v>96</v>
      </c>
      <c r="P88" s="34"/>
      <c r="Q88" s="40"/>
      <c r="R88" s="34"/>
      <c r="S88" s="33" t="s">
        <v>318</v>
      </c>
    </row>
    <row r="89" spans="2:19" x14ac:dyDescent="0.25">
      <c r="B89" s="14"/>
      <c r="C89" s="14"/>
      <c r="D89" s="14"/>
      <c r="E89" s="14"/>
      <c r="F89" s="14"/>
      <c r="G89" s="33" t="s">
        <v>361</v>
      </c>
      <c r="H89" s="33" t="s">
        <v>149</v>
      </c>
      <c r="I89" s="33" t="s">
        <v>96</v>
      </c>
      <c r="J89" s="33" t="s">
        <v>444</v>
      </c>
      <c r="K89" s="33"/>
      <c r="L89" s="33"/>
      <c r="M89" s="33">
        <v>4</v>
      </c>
      <c r="N89" s="33">
        <v>9</v>
      </c>
      <c r="O89" s="33" t="s">
        <v>96</v>
      </c>
      <c r="P89" s="34"/>
      <c r="Q89" s="40"/>
      <c r="R89" s="34"/>
      <c r="S89" s="33" t="s">
        <v>319</v>
      </c>
    </row>
    <row r="90" spans="2:19" x14ac:dyDescent="0.25">
      <c r="B90" s="14"/>
      <c r="C90" s="14"/>
      <c r="D90" s="14"/>
      <c r="E90" s="14"/>
      <c r="F90" s="14"/>
      <c r="G90" s="33" t="s">
        <v>362</v>
      </c>
      <c r="H90" s="33" t="s">
        <v>149</v>
      </c>
      <c r="I90" s="33" t="s">
        <v>96</v>
      </c>
      <c r="J90" s="33" t="s">
        <v>445</v>
      </c>
      <c r="K90" s="33"/>
      <c r="L90" s="33"/>
      <c r="M90" s="33">
        <v>4</v>
      </c>
      <c r="N90" s="33">
        <v>9</v>
      </c>
      <c r="O90" s="33" t="s">
        <v>96</v>
      </c>
      <c r="P90" s="34"/>
      <c r="Q90" s="40"/>
      <c r="R90" s="34"/>
      <c r="S90" s="33" t="s">
        <v>320</v>
      </c>
    </row>
    <row r="91" spans="2:19" x14ac:dyDescent="0.25">
      <c r="B91" s="14"/>
      <c r="C91" s="14"/>
      <c r="D91" s="14"/>
      <c r="E91" s="14"/>
      <c r="F91" s="14"/>
      <c r="G91" s="33" t="s">
        <v>363</v>
      </c>
      <c r="H91" s="33" t="s">
        <v>98</v>
      </c>
      <c r="I91" s="33" t="s">
        <v>96</v>
      </c>
      <c r="J91" s="33" t="s">
        <v>446</v>
      </c>
      <c r="K91" s="33" t="s">
        <v>598</v>
      </c>
      <c r="L91" s="33"/>
      <c r="M91" s="33">
        <v>4</v>
      </c>
      <c r="N91" s="33">
        <v>9</v>
      </c>
      <c r="O91" s="33" t="s">
        <v>96</v>
      </c>
      <c r="P91" s="34"/>
      <c r="Q91" s="40"/>
      <c r="R91" s="34"/>
      <c r="S91" s="33" t="s">
        <v>321</v>
      </c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pageSetup paperSize="9" orientation="portrait" horizontalDpi="4294967295" verticalDpi="4294967295"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41F5-F8A6-4AF1-BA7A-867EDA62C716}">
  <sheetPr codeName="Feuil8"/>
  <dimension ref="B1:Q7"/>
  <sheetViews>
    <sheetView topLeftCell="A68" zoomScale="82" zoomScaleNormal="82" workbookViewId="0">
      <selection activeCell="E35" sqref="E35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2:17" x14ac:dyDescent="0.25">
      <c r="B1" t="s">
        <v>114</v>
      </c>
      <c r="I1" s="9"/>
    </row>
    <row r="3" spans="2:17" x14ac:dyDescent="0.25">
      <c r="B3" t="s">
        <v>90</v>
      </c>
      <c r="C3" t="s">
        <v>112</v>
      </c>
      <c r="D3" t="s">
        <v>110</v>
      </c>
      <c r="E3" t="s">
        <v>136</v>
      </c>
      <c r="F3" t="s">
        <v>97</v>
      </c>
      <c r="G3" t="s">
        <v>100</v>
      </c>
      <c r="H3" t="s">
        <v>135</v>
      </c>
      <c r="I3" t="s">
        <v>91</v>
      </c>
      <c r="J3" t="s">
        <v>155</v>
      </c>
      <c r="K3" t="s">
        <v>154</v>
      </c>
      <c r="L3" t="s">
        <v>196</v>
      </c>
      <c r="M3" t="s">
        <v>92</v>
      </c>
      <c r="N3" t="s">
        <v>111</v>
      </c>
      <c r="O3" t="s">
        <v>116</v>
      </c>
      <c r="P3" t="s">
        <v>108</v>
      </c>
      <c r="Q3" t="s">
        <v>322</v>
      </c>
    </row>
    <row r="4" spans="2:17" x14ac:dyDescent="0.25"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7" spans="2:17" x14ac:dyDescent="0.25">
      <c r="B7" s="14"/>
      <c r="C7" s="14"/>
      <c r="D7" s="14"/>
      <c r="E7" s="14"/>
      <c r="F7" s="33" t="s">
        <v>406</v>
      </c>
      <c r="G7" s="33" t="s">
        <v>101</v>
      </c>
      <c r="H7" s="33" t="s">
        <v>96</v>
      </c>
      <c r="I7" s="33" t="s">
        <v>506</v>
      </c>
      <c r="J7" s="33"/>
      <c r="K7" s="33"/>
      <c r="L7" s="33">
        <v>3</v>
      </c>
      <c r="M7" s="33" t="s">
        <v>96</v>
      </c>
      <c r="N7" s="34"/>
      <c r="O7" s="34"/>
      <c r="P7" s="34"/>
      <c r="Q7" s="33" t="s">
        <v>505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10</vt:i4>
      </vt:variant>
    </vt:vector>
  </HeadingPairs>
  <TitlesOfParts>
    <vt:vector size="18" baseType="lpstr">
      <vt:lpstr>Reporting List</vt:lpstr>
      <vt:lpstr>A - 2000.12</vt:lpstr>
      <vt:lpstr>CACHE</vt:lpstr>
      <vt:lpstr>Planning</vt:lpstr>
      <vt:lpstr>History</vt:lpstr>
      <vt:lpstr>I18N</vt:lpstr>
      <vt:lpstr>JSON</vt:lpstr>
      <vt:lpstr>JSON (2)</vt:lpstr>
      <vt:lpstr>'JSON (2)'!cell_JSON_Param</vt:lpstr>
      <vt:lpstr>cell_JSON_Param</vt:lpstr>
      <vt:lpstr>cellLanguage</vt:lpstr>
      <vt:lpstr>JSON_MetadataQuery</vt:lpstr>
      <vt:lpstr>lCategory</vt:lpstr>
      <vt:lpstr>lCategoryVersion</vt:lpstr>
      <vt:lpstr>lFolders</vt:lpstr>
      <vt:lpstr>tReporting52428888___RF_Save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Administrator</cp:lastModifiedBy>
  <dcterms:created xsi:type="dcterms:W3CDTF">2015-06-05T18:19:34Z</dcterms:created>
  <dcterms:modified xsi:type="dcterms:W3CDTF">2021-03-16T14:12:41Z</dcterms:modified>
</cp:coreProperties>
</file>