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source\repos\CTStation\CTSWeb\Client\"/>
    </mc:Choice>
  </mc:AlternateContent>
  <xr:revisionPtr revIDLastSave="0" documentId="13_ncr:1_{A5C68366-B193-414B-9F30-55F3A95BC93B}" xr6:coauthVersionLast="46" xr6:coauthVersionMax="46" xr10:uidLastSave="{00000000-0000-0000-0000-000000000000}"/>
  <bookViews>
    <workbookView xWindow="-120" yWindow="-120" windowWidth="29040" windowHeight="17640" tabRatio="723" activeTab="3" xr2:uid="{00000000-000D-0000-FFFF-FFFF00000000}"/>
  </bookViews>
  <sheets>
    <sheet name="Liste des reportings" sheetId="6" r:id="rId1"/>
    <sheet name="A - 2000.12" sheetId="14" r:id="rId2"/>
    <sheet name="CACHE" sheetId="10" r:id="rId3"/>
    <sheet name="Planning" sheetId="4" r:id="rId4"/>
    <sheet name="History" sheetId="7" r:id="rId5"/>
    <sheet name="I18N" sheetId="2" r:id="rId6"/>
    <sheet name="JSON" sheetId="8" r:id="rId7"/>
    <sheet name="JSON (2)" sheetId="13" r:id="rId8"/>
  </sheets>
  <functionGroups builtInGroupCount="19"/>
  <definedNames>
    <definedName name="_xlnm._FilterDatabase" localSheetId="0" hidden="1">'Liste des reportings'!$C$10:$E$14</definedName>
    <definedName name="_xlnm._FilterDatabase" localSheetId="3" hidden="1">Planning!$F$17:$M$73</definedName>
    <definedName name="cell_JSON_Param" localSheetId="7">'JSON (2)'!$I$1</definedName>
    <definedName name="cell_JSON_Param">JSON!$J$1</definedName>
    <definedName name="cellLanguage">I18N!$J$1</definedName>
    <definedName name="JSON_MetadataQuery">JSON!$Q$1</definedName>
    <definedName name="lCategory">Planning!$B$3:$B$5</definedName>
    <definedName name="lCategoryVersion">Planning!$B$9</definedName>
    <definedName name="lFolders">Planning!$B$12:$B$13</definedName>
    <definedName name="tReporting52428888___RF_Save">'A - 2000.12'!$B$2</definedName>
    <definedName name="tReportings____ROWS_">'Liste des reportings'!$H$14:$I$41</definedName>
    <definedName name="tReportings___RF_Refresh">'Liste des reportings'!$D$10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73" i="4" l="1"/>
  <c r="C3" i="14"/>
  <c r="D11" i="6"/>
  <c r="K73" i="4"/>
  <c r="CF4" i="14"/>
  <c r="CE4" i="14"/>
  <c r="CD4" i="14"/>
  <c r="CC4" i="14"/>
  <c r="CB4" i="14"/>
  <c r="CA4" i="14"/>
  <c r="BZ4" i="14"/>
  <c r="BY4" i="14"/>
  <c r="BX4" i="14"/>
  <c r="BW4" i="14"/>
  <c r="BV4" i="14"/>
  <c r="BU4" i="14"/>
  <c r="BT4" i="14"/>
  <c r="BS4" i="14"/>
  <c r="BR4" i="14"/>
  <c r="BQ4" i="14"/>
  <c r="BP4" i="14"/>
  <c r="BO4" i="14"/>
  <c r="BN4" i="14"/>
  <c r="BM4" i="14"/>
  <c r="BL4" i="14"/>
  <c r="BK4" i="14"/>
  <c r="BJ4" i="14"/>
  <c r="BI4" i="14"/>
  <c r="BH4" i="14"/>
  <c r="BG4" i="14"/>
  <c r="BF4" i="14"/>
  <c r="BE4" i="14"/>
  <c r="BD4" i="14"/>
  <c r="BC4" i="14"/>
  <c r="BB4" i="14"/>
  <c r="BA4" i="14"/>
  <c r="AZ4" i="14"/>
  <c r="AY4" i="14"/>
  <c r="AX4" i="14"/>
  <c r="AW4" i="14"/>
  <c r="AV4" i="14"/>
  <c r="AU4" i="14"/>
  <c r="AT4" i="14"/>
  <c r="AS4" i="14"/>
  <c r="AR4" i="14"/>
  <c r="AQ4" i="14"/>
  <c r="AP4" i="14"/>
  <c r="AO4" i="14"/>
  <c r="AN4" i="14"/>
  <c r="AM4" i="14"/>
  <c r="AL4" i="14"/>
  <c r="AK4" i="14"/>
  <c r="AJ4" i="14"/>
  <c r="AI4" i="14"/>
  <c r="AH4" i="14"/>
  <c r="AG4" i="14"/>
  <c r="AF4" i="14"/>
  <c r="AE4" i="14"/>
  <c r="AD4" i="14"/>
  <c r="AC4" i="14"/>
  <c r="AB4" i="14"/>
  <c r="AA4" i="14"/>
  <c r="Z4" i="14"/>
  <c r="Y4" i="14"/>
  <c r="X4" i="14"/>
  <c r="W4" i="14"/>
  <c r="V4" i="14"/>
  <c r="U4" i="14"/>
  <c r="T4" i="14"/>
  <c r="S4" i="14"/>
  <c r="R4" i="14"/>
  <c r="Q4" i="14"/>
  <c r="P4" i="14"/>
  <c r="O4" i="14"/>
  <c r="N4" i="14"/>
  <c r="M4" i="14"/>
  <c r="L4" i="14"/>
  <c r="K4" i="14"/>
  <c r="J4" i="14"/>
  <c r="I4" i="14"/>
  <c r="H4" i="14"/>
  <c r="G4" i="14"/>
  <c r="F4" i="14"/>
  <c r="E4" i="14"/>
  <c r="D4" i="14"/>
  <c r="C4" i="14"/>
  <c r="B4" i="14"/>
  <c r="B2" i="14"/>
  <c r="I41" i="6"/>
  <c r="I37" i="6"/>
  <c r="I33" i="6"/>
  <c r="I29" i="6"/>
  <c r="I25" i="6"/>
  <c r="I21" i="6"/>
  <c r="I17" i="6"/>
  <c r="H17" i="6"/>
  <c r="H28" i="6"/>
  <c r="H16" i="6"/>
  <c r="I31" i="6"/>
  <c r="I23" i="6"/>
  <c r="H39" i="6"/>
  <c r="H27" i="6"/>
  <c r="H41" i="6"/>
  <c r="H37" i="6"/>
  <c r="H33" i="6"/>
  <c r="H29" i="6"/>
  <c r="H25" i="6"/>
  <c r="H21" i="6"/>
  <c r="H36" i="6"/>
  <c r="H24" i="6"/>
  <c r="I39" i="6"/>
  <c r="I27" i="6"/>
  <c r="I15" i="6"/>
  <c r="H31" i="6"/>
  <c r="H19" i="6"/>
  <c r="I40" i="6"/>
  <c r="I36" i="6"/>
  <c r="I32" i="6"/>
  <c r="I28" i="6"/>
  <c r="I24" i="6"/>
  <c r="I20" i="6"/>
  <c r="I16" i="6"/>
  <c r="H40" i="6"/>
  <c r="H32" i="6"/>
  <c r="H20" i="6"/>
  <c r="I35" i="6"/>
  <c r="I19" i="6"/>
  <c r="H35" i="6"/>
  <c r="H23" i="6"/>
  <c r="I38" i="6"/>
  <c r="I34" i="6"/>
  <c r="I30" i="6"/>
  <c r="I26" i="6"/>
  <c r="I22" i="6"/>
  <c r="I18" i="6"/>
  <c r="H38" i="6"/>
  <c r="H34" i="6"/>
  <c r="H30" i="6"/>
  <c r="H26" i="6"/>
  <c r="H22" i="6"/>
  <c r="H18" i="6"/>
  <c r="H15" i="6"/>
  <c r="I14" i="6"/>
  <c r="H14" i="6"/>
  <c r="F12" i="6"/>
  <c r="E12" i="6"/>
  <c r="D12" i="6"/>
  <c r="C12" i="6"/>
  <c r="D10" i="6"/>
  <c r="M73" i="4" l="1"/>
  <c r="J73" i="4"/>
  <c r="I73" i="4" l="1"/>
  <c r="H73" i="4"/>
  <c r="F73" i="4" l="1"/>
  <c r="G73" i="4"/>
  <c r="D73" i="4"/>
  <c r="C73" i="4"/>
  <c r="I4" i="6" a="1"/>
  <c r="B73" i="4" l="1"/>
  <c r="I4" i="6"/>
  <c r="G10" i="2"/>
  <c r="H10" i="2" l="1"/>
  <c r="G17" i="2" l="1"/>
  <c r="H17" i="2"/>
  <c r="B4" i="6" a="1"/>
  <c r="B4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<sst xmlns="http://schemas.openxmlformats.org/spreadsheetml/2006/main" count="1422" uniqueCount="756">
  <si>
    <t>ID</t>
  </si>
  <si>
    <t>Param1</t>
  </si>
  <si>
    <t>Param2</t>
  </si>
  <si>
    <t>Param3</t>
  </si>
  <si>
    <t>Param4</t>
  </si>
  <si>
    <t>Param5</t>
  </si>
  <si>
    <t>Start time</t>
  </si>
  <si>
    <t>Source</t>
  </si>
  <si>
    <t>Message</t>
  </si>
  <si>
    <t>Start</t>
  </si>
  <si>
    <t>LOG_End</t>
  </si>
  <si>
    <t>en_US</t>
  </si>
  <si>
    <t>fr_FR</t>
  </si>
  <si>
    <t>Français</t>
  </si>
  <si>
    <t>Anglais</t>
  </si>
  <si>
    <t>French</t>
  </si>
  <si>
    <t>English</t>
  </si>
  <si>
    <t>Début</t>
  </si>
  <si>
    <t>Heure de début</t>
  </si>
  <si>
    <t>Reporting</t>
  </si>
  <si>
    <t>Category</t>
  </si>
  <si>
    <t>A</t>
  </si>
  <si>
    <t>C</t>
  </si>
  <si>
    <t>B</t>
  </si>
  <si>
    <t>Actual</t>
  </si>
  <si>
    <t>F</t>
  </si>
  <si>
    <t>Forecast</t>
  </si>
  <si>
    <t>Budget</t>
  </si>
  <si>
    <t>Category version</t>
  </si>
  <si>
    <t>Current</t>
  </si>
  <si>
    <t>Folders</t>
  </si>
  <si>
    <t>P-A</t>
  </si>
  <si>
    <t>Set of controls</t>
  </si>
  <si>
    <t>Restrictions</t>
  </si>
  <si>
    <t>Operation</t>
  </si>
  <si>
    <t>List of entities</t>
  </si>
  <si>
    <t>P-JV</t>
  </si>
  <si>
    <t>Todo</t>
  </si>
  <si>
    <t>Date picker</t>
  </si>
  <si>
    <t>Text entry</t>
  </si>
  <si>
    <t>Reporting period picker</t>
  </si>
  <si>
    <t>Level of control</t>
  </si>
  <si>
    <t>List of flows</t>
  </si>
  <si>
    <t>List of periods</t>
  </si>
  <si>
    <t>Site</t>
  </si>
  <si>
    <t>Currency</t>
  </si>
  <si>
    <t>Impasse sur le workflow</t>
  </si>
  <si>
    <t>Phase</t>
  </si>
  <si>
    <t>Exercice</t>
  </si>
  <si>
    <t>LOG_StartTime</t>
  </si>
  <si>
    <t>LOG_Source</t>
  </si>
  <si>
    <t>LOG_Message</t>
  </si>
  <si>
    <t>LOG_Start</t>
  </si>
  <si>
    <t>I18N_Version</t>
  </si>
  <si>
    <t>Created</t>
  </si>
  <si>
    <t>Date de création</t>
  </si>
  <si>
    <t>https://www.flaticon.com/</t>
  </si>
  <si>
    <t>I18N_CellValLanguage</t>
  </si>
  <si>
    <t>Language</t>
  </si>
  <si>
    <t>Langue</t>
  </si>
  <si>
    <t>I18N_CellValTip</t>
  </si>
  <si>
    <t>Choisir une langue</t>
  </si>
  <si>
    <t>Choose a language</t>
  </si>
  <si>
    <t/>
  </si>
  <si>
    <t>Tarik</t>
  </si>
  <si>
    <t>Liste des reportings</t>
  </si>
  <si>
    <t>Pierre</t>
  </si>
  <si>
    <t>Category (généralisé à toutes les dimensions)</t>
  </si>
  <si>
    <t>Category version (dépend de la catégory)</t>
  </si>
  <si>
    <t>Duplication</t>
  </si>
  <si>
    <t>JSON</t>
  </si>
  <si>
    <t>Gestion des erreurs</t>
  </si>
  <si>
    <t>Packaging et tests</t>
  </si>
  <si>
    <t>RF_Phase</t>
  </si>
  <si>
    <t>RF_CreationDate</t>
  </si>
  <si>
    <t>RF_Title</t>
  </si>
  <si>
    <t>CTS Reporting Factory</t>
  </si>
  <si>
    <t>Génération des reportings</t>
  </si>
  <si>
    <t>RF_Duplicate</t>
  </si>
  <si>
    <t>Modify</t>
  </si>
  <si>
    <t>Duplicate</t>
  </si>
  <si>
    <t>Modifier</t>
  </si>
  <si>
    <t>Dupliquer</t>
  </si>
  <si>
    <t>RF_Modify</t>
  </si>
  <si>
    <t>TODO</t>
  </si>
  <si>
    <t>Fonction de traduction des dates, avec formats par defaut pour long et court et nom des jours</t>
  </si>
  <si>
    <t>Tri des tableaux</t>
  </si>
  <si>
    <t>RF_Refresh</t>
  </si>
  <si>
    <t>Refresh list</t>
  </si>
  <si>
    <t>Mettre à jour la liste</t>
  </si>
  <si>
    <t>Query</t>
  </si>
  <si>
    <t>Title</t>
  </si>
  <si>
    <t>Hidden</t>
  </si>
  <si>
    <t>RF_ID</t>
  </si>
  <si>
    <t>Yes</t>
  </si>
  <si>
    <t>CreationDate</t>
  </si>
  <si>
    <t>No</t>
  </si>
  <si>
    <t>JSON Column</t>
  </si>
  <si>
    <t>Int</t>
  </si>
  <si>
    <t>Date</t>
  </si>
  <si>
    <t>JSON Type</t>
  </si>
  <si>
    <t>String</t>
  </si>
  <si>
    <t>UpdatePeriod</t>
  </si>
  <si>
    <t>RF_UpdatePeriod</t>
  </si>
  <si>
    <t>Update Period</t>
  </si>
  <si>
    <t>RF_FrameworkVersion</t>
  </si>
  <si>
    <t>Header</t>
  </si>
  <si>
    <t>Version de référentiel</t>
  </si>
  <si>
    <t>Position</t>
  </si>
  <si>
    <t>Row</t>
  </si>
  <si>
    <t>I18N</t>
  </si>
  <si>
    <t>Command</t>
  </si>
  <si>
    <t>Table</t>
  </si>
  <si>
    <t>tReportings</t>
  </si>
  <si>
    <t>Leave at least one empty line between one query and the next</t>
  </si>
  <si>
    <t>Reporting List</t>
  </si>
  <si>
    <t>Params</t>
  </si>
  <si>
    <t>The MIT License (MIT)</t>
  </si>
  <si>
    <t>Copyright (c) 2016 Tim Hall</t>
  </si>
  <si>
    <t>Permission is hereby granted, free of charge, to any person obtaining a copy</t>
  </si>
  <si>
    <t>of this software and associated documentation files (the "Software"), to deal</t>
  </si>
  <si>
    <t>in the Software without restriction, including without limitation the rights</t>
  </si>
  <si>
    <t>to use, copy, modify, merge, publish, distribute, sublicense, and/or sell</t>
  </si>
  <si>
    <t>copies of the Software, and to permit persons to whom the Software is</t>
  </si>
  <si>
    <t>furnished to do so, subject to the following conditions:</t>
  </si>
  <si>
    <t>The above copyright notice and this permission notice shall be included in all</t>
  </si>
  <si>
    <t>copies or substantial portions of the Software.</t>
  </si>
  <si>
    <t>THE SOFTWARE IS PROVIDED "AS IS", WITHOUT WARRANTY OF ANY KIND, EXPRESS OR</t>
  </si>
  <si>
    <t>IMPLIED, INCLUDING BUT NOT LIMITED TO THE WARRANTIES OF MERCHANTABILITY,</t>
  </si>
  <si>
    <t>FITNESS FOR A PARTICULAR PURPOSE AND NONINFRINGEMENT. IN NO EVENT SHALL THE</t>
  </si>
  <si>
    <t>AUTHORS OR COPYRIGHT HOLDERS BE LIABLE FOR ANY CLAIM, DAMAGES OR OTHER</t>
  </si>
  <si>
    <t>LIABILITY, WHETHER IN AN ACTION OF CONTRACT, TORT OR OTHERWISE, ARISING FROM,</t>
  </si>
  <si>
    <t>OUT OF OR IN CONNECTION WITH THE SOFTWARE OR THE USE OR OTHER DEALINGS IN THE</t>
  </si>
  <si>
    <t>SOFTWARE.</t>
  </si>
  <si>
    <t>RF_Save</t>
  </si>
  <si>
    <t>Required</t>
  </si>
  <si>
    <t>JSON Row Array</t>
  </si>
  <si>
    <t>Data</t>
  </si>
  <si>
    <t>x</t>
  </si>
  <si>
    <t>Credits</t>
  </si>
  <si>
    <t>icons</t>
  </si>
  <si>
    <t>Actions en ligne</t>
  </si>
  <si>
    <t>Traduction des feuilles</t>
  </si>
  <si>
    <t>Cacher la barre de formules</t>
  </si>
  <si>
    <t>Fenêtre d'atente</t>
  </si>
  <si>
    <t>Traduire les erreurs</t>
  </si>
  <si>
    <t>RF_Entity</t>
  </si>
  <si>
    <t>RF_InputCurrency</t>
  </si>
  <si>
    <t>RF_CutoffDate</t>
  </si>
  <si>
    <t>Boolean</t>
  </si>
  <si>
    <t>RF_AfterPublication</t>
  </si>
  <si>
    <t>RF_AfterTransfer</t>
  </si>
  <si>
    <t>Sélection après création</t>
  </si>
  <si>
    <t>Passage d'argument dans les commandes</t>
  </si>
  <si>
    <t>Format</t>
  </si>
  <si>
    <t>Editor</t>
  </si>
  <si>
    <t>LongDate</t>
  </si>
  <si>
    <t>I18N_Months</t>
  </si>
  <si>
    <t>Jan. Feb. Mar. Apr. May June July Aug. Sep. Oct. Nov. Dec. January February March April May June July August September October November December</t>
  </si>
  <si>
    <t>jan. fév. mars ajr. mai juin juil. août sep. oct. nov. déc. janvier février mars avril mai june juillet août septembre octobre novembre décembre</t>
  </si>
  <si>
    <t>I18N_Days</t>
  </si>
  <si>
    <t>Sun Mon Tue Wed Thu Fri Sat Sunday Monday Tuesday Wednesday Thursday Friday Saturday</t>
  </si>
  <si>
    <t>I18N_YesNo</t>
  </si>
  <si>
    <t>Yes No</t>
  </si>
  <si>
    <t>Oui Non</t>
  </si>
  <si>
    <t>01</t>
  </si>
  <si>
    <t>10 12 15</t>
  </si>
  <si>
    <t>I18N_DateFormats</t>
  </si>
  <si>
    <t>Dim Lun Mar Mer Jeu Ven Sam Dimanche Lundi Mardi Mercredi Jeudi Vendredi Samedi</t>
  </si>
  <si>
    <t>mm/dd/yy|ddd mmm dd, yyyy|dddd mmmm dd, yyyy</t>
  </si>
  <si>
    <t>dd mm yy|ddd dd mmm yyyy|dddd dd mmmm yyyy</t>
  </si>
  <si>
    <t>RF_UpdateData</t>
  </si>
  <si>
    <t>RF_UpdateDataTitle</t>
  </si>
  <si>
    <t>Connection au serveur</t>
  </si>
  <si>
    <t>Connect to server</t>
  </si>
  <si>
    <t>RF_I18N_Sheet</t>
  </si>
  <si>
    <t>Proposer de changer de server sur timeout</t>
  </si>
  <si>
    <t>{"CodeName": "RF_I18N_Sheet", "Cell": "C10"}</t>
  </si>
  <si>
    <t>{"RF_ID":"?","RF_Phase":"?","RF_UpdatePeriod":"?"}</t>
  </si>
  <si>
    <t>Données dans feuille et relecture</t>
  </si>
  <si>
    <t>RF_EarlyPublishing</t>
  </si>
  <si>
    <t>Entity</t>
  </si>
  <si>
    <t>Unité</t>
  </si>
  <si>
    <t>Devise</t>
  </si>
  <si>
    <t>Cutoff Date</t>
  </si>
  <si>
    <t>Date limite</t>
  </si>
  <si>
    <t>Integrate after publication</t>
  </si>
  <si>
    <t>Integrate after transfer</t>
  </si>
  <si>
    <t>Intégrer après publication</t>
  </si>
  <si>
    <t>Intégrer après transfert</t>
  </si>
  <si>
    <t>Sauvegarder</t>
  </si>
  <si>
    <t>/Data/Phase</t>
  </si>
  <si>
    <t>/Data/UpdatePeriod</t>
  </si>
  <si>
    <t>/Data/FrameworkVersion</t>
  </si>
  <si>
    <t>yyyy-mm-dd hh:mm</t>
  </si>
  <si>
    <t>#Group</t>
  </si>
  <si>
    <t>Level</t>
  </si>
  <si>
    <t>RF_Entity2</t>
  </si>
  <si>
    <t>RF_Operation</t>
  </si>
  <si>
    <t>RF_Reporting</t>
  </si>
  <si>
    <t>Code</t>
  </si>
  <si>
    <t>Name</t>
  </si>
  <si>
    <t>Exploitation</t>
  </si>
  <si>
    <t>Colonnes à cacher dans feuille</t>
  </si>
  <si>
    <t xml:space="preserve"> 1</t>
  </si>
  <si>
    <t xml:space="preserve"> 2</t>
  </si>
  <si>
    <t xml:space="preserve"> 3</t>
  </si>
  <si>
    <t xml:space="preserve"> 4</t>
  </si>
  <si>
    <t xml:space="preserve">Gérer l'erreur 408 </t>
  </si>
  <si>
    <t>Save changes</t>
  </si>
  <si>
    <t>Version 0.7</t>
  </si>
  <si>
    <t>29 07 2020</t>
  </si>
  <si>
    <t>Corrige Save Changes (manquait un n)</t>
  </si>
  <si>
    <t>Prépare les suggestions de Bruno</t>
  </si>
  <si>
    <t>Adapté au 64 bits</t>
  </si>
  <si>
    <t>Version 0.6</t>
  </si>
  <si>
    <t>27 07 2020</t>
  </si>
  <si>
    <t>Première diffusion pour revue</t>
  </si>
  <si>
    <t>Dans le dialogue de duplication, ajouter la deadline et les dates de début et de fin</t>
  </si>
  <si>
    <t>Autoriser plusieurs reprtings dans une même feuille</t>
  </si>
  <si>
    <t>Tâches de consolidation et de pré consolidation</t>
  </si>
  <si>
    <t>Définitions de consolidation</t>
  </si>
  <si>
    <t>Chargement des taux</t>
  </si>
  <si>
    <t>Web Access</t>
  </si>
  <si>
    <t>64 bits</t>
  </si>
  <si>
    <t>Première diffusion</t>
  </si>
  <si>
    <t>Version 0.8</t>
  </si>
  <si>
    <t>29 11 2020</t>
  </si>
  <si>
    <t>Séparer l'adresse du serveur du reste des requêtes</t>
  </si>
  <si>
    <t>Content</t>
  </si>
  <si>
    <t>JSON Query</t>
  </si>
  <si>
    <t>Next ID</t>
  </si>
  <si>
    <t>Gère la dupication</t>
  </si>
  <si>
    <t>Cache les données</t>
  </si>
  <si>
    <t>Gère l'ouverture de plusieurs reportings</t>
  </si>
  <si>
    <t>Direction</t>
  </si>
  <si>
    <t>Timestamp</t>
  </si>
  <si>
    <t>Voulez-vous vous connecter au serveur et mettre à jour la liste des reportings ?</t>
  </si>
  <si>
    <t>Key</t>
  </si>
  <si>
    <t>tReporting{ID}</t>
  </si>
  <si>
    <t>Le serveur ne fait pas partie de l'identifiant des données, donc des comparaisons entre serveurs exigent deux fichiers</t>
  </si>
  <si>
    <t>Traduire les forms</t>
  </si>
  <si>
    <t>Version 0.9</t>
  </si>
  <si>
    <t>Bug fix</t>
  </si>
  <si>
    <t>Supprime la référence aux contrôles SP4</t>
  </si>
  <si>
    <t>Cache le quadrillage dans les détails</t>
  </si>
  <si>
    <t>Version 0.91</t>
  </si>
  <si>
    <t>Version 0.92.1</t>
  </si>
  <si>
    <t>28 02 2021</t>
  </si>
  <si>
    <t>Full info</t>
  </si>
  <si>
    <t>aj</t>
  </si>
  <si>
    <t>FlatDesc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</si>
  <si>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</si>
  <si>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</si>
  <si>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</si>
  <si>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</si>
  <si>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</si>
  <si>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</si>
  <si>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</si>
  <si>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</si>
  <si>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</si>
  <si>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</si>
  <si>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</si>
  <si>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</si>
  <si>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</si>
  <si>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</si>
  <si>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</si>
  <si>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</si>
  <si>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</si>
  <si>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</si>
  <si>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</si>
  <si>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</si>
  <si>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w</t>
  </si>
  <si>
    <t>z</t>
  </si>
  <si>
    <t>aa</t>
  </si>
  <si>
    <t>ab</t>
  </si>
  <si>
    <t>ac</t>
  </si>
  <si>
    <t>ae</t>
  </si>
  <si>
    <t>af</t>
  </si>
  <si>
    <t>ag</t>
  </si>
  <si>
    <t>ah</t>
  </si>
  <si>
    <t>ak</t>
  </si>
  <si>
    <t>al</t>
  </si>
  <si>
    <t>am</t>
  </si>
  <si>
    <t>an</t>
  </si>
  <si>
    <t>ca</t>
  </si>
  <si>
    <t>cb</t>
  </si>
  <si>
    <t>cc</t>
  </si>
  <si>
    <t>cd</t>
  </si>
  <si>
    <t>ce</t>
  </si>
  <si>
    <t>cf</t>
  </si>
  <si>
    <t>cg</t>
  </si>
  <si>
    <t>ch</t>
  </si>
  <si>
    <t>ci</t>
  </si>
  <si>
    <t>cj</t>
  </si>
  <si>
    <t>ck</t>
  </si>
  <si>
    <t>cl</t>
  </si>
  <si>
    <t>cm</t>
  </si>
  <si>
    <t>cn</t>
  </si>
  <si>
    <t>co</t>
  </si>
  <si>
    <t>cp</t>
  </si>
  <si>
    <t>cq</t>
  </si>
  <si>
    <t>cr</t>
  </si>
  <si>
    <t>cs</t>
  </si>
  <si>
    <t>ct</t>
  </si>
  <si>
    <t>cu</t>
  </si>
  <si>
    <t>cv</t>
  </si>
  <si>
    <t>cw</t>
  </si>
  <si>
    <t>cx</t>
  </si>
  <si>
    <t>cy</t>
  </si>
  <si>
    <t>cz</t>
  </si>
  <si>
    <t>da</t>
  </si>
  <si>
    <t>db</t>
  </si>
  <si>
    <t>dc</t>
  </si>
  <si>
    <t>dd</t>
  </si>
  <si>
    <t>de</t>
  </si>
  <si>
    <t>df</t>
  </si>
  <si>
    <t>dg</t>
  </si>
  <si>
    <t>dh</t>
  </si>
  <si>
    <t>di</t>
  </si>
  <si>
    <t>dj</t>
  </si>
  <si>
    <t>dk</t>
  </si>
  <si>
    <t>ReturnCol</t>
  </si>
  <si>
    <t>RF_RepPack</t>
  </si>
  <si>
    <t>RF_RepOp</t>
  </si>
  <si>
    <t>RF_RepOpAftPub</t>
  </si>
  <si>
    <t>RF_RepOpAftTran</t>
  </si>
  <si>
    <t>RF_RepDesc</t>
  </si>
  <si>
    <t>InputCurrency</t>
  </si>
  <si>
    <t>InputSite</t>
  </si>
  <si>
    <t>PublicationSite</t>
  </si>
  <si>
    <t>PackPackage/UseDefaultWindowsFolder</t>
  </si>
  <si>
    <t>PackPackage/WindowsFolder</t>
  </si>
  <si>
    <t>PackPackage/UseDefaultInternetFolder</t>
  </si>
  <si>
    <t>PackPackage/InternetFolder</t>
  </si>
  <si>
    <t>PackPackage/UseDefaultSetOfControls</t>
  </si>
  <si>
    <t>PackPackage/SetOfControls</t>
  </si>
  <si>
    <t>PackPackage/UseDefaultLevel</t>
  </si>
  <si>
    <t>PackPackage/LevelToReach</t>
  </si>
  <si>
    <t>PackPackage/Blocking</t>
  </si>
  <si>
    <t>PackPackage/UseDefaultLock</t>
  </si>
  <si>
    <t>PackPackage/LockOnPublication</t>
  </si>
  <si>
    <t>PackPackage/UseDefaultRuleSet</t>
  </si>
  <si>
    <t>PackPackage/RuleSet</t>
  </si>
  <si>
    <t>PackPackage/UseDefaultOpbal</t>
  </si>
  <si>
    <t>PackPackage/HasOpBal</t>
  </si>
  <si>
    <t>PackPackage/OpbPhase</t>
  </si>
  <si>
    <t>PackPackage/OpbUpdatePeriod</t>
  </si>
  <si>
    <t>PackPackage/OpbScope</t>
  </si>
  <si>
    <t>PackPackage/OpbVariant</t>
  </si>
  <si>
    <t>PackPackage/OpbConsCurrency</t>
  </si>
  <si>
    <t>PackOperation/UseDefaultPublish</t>
  </si>
  <si>
    <t>PackOperation/PackPublishingCutOffDate</t>
  </si>
  <si>
    <t>PackOperation/AllowEarlyPublishing</t>
  </si>
  <si>
    <t>PackOperation/UseDefaultAfterPub</t>
  </si>
  <si>
    <t>PackOperation/AfterPublication/Standard</t>
  </si>
  <si>
    <t>PackOperation/AfterPublication/Special</t>
  </si>
  <si>
    <t>PackOperation/AfterPublication/Advanced</t>
  </si>
  <si>
    <t>PackOperation/AfterPublication/Level</t>
  </si>
  <si>
    <t>PackOperation/UseDefaultAfterTran</t>
  </si>
  <si>
    <t>PackOperation/AfterTransfer/Standard</t>
  </si>
  <si>
    <t>PackOperation/AfterTransfer/Special</t>
  </si>
  <si>
    <t>PackOperation/AfterTransfer/Advanced</t>
  </si>
  <si>
    <t>PackOperation/AfterTransfer/Level</t>
  </si>
  <si>
    <t>RF_EntPack</t>
  </si>
  <si>
    <t>RF_EntOp</t>
  </si>
  <si>
    <t>RF_EntOpAftPub</t>
  </si>
  <si>
    <t>RF_EntOpAftTran</t>
  </si>
  <si>
    <t>Folder</t>
  </si>
  <si>
    <t>Lock</t>
  </si>
  <si>
    <t>SetOfRules</t>
  </si>
  <si>
    <t>Recipient</t>
  </si>
  <si>
    <t>RF_Start</t>
  </si>
  <si>
    <t>RF_End</t>
  </si>
  <si>
    <t>/Data/ReportingStartDate</t>
  </si>
  <si>
    <t>/Data/ReportingEndDate</t>
  </si>
  <si>
    <t>/Data/DefaultPackage/UseDefaultWindowsFolder</t>
  </si>
  <si>
    <t>/Data/DefaultPackage/WindowsFolder</t>
  </si>
  <si>
    <t>/Data/DefaultPackage/UseDefaultInternetFolder</t>
  </si>
  <si>
    <t>/Data/DefaultPackage/InternetFolder</t>
  </si>
  <si>
    <t>/Data/DefaultPackage/UseDefaultSetOfControls</t>
  </si>
  <si>
    <t>/Data/DefaultPackage/SetOfControls</t>
  </si>
  <si>
    <t>/Data/DefaultPackage/UseDefaultLevel</t>
  </si>
  <si>
    <t>/Data/DefaultPackage/LevelToReach</t>
  </si>
  <si>
    <t>/Data/DefaultPackage/Blocking</t>
  </si>
  <si>
    <t>/Data/DefaultPackage/UseDefaultLock</t>
  </si>
  <si>
    <t>/Data/DefaultPackage/LockOnPublication</t>
  </si>
  <si>
    <t>/Data/DefaultPackage/UseDefaultRuleSet</t>
  </si>
  <si>
    <t>/Data/DefaultPackage/RuleSet</t>
  </si>
  <si>
    <t>/Data/DefaultPackage/UseDefaultOpbal</t>
  </si>
  <si>
    <t>/Data/DefaultPackage/HasOpBal</t>
  </si>
  <si>
    <t>/Data/DefaultPackage/OpbPhase</t>
  </si>
  <si>
    <t>/Data/DefaultPackage/OpbUpdatePeriod</t>
  </si>
  <si>
    <t>/Data/DefaultPackage/OpbScope</t>
  </si>
  <si>
    <t>/Data/DefaultPackage/OpbVariant</t>
  </si>
  <si>
    <t>/Data/DefaultPackage/OpbConsCurrency</t>
  </si>
  <si>
    <t>/Data/DefaultOperation/PackPublishingCutOffDate</t>
  </si>
  <si>
    <t>/Data/DefaultOperation/AllowEarlyPublishing</t>
  </si>
  <si>
    <t>/Data/DefaultOperation/AfterPublication/Standard</t>
  </si>
  <si>
    <t>/Data/DefaultOperation/AfterPublication/Special</t>
  </si>
  <si>
    <t>/Data/DefaultOperation/AfterPublication/Advanced</t>
  </si>
  <si>
    <t>/Data/DefaultOperation/AfterPublication/Level</t>
  </si>
  <si>
    <t>/Data/DefaultOperation/AfterTransfer/Standard</t>
  </si>
  <si>
    <t>/Data/DefaultOperation/AfterTransfer/Special</t>
  </si>
  <si>
    <t>/Data/DefaultOperation/AfterTransfer/Advanced</t>
  </si>
  <si>
    <t>/Data/DefaultOperation/AfterTransfer/Level</t>
  </si>
  <si>
    <t>/Data/Descriptions</t>
  </si>
  <si>
    <t>RF_RepOpAftPubStd</t>
  </si>
  <si>
    <t>RF_RepOpAftPubSpe</t>
  </si>
  <si>
    <t>RF_RepOpAftPubAdv</t>
  </si>
  <si>
    <t>RF_RepOpAftPubLvl</t>
  </si>
  <si>
    <t>RF_RepOpAftTranStd</t>
  </si>
  <si>
    <t>RF_RepOpAftTranSpe</t>
  </si>
  <si>
    <t>RF_RepOpAftTranAdv</t>
  </si>
  <si>
    <t>RF_RepOpAftTranLvl</t>
  </si>
  <si>
    <t>RF_InputSite</t>
  </si>
  <si>
    <t>RF_PublicationSite</t>
  </si>
  <si>
    <t>RF_EntUseDefaultWindowsFolder</t>
  </si>
  <si>
    <t>RF_EntUseDefaultInternetFolder</t>
  </si>
  <si>
    <t>RF_EntUseDefaultSetOfControls</t>
  </si>
  <si>
    <t>RF_EntUseDefaultLevel</t>
  </si>
  <si>
    <t>RF_EntLevelToReach</t>
  </si>
  <si>
    <t>RF_EntBlocking</t>
  </si>
  <si>
    <t>RF_EntUseDefaultLock</t>
  </si>
  <si>
    <t>RF_EntUseDefaultRuleSet</t>
  </si>
  <si>
    <t>RF_EntUseDefaultOpbal</t>
  </si>
  <si>
    <t>RF_EntHasOpBal</t>
  </si>
  <si>
    <t>RF_EntOpbUpdatePeriod</t>
  </si>
  <si>
    <t>RF_EntOpbScope</t>
  </si>
  <si>
    <t>RF_EntOpbVariant</t>
  </si>
  <si>
    <t>RF_EntOpbConsCurrency</t>
  </si>
  <si>
    <t>RF_EntUseDefaultPublish</t>
  </si>
  <si>
    <t>RF_EntPackPublishingCutOffDate</t>
  </si>
  <si>
    <t>RF_EntAllowEarlyPublishing</t>
  </si>
  <si>
    <t>RF_EntUseDefaultAfterPub</t>
  </si>
  <si>
    <t>RF_EntUseDefaultAfterTran</t>
  </si>
  <si>
    <t>RF_EntWindowsFolder</t>
  </si>
  <si>
    <t>RF_EntSetOfControls</t>
  </si>
  <si>
    <t>RF_EntLockOnPublication</t>
  </si>
  <si>
    <t>RF_EntRuleSet</t>
  </si>
  <si>
    <t>RF_EntOpbPhase</t>
  </si>
  <si>
    <t>RF_EntAftPubStandard</t>
  </si>
  <si>
    <t>RF_EntAftPubLevel</t>
  </si>
  <si>
    <t>RF_EntAftTranStandard</t>
  </si>
  <si>
    <t>RF_EntAftTranSpecial</t>
  </si>
  <si>
    <t>RF_EntAftTranAdvanced</t>
  </si>
  <si>
    <t>RF_EntAftTranLevel</t>
  </si>
  <si>
    <t>RF_EntAftPubSpecial</t>
  </si>
  <si>
    <t>RF_EntAftPubAdvanced</t>
  </si>
  <si>
    <t>RF_EntInternetFolder</t>
  </si>
  <si>
    <t>RF_UseDefaultWindowsFolder</t>
  </si>
  <si>
    <t>RF_WindowsFolder</t>
  </si>
  <si>
    <t>RF_UseDefaultInternetFolder</t>
  </si>
  <si>
    <t>RF_InternetFolder</t>
  </si>
  <si>
    <t>RF_UseDefaultSetOfControls</t>
  </si>
  <si>
    <t>RF_SetOfControls</t>
  </si>
  <si>
    <t>RF_UseDefaultLevel</t>
  </si>
  <si>
    <t>RF_LevelToReach</t>
  </si>
  <si>
    <t>RF_Blocking</t>
  </si>
  <si>
    <t>RF_UseDefaultLock</t>
  </si>
  <si>
    <t>RF_LockOnPublication</t>
  </si>
  <si>
    <t>RF_UseDefaultRuleSet</t>
  </si>
  <si>
    <t>RF_RuleSet</t>
  </si>
  <si>
    <t>RF_UseDefaultOpbal</t>
  </si>
  <si>
    <t>RF_HasOpBal</t>
  </si>
  <si>
    <t>RF_OpbPhase</t>
  </si>
  <si>
    <t>RF_OpbUpdatePeriod</t>
  </si>
  <si>
    <t>RF_OpbScope</t>
  </si>
  <si>
    <t>RF_OpbVariant</t>
  </si>
  <si>
    <t>RF_OpbConsCurrency</t>
  </si>
  <si>
    <t>Start date</t>
  </si>
  <si>
    <t>End date</t>
  </si>
  <si>
    <t>Fin</t>
  </si>
  <si>
    <t>Package</t>
  </si>
  <si>
    <t>Liasse</t>
  </si>
  <si>
    <t>Default Windows Folder?</t>
  </si>
  <si>
    <t>Default Internet Folder?</t>
  </si>
  <si>
    <t>Default Level?</t>
  </si>
  <si>
    <t>Blocking?</t>
  </si>
  <si>
    <t>Windows folder</t>
  </si>
  <si>
    <t>Internet folder</t>
  </si>
  <si>
    <t>Cahier Windows</t>
  </si>
  <si>
    <t>Cahier Internet</t>
  </si>
  <si>
    <t>Cahier Windows: défaut?</t>
  </si>
  <si>
    <t>Cahier Internet: défaut?</t>
  </si>
  <si>
    <t>Control Set: default?</t>
  </si>
  <si>
    <t>Jeu de contrôles: défaut?</t>
  </si>
  <si>
    <t>Control Set</t>
  </si>
  <si>
    <t>Jeu de contrôles</t>
  </si>
  <si>
    <t>Niveau de contrôle: défaut?</t>
  </si>
  <si>
    <t>Control Level</t>
  </si>
  <si>
    <t>Niveau de contrôle</t>
  </si>
  <si>
    <t>Bloquant?</t>
  </si>
  <si>
    <t>Connect to  server and refresh the reporting list?</t>
  </si>
  <si>
    <t>/api/reporting/{ID}</t>
  </si>
  <si>
    <t>/api/reportings</t>
  </si>
  <si>
    <t>Lacks restriction</t>
  </si>
  <si>
    <t>Lacks BFC Dim picker</t>
  </si>
  <si>
    <t>Bug on opening balance generation</t>
  </si>
  <si>
    <t>172.31.38.85</t>
  </si>
  <si>
    <t>SAPFCSQLSERVER</t>
  </si>
  <si>
    <t>ADMIN</t>
  </si>
  <si>
    <t>fr-FR</t>
  </si>
  <si>
    <t>en-US</t>
  </si>
  <si>
    <t>https://localhost:44304</t>
  </si>
  <si>
    <t>auLDescfr_FR</t>
  </si>
  <si>
    <t>RF_DescFr</t>
  </si>
  <si>
    <t>Multilang desc</t>
  </si>
  <si>
    <t>Serveur: Nettoyer le Save</t>
  </si>
  <si>
    <t>Serveur: A nouveaux</t>
  </si>
  <si>
    <t>Vider le cache en cas de changement de user/datasource</t>
  </si>
  <si>
    <t>Supprimer la copie cachée</t>
  </si>
  <si>
    <t>Afficher les libellés</t>
  </si>
  <si>
    <t>Jeton de session</t>
  </si>
  <si>
    <t>Liste des langues et erreurs dans la connexion</t>
  </si>
  <si>
    <t>Présenter les messages</t>
  </si>
  <si>
    <t>Data/EntityReportings</t>
  </si>
  <si>
    <t>Commande Add description</t>
  </si>
  <si>
    <t>Protéger la query de liste des reportings</t>
  </si>
  <si>
    <t>Largeur des cols</t>
  </si>
  <si>
    <t>{"Post":"/api/Reporting"}</t>
  </si>
  <si>
    <t>Version 0.93.1</t>
  </si>
  <si>
    <t>08 03 2021</t>
  </si>
  <si>
    <t>Saves reporting</t>
  </si>
  <si>
    <t>Placer sur une cellule visible</t>
  </si>
  <si>
    <t>Ouvrir et fermer les groupes au départ</t>
  </si>
  <si>
    <t>Changer l'ordre de plan quand juste des hidden</t>
  </si>
  <si>
    <t>Lock: default?</t>
  </si>
  <si>
    <t>Verrouillage: défaut?</t>
  </si>
  <si>
    <t>Verrouillage</t>
  </si>
  <si>
    <t>Lock on publication</t>
  </si>
  <si>
    <t>Rule Set: default?</t>
  </si>
  <si>
    <t>Jeu de règles: défaut?</t>
  </si>
  <si>
    <t>Tester le jeu de règles</t>
  </si>
  <si>
    <t>Rule Set</t>
  </si>
  <si>
    <t>Jeu de règles</t>
  </si>
  <si>
    <t>Opening balance: default?</t>
  </si>
  <si>
    <t>Opening balance?</t>
  </si>
  <si>
    <t>A-nouveaux: défaut?</t>
  </si>
  <si>
    <t>A-nouveaux?</t>
  </si>
  <si>
    <t>OB Category</t>
  </si>
  <si>
    <t>AN Phase</t>
  </si>
  <si>
    <t>OB Update Period</t>
  </si>
  <si>
    <t>AN Exercice</t>
  </si>
  <si>
    <t>OB Scope</t>
  </si>
  <si>
    <t>AN Périmètre</t>
  </si>
  <si>
    <t>OB Variant</t>
  </si>
  <si>
    <t>AN Variante</t>
  </si>
  <si>
    <t>OB Currency</t>
  </si>
  <si>
    <t>AN Devise</t>
  </si>
  <si>
    <t>After publication</t>
  </si>
  <si>
    <t>Après publication</t>
  </si>
  <si>
    <t>Standard pub.</t>
  </si>
  <si>
    <t>Publication standard</t>
  </si>
  <si>
    <t>Special pub.</t>
  </si>
  <si>
    <t>Publication spéciale</t>
  </si>
  <si>
    <t>Advanced pub.</t>
  </si>
  <si>
    <t>Publication avancée</t>
  </si>
  <si>
    <t>After pub. Level</t>
  </si>
  <si>
    <t>Niveau après pub.</t>
  </si>
  <si>
    <t>After transfert</t>
  </si>
  <si>
    <t>Après transfert</t>
  </si>
  <si>
    <t>Standard tran.</t>
  </si>
  <si>
    <t>Descriptions</t>
  </si>
  <si>
    <t>Libellés</t>
  </si>
  <si>
    <t>Special tran.</t>
  </si>
  <si>
    <t>Advanced tran.</t>
  </si>
  <si>
    <t>After tran. Level</t>
  </si>
  <si>
    <t>Transfert standard</t>
  </si>
  <si>
    <t>Transfert spécial</t>
  </si>
  <si>
    <t>Transfert avancé</t>
  </si>
  <si>
    <t>Niveau après tran.</t>
  </si>
  <si>
    <t>Input Site</t>
  </si>
  <si>
    <t>Site de saisie</t>
  </si>
  <si>
    <t>Publication Site</t>
  </si>
  <si>
    <t>Site de publication</t>
  </si>
  <si>
    <t>After transfert: default?</t>
  </si>
  <si>
    <t>Après transfert: défaut?</t>
  </si>
  <si>
    <t>After publication: default?</t>
  </si>
  <si>
    <t>Après publication: défaut?</t>
  </si>
  <si>
    <t>Operation: default?</t>
  </si>
  <si>
    <t>Exploitation: défaut?</t>
  </si>
  <si>
    <t>Early publishing?</t>
  </si>
  <si>
    <t>Publication anticipée?</t>
  </si>
  <si>
    <t>Date picker 64b</t>
  </si>
  <si>
    <t>Editable?</t>
  </si>
  <si>
    <t>#Group#Open</t>
  </si>
  <si>
    <t>Width</t>
  </si>
  <si>
    <t>Commande Add entities</t>
  </si>
  <si>
    <t>Editors</t>
  </si>
  <si>
    <t>PublishedFramework_1</t>
  </si>
  <si>
    <t>PublishedFramework_2</t>
  </si>
  <si>
    <t>Conso_1</t>
  </si>
  <si>
    <t>Conso_2</t>
  </si>
  <si>
    <t>Conso_3</t>
  </si>
  <si>
    <t>Conso_4</t>
  </si>
  <si>
    <t>Conso_5</t>
  </si>
  <si>
    <t>SetOfCtrl_1</t>
  </si>
  <si>
    <t>SetOfCtrl_2</t>
  </si>
  <si>
    <t>MDPicker: ajouter les libellés</t>
  </si>
  <si>
    <t>/api/metadata/{ID}</t>
  </si>
  <si>
    <t>UpdPer</t>
  </si>
  <si>
    <t>In</t>
  </si>
  <si>
    <t>{"Data":[{"Phase":"A","UpdatePeriod":"2000.12","FrameworkVersion":"C","ReportingStartDate":"2021-02-24T10:02:00Z","ReportingEndDate":"2021-02-27T10:02:00Z","OwnerSite":100,"OwnerWorkgroup":0,"CreationDate":"2021-03-01T16:55:21Z","Author":-524286,"UpdateDate":"2021-03-07T18:52:37Z","UpdateAuthor":-524286,"Descriptions":[{"CultureName":"fr-FR","Texts":{"LDesc":"Test"}},{"CultureName":"en-US","Texts":{"LDesc":"Actual - 2000.12"}}],"ID":52428888,"LDesc":"Test","Name":"A - 2000.12"},{"Phase":"A","UpdatePeriod":"2001.11","FrameworkVersion":"C","ReportingStartDate":"2021-02-23T15:52:39Z","ReportingEndDate":"2021-04-25T16:00:10Z","OwnerSite":100,"OwnerWorkgroup":0,"CreationDate":"2021-02-23T14:52:39Z","Author":-524286,"UpdateDate":"2021-02-25T15:00:10Z","UpdateAuthor":-524286,"Descriptions":[{"CultureName":"fr-FR","Texts":{"LDesc":"Réel - 2001.11"}},{"CultureName":"en-US","Texts":{"LDesc":"Actual - 2001.11"}}],"ID":52428859,"LDesc":"Réel - 2001.11","Name":"A - 2001.11"},{"Phase":"A","UpdatePeriod":"2001.12","FrameworkVersion":"C","ReportingStartDate":"2021-02-23T15:12:48Z","ReportingEndDate":"2021-04-23T15:12:48Z","OwnerSite":100,"OwnerWorkgroup":0,"CreationDate":"2021-02-23T14:13:08Z","Author":-524286,"UpdateDate":"2021-02-23T14:13:08Z","UpdateAuthor":-524286,"Descriptions":[{"CultureName":"fr-FR","Texts":{"LDesc":"Réel - 2001.12"}},{"CultureName":"en-US","Texts":{"LDesc":"Actual - 2001.12"}}],"ID":52428858,"LDesc":"Réel - 2001.12","Name":"A - 2001.12"},{"Phase":"A","UpdatePeriod":"2002.01","FrameworkVersion":"C","ReportingStartDate":"2021-02-18T20:47:58Z","ReportingEndDate":"2021-03-20T20:47:58Z","OwnerSite":100,"OwnerWorkgroup":0,"CreationDate":"2021-02-18T20:47:58Z","Author":-524286,"UpdateDate":"2021-02-18T20:47:58Z","UpdateAuthor":-524286,"Descriptions":[{"CultureName":"fr-FR","Texts":{"LDesc":""}},{"CultureName":"en-US","Texts":{"LDesc":""}}],"ID":52428847,"LDesc":null,"Name":"A - 2002.01"},{"Phase":"A","UpdatePeriod":"2002.02","FrameworkVersion":"C","ReportingStartDate":"2021-02-23T15:02:13Z","ReportingEndDate":"2021-04-23T15:03:23Z","OwnerSite":100,"OwnerWorkgroup":0,"CreationDate":"2021-02-23T14:02:13Z","Author":-524286,"UpdateDate":"2021-02-23T14:04:19Z","UpdateAuthor":-524286,"Descriptions":[{"CultureName":"fr-FR","Texts":{"LDesc":""}},{"CultureName":"en-US","Texts":{"LDesc":""}}],"ID":52428855,"LDesc":null,"Name":"A - 2002.02"},{"Phase":"A","UpdatePeriod":"2002.03","FrameworkVersion":"C","ReportingStartDate":"2021-02-23T11:30:37Z","ReportingEndDate":"2021-03-25T11:30:37Z","OwnerSite":100,"OwnerWorkgroup":0,"CreationDate":"2021-02-23T11:30:51Z","Author":-524286,"UpdateDate":"2021-02-23T11:30:51Z","UpdateAuthor":-524286,"Descriptions":[{"CultureName":"fr-FR","Texts":{"LDesc":""}},{"CultureName":"en-US","Texts":{"LDesc":""}}],"ID":52428853,"LDesc":null,"Name":"A - 2002.03"},{"Phase":"A","UpdatePeriod":"2002.04","FrameworkVersion":"C","ReportingStartDate":"2021-02-23T12:13:56Z","ReportingEndDate":"2021-04-23T12:13:50Z","OwnerSite":100,"OwnerWorkgroup":0,"CreationDate":"2021-02-23T11:15:06Z","Author":-524286,"UpdateDate":"2021-02-23T11:15:06Z","UpdateAuthor":-524286,"Descriptions":[{"CultureName":"fr-FR","Texts":{"LDesc":""}},{"CultureName":"en-US","Texts":{"LDesc":""}}],"ID":52428851,"LDesc":null,"Name":"A - 2002.04"},{"Phase":"A","UpdatePeriod":"2002.05","FrameworkVersion":"C","ReportingStartDate":"2021-02-23T11:36:13Z","ReportingEndDate":"2021-04-23T11:36:13Z","OwnerSite":100,"OwnerWorkgroup":0,"CreationDate":"2021-02-23T10:36:13Z","Author":-524286,"UpdateDate":"2021-02-23T10:36:13Z","UpdateAuthor":-524286,"Descriptions":[{"CultureName":"fr-FR","Texts":{"LDesc":""}},{"CultureName":"en-US","Texts":{"LDesc":""}}],"ID":52428848,"LDesc":null,"Name":"A - 2002.05"},{"Phase":"A","UpdatePeriod":"2002.06","FrameworkVersion":"C","ReportingStartDate":"2021-02-16T18:37:45Z","ReportingEndDate":"2021-02-22T11:41:54Z","OwnerSite":100,"OwnerWorkgroup":0,"CreationDate":"2021-02-16T18:37:46Z","Author":-524286,"UpdateDate":"2021-02-22T10:41:55Z","UpdateAuthor":-524286,"Descriptions":[{"CultureName":"fr-FR","Texts":{"LDesc":""}},{"CultureName":"en-US","Texts":{"LDesc":""}}],"ID":52428841,"LDesc":null,"Name":"A - 2002.06"},{"Phase":"A","UpdatePeriod":"2002.07","FrameworkVersion":"C","ReportingStartDate":"2021-02-16T18:32:13Z","ReportingEndDate":"2021-03-18T18:32:13Z","OwnerSite":100,"OwnerWorkgroup":0,"CreationDate":"2021-02-16T18:33:41Z","Author":-524286,"UpdateDate":"2021-02-16T18:36:47Z","UpdateAuthor":-524286,"Descriptions":[{"CultureName":"fr-FR","Texts":{"LDesc":""}},{"CultureName":"en-US","Texts":{"LDesc":""}}],"ID":52428840,"LDesc":null,"Name":"A - 2002.07"},{"Phase":"A","UpdatePeriod":"2002.08","FrameworkVersion":"C","ReportingStartDate":"2021-02-16T18:23:18Z","ReportingEndDate":"2021-03-18T18:23:18Z","OwnerSite":100,"OwnerWorkgroup":0,"CreationDate":"2021-02-16T18:23:18Z","Author":-524286,"UpdateDate":"2021-02-16T18:23:18Z","UpdateAuthor":-524286,"Descriptions":[{"CultureName":"fr-FR","Texts":{"LDesc":""}},{"CultureName":"en-US","Texts":{"LDesc":""}}],"ID":52428838,"LDesc":null,"Name":"A - 2002.08"},{"Phase":"A","UpdatePeriod":"2002.09","FrameworkVersion":"C","ReportingStartDate":"2021-02-16T14:59:17Z","ReportingEndDate":"2021-03-18T14:59:17Z","OwnerSite":100,"OwnerWorkgroup":0,"CreationDate":"2021-02-16T14:59:23Z","Author":-524286,"UpdateDate":"2021-02-16T14:59:23Z","UpdateAuthor":-524286,"Descriptions":[{"CultureName":"fr-FR","Texts":{"LDesc":""}},{"CultureName":"en-US","Texts":{"LDesc":""}}],"ID":52428832,"LDesc":null,"Name":"A - 2002.09"},{"Phase":"A","UpdatePeriod":"2002.10","FrameworkVersion":"C","ReportingStartDate":"2021-02-16T14:53:29Z","ReportingEndDate":"2021-03-18T14:53:29Z","OwnerSite":100,"OwnerWorkgroup":0,"CreationDate":"2021-02-16T14:53:29Z","Author":-524286,"UpdateDate":"2021-02-16T14:53:29Z","UpdateAuthor":-524286,"Descriptions":[{"CultureName":"fr-FR","Texts":{"LDesc":"Réel 2002.10"}},{"CultureName":"en-US","Texts":{"LDesc":"Actual 2002.10"}}],"ID":52428830,"LDesc":"Réel 2002.10","Name":"A - 2002.10"},{"Phase":"A","UpdatePeriod":"2002.11","FrameworkVersion":"C","ReportingStartDate":"2021-02-16T14:50:29Z","ReportingEndDate":"2021-03-18T14:50:29Z","OwnerSite":100,"OwnerWorkgroup":0,"CreationDate":"2021-02-16T14:50:30Z","Author":-524286,"UpdateDate":"2021-02-16T14:50:30Z","UpdateAuthor":-524286,"Descriptions":[{"CultureName":"fr-FR","Texts":{"LDesc":"a"}},{"CultureName":"en-US","Texts":{"LDesc":"a"}}],"ID":52428829,"LDesc":"a","Name":"A - 2002.11"},{"Phase":"A","UpdatePeriod":"2002.12","FrameworkVersion":"C","ReportingStartDate":"2015-08-28T12:16:14Z","ReportingEndDate":"2015-09-25T12:16:14Z","OwnerSite":100,"OwnerWorkgroup":0,"CreationDate":"2021-02-15T14:11:42Z","Author":-524286,"UpdateDate":"2021-02-19T09:46:39Z","UpdateAuthor":-524286,"Descriptions":[{"CultureName":"fr-FR","Texts":{"LDesc":"Réel 2002.12"}},{"CultureName":"en-US","Texts":{"LDesc":"Actual - 2002.12"}}],"ID":52428827,"LDesc":"Réel 2002.12","Name":"A - 2002.12"},{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fr-FR","Texts":{"LDesc":"Réel 2003.12"}},{"CultureName":"en-US","Texts":{"LDesc":"Actual - 2003.12"}}],"ID":79,"LDesc":"Réel 2003.12","Name":"A - 2003.12"},{"Phase":"A","UpdatePeriod":"2004.12","FrameworkVersion":"C","ReportingStartDate":"2015-08-28T12:09:34Z","ReportingEndDate":"2015-09-27T12:09:34Z","OwnerSite":100,"OwnerWorkgroup":0,"CreationDate":"2015-08-28T12:10:05Z","Author":-524286,"UpdateDate":"2015-08-28T13:48:52Z","UpdateAuthor":-524286,"Descriptions":[{"CultureName":"fr-FR","Texts":{"LDesc":"Réel 2004.12"}},{"CultureName":"en-US","Texts":{"LDesc":"Actual - 2004.12"}}],"ID":77,"LDesc":"Réel 2004.12","Name":"A - 2004.12"},{"Phase":"A","UpdatePeriod":"2010.12","FrameworkVersion":"C","ReportingStartDate":"2010-05-03T11:21:32Z","ReportingEndDate":"2010-06-02T11:21:32Z","OwnerSite":100,"OwnerWorkgroup":0,"CreationDate":"2010-05-03T11:22:35Z","Author":-524286,"UpdateDate":"2010-08-16T12:39:18Z","UpdateAuthor":-524286,"Descriptions":[{"CultureName":"fr-FR","Texts":{"LDesc":"Réel 2010.12"}},{"CultureName":"en-US","Texts":{"LDesc":"Actual - 2010.12"}}],"ID":55,"LDesc":"Réel 2010.12","Name":"A - 2010.12"},{"Phase":"A","UpdatePeriod":"2011.03","FrameworkVersion":"C","ReportingStartDate":"2011-01-03T11:00:00Z","ReportingEndDate":"2011-03-31T11:00:00Z","OwnerSite":100,"OwnerWorkgroup":0,"CreationDate":"2010-11-25T13:09:22Z","Author":-524286,"UpdateDate":"2021-02-22T12:34:16Z","UpdateAuthor":-524286,"Descriptions":[{"CultureName":"fr-FR","Texts":{"LDesc":"Réel 2011.03"}},{"CultureName":"en-US","Texts":{"LDesc":"Actual - 2011.03"}}],"ID":67,"LDesc":"Réel 2011.03","Name":"A - 2011.03"},{"Phase":"A","UpdatePeriod":"2011.06","FrameworkVersion":"C","ReportingStartDate":"2011-04-04T11:00:00Z","ReportingEndDate":"2011-06-30T11:00:00Z","OwnerSite":100,"OwnerWorkgroup":0,"CreationDate":"2010-11-29T10:06:57Z","Author":-524286,"UpdateDate":"2010-11-29T10:10:31Z","UpdateAuthor":-524286,"Descriptions":[{"CultureName":"fr-FR","Texts":{"LDesc":"Réel 2011.06"}},{"CultureName":"en-US","Texts":{"LDesc":"Actual - 2011.06"}}],"ID":68,"LDesc":"Réel 2011.06","Name":"A - 2011.06"},{"Phase":"A","UpdatePeriod":"2011.09","FrameworkVersion":"C","ReportingStartDate":"2011-07-01T11:00:00Z","ReportingEndDate":"2011-09-30T11:00:00Z","OwnerSite":100,"OwnerWorkgroup":0,"CreationDate":"2010-11-29T10:10:44Z","Author":-524286,"UpdateDate":"2010-11-29T10:11:37Z","UpdateAuthor":-524286,"Descriptions":[{"CultureName":"fr-FR","Texts":{"LDesc":"Réel 2011.09"}},{"CultureName":"en-US","Texts":{"LDesc":"Actual - 2011.09"}}],"ID":69,"LDesc":"Réel 2011.09","Name":"A - 2011.09"},{"Phase":"A","UpdatePeriod":"2011.12","FrameworkVersion":"C","ReportingStartDate":"2010-05-04T07:09:13Z","ReportingEndDate":"2010-06-03T07:09:13Z","OwnerSite":100,"OwnerWorkgroup":0,"CreationDate":"2010-05-04T07:10:01Z","Author":-524286,"UpdateDate":"2010-08-16T12:40:04Z","UpdateAuthor":-524286,"Descriptions":[{"CultureName":"fr-FR","Texts":{"LDesc":"Réel 2011.12"}},{"CultureName":"en-US","Texts":{"LDesc":"Actual - 2011.12"}}],"ID":56,"LDesc":"Réel 2011.12","Name":"A - 2011.12"},{"Phase":"A","UpdatePeriod":"2013.01","FrameworkVersion":"C","ReportingStartDate":"2013-03-29T09:53:07Z","ReportingEndDate":"2013-04-28T09:53:07Z","OwnerSite":100,"OwnerWorkgroup":0,"CreationDate":"2021-01-28T10:06:48Z","Author":-524286,"UpdateDate":"2021-01-28T10:06:48Z","UpdateAuthor":-524286,"Descriptions":[{"CultureName":"fr-FR","Texts":{"LDesc":"Réel 2013.01"}},{"CultureName":"en-US","Texts":{"LDesc":"Actual - 2013.01"}}],"ID":52428802,"LDesc":"Réel 2013.01","Name":"A - 2013.01"},{"Phase":"A","UpdatePeriod":"2013.12","FrameworkVersion":"C","ReportingStartDate":"2013-03-15T09:53:07Z","ReportingEndDate":"2013-04-28T09:53:07Z","OwnerSite":100,"OwnerWorkgroup":0,"CreationDate":"2013-03-29T09:53:41Z","Author":-524286,"UpdateDate":"2021-01-28T10:25:51Z","UpdateAuthor":-524286,"Descriptions":[{"CultureName":"fr-FR","Texts":{"LDesc":"Réel 2013.12"}},{"CultureName":"en-US","Texts":{"LDesc":"Actual - 2013.12"}}],"ID":71,"LDesc":"Réel 2013.12","Name":"A - 2013.12"},{"Phase":"A","UpdatePeriod":"2014.12","FrameworkVersion":"C","ReportingStartDate":"2014-04-07T09:30:55Z","ReportingEndDate":"2014-05-07T09:30:55Z","OwnerSite":100,"OwnerWorkgroup":0,"CreationDate":"2014-04-07T09:31:33Z","Author":-524286,"UpdateDate":"2014-04-07T09:31:33Z","UpdateAuthor":-524286,"Descriptions":[{"CultureName":"fr-FR","Texts":{"LDesc":"Réel 2014.12"}},{"CultureName":"en-US","Texts":{"LDesc":"Actual - 2014.12"}}],"ID":73,"LDesc":"Réel 2014.12","Name":"A - 2014.12"},{"Phase":"A","UpdatePeriod":"2019.12","FrameworkVersion":"C","ReportingStartDate":"2010-09-02T09:16:58Z","ReportingEndDate":"2010-10-02T09:16:58Z","OwnerSite":100,"OwnerWorkgroup":0,"CreationDate":"2010-09-02T09:17:44Z","Author":-524286,"UpdateDate":"2010-09-02T09:17:44Z","UpdateAuthor":-524286,"Descriptions":[{"CultureName":"fr-FR","Texts":{"LDesc":"Réel 2019.12"}},{"CultureName":"en-US","Texts":{"LDesc":"Actual - 2019.12"}}],"ID":61,"LDesc":"Réel 2019.12","Name":"A - 2019.12"},{"Phase":"A","UpdatePeriod":"2020.12","FrameworkVersion":"C","ReportingStartDate":"2010-08-31T12:51:32Z","ReportingEndDate":"2010-09-30T12:51:32Z","OwnerSite":100,"OwnerWorkgroup":0,"CreationDate":"2010-08-31T12:52:12Z","Author":-524286,"UpdateDate":"2010-09-03T07:54:58Z","UpdateAuthor":-524286,"Descriptions":[{"CultureName":"fr-FR","Texts":{"LDesc":"Réel 2020.12"}},{"CultureName":"en-US","Texts":{"LDesc":"Actual - 2020.12"}}],"ID":59,"LDesc":"Réel 2020.12","Name":"A - 2020.12"},{"Phase":"A","UpdatePeriod":"2021.12","FrameworkVersion":"C","ReportingStartDate":"2010-08-31T12:56:46Z","ReportingEndDate":"2010-09-30T12:56:46Z","OwnerSite":100,"OwnerWorkgroup":0,"CreationDate":"2010-08-31T12:57:27Z","Author":-524286,"UpdateDate":"2012-07-05T07:50:54Z","UpdateAuthor":-524286,"Descriptions":[{"CultureName":"fr-FR","Texts":{"LDesc":"Réel 2021.12"}},{"CultureName":"en-US","Texts":{"LDesc":"Actual - 2021.12"}}],"ID":60,"LDesc":"Réel 2021.12","Name":"A - 2021.12"}],"Messages":null}</t>
  </si>
  <si>
    <t>2000.12</t>
  </si>
  <si>
    <t>3/1/2021  5:55:21 PM</t>
  </si>
  <si>
    <t>2001.11</t>
  </si>
  <si>
    <t>2/23/2021  3:52:39 PM</t>
  </si>
  <si>
    <t>2001.12</t>
  </si>
  <si>
    <t>2/23/2021  3:13:08 PM</t>
  </si>
  <si>
    <t>2002.01</t>
  </si>
  <si>
    <t>2/18/2021  9:47:58 PM</t>
  </si>
  <si>
    <t>2002.02</t>
  </si>
  <si>
    <t>2/23/2021  3:02:13 PM</t>
  </si>
  <si>
    <t>2002.03</t>
  </si>
  <si>
    <t>2/23/2021  12:30:51 PM</t>
  </si>
  <si>
    <t>2002.04</t>
  </si>
  <si>
    <t>2/23/2021  12:15:06 PM</t>
  </si>
  <si>
    <t>2002.05</t>
  </si>
  <si>
    <t>2/23/2021  11:36:13 AM</t>
  </si>
  <si>
    <t>2002.06</t>
  </si>
  <si>
    <t>2/16/2021  7:37:46 PM</t>
  </si>
  <si>
    <t>2002.07</t>
  </si>
  <si>
    <t>2/16/2021  7:33:41 PM</t>
  </si>
  <si>
    <t>2002.08</t>
  </si>
  <si>
    <t>2/16/2021  7:23:18 PM</t>
  </si>
  <si>
    <t>2002.09</t>
  </si>
  <si>
    <t>2/16/2021  3:59:23 PM</t>
  </si>
  <si>
    <t>2002.10</t>
  </si>
  <si>
    <t>2/16/2021  3:53:29 PM</t>
  </si>
  <si>
    <t>2002.11</t>
  </si>
  <si>
    <t>2/16/2021  3:50:30 PM</t>
  </si>
  <si>
    <t>2002.12</t>
  </si>
  <si>
    <t>2/15/2021  3:11:42 PM</t>
  </si>
  <si>
    <t>2003.12</t>
  </si>
  <si>
    <t>8/28/2015  2:16:28 PM</t>
  </si>
  <si>
    <t>2004.12</t>
  </si>
  <si>
    <t>8/28/2015  2:10:05 PM</t>
  </si>
  <si>
    <t>2010.12</t>
  </si>
  <si>
    <t>5/3/2010  1:22:35 PM</t>
  </si>
  <si>
    <t>2011.03</t>
  </si>
  <si>
    <t>11/25/2010  2:09:22 PM</t>
  </si>
  <si>
    <t>2011.06</t>
  </si>
  <si>
    <t>11/29/2010  11:06:57 AM</t>
  </si>
  <si>
    <t>2011.09</t>
  </si>
  <si>
    <t>11/29/2010  11:10:44 AM</t>
  </si>
  <si>
    <t>2011.12</t>
  </si>
  <si>
    <t>5/4/2010  9:10:01 AM</t>
  </si>
  <si>
    <t>2013.01</t>
  </si>
  <si>
    <t>1/28/2021  11:06:48 AM</t>
  </si>
  <si>
    <t>2013.12</t>
  </si>
  <si>
    <t>3/29/2013  10:53:41 AM</t>
  </si>
  <si>
    <t>2014.12</t>
  </si>
  <si>
    <t>4/7/2014  11:31:33 AM</t>
  </si>
  <si>
    <t>2019.12</t>
  </si>
  <si>
    <t>9/2/2010  11:17:44 AM</t>
  </si>
  <si>
    <t>2020.12</t>
  </si>
  <si>
    <t>8/31/2010  2:52:12 PM</t>
  </si>
  <si>
    <t>2021.12</t>
  </si>
  <si>
    <t>8/31/2010  2:57:27 PM</t>
  </si>
  <si>
    <t xml:space="preserve"> 5</t>
  </si>
  <si>
    <t xml:space="preserve"> 6</t>
  </si>
  <si>
    <t xml:space="preserve"> 7</t>
  </si>
  <si>
    <t xml:space="preserve"> 8</t>
  </si>
  <si>
    <t xml:space="preserve"> 9</t>
  </si>
  <si>
    <t xml:space="preserve"> 10</t>
  </si>
  <si>
    <t xml:space="preserve"> 11</t>
  </si>
  <si>
    <t xml:space="preserve"> 12</t>
  </si>
  <si>
    <t xml:space="preserve"> 13</t>
  </si>
  <si>
    <t xml:space="preserve"> 14</t>
  </si>
  <si>
    <t xml:space="preserve"> 15</t>
  </si>
  <si>
    <t xml:space="preserve"> 16</t>
  </si>
  <si>
    <t xml:space="preserve"> 17</t>
  </si>
  <si>
    <t xml:space="preserve"> 18</t>
  </si>
  <si>
    <t xml:space="preserve"> 19</t>
  </si>
  <si>
    <t xml:space="preserve"> 20</t>
  </si>
  <si>
    <t xml:space="preserve"> 21</t>
  </si>
  <si>
    <t xml:space="preserve"> 22</t>
  </si>
  <si>
    <t xml:space="preserve"> 23</t>
  </si>
  <si>
    <t xml:space="preserve"> 24</t>
  </si>
  <si>
    <t xml:space="preserve"> 25</t>
  </si>
  <si>
    <t xml:space="preserve"> 26</t>
  </si>
  <si>
    <t xml:space="preserve"> 27</t>
  </si>
  <si>
    <t xml:space="preserve"> 28</t>
  </si>
  <si>
    <t xml:space="preserve"> 29</t>
  </si>
  <si>
    <t xml:space="preserve"> 30</t>
  </si>
  <si>
    <t xml:space="preserve"> 31</t>
  </si>
  <si>
    <t xml:space="preserve"> 32</t>
  </si>
  <si>
    <t xml:space="preserve"> 33</t>
  </si>
  <si>
    <t xml:space="preserve"> 34</t>
  </si>
  <si>
    <t xml:space="preserve"> 35</t>
  </si>
  <si>
    <t xml:space="preserve"> 36</t>
  </si>
  <si>
    <t xml:space="preserve"> 37</t>
  </si>
  <si>
    <t xml:space="preserve"> 38</t>
  </si>
  <si>
    <t xml:space="preserve"> 39</t>
  </si>
  <si>
    <t xml:space="preserve"> 40</t>
  </si>
  <si>
    <t xml:space="preserve"> 41</t>
  </si>
  <si>
    <t xml:space="preserve"> 42</t>
  </si>
  <si>
    <t xml:space="preserve"> 43</t>
  </si>
  <si>
    <t xml:space="preserve"> 44</t>
  </si>
  <si>
    <t xml:space="preserve"> 45</t>
  </si>
  <si>
    <t xml:space="preserve"> 46</t>
  </si>
  <si>
    <t xml:space="preserve"> 47</t>
  </si>
  <si>
    <t xml:space="preserve"> 48</t>
  </si>
  <si>
    <t xml:space="preserve"> 49</t>
  </si>
  <si>
    <t xml:space="preserve"> 50</t>
  </si>
  <si>
    <t xml:space="preserve"> 51</t>
  </si>
  <si>
    <t xml:space="preserve"> 52</t>
  </si>
  <si>
    <t xml:space="preserve"> 53</t>
  </si>
  <si>
    <t xml:space="preserve"> 54</t>
  </si>
  <si>
    <t xml:space="preserve"> 55</t>
  </si>
  <si>
    <t xml:space="preserve"> 56</t>
  </si>
  <si>
    <t xml:space="preserve"> 57</t>
  </si>
  <si>
    <t xml:space="preserve"> 58</t>
  </si>
  <si>
    <t xml:space="preserve"> 59</t>
  </si>
  <si>
    <t xml:space="preserve"> 60</t>
  </si>
  <si>
    <t xml:space="preserve"> 61</t>
  </si>
  <si>
    <t xml:space="preserve"> 62</t>
  </si>
  <si>
    <t xml:space="preserve"> 63</t>
  </si>
  <si>
    <t xml:space="preserve"> 64</t>
  </si>
  <si>
    <t xml:space="preserve"> 65</t>
  </si>
  <si>
    <t xml:space="preserve"> 66</t>
  </si>
  <si>
    <t xml:space="preserve"> 67</t>
  </si>
  <si>
    <t xml:space="preserve"> 68</t>
  </si>
  <si>
    <t xml:space="preserve"> 69</t>
  </si>
  <si>
    <t xml:space="preserve"> 70</t>
  </si>
  <si>
    <t xml:space="preserve"> 71</t>
  </si>
  <si>
    <t xml:space="preserve"> 72</t>
  </si>
  <si>
    <t xml:space="preserve"> 73</t>
  </si>
  <si>
    <t xml:space="preserve"> 74</t>
  </si>
  <si>
    <t xml:space="preserve"> 75</t>
  </si>
  <si>
    <t xml:space="preserve"> 76</t>
  </si>
  <si>
    <t xml:space="preserve"> 77</t>
  </si>
  <si>
    <t xml:space="preserve"> 78</t>
  </si>
  <si>
    <t xml:space="preserve"> 79</t>
  </si>
  <si>
    <t xml:space="preserve"> 80</t>
  </si>
  <si>
    <t xml:space="preserve"> 81</t>
  </si>
  <si>
    <t xml:space="preserve"> 82</t>
  </si>
  <si>
    <t xml:space="preserve"> 83</t>
  </si>
  <si>
    <t>/api/reporting/52428888</t>
  </si>
  <si>
    <t>tReporting52428888</t>
  </si>
  <si>
    <t>{"Data":{"Framework":{"Phase":"A","Version":"C","Status":5,"ControlSets":{"P-A":{"ID":8,"LDesc":"Jeu de contrôle de la liasse de consolidation statutaire","Name":"P-A"},"P-E":{"ID":10,"LDesc":"Jeu de contrôle pour les unités mises en équivalence","Name":"P-E"}},"ControlLevels":{"1":{"Descriptions":[{"CultureName":"fr-FR","Texts":{"LDesc":"Analyse en solde"}},{"CultureName":"en-US","Texts":{"LDesc":"Balance analysis"}}],"ID":1,"LDesc":"Analyse en solde","Rank":1,"Name":"LEV1"},"2":{"Descriptions":[{"CultureName":"fr-FR","Texts":{"LDesc":"Analyse en flux"}},{"CultureName":"en-US","Texts":{"LDesc":"Flow analysis"}}],"ID":4,"LDesc":"Analyse en flux","Rank":2,"Name":"LEV2"}},"ID":1,"LDesc":"Réel","Name":"A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null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-07T18:52:37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0001-01-01T00:00:00Z","AllowEarlyPublishing":false,"UseDefaultAfterPub":true,"AfterPublication":{"Standard":false,"Special":false,"Advanced":false,"Level":null},"UseDefaultAfterTran":true,"AfterTransfer":{"Standard":false,"Special":false,"Advanced":false,"Level":null}},"ID":-2147483618,"LDesc":null,"Name":"{A - 2000.12 - S001}"}],"Phase":"A","UpdatePeriod":"2000.12","FrameworkVersion":"C","ReportingStartDate":"2021-02-24T10:02:00Z","ReportingEndDate":"2021-02-27T10:02:00Z","OwnerSite":100,"OwnerWorkgroup":0,"CreationDate":"2021-03-01T16:55:21Z","Author":-524286,"UpdateDate":"2021-03-07T18:52:37Z","UpdateAuthor":-524286,"Descriptions":[{"CultureName":"fr-FR","Texts":{"SDesc":"","LDesc":"Test"}},{"CultureName":"en-US","Texts":{"SDesc":"","LDesc":"Actual - 2000.12"}}],"ID":52428888,"LDesc":"Test","Name":"A - 2000.12"},"Messages":{"Messages":[],"UsedHints":{}}}</t>
  </si>
  <si>
    <t>2/24/2021  11:02:00 AM</t>
  </si>
  <si>
    <t>2/27/2021  11:02:00 AM</t>
  </si>
  <si>
    <t>2/26/2021  11:02:00 AM</t>
  </si>
  <si>
    <t>S001</t>
  </si>
  <si>
    <t>EUR</t>
  </si>
  <si>
    <t>0000.TOP</t>
  </si>
  <si>
    <t>1/1/2001  1:00:00 AM</t>
  </si>
  <si>
    <t>{"Data":[{"Phase":"A","UpdatePeriod":"2000.12","FrameworkVersion":"C","ReportingStartDate":"2021-02-24T10:02:00Z","ReportingEndDate":"2021-02-27T10:02:00Z","OwnerSite":100,"OwnerWorkgroup":0,"CreationDate":"2021-03-01T16:55:21Z","Author":-524286,"UpdateDate":"2021-03-07T18:52:37Z","UpdateAuthor":-524286,"Descriptions":[{"CultureName":"fr-FR","Texts":{"SDesc":"","LDesc":"Test"}},{"CultureName":"en-US","Texts":{"SDesc":"","LDesc":"Actual - 2000.12"}}],"ID":52428888,"LDesc":null,"Name":"A - 2000.12"},{"Phase":"A","UpdatePeriod":"2001.11","FrameworkVersion":"C","ReportingStartDate":"2021-02-23T15:52:39Z","ReportingEndDate":"2021-04-25T16:00:10Z","OwnerSite":100,"OwnerWorkgroup":0,"CreationDate":"2021-02-23T14:52:39Z","Author":-524286,"UpdateDate":"2021-02-25T15:00:10Z","UpdateAuthor":-524286,"Descriptions":[{"CultureName":"fr-FR","Texts":{"SDesc":"","LDesc":"Réel - 2001.11"}},{"CultureName":"en-US","Texts":{"SDesc":"","LDesc":"Actual - 2001.11"}}],"ID":52428859,"LDesc":null,"Name":"A - 2001.11"},{"Phase":"A","UpdatePeriod":"2001.12","FrameworkVersion":"C","ReportingStartDate":"2021-02-23T15:12:48Z","ReportingEndDate":"2021-04-23T15:12:48Z","OwnerSite":100,"OwnerWorkgroup":0,"CreationDate":"2021-02-23T14:13:08Z","Author":-524286,"UpdateDate":"2021-02-23T14:13:08Z","UpdateAuthor":-524286,"Descriptions":[{"CultureName":"fr-FR","Texts":{"SDesc":"","LDesc":"Réel - 2001.12"}},{"CultureName":"en-US","Texts":{"SDesc":"","LDesc":"Actual - 2001.12"}}],"ID":52428858,"LDesc":null,"Name":"A - 2001.12"},{"Phase":"A","UpdatePeriod":"2002.01","FrameworkVersion":"C","ReportingStartDate":"2021-02-18T20:47:58Z","ReportingEndDate":"2021-03-20T20:47:58Z","OwnerSite":100,"OwnerWorkgroup":0,"CreationDate":"2021-02-18T20:47:58Z","Author":-524286,"UpdateDate":"2021-02-18T20:47:58Z","UpdateAuthor":-524286,"Descriptions":[{"CultureName":"fr-FR","Texts":{"SDesc":"","LDesc":""}},{"CultureName":"en-US","Texts":{"SDesc":"","LDesc":""}}],"ID":52428847,"LDesc":null,"Name":"A - 2002.01"},{"Phase":"A","UpdatePeriod":"2002.02","FrameworkVersion":"C","ReportingStartDate":"2021-02-23T15:02:13Z","ReportingEndDate":"2021-04-23T15:03:23Z","OwnerSite":100,"OwnerWorkgroup":0,"CreationDate":"2021-02-23T14:02:13Z","Author":-524286,"UpdateDate":"2021-02-23T14:04:19Z","UpdateAuthor":-524286,"Descriptions":[{"CultureName":"fr-FR","Texts":{"SDesc":"","LDesc":""}},{"CultureName":"en-US","Texts":{"SDesc":"","LDesc":""}}],"ID":52428855,"LDesc":null,"Name":"A - 2002.02"},{"Phase":"A","UpdatePeriod":"2002.03","FrameworkVersion":"C","ReportingStartDate":"2021-02-23T11:30:37Z","ReportingEndDate":"2021-03-25T11:30:37Z","OwnerSite":100,"OwnerWorkgroup":0,"CreationDate":"2021-02-23T11:30:51Z","Author":-524286,"UpdateDate":"2021-02-23T11:30:51Z","UpdateAuthor":-524286,"Descriptions":[{"CultureName":"fr-FR","Texts":{"SDesc":"","LDesc":""}},{"CultureName":"en-US","Texts":{"SDesc":"","LDesc":""}}],"ID":52428853,"LDesc":null,"Name":"A - 2002.03"},{"Phase":"A","UpdatePeriod":"2002.04","FrameworkVersion":"C","ReportingStartDate":"2021-02-23T12:13:56Z","ReportingEndDate":"2021-04-23T12:13:50Z","OwnerSite":100,"OwnerWorkgroup":0,"CreationDate":"2021-02-23T11:15:06Z","Author":-524286,"UpdateDate":"2021-02-23T11:15:06Z","UpdateAuthor":-524286,"Descriptions":[{"CultureName":"fr-FR","Texts":{"SDesc":"","LDesc":""}},{"CultureName":"en-US","Texts":{"SDesc":"","LDesc":""}}],"ID":52428851,"LDesc":null,"Name":"A - 2002.04"},{"Phase":"A","UpdatePeriod":"2002.05","FrameworkVersion":"C","ReportingStartDate":"2021-02-23T11:36:13Z","ReportingEndDate":"2021-04-23T11:36:13Z","OwnerSite":100,"OwnerWorkgroup":0,"CreationDate":"2021-02-23T10:36:13Z","Author":-524286,"UpdateDate":"2021-02-23T10:36:13Z","UpdateAuthor":-524286,"Descriptions":[{"CultureName":"fr-FR","Texts":{"SDesc":"","LDesc":""}},{"CultureName":"en-US","Texts":{"SDesc":"","LDesc":""}}],"ID":52428848,"LDesc":null,"Name":"A - 2002.05"},{"Phase":"A","UpdatePeriod":"2002.06","FrameworkVersion":"C","ReportingStartDate":"2021-02-16T18:37:45Z","ReportingEndDate":"2021-02-22T11:41:54Z","OwnerSite":100,"OwnerWorkgroup":0,"CreationDate":"2021-02-16T18:37:46Z","Author":-524286,"UpdateDate":"2021-02-22T10:41:55Z","UpdateAuthor":-524286,"Descriptions":[{"CultureName":"fr-FR","Texts":{"SDesc":"","LDesc":""}},{"CultureName":"en-US","Texts":{"SDesc":"","LDesc":""}}],"ID":52428841,"LDesc":null,"Name":"A - 2002.06"},{"Phase":"A","UpdatePeriod":"2002.07","FrameworkVersion":"C","ReportingStartDate":"2021-02-16T18:32:13Z","ReportingEndDate":"2021-03-18T18:32:13Z","OwnerSite":100,"OwnerWorkgroup":0,"CreationDate":"2021-02-16T18:33:41Z","Author":-524286,"UpdateDate":"2021-02-16T18:36:47Z","UpdateAuthor":-524286,"Descriptions":[{"CultureName":"fr-FR","Texts":{"SDesc":"","LDesc":""}},{"CultureName":"en-US","Texts":{"SDesc":"","LDesc":""}}],"ID":52428840,"LDesc":null,"Name":"A - 2002.07"},{"Phase":"A","UpdatePeriod":"2002.08","FrameworkVersion":"C","ReportingStartDate":"2021-02-16T18:23:18Z","ReportingEndDate":"2021-03-18T18:23:18Z","OwnerSite":100,"OwnerWorkgroup":0,"CreationDate":"2021-02-16T18:23:18Z","Author":-524286,"UpdateDate":"2021-02-16T18:23:18Z","UpdateAuthor":-524286,"Descriptions":[{"CultureName":"fr-FR","Texts":{"SDesc":"","LDesc":""}},{"CultureName":"en-US","Texts":{"SDesc":"","LDesc":""}}],"ID":52428838,"LDesc":null,"Name":"A - 2002.08"},{"Phase":"A","UpdatePeriod":"2002.09","FrameworkVersion":"C","ReportingStartDate":"2021-02-16T14:59:17Z","ReportingEndDate":"2021-03-18T14:59:17Z","OwnerSite":100,"OwnerWorkgroup":0,"CreationDate":"2021-02-16T14:59:23Z","Author":-524286,"UpdateDate":"2021-02-16T14:59:23Z","UpdateAuthor":-524286,"Descriptions":[{"CultureName":"fr-FR","Texts":{"SDesc":"","LDesc":""}},{"CultureName":"en-US","Texts":{"SDesc":"","LDesc":""}}],"ID":52428832,"LDesc":null,"Name":"A - 2002.09"},{"Phase":"A","UpdatePeriod":"2002.10","FrameworkVersion":"C","ReportingStartDate":"2021-02-16T14:53:29Z","ReportingEndDate":"2021-03-18T14:53:29Z","OwnerSite":100,"OwnerWorkgroup":0,"CreationDate":"2021-02-16T14:53:29Z","Author":-524286,"UpdateDate":"2021-02-16T14:53:29Z","UpdateAuthor":-524286,"Descriptions":[{"CultureName":"fr-FR","Texts":{"SDesc":"","LDesc":"Réel 2002.10"}},{"CultureName":"en-US","Texts":{"SDesc":"","LDesc":"Actual 2002.10"}}],"ID":52428830,"LDesc":null,"Name":"A - 2002.10"},{"Phase":"A","UpdatePeriod":"2002.11","FrameworkVersion":"C","ReportingStartDate":"2021-02-16T14:50:29Z","ReportingEndDate":"2021-03-18T14:50:29Z","OwnerSite":100,"OwnerWorkgroup":0,"CreationDate":"2021-02-16T14:50:30Z","Author":-524286,"UpdateDate":"2021-02-16T14:50:30Z","UpdateAuthor":-524286,"Descriptions":[{"CultureName":"fr-FR","Texts":{"SDesc":"a","LDesc":"a"}},{"CultureName":"en-US","Texts":{"SDesc":"a","LDesc":"a"}}],"ID":52428829,"LDesc":null,"Name":"A - 2002.11"},{"Phase":"A","UpdatePeriod":"2002.12","FrameworkVersion":"C","ReportingStartDate":"2015-08-28T12:16:14Z","ReportingEndDate":"2015-09-25T12:16:14Z","OwnerSite":100,"OwnerWorkgroup":0,"CreationDate":"2021-02-15T14:11:42Z","Author":-524286,"UpdateDate":"2021-02-19T09:46:39Z","UpdateAuthor":-524286,"Descriptions":[{"CultureName":"fr-FR","Texts":{"SDesc":"","LDesc":"Réel 2002.12"}},{"CultureName":"en-US","Texts":{"SDesc":"ff","LDesc":"Actual - 2002.12"}}],"ID":52428827,"LDesc":null,"Name":"A - 2002.12"},{"Phase":"A","UpdatePeriod":"2003.12","FrameworkVersion":"C","ReportingStartDate":"2015-08-28T12:16:14Z","ReportingEndDate":"2015-09-27T12:16:14Z","OwnerSite":100,"OwnerWorkgroup":0,"CreationDate":"2015-08-28T12:16:28Z","Author":-524286,"UpdateDate":"2021-02-22T17:22:39Z","UpdateAuthor":-524286,"Descriptions":[{"CultureName":"fr-FR","Texts":{"SDesc":"","LDesc":"Réel 2003.12"}},{"CultureName":"en-US","Texts":{"SDesc":"","LDesc":"Actual - 2003.12"}}],"ID":79,"LDesc":null,"Name":"A - 2003.12"},{"Phase":"A","UpdatePeriod":"2004.12","FrameworkVersion":"C","ReportingStartDate":"2015-08-28T12:09:34Z","ReportingEndDate":"2015-09-27T12:09:34Z","OwnerSite":100,"OwnerWorkgroup":0,"CreationDate":"2015-08-28T12:10:05Z","Author":-524286,"UpdateDate":"2015-08-28T13:48:52Z","UpdateAuthor":-524286,"Descriptions":[{"CultureName":"fr-FR","Texts":{"SDesc":"","LDesc":"Réel 2004.12"}},{"CultureName":"en-US","Texts":{"SDesc":"","LDesc":"Actual - 2004.12"}}],"ID":77,"LDesc":null,"Name":"A - 2004.12"},{"Phase":"A","UpdatePeriod":"2010.12","FrameworkVersion":"C","ReportingStartDate":"2010-05-03T11:21:32Z","ReportingEndDate":"2010-06-02T11:21:32Z","OwnerSite":100,"OwnerWorkgroup":0,"CreationDate":"2010-05-03T11:22:35Z","Author":-524286,"UpdateDate":"2010-08-16T12:39:18Z","UpdateAuthor":-524286,"Descriptions":[{"CultureName":"fr-FR","Texts":{"SDesc":"","LDesc":"Réel 2010.12"}},{"CultureName":"en-US","Texts":{"SDesc":"Actual 2010.12","LDesc":"Actual - 2010.12"}}],"ID":55,"LDesc":null,"Name":"A - 2010.12"},{"Phase":"A","UpdatePeriod":"2011.03","FrameworkVersion":"C","ReportingStartDate":"2011-01-03T11:00:00Z","ReportingEndDate":"2011-03-31T11:00:00Z","OwnerSite":100,"OwnerWorkgroup":0,"CreationDate":"2010-11-25T13:09:22Z","Author":-524286,"UpdateDate":"2021-02-22T12:34:16Z","UpdateAuthor":-524286,"Descriptions":[{"CultureName":"fr-FR","Texts":{"SDesc":"","LDesc":"Réel 2011.03"}},{"CultureName":"en-US","Texts":{"SDesc":"","LDesc":"Actual - 2011.03"}}],"ID":67,"LDesc":null,"Name":"A - 2011.03"},{"Phase":"A","UpdatePeriod":"2011.06","FrameworkVersion":"C","ReportingStartDate":"2011-04-04T11:00:00Z","ReportingEndDate":"2011-06-30T11:00:00Z","OwnerSite":100,"OwnerWorkgroup":0,"CreationDate":"2010-11-29T10:06:57Z","Author":-524286,"UpdateDate":"2010-11-29T10:10:31Z","UpdateAuthor":-524286,"Descriptions":[{"CultureName":"fr-FR","Texts":{"SDesc":"","LDesc":"Réel 2011.06"}},{"CultureName":"en-US","Texts":{"SDesc":"","LDesc":"Actual - 2011.06"}}],"ID":68,"LDesc":null,"Name":"A - 2011.06"},{"Phase":"A","UpdatePeriod":"2011.09","FrameworkVersion":"C","ReportingStartDate":"2011-07-01T11:00:00Z","ReportingEndDate":"2011-09-30T11:00:00Z","OwnerSite":100,"OwnerWorkgroup":0,"CreationDate":"2010-11-29T10:10:44Z","Author":-524286,"UpdateDate":"2010-11-29T10:11:37Z","UpdateAuthor":-524286,"Descriptions":[{"CultureName":"fr-FR","Texts":{"SDesc":"","LDesc":"Réel 2011.09"}},{"CultureName":"en-US","Texts":{"SDesc":"","LDesc":"Actual - 2011.09"}}],"ID":69,"LDesc":null,"Name":"A - 2011.09"},{"Phase":"A","UpdatePeriod":"2011.12","FrameworkVersion":"C","ReportingStartDate":"2010-05-04T07:09:13Z","ReportingEndDate":"2010-06-03T07:09:13Z","OwnerSite":100,"OwnerWorkgroup":0,"CreationDate":"2010-05-04T07:10:01Z","Author":-524286,"UpdateDate":"2010-08-16T12:40:04Z","UpdateAuthor":-524286,"Descriptions":[{"CultureName":"fr-FR","Texts":{"SDesc":"","LDesc":"Réel 2011.12"}},{"CultureName":"en-US","Texts":{"SDesc":"","LDesc":"Actual - 2011.12"}}],"ID":56,"LDesc":null,"Name":"A - 2011.12"},{"Phase":"A","UpdatePeriod":"2013.01","FrameworkVersion":"C","ReportingStartDate":"2013-03-29T09:53:07Z","ReportingEndDate":"2013-04-28T09:53:07Z","OwnerSite":100,"OwnerWorkgroup":0,"CreationDate":"2021-01-28T10:06:48Z","Author":-524286,"UpdateDate":"2021-01-28T10:06:48Z","UpdateAuthor":-524286,"Descriptions":[{"CultureName":"fr-FR","Texts":{"SDesc":"","LDesc":"Réel 2013.01"}},{"CultureName":"en-US","Texts":{"SDesc":"","LDesc":"Actual - 2013.01"}}],"ID":52428802,"LDesc":null,"Name":"A - 2013.01"},{"Phase":"A","UpdatePeriod":"2013.12","FrameworkVersion":"C","ReportingStartDate":"2013-03-15T09:53:07Z","ReportingEndDate":"2013-04-28T09:53:07Z","OwnerSite":100,"OwnerWorkgroup":0,"CreationDate":"2013-03-29T09:53:41Z","Author":-524286,"UpdateDate":"2021-01-28T10:25:51Z","UpdateAuthor":-524286,"Descriptions":[{"CultureName":"fr-FR","Texts":{"SDesc":"","LDesc":"Réel 2013.12"}},{"CultureName":"en-US","Texts":{"SDesc":"","LDesc":"Actual - 2013.12"}}],"ID":71,"LDesc":null,"Name":"A - 2013.12"},{"Phase":"A","UpdatePeriod":"2014.12","FrameworkVersion":"C","ReportingStartDate":"2014-04-07T09:30:55Z","ReportingEndDate":"2014-05-07T09:30:55Z","OwnerSite":100,"OwnerWorkgroup":0,"CreationDate":"2014-04-07T09:31:33Z","Author":-524286,"UpdateDate":"2014-04-07T09:31:33Z","UpdateAuthor":-524286,"Descriptions":[{"CultureName":"fr-FR","Texts":{"SDesc":"","LDesc":"Réel 2014.12"}},{"CultureName":"en-US","Texts":{"SDesc":"","LDesc":"Actual - 2014.12"}}],"ID":73,"LDesc":null,"Name":"A - 2014.12"},{"Phase":"A","UpdatePeriod":"2019.12","FrameworkVersion":"C","ReportingStartDate":"2010-09-02T09:16:58Z","ReportingEndDate":"2010-10-02T09:16:58Z","OwnerSite":100,"OwnerWorkgroup":0,"CreationDate":"2010-09-02T09:17:44Z","Author":-524286,"UpdateDate":"2010-09-02T09:17:44Z","UpdateAuthor":-524286,"Descriptions":[{"CultureName":"fr-FR","Texts":{"SDesc":"","LDesc":"Réel 2019.12"}},{"CultureName":"en-US","Texts":{"SDesc":"","LDesc":"Actual - 2019.12"}}],"ID":61,"LDesc":null,"Name":"A - 2019.12"},{"Phase":"A","UpdatePeriod":"2020.12","FrameworkVersion":"C","ReportingStartDate":"2010-08-31T12:51:32Z","ReportingEndDate":"2010-09-30T12:51:32Z","OwnerSite":100,"OwnerWorkgroup":0,"CreationDate":"2010-08-31T12:52:12Z","Author":-524286,"UpdateDate":"2010-09-03T07:54:58Z","UpdateAuthor":-524286,"Descriptions":[{"CultureName":"fr-FR","Texts":{"SDesc":"","LDesc":"Réel 2020.12"}},{"CultureName":"en-US","Texts":{"SDesc":"","LDesc":"Actual - 2020.12"}}],"ID":59,"LDesc":null,"Name":"A - 2020.12"},{"Phase":"A","UpdatePeriod":"2021.12","FrameworkVersion":"C","ReportingStartDate":"2010-08-31T12:56:46Z","ReportingEndDate":"2010-09-30T12:56:46Z","OwnerSite":100,"OwnerWorkgroup":0,"CreationDate":"2010-08-31T12:57:27Z","Author":-524286,"UpdateDate":"2012-07-05T07:50:54Z","UpdateAuthor":-524286,"Descriptions":[{"CultureName":"fr-FR","Texts":{"SDesc":"","LDesc":"Réel 2021.12"}},{"CultureName":"en-US","Texts":{"SDesc":"","LDesc":"Actual - 2021.12"}}],"ID":60,"LDesc":null,"Name":"A - 2021.12"}],"Messages":null}</t>
  </si>
  <si>
    <t>{"Data":{"Framework":{"Phase":"A","Version":"C","Status":5,"ControlSets":{"P-A":{"ID":8,"LDesc":null,"Name":"P-A"},"P-E":{"ID":10,"LDesc":null,"Name":"P-E"}},"ControlLevels":{"1":{"Descriptions":[{"CultureName":"fr-FR","Texts":{"LDesc":"Analyse en solde"}},{"CultureName":"en-US","Texts":{"LDesc":"Balance analysis"}}],"ID":1,"LDesc":null,"Rank":1,"Name":"LEV1"},"2":{"Descriptions":[{"CultureName":"fr-FR","Texts":{"LDesc":"Analyse en flux"}},{"CultureName":"en-US","Texts":{"LDesc":"Flow analysis"}}],"ID":4,"LDesc":null,"Rank":2,"Name":"LEV2"}},"ID":1,"LDesc":null,"Name":"A - C"},"Default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DefaultRestriction":{},"DefaultOperation":{"UseDefaultPublish":false,"PackPublishingCutOffDate":"2021-02-26T10:02:00Z","AllowEarlyPublishing":true,"UseDefaultAfterPub":false,"AfterPublication":{"Standard":true,"Special":true,"Advanced":true,"Level":2},"UseDefaultAfterTran":false,"AfterTransfer":{"Standard":false,"Special":true,"Advanced":false,"Level":null}},"EntityReportings":[{"Reporting":{"Phase":"A","UpdatePeriod":"2000.12","FrameworkVersion":"C","ReportingStartDate":"2021-02-24T10:02:00Z","ReportingEndDate":"2021-02-27T10:02:00Z","OwnerSite":100,"OwnerWorkgroup":0,"CreationDate":"2021-03-01T16:55:21Z","Author":-524286,"UpdateDate":"2021-03-07T18:52:37Z","UpdateAuthor":-524286,"Descriptions":[{"CultureName":"fr-FR","Texts":{"SDesc":"","LDesc":"Test"}},{"CultureName":"en-US","Texts":{"SDesc":"","LDesc":"Actual - 2000.12"}}],"ID":52428888,"LDesc":null,"Name":"A - 2000.12"},"Entity":"S001","InputCurrency":"EUR","InputSite":"0000.TOP","PublicationSite":"0000.TOP","PackPackage":{"UseDefaultWindowsFolder":true,"WindowsFolder":null,"UseDefaultInternetFolder":true,"InternetFolder":null,"UseDefaultSetOfControls":true,"SetOfControls":null,"UseDefaultLevel":true,"LevelToReach":null,"Blocking":false,"UseDefaultLock":true,"LockOnPublication":0,"UseDefaultRuleSet":true,"RuleSet":null,"UseDefaultOpbal":true,"HasOpBal":false,"OpbPhase":null,"OpbUpdatePeriod":null,"OpbScope":null,"OpbVariant":null,"OpbConsCurrency":null},"PackRestriction":{},"PackOperation":{"UseDefaultPublish":true,"PackPublishingCutOffDate":"0001-01-01T00:00:00Z","AllowEarlyPublishing":false,"UseDefaultAfterPub":true,"AfterPublication":{"Standard":false,"Special":false,"Advanced":false,"Level":null},"UseDefaultAfterTran":true,"AfterTransfer":{"Standard":false,"Special":false,"Advanced":false,"Level":null}},"ID":-2147483618,"LDesc":null,"Name":"{A - 2000.12 - S001}"}],"Phase":"A","UpdatePeriod":"2000.12","FrameworkVersion":"C","ReportingStartDate":"2021-02-24T10:02:00Z","ReportingEndDate":"2021-02-27T10:02:00Z","OwnerSite":100,"OwnerWorkgroup":0,"CreationDate":"2021-03-01T16:55:21Z","Author":-524286,"UpdateDate":"2021-03-07T18:52:37Z","UpdateAuthor":-524286,"Descriptions":[{"CultureName":"fr-FR","Texts":{"SDesc":"","LDesc":"Test"}},{"CultureName":"en-US","Texts":{"SDesc":"","LDesc":"Actual - 2000.12"}}],"ID":52428888,"LDesc":null,"Name":"A - 2000.12"},"Messages":{"Messages":[],"UsedHints":{}}}</t>
  </si>
  <si>
    <t>/api/metadata/PublishedFramework</t>
  </si>
  <si>
    <t>PublishedFramework</t>
  </si>
  <si>
    <t>{"Data":[{"Desc":null,"Next":[{"Desc":null,"Next":null,"Name":"C"}],"Name":"A"}],"Messages":{"Messages":[],"UsedHints":{}}}</t>
  </si>
  <si>
    <t>/api/metadata/UpdPer</t>
  </si>
  <si>
    <t>{"Data":[],"Messages":{"Messages":[],"UsedHints":{}}}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</si>
</sst>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m/yyyy\ hh:mm:ss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0">
    <xf numFmtId="0" fontId="0" fillId="0" borderId="0" xfId="0"/>
    <xf numFmtId="0" fontId="0" fillId="2" borderId="0" xfId="0" applyFont="1" applyFill="1" applyAlignment="1">
      <alignment horizontal="center" vertical="center"/>
    </xf>
    <xf numFmtId="49" fontId="0" fillId="0" borderId="0" xfId="0" applyNumberFormat="1"/>
    <xf numFmtId="49" fontId="0" fillId="0" borderId="0" xfId="0" quotePrefix="1" applyNumberFormat="1"/>
    <xf numFmtId="0" fontId="0" fillId="0" borderId="0" xfId="0" applyProtection="1">
      <protection hidden="1"/>
    </xf>
    <xf numFmtId="0" fontId="2" fillId="0" borderId="0" xfId="0" applyFont="1" applyAlignment="1" applyProtection="1">
      <alignment horizontal="right" vertical="center"/>
      <protection hidden="1"/>
    </xf>
    <xf numFmtId="0" fontId="3" fillId="0" borderId="0" xfId="1" applyProtection="1">
      <protection hidden="1"/>
    </xf>
    <xf numFmtId="0" fontId="3" fillId="0" borderId="0" xfId="1" applyAlignment="1" applyProtection="1">
      <alignment horizontal="center"/>
      <protection hidden="1"/>
    </xf>
    <xf numFmtId="0" fontId="5" fillId="0" borderId="0" xfId="0" applyFont="1" applyProtection="1">
      <protection hidden="1"/>
    </xf>
    <xf numFmtId="0" fontId="0" fillId="4" borderId="0" xfId="0" applyFill="1"/>
    <xf numFmtId="0" fontId="3" fillId="0" borderId="0" xfId="1" applyNumberFormat="1"/>
    <xf numFmtId="0" fontId="4" fillId="0" borderId="0" xfId="0" applyNumberFormat="1" applyFont="1" applyAlignment="1" applyProtection="1">
      <alignment horizontal="right"/>
      <protection hidden="1"/>
    </xf>
    <xf numFmtId="0" fontId="3" fillId="0" borderId="0" xfId="1" applyNumberFormat="1" applyAlignment="1" applyProtection="1">
      <alignment horizontal="center"/>
      <protection hidden="1"/>
    </xf>
    <xf numFmtId="0" fontId="3" fillId="0" borderId="0" xfId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3" fillId="0" borderId="0" xfId="1" applyNumberFormat="1" applyProtection="1">
      <protection hidden="1"/>
    </xf>
    <xf numFmtId="0" fontId="0" fillId="0" borderId="0" xfId="0" applyAlignment="1">
      <alignment horizontal="center"/>
    </xf>
    <xf numFmtId="16" fontId="0" fillId="0" borderId="0" xfId="0" applyNumberFormat="1" applyAlignment="1">
      <alignment horizontal="center"/>
    </xf>
    <xf numFmtId="0" fontId="0" fillId="0" borderId="0" xfId="0" applyNumberFormat="1" applyProtection="1">
      <protection hidden="1"/>
    </xf>
    <xf numFmtId="0" fontId="6" fillId="3" borderId="2" xfId="0" applyNumberFormat="1" applyFont="1" applyFill="1" applyBorder="1" applyAlignment="1"/>
    <xf numFmtId="0" fontId="6" fillId="3" borderId="1" xfId="0" applyNumberFormat="1" applyFont="1" applyFill="1" applyBorder="1" applyAlignment="1"/>
    <xf numFmtId="0" fontId="6" fillId="3" borderId="3" xfId="0" applyNumberFormat="1" applyFont="1" applyFill="1" applyBorder="1" applyAlignment="1"/>
    <xf numFmtId="49" fontId="0" fillId="0" borderId="0" xfId="0" applyNumberFormat="1" applyAlignment="1"/>
    <xf numFmtId="0" fontId="4" fillId="0" borderId="0" xfId="0" applyNumberFormat="1" applyFont="1" applyAlignment="1">
      <alignment horizontal="right"/>
    </xf>
    <xf numFmtId="16" fontId="0" fillId="0" borderId="0" xfId="0" applyNumberFormat="1"/>
    <xf numFmtId="49" fontId="0" fillId="0" borderId="0" xfId="0" applyNumberFormat="1" applyAlignment="1">
      <alignment vertical="center"/>
    </xf>
    <xf numFmtId="0" fontId="7" fillId="0" borderId="4" xfId="0" applyFont="1" applyBorder="1"/>
    <xf numFmtId="0" fontId="0" fillId="0" borderId="5" xfId="0" applyBorder="1"/>
    <xf numFmtId="0" fontId="0" fillId="0" borderId="6" xfId="0" applyBorder="1"/>
    <xf numFmtId="164" fontId="0" fillId="0" borderId="0" xfId="0" applyNumberFormat="1"/>
    <xf numFmtId="0" fontId="0" fillId="4" borderId="0" xfId="0" applyNumberFormat="1" applyFill="1"/>
    <xf numFmtId="0" fontId="0" fillId="0" borderId="1" xfId="0" applyFont="1" applyFill="1" applyBorder="1" applyAlignment="1">
      <alignment vertical="center"/>
    </xf>
    <xf numFmtId="0" fontId="0" fillId="0" borderId="0" xfId="0" applyFill="1"/>
    <xf numFmtId="0" fontId="0" fillId="0" borderId="0" xfId="0" applyFill="1" applyAlignment="1">
      <alignment vertical="center"/>
    </xf>
    <xf numFmtId="49" fontId="0" fillId="0" borderId="1" xfId="0" applyNumberFormat="1" applyFont="1" applyFill="1" applyBorder="1" applyAlignment="1">
      <alignment vertical="center"/>
    </xf>
    <xf numFmtId="49" fontId="0" fillId="0" borderId="0" xfId="0" applyNumberFormat="1" applyFill="1"/>
    <xf numFmtId="49" fontId="0" fillId="4" borderId="0" xfId="0" applyNumberFormat="1" applyFill="1"/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0" fillId="0" borderId="0" xfId="0" applyFill="1" applyAlignment="1">
      <alignment vertical="center" wrapText="1"/>
    </xf>
    <xf numFmtId="0" fontId="4" fillId="0" borderId="0" xfId="0" applyNumberFormat="1" applyFont="1" applyAlignment="1">
      <alignment horizontal="left"/>
    </xf>
    <xf numFmtId="0" fontId="0" fillId="0" borderId="0" xfId="0" applyFont="1" applyFill="1" applyBorder="1" applyAlignment="1">
      <alignment vertical="center"/>
    </xf>
    <xf numFmtId="49" fontId="0" fillId="0" borderId="0" xfId="0" applyNumberFormat="1" applyAlignment="1" applyProtection="1"/>
    <xf numFmtId="0" fontId="0" fillId="0" borderId="0" xfId="0" applyAlignment="1">
      <alignment horizontal="right"/>
    </xf>
    <xf numFmtId="49" fontId="0" fillId="0" borderId="0" xfId="0" applyNumberFormat="1" applyAlignment="1">
      <alignment horizontal="center"/>
    </xf>
    <xf numFmtId="0" fontId="6" fillId="3" borderId="2" xfId="0" applyNumberFormat="1" applyFont="1" applyFill="1" applyBorder="1" applyAlignment="1">
      <alignment horizontal="center"/>
    </xf>
    <xf numFmtId="0" fontId="6" fillId="3" borderId="1" xfId="0" applyNumberFormat="1" applyFont="1" applyFill="1" applyBorder="1" applyAlignment="1">
      <alignment horizontal="center"/>
    </xf>
    <xf numFmtId="0" fontId="6" fillId="3" borderId="3" xfId="0" applyNumberFormat="1" applyFont="1" applyFill="1" applyBorder="1" applyAlignment="1">
      <alignment horizontal="center"/>
    </xf>
    <xf numFmtId="49" fontId="0" fillId="0" borderId="0" xfId="0" applyNumberFormat="1" applyAlignment="1" applyProtection="1">
      <alignment horizontal="center"/>
      <protection locked="0"/>
    </xf>
  </cellXfs>
  <cellStyles count="2">
    <cellStyle name="Lien hypertexte" xfId="1" builtinId="8"/>
    <cellStyle name="Normal" xfId="0" builtinId="0"/>
  </cellStyles>
  <dxfs count="138">
    <dxf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  <protection locked="0" hidden="0"/>
    </dxf>
    <dxf>
      <numFmt numFmtId="30" formatCode="@"/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protection locked="1" hidden="0"/>
    </dxf>
    <dxf>
      <numFmt numFmtId="30" formatCode="@"/>
      <alignment horizontal="general" vertical="bottom" textRotation="0" wrapText="0" indent="0" justifyLastLine="0" shrinkToFit="0" readingOrder="0"/>
      <protection locked="1" hidden="0"/>
    </dxf>
    <dxf>
      <numFmt numFmtId="30" formatCode="@"/>
      <alignment horizontal="general" vertical="bottom" textRotation="0" wrapText="0" indent="0" justifyLastLine="0" shrinkToFit="0" readingOrder="0"/>
      <protection locked="1" hidden="0"/>
    </dxf>
    <dxf>
      <numFmt numFmtId="30" formatCode="@"/>
      <alignment horizontal="general" vertical="bottom" textRotation="0" wrapText="0" indent="0" justifyLastLine="0" shrinkToFit="0" readingOrder="0"/>
      <protection locked="1" hidden="0"/>
    </dxf>
    <dxf>
      <numFmt numFmtId="30" formatCode="@"/>
      <alignment horizontal="general" vertical="bottom" textRotation="0" wrapText="0" indent="0" justifyLastLine="0" shrinkToFit="0" readingOrder="0"/>
      <protection locked="1" hidden="0"/>
    </dxf>
    <dxf>
      <numFmt numFmtId="30" formatCode="@"/>
      <alignment horizontal="general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13</xdr:col>
      <xdr:colOff>209550</xdr:colOff>
      <xdr:row>6</xdr:row>
      <xdr:rowOff>0</xdr:rowOff>
    </xdr:to>
    <xdr:sp macro="" textlink="$B$4">
      <xdr:nvSpPr>
        <xdr:cNvPr id="2" name="Title">
          <a:extLst>
            <a:ext uri="{FF2B5EF4-FFF2-40B4-BE49-F238E27FC236}">
              <a16:creationId xmlns:a16="http://schemas.microsoft.com/office/drawing/2014/main" id="{B7286C0D-64E2-4158-A33E-5D311951C2DD}"/>
            </a:ext>
          </a:extLst>
        </xdr:cNvPr>
        <xdr:cNvSpPr/>
      </xdr:nvSpPr>
      <xdr:spPr>
        <a:xfrm>
          <a:off x="190500" y="190500"/>
          <a:ext cx="10868025" cy="952500"/>
        </a:xfrm>
        <a:prstGeom prst="roundRect">
          <a:avLst/>
        </a:prstGeom>
        <a:gradFill flip="none" rotWithShape="1">
          <a:gsLst>
            <a:gs pos="0">
              <a:schemeClr val="accent1">
                <a:lumMod val="40000"/>
                <a:lumOff val="60000"/>
              </a:schemeClr>
            </a:gs>
            <a:gs pos="46000">
              <a:schemeClr val="accent1">
                <a:lumMod val="95000"/>
                <a:lumOff val="5000"/>
              </a:schemeClr>
            </a:gs>
            <a:gs pos="100000">
              <a:schemeClr val="accent1">
                <a:lumMod val="60000"/>
              </a:schemeClr>
            </a:gs>
          </a:gsLst>
          <a:path path="circle">
            <a:fillToRect l="50000" t="130000" r="50000" b="-30000"/>
          </a:path>
          <a:tileRect/>
        </a:gra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24000" rtlCol="0" anchor="ctr" anchorCtr="0"/>
        <a:lstStyle/>
        <a:p>
          <a:pPr algn="ctr"/>
          <a:fld id="{6F9713BA-2E8C-44E3-9CBC-99BF17D05BBB}" type="TxLink">
            <a:rPr lang="en-US" sz="4000" b="0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Génération des reportings</a:t>
          </a:fld>
          <a:endParaRPr lang="en-US" sz="595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11</xdr:col>
      <xdr:colOff>1028699</xdr:colOff>
      <xdr:row>6</xdr:row>
      <xdr:rowOff>147638</xdr:rowOff>
    </xdr:from>
    <xdr:to>
      <xdr:col>13</xdr:col>
      <xdr:colOff>285749</xdr:colOff>
      <xdr:row>8</xdr:row>
      <xdr:rowOff>71437</xdr:rowOff>
    </xdr:to>
    <xdr:sp macro="" textlink="$I$4">
      <xdr:nvSpPr>
        <xdr:cNvPr id="9" name="Version">
          <a:extLst>
            <a:ext uri="{FF2B5EF4-FFF2-40B4-BE49-F238E27FC236}">
              <a16:creationId xmlns:a16="http://schemas.microsoft.com/office/drawing/2014/main" id="{79FCB3C3-08A0-4030-B95F-998508432596}"/>
            </a:ext>
          </a:extLst>
        </xdr:cNvPr>
        <xdr:cNvSpPr/>
      </xdr:nvSpPr>
      <xdr:spPr>
        <a:xfrm>
          <a:off x="7677149" y="1290638"/>
          <a:ext cx="2209800" cy="304799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9E88C766-52B5-4516-A1A9-5E9DB4CEA806}" type="TxLink">
            <a:rPr lang="en-US" sz="8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Version 0.93 du 08 03 21</a:t>
          </a:fld>
          <a:endParaRPr lang="en-US" sz="1100"/>
        </a:p>
      </xdr:txBody>
    </xdr:sp>
    <xdr:clientData/>
  </xdr:twoCellAnchor>
  <xdr:twoCellAnchor editAs="absolute">
    <xdr:from>
      <xdr:col>11</xdr:col>
      <xdr:colOff>1409699</xdr:colOff>
      <xdr:row>6</xdr:row>
      <xdr:rowOff>156037</xdr:rowOff>
    </xdr:from>
    <xdr:to>
      <xdr:col>11</xdr:col>
      <xdr:colOff>1697699</xdr:colOff>
      <xdr:row>8</xdr:row>
      <xdr:rowOff>63037</xdr:rowOff>
    </xdr:to>
    <xdr:pic macro="[0]!I18N_LanguageClick">
      <xdr:nvPicPr>
        <xdr:cNvPr id="3" name="fr_FR">
          <a:extLst>
            <a:ext uri="{FF2B5EF4-FFF2-40B4-BE49-F238E27FC236}">
              <a16:creationId xmlns:a16="http://schemas.microsoft.com/office/drawing/2014/main" id="{BDB11BA6-8C86-484B-A39B-BAFAE36D7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58149" y="1299037"/>
          <a:ext cx="288000" cy="288000"/>
        </a:xfrm>
        <a:prstGeom prst="rect">
          <a:avLst/>
        </a:prstGeom>
      </xdr:spPr>
    </xdr:pic>
    <xdr:clientData/>
  </xdr:twoCellAnchor>
  <xdr:twoCellAnchor editAs="absolute">
    <xdr:from>
      <xdr:col>11</xdr:col>
      <xdr:colOff>1066799</xdr:colOff>
      <xdr:row>6</xdr:row>
      <xdr:rowOff>156037</xdr:rowOff>
    </xdr:from>
    <xdr:to>
      <xdr:col>11</xdr:col>
      <xdr:colOff>1354799</xdr:colOff>
      <xdr:row>8</xdr:row>
      <xdr:rowOff>63037</xdr:rowOff>
    </xdr:to>
    <xdr:pic macro="[0]!I18N_LanguageClick">
      <xdr:nvPicPr>
        <xdr:cNvPr id="4" name="en_US">
          <a:extLst>
            <a:ext uri="{FF2B5EF4-FFF2-40B4-BE49-F238E27FC236}">
              <a16:creationId xmlns:a16="http://schemas.microsoft.com/office/drawing/2014/main" id="{32A3F01F-F006-45C8-9E6B-71D98BE9AC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15249" y="1299037"/>
          <a:ext cx="288000" cy="288000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11</xdr:row>
      <xdr:rowOff>0</xdr:rowOff>
    </xdr:from>
    <xdr:to>
      <xdr:col>3</xdr:col>
      <xdr:colOff>0</xdr:colOff>
      <xdr:row>13</xdr:row>
      <xdr:rowOff>0</xdr:rowOff>
    </xdr:to>
    <xdr:sp macro="JSON_TableHeaderClick" textlink="$C$12">
      <xdr:nvSpPr>
        <xdr:cNvPr id="26" name="tReportings_1">
          <a:extLst>
            <a:ext uri="{FF2B5EF4-FFF2-40B4-BE49-F238E27FC236}">
              <a16:creationId xmlns:a16="http://schemas.microsoft.com/office/drawing/2014/main" id="{B839BF1F-F88B-432F-B56E-756163CB35C9}"/>
            </a:ext>
          </a:extLst>
        </xdr:cNvPr>
        <xdr:cNvSpPr/>
      </xdr:nvSpPr>
      <xdr:spPr>
        <a:xfrm>
          <a:off x="714375" y="2095500"/>
          <a:ext cx="981075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E224BA9-3F05-44A9-B1F5-EE39F1F185E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ID</a:t>
          </a:fld>
          <a:endParaRPr lang="fr-FR" sz="1100"/>
        </a:p>
      </xdr:txBody>
    </xdr:sp>
    <xdr:clientData/>
  </xdr:twoCellAnchor>
  <xdr:twoCellAnchor>
    <xdr:from>
      <xdr:col>3</xdr:col>
      <xdr:colOff>0</xdr:colOff>
      <xdr:row>11</xdr:row>
      <xdr:rowOff>0</xdr:rowOff>
    </xdr:from>
    <xdr:to>
      <xdr:col>4</xdr:col>
      <xdr:colOff>0</xdr:colOff>
      <xdr:row>13</xdr:row>
      <xdr:rowOff>0</xdr:rowOff>
    </xdr:to>
    <xdr:sp macro="JSON_TableHeaderClick" textlink="$D$12">
      <xdr:nvSpPr>
        <xdr:cNvPr id="27" name="tReportings_2">
          <a:extLst>
            <a:ext uri="{FF2B5EF4-FFF2-40B4-BE49-F238E27FC236}">
              <a16:creationId xmlns:a16="http://schemas.microsoft.com/office/drawing/2014/main" id="{FA5E8348-281A-4515-A63F-0913BEAB80A8}"/>
            </a:ext>
          </a:extLst>
        </xdr:cNvPr>
        <xdr:cNvSpPr/>
      </xdr:nvSpPr>
      <xdr:spPr>
        <a:xfrm>
          <a:off x="1695450" y="2095500"/>
          <a:ext cx="981075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1C6FF99-7696-4E83-AA4B-E3409EA0B7B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Phase</a:t>
          </a:fld>
          <a:endParaRPr lang="fr-FR" sz="1100"/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13</xdr:row>
      <xdr:rowOff>0</xdr:rowOff>
    </xdr:to>
    <xdr:sp macro="JSON_TableHeaderClick" textlink="$E$12">
      <xdr:nvSpPr>
        <xdr:cNvPr id="28" name="tReportings_3">
          <a:extLst>
            <a:ext uri="{FF2B5EF4-FFF2-40B4-BE49-F238E27FC236}">
              <a16:creationId xmlns:a16="http://schemas.microsoft.com/office/drawing/2014/main" id="{0F4283B6-B79E-4AC6-A661-8BF8C6375B39}"/>
            </a:ext>
          </a:extLst>
        </xdr:cNvPr>
        <xdr:cNvSpPr/>
      </xdr:nvSpPr>
      <xdr:spPr>
        <a:xfrm>
          <a:off x="2676525" y="2095500"/>
          <a:ext cx="981075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F4A3ABA-4FEC-48FB-8C91-985EA977656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Exercice</a:t>
          </a:fld>
          <a:endParaRPr lang="fr-FR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13</xdr:row>
      <xdr:rowOff>0</xdr:rowOff>
    </xdr:to>
    <xdr:sp macro="JSON_TableHeaderClick" textlink="$F$12">
      <xdr:nvSpPr>
        <xdr:cNvPr id="29" name="tReportings_4">
          <a:extLst>
            <a:ext uri="{FF2B5EF4-FFF2-40B4-BE49-F238E27FC236}">
              <a16:creationId xmlns:a16="http://schemas.microsoft.com/office/drawing/2014/main" id="{69DB5683-73E0-42E2-A081-048D59E29AB7}"/>
            </a:ext>
          </a:extLst>
        </xdr:cNvPr>
        <xdr:cNvSpPr/>
      </xdr:nvSpPr>
      <xdr:spPr>
        <a:xfrm>
          <a:off x="3657600" y="2095500"/>
          <a:ext cx="1914525" cy="1905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DDC9632-2DB3-4D04-9ED7-3D89E96099E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Date de création</a:t>
          </a:fld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63500</xdr:rowOff>
    </xdr:from>
    <xdr:to>
      <xdr:col>2</xdr:col>
      <xdr:colOff>0</xdr:colOff>
      <xdr:row>5</xdr:row>
      <xdr:rowOff>0</xdr:rowOff>
    </xdr:to>
    <xdr:sp macro="JSON_TableHeaderClick" textlink="$B$4">
      <xdr:nvSpPr>
        <xdr:cNvPr id="85" name="tReporting52428888_1">
          <a:extLst>
            <a:ext uri="{FF2B5EF4-FFF2-40B4-BE49-F238E27FC236}">
              <a16:creationId xmlns:a16="http://schemas.microsoft.com/office/drawing/2014/main" id="{0F947C2E-A7A0-4908-86ED-1CC24030A514}"/>
            </a:ext>
          </a:extLst>
        </xdr:cNvPr>
        <xdr:cNvSpPr/>
      </xdr:nvSpPr>
      <xdr:spPr>
        <a:xfrm>
          <a:off x="4476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8CC8565A-01B5-47A6-9AC2-74802A42393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Reporting</a:t>
          </a:fld>
          <a:endParaRPr lang="fr-FR" sz="1100"/>
        </a:p>
      </xdr:txBody>
    </xdr:sp>
    <xdr:clientData/>
  </xdr:twoCellAnchor>
  <xdr:twoCellAnchor>
    <xdr:from>
      <xdr:col>2</xdr:col>
      <xdr:colOff>0</xdr:colOff>
      <xdr:row>3</xdr:row>
      <xdr:rowOff>0</xdr:rowOff>
    </xdr:from>
    <xdr:to>
      <xdr:col>3</xdr:col>
      <xdr:colOff>0</xdr:colOff>
      <xdr:row>5</xdr:row>
      <xdr:rowOff>0</xdr:rowOff>
    </xdr:to>
    <xdr:sp macro="JSON_TableHeaderClick" textlink="$C$4">
      <xdr:nvSpPr>
        <xdr:cNvPr id="86" name="tReporting52428888_2">
          <a:extLst>
            <a:ext uri="{FF2B5EF4-FFF2-40B4-BE49-F238E27FC236}">
              <a16:creationId xmlns:a16="http://schemas.microsoft.com/office/drawing/2014/main" id="{863FD0AE-449E-4550-88C3-C755E1180685}"/>
            </a:ext>
          </a:extLst>
        </xdr:cNvPr>
        <xdr:cNvSpPr/>
      </xdr:nvSpPr>
      <xdr:spPr>
        <a:xfrm>
          <a:off x="8286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8866738-9F11-4221-8800-A59A9A881F1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Phase</a:t>
          </a:fld>
          <a:endParaRPr lang="fr-FR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5</xdr:row>
      <xdr:rowOff>0</xdr:rowOff>
    </xdr:to>
    <xdr:sp macro="JSON_TableHeaderClick" textlink="$D$4">
      <xdr:nvSpPr>
        <xdr:cNvPr id="87" name="tReporting52428888_3">
          <a:extLst>
            <a:ext uri="{FF2B5EF4-FFF2-40B4-BE49-F238E27FC236}">
              <a16:creationId xmlns:a16="http://schemas.microsoft.com/office/drawing/2014/main" id="{B234D6E9-A553-4415-9FDD-F32701B3D1BF}"/>
            </a:ext>
          </a:extLst>
        </xdr:cNvPr>
        <xdr:cNvSpPr/>
      </xdr:nvSpPr>
      <xdr:spPr>
        <a:xfrm>
          <a:off x="14763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1B62B91-02E0-41DE-BBC2-9371499C693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Exercice</a:t>
          </a:fld>
          <a:endParaRPr lang="fr-FR" sz="1100"/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5</xdr:row>
      <xdr:rowOff>0</xdr:rowOff>
    </xdr:to>
    <xdr:sp macro="JSON_TableHeaderClick" textlink="$E$4">
      <xdr:nvSpPr>
        <xdr:cNvPr id="88" name="tReporting52428888_4">
          <a:extLst>
            <a:ext uri="{FF2B5EF4-FFF2-40B4-BE49-F238E27FC236}">
              <a16:creationId xmlns:a16="http://schemas.microsoft.com/office/drawing/2014/main" id="{D00AD871-B0A7-47AD-B39A-F98255DBB8C2}"/>
            </a:ext>
          </a:extLst>
        </xdr:cNvPr>
        <xdr:cNvSpPr/>
      </xdr:nvSpPr>
      <xdr:spPr>
        <a:xfrm>
          <a:off x="21240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23E1EB2-9A83-4C08-A81B-71AB2FADC3B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Version de référentiel</a:t>
          </a:fld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5</xdr:row>
      <xdr:rowOff>0</xdr:rowOff>
    </xdr:to>
    <xdr:sp macro="JSON_TableHeaderClick" textlink="$F$4">
      <xdr:nvSpPr>
        <xdr:cNvPr id="89" name="tReporting52428888_5">
          <a:extLst>
            <a:ext uri="{FF2B5EF4-FFF2-40B4-BE49-F238E27FC236}">
              <a16:creationId xmlns:a16="http://schemas.microsoft.com/office/drawing/2014/main" id="{B367752C-3F29-4B1E-B36F-3116D0AC92DC}"/>
            </a:ext>
          </a:extLst>
        </xdr:cNvPr>
        <xdr:cNvSpPr/>
      </xdr:nvSpPr>
      <xdr:spPr>
        <a:xfrm>
          <a:off x="2771775" y="571500"/>
          <a:ext cx="14478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0DBB66C-6C60-4282-AB39-73A60308718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Début</a:t>
          </a:fld>
          <a:endParaRPr lang="fr-FR" sz="1100"/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5</xdr:row>
      <xdr:rowOff>0</xdr:rowOff>
    </xdr:to>
    <xdr:sp macro="JSON_TableHeaderClick" textlink="$G$4">
      <xdr:nvSpPr>
        <xdr:cNvPr id="90" name="tReporting52428888_6">
          <a:extLst>
            <a:ext uri="{FF2B5EF4-FFF2-40B4-BE49-F238E27FC236}">
              <a16:creationId xmlns:a16="http://schemas.microsoft.com/office/drawing/2014/main" id="{2B449E36-8048-4EA7-B64C-FCEF77B73F4A}"/>
            </a:ext>
          </a:extLst>
        </xdr:cNvPr>
        <xdr:cNvSpPr/>
      </xdr:nvSpPr>
      <xdr:spPr>
        <a:xfrm>
          <a:off x="4219575" y="571500"/>
          <a:ext cx="14478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1AC608E-26D4-4E54-B2A4-40E3295F832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Fin</a:t>
          </a:fld>
          <a:endParaRPr lang="fr-FR" sz="1100"/>
        </a:p>
      </xdr:txBody>
    </xdr:sp>
    <xdr:clientData/>
  </xdr:twoCellAnchor>
  <xdr:twoCellAnchor>
    <xdr:from>
      <xdr:col>7</xdr:col>
      <xdr:colOff>0</xdr:colOff>
      <xdr:row>2</xdr:row>
      <xdr:rowOff>63500</xdr:rowOff>
    </xdr:from>
    <xdr:to>
      <xdr:col>8</xdr:col>
      <xdr:colOff>0</xdr:colOff>
      <xdr:row>5</xdr:row>
      <xdr:rowOff>0</xdr:rowOff>
    </xdr:to>
    <xdr:sp macro="JSON_TableHeaderClick" textlink="$H$4">
      <xdr:nvSpPr>
        <xdr:cNvPr id="91" name="tReporting52428888_7">
          <a:extLst>
            <a:ext uri="{FF2B5EF4-FFF2-40B4-BE49-F238E27FC236}">
              <a16:creationId xmlns:a16="http://schemas.microsoft.com/office/drawing/2014/main" id="{F8206F79-8700-467E-A068-7A5C8D1EAE20}"/>
            </a:ext>
          </a:extLst>
        </xdr:cNvPr>
        <xdr:cNvSpPr/>
      </xdr:nvSpPr>
      <xdr:spPr>
        <a:xfrm>
          <a:off x="56673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E018B6CE-E952-4315-913A-F2288BEB1D0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Libellés</a:t>
          </a:fld>
          <a:endParaRPr lang="fr-FR" sz="1100"/>
        </a:p>
      </xdr:txBody>
    </xdr:sp>
    <xdr:clientData/>
  </xdr:twoCellAnchor>
  <xdr:twoCellAnchor>
    <xdr:from>
      <xdr:col>8</xdr:col>
      <xdr:colOff>0</xdr:colOff>
      <xdr:row>2</xdr:row>
      <xdr:rowOff>63500</xdr:rowOff>
    </xdr:from>
    <xdr:to>
      <xdr:col>9</xdr:col>
      <xdr:colOff>0</xdr:colOff>
      <xdr:row>5</xdr:row>
      <xdr:rowOff>0</xdr:rowOff>
    </xdr:to>
    <xdr:sp macro="JSON_TableHeaderClick" textlink="$I$4">
      <xdr:nvSpPr>
        <xdr:cNvPr id="92" name="tReporting52428888_8">
          <a:extLst>
            <a:ext uri="{FF2B5EF4-FFF2-40B4-BE49-F238E27FC236}">
              <a16:creationId xmlns:a16="http://schemas.microsoft.com/office/drawing/2014/main" id="{C29507A7-679C-404F-B8AE-6B805811730E}"/>
            </a:ext>
          </a:extLst>
        </xdr:cNvPr>
        <xdr:cNvSpPr/>
      </xdr:nvSpPr>
      <xdr:spPr>
        <a:xfrm>
          <a:off x="60483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736E5853-4CC9-4C6F-8525-F93AADF0DDB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Liasse</a:t>
          </a:fld>
          <a:endParaRPr lang="fr-FR" sz="1100"/>
        </a:p>
      </xdr:txBody>
    </xdr:sp>
    <xdr:clientData/>
  </xdr:twoCellAnchor>
  <xdr:twoCellAnchor>
    <xdr:from>
      <xdr:col>9</xdr:col>
      <xdr:colOff>0</xdr:colOff>
      <xdr:row>3</xdr:row>
      <xdr:rowOff>0</xdr:rowOff>
    </xdr:from>
    <xdr:to>
      <xdr:col>10</xdr:col>
      <xdr:colOff>0</xdr:colOff>
      <xdr:row>5</xdr:row>
      <xdr:rowOff>0</xdr:rowOff>
    </xdr:to>
    <xdr:sp macro="JSON_TableHeaderClick" textlink="$J$4">
      <xdr:nvSpPr>
        <xdr:cNvPr id="93" name="tReporting52428888_9">
          <a:extLst>
            <a:ext uri="{FF2B5EF4-FFF2-40B4-BE49-F238E27FC236}">
              <a16:creationId xmlns:a16="http://schemas.microsoft.com/office/drawing/2014/main" id="{0B628ACC-FF23-4B57-9FC5-5725C82D4433}"/>
            </a:ext>
          </a:extLst>
        </xdr:cNvPr>
        <xdr:cNvSpPr/>
      </xdr:nvSpPr>
      <xdr:spPr>
        <a:xfrm>
          <a:off x="64293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EDF67A6-ED58-49B4-8624-BA212715DB5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Cahier Windows: défaut?</a:t>
          </a:fld>
          <a:endParaRPr lang="fr-FR" sz="1100"/>
        </a:p>
      </xdr:txBody>
    </xdr:sp>
    <xdr:clientData/>
  </xdr:twoCellAnchor>
  <xdr:twoCellAnchor>
    <xdr:from>
      <xdr:col>10</xdr:col>
      <xdr:colOff>0</xdr:colOff>
      <xdr:row>3</xdr:row>
      <xdr:rowOff>0</xdr:rowOff>
    </xdr:from>
    <xdr:to>
      <xdr:col>11</xdr:col>
      <xdr:colOff>0</xdr:colOff>
      <xdr:row>5</xdr:row>
      <xdr:rowOff>0</xdr:rowOff>
    </xdr:to>
    <xdr:sp macro="JSON_TableHeaderClick" textlink="$K$4">
      <xdr:nvSpPr>
        <xdr:cNvPr id="94" name="tReporting52428888_10">
          <a:extLst>
            <a:ext uri="{FF2B5EF4-FFF2-40B4-BE49-F238E27FC236}">
              <a16:creationId xmlns:a16="http://schemas.microsoft.com/office/drawing/2014/main" id="{A3AC480A-BF50-44EC-A674-5F7DEE66F921}"/>
            </a:ext>
          </a:extLst>
        </xdr:cNvPr>
        <xdr:cNvSpPr/>
      </xdr:nvSpPr>
      <xdr:spPr>
        <a:xfrm>
          <a:off x="70770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3476941-2A2C-4001-8E7F-A30F3127F45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Cahier Windows</a:t>
          </a:fld>
          <a:endParaRPr lang="fr-FR" sz="1100"/>
        </a:p>
      </xdr:txBody>
    </xdr:sp>
    <xdr:clientData/>
  </xdr:twoCellAnchor>
  <xdr:twoCellAnchor>
    <xdr:from>
      <xdr:col>11</xdr:col>
      <xdr:colOff>0</xdr:colOff>
      <xdr:row>3</xdr:row>
      <xdr:rowOff>0</xdr:rowOff>
    </xdr:from>
    <xdr:to>
      <xdr:col>12</xdr:col>
      <xdr:colOff>0</xdr:colOff>
      <xdr:row>5</xdr:row>
      <xdr:rowOff>0</xdr:rowOff>
    </xdr:to>
    <xdr:sp macro="JSON_TableHeaderClick" textlink="$L$4">
      <xdr:nvSpPr>
        <xdr:cNvPr id="95" name="tReporting52428888_11">
          <a:extLst>
            <a:ext uri="{FF2B5EF4-FFF2-40B4-BE49-F238E27FC236}">
              <a16:creationId xmlns:a16="http://schemas.microsoft.com/office/drawing/2014/main" id="{AEC395D5-0E81-45DF-8653-CF69E2FFBB09}"/>
            </a:ext>
          </a:extLst>
        </xdr:cNvPr>
        <xdr:cNvSpPr/>
      </xdr:nvSpPr>
      <xdr:spPr>
        <a:xfrm>
          <a:off x="77247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A9200D3-ABD3-411F-B04B-4145B9217D0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Cahier Internet: défaut?</a:t>
          </a:fld>
          <a:endParaRPr lang="fr-FR" sz="1100"/>
        </a:p>
      </xdr:txBody>
    </xdr:sp>
    <xdr:clientData/>
  </xdr:twoCellAnchor>
  <xdr:twoCellAnchor>
    <xdr:from>
      <xdr:col>12</xdr:col>
      <xdr:colOff>0</xdr:colOff>
      <xdr:row>3</xdr:row>
      <xdr:rowOff>0</xdr:rowOff>
    </xdr:from>
    <xdr:to>
      <xdr:col>13</xdr:col>
      <xdr:colOff>0</xdr:colOff>
      <xdr:row>5</xdr:row>
      <xdr:rowOff>0</xdr:rowOff>
    </xdr:to>
    <xdr:sp macro="JSON_TableHeaderClick" textlink="$M$4">
      <xdr:nvSpPr>
        <xdr:cNvPr id="96" name="tReporting52428888_12">
          <a:extLst>
            <a:ext uri="{FF2B5EF4-FFF2-40B4-BE49-F238E27FC236}">
              <a16:creationId xmlns:a16="http://schemas.microsoft.com/office/drawing/2014/main" id="{6483B78C-5738-4D5B-82AE-84562923B36A}"/>
            </a:ext>
          </a:extLst>
        </xdr:cNvPr>
        <xdr:cNvSpPr/>
      </xdr:nvSpPr>
      <xdr:spPr>
        <a:xfrm>
          <a:off x="83724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AB7940B-9F8E-42D0-B323-3AC8A67CFDE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Cahier Internet</a:t>
          </a:fld>
          <a:endParaRPr lang="fr-FR" sz="1100"/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JSON_TableHeaderClick" textlink="$N$4">
      <xdr:nvSpPr>
        <xdr:cNvPr id="97" name="tReporting52428888_13">
          <a:extLst>
            <a:ext uri="{FF2B5EF4-FFF2-40B4-BE49-F238E27FC236}">
              <a16:creationId xmlns:a16="http://schemas.microsoft.com/office/drawing/2014/main" id="{8B7509E2-5D5D-4982-8F98-B1D60ABB0E85}"/>
            </a:ext>
          </a:extLst>
        </xdr:cNvPr>
        <xdr:cNvSpPr/>
      </xdr:nvSpPr>
      <xdr:spPr>
        <a:xfrm>
          <a:off x="90201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9B115A4-5061-4911-A820-DAC11B44F01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Jeu de contrôles: défaut?</a:t>
          </a:fld>
          <a:endParaRPr lang="fr-FR" sz="1100"/>
        </a:p>
      </xdr:txBody>
    </xdr:sp>
    <xdr:clientData/>
  </xdr:twoCellAnchor>
  <xdr:twoCellAnchor>
    <xdr:from>
      <xdr:col>14</xdr:col>
      <xdr:colOff>0</xdr:colOff>
      <xdr:row>3</xdr:row>
      <xdr:rowOff>0</xdr:rowOff>
    </xdr:from>
    <xdr:to>
      <xdr:col>15</xdr:col>
      <xdr:colOff>0</xdr:colOff>
      <xdr:row>5</xdr:row>
      <xdr:rowOff>0</xdr:rowOff>
    </xdr:to>
    <xdr:sp macro="JSON_TableHeaderClick" textlink="$O$4">
      <xdr:nvSpPr>
        <xdr:cNvPr id="98" name="tReporting52428888_14">
          <a:extLst>
            <a:ext uri="{FF2B5EF4-FFF2-40B4-BE49-F238E27FC236}">
              <a16:creationId xmlns:a16="http://schemas.microsoft.com/office/drawing/2014/main" id="{76AAD978-4802-47A2-9756-3A3866753AE5}"/>
            </a:ext>
          </a:extLst>
        </xdr:cNvPr>
        <xdr:cNvSpPr/>
      </xdr:nvSpPr>
      <xdr:spPr>
        <a:xfrm>
          <a:off x="96678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E518F77-9F70-489B-93FE-0D12EDFB4E2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Jeu de contrôles</a:t>
          </a:fld>
          <a:endParaRPr lang="fr-FR" sz="1100"/>
        </a:p>
      </xdr:txBody>
    </xdr:sp>
    <xdr:clientData/>
  </xdr:twoCellAnchor>
  <xdr:twoCellAnchor>
    <xdr:from>
      <xdr:col>15</xdr:col>
      <xdr:colOff>0</xdr:colOff>
      <xdr:row>3</xdr:row>
      <xdr:rowOff>0</xdr:rowOff>
    </xdr:from>
    <xdr:to>
      <xdr:col>16</xdr:col>
      <xdr:colOff>0</xdr:colOff>
      <xdr:row>5</xdr:row>
      <xdr:rowOff>0</xdr:rowOff>
    </xdr:to>
    <xdr:sp macro="JSON_TableHeaderClick" textlink="$P$4">
      <xdr:nvSpPr>
        <xdr:cNvPr id="99" name="tReporting52428888_15">
          <a:extLst>
            <a:ext uri="{FF2B5EF4-FFF2-40B4-BE49-F238E27FC236}">
              <a16:creationId xmlns:a16="http://schemas.microsoft.com/office/drawing/2014/main" id="{4983B1B8-497C-4A2D-B88F-33E70EF5C548}"/>
            </a:ext>
          </a:extLst>
        </xdr:cNvPr>
        <xdr:cNvSpPr/>
      </xdr:nvSpPr>
      <xdr:spPr>
        <a:xfrm>
          <a:off x="103155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02B1B00-6A29-4C52-AA3F-B77BAA29E59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Niveau de contrôle: défaut?</a:t>
          </a:fld>
          <a:endParaRPr lang="fr-FR" sz="1100"/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17</xdr:col>
      <xdr:colOff>0</xdr:colOff>
      <xdr:row>5</xdr:row>
      <xdr:rowOff>0</xdr:rowOff>
    </xdr:to>
    <xdr:sp macro="JSON_TableHeaderClick" textlink="$Q$4">
      <xdr:nvSpPr>
        <xdr:cNvPr id="100" name="tReporting52428888_16">
          <a:extLst>
            <a:ext uri="{FF2B5EF4-FFF2-40B4-BE49-F238E27FC236}">
              <a16:creationId xmlns:a16="http://schemas.microsoft.com/office/drawing/2014/main" id="{A51A1AFA-FFD2-4C06-B1F2-A84F67681DED}"/>
            </a:ext>
          </a:extLst>
        </xdr:cNvPr>
        <xdr:cNvSpPr/>
      </xdr:nvSpPr>
      <xdr:spPr>
        <a:xfrm>
          <a:off x="109632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A5BF3C0-6FA5-4035-9D9D-CDEF90447CA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Niveau de contrôle</a:t>
          </a:fld>
          <a:endParaRPr lang="fr-FR" sz="1100"/>
        </a:p>
      </xdr:txBody>
    </xdr:sp>
    <xdr:clientData/>
  </xdr:twoCellAnchor>
  <xdr:twoCellAnchor>
    <xdr:from>
      <xdr:col>17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JSON_TableHeaderClick" textlink="$R$4">
      <xdr:nvSpPr>
        <xdr:cNvPr id="101" name="tReporting52428888_17">
          <a:extLst>
            <a:ext uri="{FF2B5EF4-FFF2-40B4-BE49-F238E27FC236}">
              <a16:creationId xmlns:a16="http://schemas.microsoft.com/office/drawing/2014/main" id="{ECDBC4D2-6190-4E7F-8089-CD519C809805}"/>
            </a:ext>
          </a:extLst>
        </xdr:cNvPr>
        <xdr:cNvSpPr/>
      </xdr:nvSpPr>
      <xdr:spPr>
        <a:xfrm>
          <a:off x="116109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FFDAE56-BA44-409F-844F-D6DB652A2A5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Bloquant?</a:t>
          </a:fld>
          <a:endParaRPr lang="fr-FR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JSON_TableHeaderClick" textlink="$S$4">
      <xdr:nvSpPr>
        <xdr:cNvPr id="102" name="tReporting52428888_18">
          <a:extLst>
            <a:ext uri="{FF2B5EF4-FFF2-40B4-BE49-F238E27FC236}">
              <a16:creationId xmlns:a16="http://schemas.microsoft.com/office/drawing/2014/main" id="{785F1DC8-8CE6-46A1-805C-A257A6F48823}"/>
            </a:ext>
          </a:extLst>
        </xdr:cNvPr>
        <xdr:cNvSpPr/>
      </xdr:nvSpPr>
      <xdr:spPr>
        <a:xfrm>
          <a:off x="122586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F9F7F5F-8409-47E5-80E2-4649E70C49C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Verrouillage: défaut?</a:t>
          </a:fld>
          <a:endParaRPr lang="fr-FR" sz="1100"/>
        </a:p>
      </xdr:txBody>
    </xdr:sp>
    <xdr:clientData/>
  </xdr:twoCellAnchor>
  <xdr:twoCellAnchor>
    <xdr:from>
      <xdr:col>19</xdr:col>
      <xdr:colOff>0</xdr:colOff>
      <xdr:row>3</xdr:row>
      <xdr:rowOff>0</xdr:rowOff>
    </xdr:from>
    <xdr:to>
      <xdr:col>20</xdr:col>
      <xdr:colOff>0</xdr:colOff>
      <xdr:row>5</xdr:row>
      <xdr:rowOff>0</xdr:rowOff>
    </xdr:to>
    <xdr:sp macro="JSON_TableHeaderClick" textlink="$T$4">
      <xdr:nvSpPr>
        <xdr:cNvPr id="103" name="tReporting52428888_19">
          <a:extLst>
            <a:ext uri="{FF2B5EF4-FFF2-40B4-BE49-F238E27FC236}">
              <a16:creationId xmlns:a16="http://schemas.microsoft.com/office/drawing/2014/main" id="{D169E6DC-3408-470A-B3C6-13CAFA0DB67E}"/>
            </a:ext>
          </a:extLst>
        </xdr:cNvPr>
        <xdr:cNvSpPr/>
      </xdr:nvSpPr>
      <xdr:spPr>
        <a:xfrm>
          <a:off x="129063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A566D54-A219-4E6A-8A10-BE85156FE4F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Verrouillage</a:t>
          </a:fld>
          <a:endParaRPr lang="fr-FR" sz="1100"/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JSON_TableHeaderClick" textlink="$U$4">
      <xdr:nvSpPr>
        <xdr:cNvPr id="104" name="tReporting52428888_20">
          <a:extLst>
            <a:ext uri="{FF2B5EF4-FFF2-40B4-BE49-F238E27FC236}">
              <a16:creationId xmlns:a16="http://schemas.microsoft.com/office/drawing/2014/main" id="{7852EA2E-A018-4956-81D5-C59D8327260D}"/>
            </a:ext>
          </a:extLst>
        </xdr:cNvPr>
        <xdr:cNvSpPr/>
      </xdr:nvSpPr>
      <xdr:spPr>
        <a:xfrm>
          <a:off x="135540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DDDAC4D-1D71-4600-8B47-A46226248C1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Jeu de règles: défaut?</a:t>
          </a:fld>
          <a:endParaRPr lang="fr-FR" sz="1100"/>
        </a:p>
      </xdr:txBody>
    </xdr:sp>
    <xdr:clientData/>
  </xdr:twoCellAnchor>
  <xdr:twoCellAnchor>
    <xdr:from>
      <xdr:col>21</xdr:col>
      <xdr:colOff>0</xdr:colOff>
      <xdr:row>3</xdr:row>
      <xdr:rowOff>0</xdr:rowOff>
    </xdr:from>
    <xdr:to>
      <xdr:col>22</xdr:col>
      <xdr:colOff>0</xdr:colOff>
      <xdr:row>5</xdr:row>
      <xdr:rowOff>0</xdr:rowOff>
    </xdr:to>
    <xdr:sp macro="JSON_TableHeaderClick" textlink="$V$4">
      <xdr:nvSpPr>
        <xdr:cNvPr id="105" name="tReporting52428888_21">
          <a:extLst>
            <a:ext uri="{FF2B5EF4-FFF2-40B4-BE49-F238E27FC236}">
              <a16:creationId xmlns:a16="http://schemas.microsoft.com/office/drawing/2014/main" id="{DEE5F803-3CA6-40A7-9C22-493AED9354FE}"/>
            </a:ext>
          </a:extLst>
        </xdr:cNvPr>
        <xdr:cNvSpPr/>
      </xdr:nvSpPr>
      <xdr:spPr>
        <a:xfrm>
          <a:off x="142017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5F873F9-4B9F-4F05-96B3-2F61B1FB394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Jeu de règles</a:t>
          </a:fld>
          <a:endParaRPr lang="fr-FR" sz="1100"/>
        </a:p>
      </xdr:txBody>
    </xdr:sp>
    <xdr:clientData/>
  </xdr:twoCellAnchor>
  <xdr:twoCellAnchor>
    <xdr:from>
      <xdr:col>22</xdr:col>
      <xdr:colOff>0</xdr:colOff>
      <xdr:row>3</xdr:row>
      <xdr:rowOff>0</xdr:rowOff>
    </xdr:from>
    <xdr:to>
      <xdr:col>23</xdr:col>
      <xdr:colOff>0</xdr:colOff>
      <xdr:row>5</xdr:row>
      <xdr:rowOff>0</xdr:rowOff>
    </xdr:to>
    <xdr:sp macro="JSON_TableHeaderClick" textlink="$W$4">
      <xdr:nvSpPr>
        <xdr:cNvPr id="106" name="tReporting52428888_22">
          <a:extLst>
            <a:ext uri="{FF2B5EF4-FFF2-40B4-BE49-F238E27FC236}">
              <a16:creationId xmlns:a16="http://schemas.microsoft.com/office/drawing/2014/main" id="{2A36E402-F7E1-4651-84FF-07EEF1A26D48}"/>
            </a:ext>
          </a:extLst>
        </xdr:cNvPr>
        <xdr:cNvSpPr/>
      </xdr:nvSpPr>
      <xdr:spPr>
        <a:xfrm>
          <a:off x="148494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26E2441-9D84-4242-858F-B5EF656BE9B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A-nouveaux: défaut?</a:t>
          </a:fld>
          <a:endParaRPr lang="fr-FR" sz="1100"/>
        </a:p>
      </xdr:txBody>
    </xdr:sp>
    <xdr:clientData/>
  </xdr:twoCellAnchor>
  <xdr:twoCellAnchor>
    <xdr:from>
      <xdr:col>23</xdr:col>
      <xdr:colOff>0</xdr:colOff>
      <xdr:row>3</xdr:row>
      <xdr:rowOff>0</xdr:rowOff>
    </xdr:from>
    <xdr:to>
      <xdr:col>24</xdr:col>
      <xdr:colOff>0</xdr:colOff>
      <xdr:row>5</xdr:row>
      <xdr:rowOff>0</xdr:rowOff>
    </xdr:to>
    <xdr:sp macro="JSON_TableHeaderClick" textlink="$X$4">
      <xdr:nvSpPr>
        <xdr:cNvPr id="107" name="tReporting52428888_23">
          <a:extLst>
            <a:ext uri="{FF2B5EF4-FFF2-40B4-BE49-F238E27FC236}">
              <a16:creationId xmlns:a16="http://schemas.microsoft.com/office/drawing/2014/main" id="{37139B0B-CC7D-4C80-9A5C-1E1E46AA3A6F}"/>
            </a:ext>
          </a:extLst>
        </xdr:cNvPr>
        <xdr:cNvSpPr/>
      </xdr:nvSpPr>
      <xdr:spPr>
        <a:xfrm>
          <a:off x="154971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787E5F7-9B38-40DE-BD4B-3ADC76D94F1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A-nouveaux?</a:t>
          </a:fld>
          <a:endParaRPr lang="fr-FR" sz="1100"/>
        </a:p>
      </xdr:txBody>
    </xdr:sp>
    <xdr:clientData/>
  </xdr:twoCellAnchor>
  <xdr:twoCellAnchor>
    <xdr:from>
      <xdr:col>24</xdr:col>
      <xdr:colOff>0</xdr:colOff>
      <xdr:row>3</xdr:row>
      <xdr:rowOff>0</xdr:rowOff>
    </xdr:from>
    <xdr:to>
      <xdr:col>25</xdr:col>
      <xdr:colOff>0</xdr:colOff>
      <xdr:row>5</xdr:row>
      <xdr:rowOff>0</xdr:rowOff>
    </xdr:to>
    <xdr:sp macro="JSON_TableHeaderClick" textlink="$Y$4">
      <xdr:nvSpPr>
        <xdr:cNvPr id="108" name="tReporting52428888_24">
          <a:extLst>
            <a:ext uri="{FF2B5EF4-FFF2-40B4-BE49-F238E27FC236}">
              <a16:creationId xmlns:a16="http://schemas.microsoft.com/office/drawing/2014/main" id="{40EB6207-091A-4FFC-A1E0-5535F916B6CA}"/>
            </a:ext>
          </a:extLst>
        </xdr:cNvPr>
        <xdr:cNvSpPr/>
      </xdr:nvSpPr>
      <xdr:spPr>
        <a:xfrm>
          <a:off x="161448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DA76225-5BAB-418A-AA63-03112327FDB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AN Phase</a:t>
          </a:fld>
          <a:endParaRPr lang="fr-FR" sz="1100"/>
        </a:p>
      </xdr:txBody>
    </xdr:sp>
    <xdr:clientData/>
  </xdr:twoCellAnchor>
  <xdr:twoCellAnchor>
    <xdr:from>
      <xdr:col>25</xdr:col>
      <xdr:colOff>0</xdr:colOff>
      <xdr:row>3</xdr:row>
      <xdr:rowOff>0</xdr:rowOff>
    </xdr:from>
    <xdr:to>
      <xdr:col>26</xdr:col>
      <xdr:colOff>0</xdr:colOff>
      <xdr:row>5</xdr:row>
      <xdr:rowOff>0</xdr:rowOff>
    </xdr:to>
    <xdr:sp macro="JSON_TableHeaderClick" textlink="$Z$4">
      <xdr:nvSpPr>
        <xdr:cNvPr id="109" name="tReporting52428888_25">
          <a:extLst>
            <a:ext uri="{FF2B5EF4-FFF2-40B4-BE49-F238E27FC236}">
              <a16:creationId xmlns:a16="http://schemas.microsoft.com/office/drawing/2014/main" id="{F1607868-8AC9-499B-A55C-9A495B056D16}"/>
            </a:ext>
          </a:extLst>
        </xdr:cNvPr>
        <xdr:cNvSpPr/>
      </xdr:nvSpPr>
      <xdr:spPr>
        <a:xfrm>
          <a:off x="167925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5E7269B-633D-43B4-8418-4663AC49703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AN Exercice</a:t>
          </a:fld>
          <a:endParaRPr lang="fr-FR" sz="1100"/>
        </a:p>
      </xdr:txBody>
    </xdr:sp>
    <xdr:clientData/>
  </xdr:twoCellAnchor>
  <xdr:twoCellAnchor>
    <xdr:from>
      <xdr:col>26</xdr:col>
      <xdr:colOff>0</xdr:colOff>
      <xdr:row>3</xdr:row>
      <xdr:rowOff>0</xdr:rowOff>
    </xdr:from>
    <xdr:to>
      <xdr:col>27</xdr:col>
      <xdr:colOff>0</xdr:colOff>
      <xdr:row>5</xdr:row>
      <xdr:rowOff>0</xdr:rowOff>
    </xdr:to>
    <xdr:sp macro="JSON_TableHeaderClick" textlink="$AA$4">
      <xdr:nvSpPr>
        <xdr:cNvPr id="110" name="tReporting52428888_26">
          <a:extLst>
            <a:ext uri="{FF2B5EF4-FFF2-40B4-BE49-F238E27FC236}">
              <a16:creationId xmlns:a16="http://schemas.microsoft.com/office/drawing/2014/main" id="{5ECB17A6-BBC8-457F-AF33-2854B7DFDD38}"/>
            </a:ext>
          </a:extLst>
        </xdr:cNvPr>
        <xdr:cNvSpPr/>
      </xdr:nvSpPr>
      <xdr:spPr>
        <a:xfrm>
          <a:off x="174402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F961BE9-1007-4D66-9DAE-A2AA39AD43A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AN Périmètre</a:t>
          </a:fld>
          <a:endParaRPr lang="fr-FR" sz="1100"/>
        </a:p>
      </xdr:txBody>
    </xdr:sp>
    <xdr:clientData/>
  </xdr:twoCellAnchor>
  <xdr:twoCellAnchor>
    <xdr:from>
      <xdr:col>27</xdr:col>
      <xdr:colOff>0</xdr:colOff>
      <xdr:row>3</xdr:row>
      <xdr:rowOff>0</xdr:rowOff>
    </xdr:from>
    <xdr:to>
      <xdr:col>28</xdr:col>
      <xdr:colOff>0</xdr:colOff>
      <xdr:row>5</xdr:row>
      <xdr:rowOff>0</xdr:rowOff>
    </xdr:to>
    <xdr:sp macro="JSON_TableHeaderClick" textlink="$AB$4">
      <xdr:nvSpPr>
        <xdr:cNvPr id="111" name="tReporting52428888_27">
          <a:extLst>
            <a:ext uri="{FF2B5EF4-FFF2-40B4-BE49-F238E27FC236}">
              <a16:creationId xmlns:a16="http://schemas.microsoft.com/office/drawing/2014/main" id="{3F009C87-75CB-4C3E-A07F-946F7A8BDC79}"/>
            </a:ext>
          </a:extLst>
        </xdr:cNvPr>
        <xdr:cNvSpPr/>
      </xdr:nvSpPr>
      <xdr:spPr>
        <a:xfrm>
          <a:off x="180879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0EEBAC7-194D-4DD8-8A2F-F84209A9D2B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AN Variante</a:t>
          </a:fld>
          <a:endParaRPr lang="fr-FR" sz="1100"/>
        </a:p>
      </xdr:txBody>
    </xdr:sp>
    <xdr:clientData/>
  </xdr:twoCellAnchor>
  <xdr:twoCellAnchor>
    <xdr:from>
      <xdr:col>28</xdr:col>
      <xdr:colOff>0</xdr:colOff>
      <xdr:row>3</xdr:row>
      <xdr:rowOff>0</xdr:rowOff>
    </xdr:from>
    <xdr:to>
      <xdr:col>29</xdr:col>
      <xdr:colOff>0</xdr:colOff>
      <xdr:row>5</xdr:row>
      <xdr:rowOff>0</xdr:rowOff>
    </xdr:to>
    <xdr:sp macro="JSON_TableHeaderClick" textlink="$AC$4">
      <xdr:nvSpPr>
        <xdr:cNvPr id="112" name="tReporting52428888_28">
          <a:extLst>
            <a:ext uri="{FF2B5EF4-FFF2-40B4-BE49-F238E27FC236}">
              <a16:creationId xmlns:a16="http://schemas.microsoft.com/office/drawing/2014/main" id="{69EE09CC-E58B-4707-9501-0D8FB81F944F}"/>
            </a:ext>
          </a:extLst>
        </xdr:cNvPr>
        <xdr:cNvSpPr/>
      </xdr:nvSpPr>
      <xdr:spPr>
        <a:xfrm>
          <a:off x="187356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23BD5A4-7677-42B9-BB15-1454104FABE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AN Devise</a:t>
          </a:fld>
          <a:endParaRPr lang="fr-FR" sz="1100"/>
        </a:p>
      </xdr:txBody>
    </xdr:sp>
    <xdr:clientData/>
  </xdr:twoCellAnchor>
  <xdr:twoCellAnchor>
    <xdr:from>
      <xdr:col>29</xdr:col>
      <xdr:colOff>0</xdr:colOff>
      <xdr:row>2</xdr:row>
      <xdr:rowOff>63500</xdr:rowOff>
    </xdr:from>
    <xdr:to>
      <xdr:col>30</xdr:col>
      <xdr:colOff>0</xdr:colOff>
      <xdr:row>5</xdr:row>
      <xdr:rowOff>0</xdr:rowOff>
    </xdr:to>
    <xdr:sp macro="JSON_TableHeaderClick" textlink="$AD$4">
      <xdr:nvSpPr>
        <xdr:cNvPr id="113" name="tReporting52428888_29">
          <a:extLst>
            <a:ext uri="{FF2B5EF4-FFF2-40B4-BE49-F238E27FC236}">
              <a16:creationId xmlns:a16="http://schemas.microsoft.com/office/drawing/2014/main" id="{4E3702A8-EA6A-4738-9EFE-97961CCD0D02}"/>
            </a:ext>
          </a:extLst>
        </xdr:cNvPr>
        <xdr:cNvSpPr/>
      </xdr:nvSpPr>
      <xdr:spPr>
        <a:xfrm>
          <a:off x="193833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D33591DF-12F8-466B-9F31-F28B606D5FB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Exploitation</a:t>
          </a:fld>
          <a:endParaRPr lang="fr-FR" sz="1100"/>
        </a:p>
      </xdr:txBody>
    </xdr:sp>
    <xdr:clientData/>
  </xdr:twoCellAnchor>
  <xdr:twoCellAnchor>
    <xdr:from>
      <xdr:col>30</xdr:col>
      <xdr:colOff>0</xdr:colOff>
      <xdr:row>3</xdr:row>
      <xdr:rowOff>0</xdr:rowOff>
    </xdr:from>
    <xdr:to>
      <xdr:col>31</xdr:col>
      <xdr:colOff>0</xdr:colOff>
      <xdr:row>5</xdr:row>
      <xdr:rowOff>0</xdr:rowOff>
    </xdr:to>
    <xdr:sp macro="JSON_TableHeaderClick" textlink="$AE$4">
      <xdr:nvSpPr>
        <xdr:cNvPr id="114" name="tReporting52428888_30">
          <a:extLst>
            <a:ext uri="{FF2B5EF4-FFF2-40B4-BE49-F238E27FC236}">
              <a16:creationId xmlns:a16="http://schemas.microsoft.com/office/drawing/2014/main" id="{425DCC14-D90C-44DA-9F32-54BAC6FD632A}"/>
            </a:ext>
          </a:extLst>
        </xdr:cNvPr>
        <xdr:cNvSpPr/>
      </xdr:nvSpPr>
      <xdr:spPr>
        <a:xfrm>
          <a:off x="19764375" y="571500"/>
          <a:ext cx="14478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C4645BB-11F1-41F7-A714-36EBA3EDA2F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Date limite</a:t>
          </a:fld>
          <a:endParaRPr lang="fr-FR" sz="1100"/>
        </a:p>
      </xdr:txBody>
    </xdr:sp>
    <xdr:clientData/>
  </xdr:twoCellAnchor>
  <xdr:twoCellAnchor>
    <xdr:from>
      <xdr:col>31</xdr:col>
      <xdr:colOff>0</xdr:colOff>
      <xdr:row>3</xdr:row>
      <xdr:rowOff>0</xdr:rowOff>
    </xdr:from>
    <xdr:to>
      <xdr:col>32</xdr:col>
      <xdr:colOff>0</xdr:colOff>
      <xdr:row>5</xdr:row>
      <xdr:rowOff>0</xdr:rowOff>
    </xdr:to>
    <xdr:sp macro="JSON_TableHeaderClick" textlink="$AF$4">
      <xdr:nvSpPr>
        <xdr:cNvPr id="115" name="tReporting52428888_31">
          <a:extLst>
            <a:ext uri="{FF2B5EF4-FFF2-40B4-BE49-F238E27FC236}">
              <a16:creationId xmlns:a16="http://schemas.microsoft.com/office/drawing/2014/main" id="{14605DF0-7E3E-423F-B380-CCC561C17033}"/>
            </a:ext>
          </a:extLst>
        </xdr:cNvPr>
        <xdr:cNvSpPr/>
      </xdr:nvSpPr>
      <xdr:spPr>
        <a:xfrm>
          <a:off x="21212175" y="571500"/>
          <a:ext cx="71437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265FDFE-B779-4E2D-870C-210C1CBC7F6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Publication anticipée?</a:t>
          </a:fld>
          <a:endParaRPr lang="fr-FR" sz="1100"/>
        </a:p>
      </xdr:txBody>
    </xdr:sp>
    <xdr:clientData/>
  </xdr:twoCellAnchor>
  <xdr:twoCellAnchor>
    <xdr:from>
      <xdr:col>32</xdr:col>
      <xdr:colOff>0</xdr:colOff>
      <xdr:row>2</xdr:row>
      <xdr:rowOff>63500</xdr:rowOff>
    </xdr:from>
    <xdr:to>
      <xdr:col>33</xdr:col>
      <xdr:colOff>0</xdr:colOff>
      <xdr:row>5</xdr:row>
      <xdr:rowOff>0</xdr:rowOff>
    </xdr:to>
    <xdr:sp macro="JSON_TableHeaderClick" textlink="$AG$4">
      <xdr:nvSpPr>
        <xdr:cNvPr id="116" name="tReporting52428888_32">
          <a:extLst>
            <a:ext uri="{FF2B5EF4-FFF2-40B4-BE49-F238E27FC236}">
              <a16:creationId xmlns:a16="http://schemas.microsoft.com/office/drawing/2014/main" id="{8FDF3EAE-BCF1-4FCF-B321-B07D5E9D0FD0}"/>
            </a:ext>
          </a:extLst>
        </xdr:cNvPr>
        <xdr:cNvSpPr/>
      </xdr:nvSpPr>
      <xdr:spPr>
        <a:xfrm>
          <a:off x="21926550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94707B6E-C512-4547-AFF5-6FF2C9CCFCA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Après publication</a:t>
          </a:fld>
          <a:endParaRPr lang="fr-FR" sz="1100"/>
        </a:p>
      </xdr:txBody>
    </xdr:sp>
    <xdr:clientData/>
  </xdr:twoCellAnchor>
  <xdr:twoCellAnchor>
    <xdr:from>
      <xdr:col>33</xdr:col>
      <xdr:colOff>0</xdr:colOff>
      <xdr:row>3</xdr:row>
      <xdr:rowOff>0</xdr:rowOff>
    </xdr:from>
    <xdr:to>
      <xdr:col>34</xdr:col>
      <xdr:colOff>0</xdr:colOff>
      <xdr:row>5</xdr:row>
      <xdr:rowOff>0</xdr:rowOff>
    </xdr:to>
    <xdr:sp macro="JSON_TableHeaderClick" textlink="$AH$4">
      <xdr:nvSpPr>
        <xdr:cNvPr id="117" name="tReporting52428888_33">
          <a:extLst>
            <a:ext uri="{FF2B5EF4-FFF2-40B4-BE49-F238E27FC236}">
              <a16:creationId xmlns:a16="http://schemas.microsoft.com/office/drawing/2014/main" id="{34ED5664-B607-4C98-8C06-D8EC27E5EB05}"/>
            </a:ext>
          </a:extLst>
        </xdr:cNvPr>
        <xdr:cNvSpPr/>
      </xdr:nvSpPr>
      <xdr:spPr>
        <a:xfrm>
          <a:off x="223075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0BBC344-2DC7-47BB-95BB-A07C5B5A3EC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Publication standard</a:t>
          </a:fld>
          <a:endParaRPr lang="fr-FR" sz="1100"/>
        </a:p>
      </xdr:txBody>
    </xdr:sp>
    <xdr:clientData/>
  </xdr:twoCellAnchor>
  <xdr:twoCellAnchor>
    <xdr:from>
      <xdr:col>34</xdr:col>
      <xdr:colOff>0</xdr:colOff>
      <xdr:row>3</xdr:row>
      <xdr:rowOff>0</xdr:rowOff>
    </xdr:from>
    <xdr:to>
      <xdr:col>35</xdr:col>
      <xdr:colOff>0</xdr:colOff>
      <xdr:row>5</xdr:row>
      <xdr:rowOff>0</xdr:rowOff>
    </xdr:to>
    <xdr:sp macro="JSON_TableHeaderClick" textlink="$AI$4">
      <xdr:nvSpPr>
        <xdr:cNvPr id="118" name="tReporting52428888_34">
          <a:extLst>
            <a:ext uri="{FF2B5EF4-FFF2-40B4-BE49-F238E27FC236}">
              <a16:creationId xmlns:a16="http://schemas.microsoft.com/office/drawing/2014/main" id="{28825A4E-59E3-4D11-B4FC-3EF3F152BAE6}"/>
            </a:ext>
          </a:extLst>
        </xdr:cNvPr>
        <xdr:cNvSpPr/>
      </xdr:nvSpPr>
      <xdr:spPr>
        <a:xfrm>
          <a:off x="229552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7BFA3C8-0099-4157-8F8F-FBDBBBA2A6B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Publication spéciale</a:t>
          </a:fld>
          <a:endParaRPr lang="fr-FR" sz="1100"/>
        </a:p>
      </xdr:txBody>
    </xdr:sp>
    <xdr:clientData/>
  </xdr:twoCellAnchor>
  <xdr:twoCellAnchor>
    <xdr:from>
      <xdr:col>35</xdr:col>
      <xdr:colOff>0</xdr:colOff>
      <xdr:row>3</xdr:row>
      <xdr:rowOff>0</xdr:rowOff>
    </xdr:from>
    <xdr:to>
      <xdr:col>36</xdr:col>
      <xdr:colOff>0</xdr:colOff>
      <xdr:row>5</xdr:row>
      <xdr:rowOff>0</xdr:rowOff>
    </xdr:to>
    <xdr:sp macro="JSON_TableHeaderClick" textlink="$AJ$4">
      <xdr:nvSpPr>
        <xdr:cNvPr id="119" name="tReporting52428888_35">
          <a:extLst>
            <a:ext uri="{FF2B5EF4-FFF2-40B4-BE49-F238E27FC236}">
              <a16:creationId xmlns:a16="http://schemas.microsoft.com/office/drawing/2014/main" id="{B0F30CA3-C770-44A4-8938-662E7A659ADD}"/>
            </a:ext>
          </a:extLst>
        </xdr:cNvPr>
        <xdr:cNvSpPr/>
      </xdr:nvSpPr>
      <xdr:spPr>
        <a:xfrm>
          <a:off x="236029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77E46C13-392D-40CD-8F5B-EF6E4E6C63B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Publication avancée</a:t>
          </a:fld>
          <a:endParaRPr lang="fr-FR" sz="1100"/>
        </a:p>
      </xdr:txBody>
    </xdr:sp>
    <xdr:clientData/>
  </xdr:twoCellAnchor>
  <xdr:twoCellAnchor>
    <xdr:from>
      <xdr:col>36</xdr:col>
      <xdr:colOff>0</xdr:colOff>
      <xdr:row>3</xdr:row>
      <xdr:rowOff>0</xdr:rowOff>
    </xdr:from>
    <xdr:to>
      <xdr:col>37</xdr:col>
      <xdr:colOff>0</xdr:colOff>
      <xdr:row>5</xdr:row>
      <xdr:rowOff>0</xdr:rowOff>
    </xdr:to>
    <xdr:sp macro="JSON_TableHeaderClick" textlink="$AK$4">
      <xdr:nvSpPr>
        <xdr:cNvPr id="120" name="tReporting52428888_36">
          <a:extLst>
            <a:ext uri="{FF2B5EF4-FFF2-40B4-BE49-F238E27FC236}">
              <a16:creationId xmlns:a16="http://schemas.microsoft.com/office/drawing/2014/main" id="{BF6752BD-2F52-4F91-B467-1C08C12F2EE0}"/>
            </a:ext>
          </a:extLst>
        </xdr:cNvPr>
        <xdr:cNvSpPr/>
      </xdr:nvSpPr>
      <xdr:spPr>
        <a:xfrm>
          <a:off x="242506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5633EB6-5C42-41B9-BC79-2DFAD32A1F3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Niveau après pub.</a:t>
          </a:fld>
          <a:endParaRPr lang="fr-FR" sz="1100"/>
        </a:p>
      </xdr:txBody>
    </xdr:sp>
    <xdr:clientData/>
  </xdr:twoCellAnchor>
  <xdr:twoCellAnchor>
    <xdr:from>
      <xdr:col>37</xdr:col>
      <xdr:colOff>0</xdr:colOff>
      <xdr:row>2</xdr:row>
      <xdr:rowOff>63500</xdr:rowOff>
    </xdr:from>
    <xdr:to>
      <xdr:col>38</xdr:col>
      <xdr:colOff>0</xdr:colOff>
      <xdr:row>5</xdr:row>
      <xdr:rowOff>0</xdr:rowOff>
    </xdr:to>
    <xdr:sp macro="JSON_TableHeaderClick" textlink="$AL$4">
      <xdr:nvSpPr>
        <xdr:cNvPr id="121" name="tReporting52428888_37">
          <a:extLst>
            <a:ext uri="{FF2B5EF4-FFF2-40B4-BE49-F238E27FC236}">
              <a16:creationId xmlns:a16="http://schemas.microsoft.com/office/drawing/2014/main" id="{E6540756-53E0-49B6-83F3-62EE6588E60C}"/>
            </a:ext>
          </a:extLst>
        </xdr:cNvPr>
        <xdr:cNvSpPr/>
      </xdr:nvSpPr>
      <xdr:spPr>
        <a:xfrm>
          <a:off x="24898350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5EAA78CB-B61E-4033-9DB6-23F9A3AC5D7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Après transfert</a:t>
          </a:fld>
          <a:endParaRPr lang="fr-FR" sz="1100"/>
        </a:p>
      </xdr:txBody>
    </xdr:sp>
    <xdr:clientData/>
  </xdr:twoCellAnchor>
  <xdr:twoCellAnchor>
    <xdr:from>
      <xdr:col>38</xdr:col>
      <xdr:colOff>0</xdr:colOff>
      <xdr:row>3</xdr:row>
      <xdr:rowOff>0</xdr:rowOff>
    </xdr:from>
    <xdr:to>
      <xdr:col>39</xdr:col>
      <xdr:colOff>0</xdr:colOff>
      <xdr:row>5</xdr:row>
      <xdr:rowOff>0</xdr:rowOff>
    </xdr:to>
    <xdr:sp macro="JSON_TableHeaderClick" textlink="$AM$4">
      <xdr:nvSpPr>
        <xdr:cNvPr id="122" name="tReporting52428888_38">
          <a:extLst>
            <a:ext uri="{FF2B5EF4-FFF2-40B4-BE49-F238E27FC236}">
              <a16:creationId xmlns:a16="http://schemas.microsoft.com/office/drawing/2014/main" id="{55A94544-FEA9-44C3-8A9F-BC1B81FB4753}"/>
            </a:ext>
          </a:extLst>
        </xdr:cNvPr>
        <xdr:cNvSpPr/>
      </xdr:nvSpPr>
      <xdr:spPr>
        <a:xfrm>
          <a:off x="252793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2A6D5AA-73FB-419E-B969-0144FE722BF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Transfert standard</a:t>
          </a:fld>
          <a:endParaRPr lang="fr-FR" sz="1100"/>
        </a:p>
      </xdr:txBody>
    </xdr:sp>
    <xdr:clientData/>
  </xdr:twoCellAnchor>
  <xdr:twoCellAnchor>
    <xdr:from>
      <xdr:col>39</xdr:col>
      <xdr:colOff>0</xdr:colOff>
      <xdr:row>3</xdr:row>
      <xdr:rowOff>0</xdr:rowOff>
    </xdr:from>
    <xdr:to>
      <xdr:col>40</xdr:col>
      <xdr:colOff>0</xdr:colOff>
      <xdr:row>5</xdr:row>
      <xdr:rowOff>0</xdr:rowOff>
    </xdr:to>
    <xdr:sp macro="JSON_TableHeaderClick" textlink="$AN$4">
      <xdr:nvSpPr>
        <xdr:cNvPr id="123" name="tReporting52428888_39">
          <a:extLst>
            <a:ext uri="{FF2B5EF4-FFF2-40B4-BE49-F238E27FC236}">
              <a16:creationId xmlns:a16="http://schemas.microsoft.com/office/drawing/2014/main" id="{C5B6E43C-D6C0-4B87-9E1B-E731CABAA2F3}"/>
            </a:ext>
          </a:extLst>
        </xdr:cNvPr>
        <xdr:cNvSpPr/>
      </xdr:nvSpPr>
      <xdr:spPr>
        <a:xfrm>
          <a:off x="259270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C4CF8C3-2317-4C20-9566-B6AC1ADBF8A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Transfert spécial</a:t>
          </a:fld>
          <a:endParaRPr lang="fr-FR" sz="1100"/>
        </a:p>
      </xdr:txBody>
    </xdr:sp>
    <xdr:clientData/>
  </xdr:twoCellAnchor>
  <xdr:twoCellAnchor>
    <xdr:from>
      <xdr:col>40</xdr:col>
      <xdr:colOff>0</xdr:colOff>
      <xdr:row>3</xdr:row>
      <xdr:rowOff>0</xdr:rowOff>
    </xdr:from>
    <xdr:to>
      <xdr:col>41</xdr:col>
      <xdr:colOff>0</xdr:colOff>
      <xdr:row>5</xdr:row>
      <xdr:rowOff>0</xdr:rowOff>
    </xdr:to>
    <xdr:sp macro="JSON_TableHeaderClick" textlink="$AO$4">
      <xdr:nvSpPr>
        <xdr:cNvPr id="124" name="tReporting52428888_40">
          <a:extLst>
            <a:ext uri="{FF2B5EF4-FFF2-40B4-BE49-F238E27FC236}">
              <a16:creationId xmlns:a16="http://schemas.microsoft.com/office/drawing/2014/main" id="{66D3B867-3422-49AC-B47B-EB80D623A3E7}"/>
            </a:ext>
          </a:extLst>
        </xdr:cNvPr>
        <xdr:cNvSpPr/>
      </xdr:nvSpPr>
      <xdr:spPr>
        <a:xfrm>
          <a:off x="265747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3F41B39-0C03-4BEC-9E74-927DE058EB1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Transfert avancé</a:t>
          </a:fld>
          <a:endParaRPr lang="fr-FR" sz="1100"/>
        </a:p>
      </xdr:txBody>
    </xdr:sp>
    <xdr:clientData/>
  </xdr:twoCellAnchor>
  <xdr:twoCellAnchor>
    <xdr:from>
      <xdr:col>41</xdr:col>
      <xdr:colOff>0</xdr:colOff>
      <xdr:row>3</xdr:row>
      <xdr:rowOff>0</xdr:rowOff>
    </xdr:from>
    <xdr:to>
      <xdr:col>42</xdr:col>
      <xdr:colOff>0</xdr:colOff>
      <xdr:row>5</xdr:row>
      <xdr:rowOff>0</xdr:rowOff>
    </xdr:to>
    <xdr:sp macro="JSON_TableHeaderClick" textlink="$AP$4">
      <xdr:nvSpPr>
        <xdr:cNvPr id="125" name="tReporting52428888_41">
          <a:extLst>
            <a:ext uri="{FF2B5EF4-FFF2-40B4-BE49-F238E27FC236}">
              <a16:creationId xmlns:a16="http://schemas.microsoft.com/office/drawing/2014/main" id="{F4AFC379-AFFF-47AB-AF2D-031094A13568}"/>
            </a:ext>
          </a:extLst>
        </xdr:cNvPr>
        <xdr:cNvSpPr/>
      </xdr:nvSpPr>
      <xdr:spPr>
        <a:xfrm>
          <a:off x="272224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1B8E990-FBF8-48C8-BE0E-588CD0720B9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Niveau après tran.</a:t>
          </a:fld>
          <a:endParaRPr lang="fr-FR" sz="1100"/>
        </a:p>
      </xdr:txBody>
    </xdr:sp>
    <xdr:clientData/>
  </xdr:twoCellAnchor>
  <xdr:twoCellAnchor>
    <xdr:from>
      <xdr:col>42</xdr:col>
      <xdr:colOff>0</xdr:colOff>
      <xdr:row>2</xdr:row>
      <xdr:rowOff>63500</xdr:rowOff>
    </xdr:from>
    <xdr:to>
      <xdr:col>43</xdr:col>
      <xdr:colOff>0</xdr:colOff>
      <xdr:row>5</xdr:row>
      <xdr:rowOff>0</xdr:rowOff>
    </xdr:to>
    <xdr:sp macro="JSON_TableHeaderClick" textlink="$AQ$4">
      <xdr:nvSpPr>
        <xdr:cNvPr id="126" name="tReporting52428888_42">
          <a:extLst>
            <a:ext uri="{FF2B5EF4-FFF2-40B4-BE49-F238E27FC236}">
              <a16:creationId xmlns:a16="http://schemas.microsoft.com/office/drawing/2014/main" id="{03A9B24D-DF78-4757-BAB6-D09BF0E64C27}"/>
            </a:ext>
          </a:extLst>
        </xdr:cNvPr>
        <xdr:cNvSpPr/>
      </xdr:nvSpPr>
      <xdr:spPr>
        <a:xfrm>
          <a:off x="27870150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008891C6-C650-422A-A38B-DCC85378D17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Unité</a:t>
          </a:fld>
          <a:endParaRPr lang="fr-FR" sz="1100"/>
        </a:p>
      </xdr:txBody>
    </xdr:sp>
    <xdr:clientData/>
  </xdr:twoCellAnchor>
  <xdr:twoCellAnchor>
    <xdr:from>
      <xdr:col>43</xdr:col>
      <xdr:colOff>0</xdr:colOff>
      <xdr:row>3</xdr:row>
      <xdr:rowOff>0</xdr:rowOff>
    </xdr:from>
    <xdr:to>
      <xdr:col>44</xdr:col>
      <xdr:colOff>0</xdr:colOff>
      <xdr:row>5</xdr:row>
      <xdr:rowOff>0</xdr:rowOff>
    </xdr:to>
    <xdr:sp macro="JSON_TableHeaderClick" textlink="$AR$4">
      <xdr:nvSpPr>
        <xdr:cNvPr id="127" name="tReporting52428888_43">
          <a:extLst>
            <a:ext uri="{FF2B5EF4-FFF2-40B4-BE49-F238E27FC236}">
              <a16:creationId xmlns:a16="http://schemas.microsoft.com/office/drawing/2014/main" id="{E5418186-D4E1-45B1-8B0E-E9CD496BEBA8}"/>
            </a:ext>
          </a:extLst>
        </xdr:cNvPr>
        <xdr:cNvSpPr/>
      </xdr:nvSpPr>
      <xdr:spPr>
        <a:xfrm>
          <a:off x="282511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F6A50AC-ACF3-4296-BB19-C3FDD683C11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Code</a:t>
          </a:fld>
          <a:endParaRPr lang="fr-FR" sz="1100"/>
        </a:p>
      </xdr:txBody>
    </xdr:sp>
    <xdr:clientData/>
  </xdr:twoCellAnchor>
  <xdr:twoCellAnchor>
    <xdr:from>
      <xdr:col>44</xdr:col>
      <xdr:colOff>0</xdr:colOff>
      <xdr:row>3</xdr:row>
      <xdr:rowOff>0</xdr:rowOff>
    </xdr:from>
    <xdr:to>
      <xdr:col>45</xdr:col>
      <xdr:colOff>0</xdr:colOff>
      <xdr:row>5</xdr:row>
      <xdr:rowOff>0</xdr:rowOff>
    </xdr:to>
    <xdr:sp macro="JSON_TableHeaderClick" textlink="$AS$4">
      <xdr:nvSpPr>
        <xdr:cNvPr id="128" name="tReporting52428888_44">
          <a:extLst>
            <a:ext uri="{FF2B5EF4-FFF2-40B4-BE49-F238E27FC236}">
              <a16:creationId xmlns:a16="http://schemas.microsoft.com/office/drawing/2014/main" id="{B5373756-8983-4CFA-9785-BA10AD4A3C79}"/>
            </a:ext>
          </a:extLst>
        </xdr:cNvPr>
        <xdr:cNvSpPr/>
      </xdr:nvSpPr>
      <xdr:spPr>
        <a:xfrm>
          <a:off x="288988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8169D3D-2E2A-409F-9D5F-4BFFB3CCE7A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Devise</a:t>
          </a:fld>
          <a:endParaRPr lang="fr-FR" sz="1100"/>
        </a:p>
      </xdr:txBody>
    </xdr:sp>
    <xdr:clientData/>
  </xdr:twoCellAnchor>
  <xdr:twoCellAnchor>
    <xdr:from>
      <xdr:col>45</xdr:col>
      <xdr:colOff>0</xdr:colOff>
      <xdr:row>3</xdr:row>
      <xdr:rowOff>0</xdr:rowOff>
    </xdr:from>
    <xdr:to>
      <xdr:col>46</xdr:col>
      <xdr:colOff>0</xdr:colOff>
      <xdr:row>5</xdr:row>
      <xdr:rowOff>0</xdr:rowOff>
    </xdr:to>
    <xdr:sp macro="JSON_TableHeaderClick" textlink="$AT$4">
      <xdr:nvSpPr>
        <xdr:cNvPr id="129" name="tReporting52428888_45">
          <a:extLst>
            <a:ext uri="{FF2B5EF4-FFF2-40B4-BE49-F238E27FC236}">
              <a16:creationId xmlns:a16="http://schemas.microsoft.com/office/drawing/2014/main" id="{E193627D-62FF-4945-A259-C88979A4E126}"/>
            </a:ext>
          </a:extLst>
        </xdr:cNvPr>
        <xdr:cNvSpPr/>
      </xdr:nvSpPr>
      <xdr:spPr>
        <a:xfrm>
          <a:off x="29546550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7FB2DF8-856E-4ECC-BAEC-B8846F3AC441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Site de saisie</a:t>
          </a:fld>
          <a:endParaRPr lang="fr-FR" sz="1100"/>
        </a:p>
      </xdr:txBody>
    </xdr:sp>
    <xdr:clientData/>
  </xdr:twoCellAnchor>
  <xdr:twoCellAnchor>
    <xdr:from>
      <xdr:col>46</xdr:col>
      <xdr:colOff>0</xdr:colOff>
      <xdr:row>3</xdr:row>
      <xdr:rowOff>0</xdr:rowOff>
    </xdr:from>
    <xdr:to>
      <xdr:col>47</xdr:col>
      <xdr:colOff>0</xdr:colOff>
      <xdr:row>5</xdr:row>
      <xdr:rowOff>0</xdr:rowOff>
    </xdr:to>
    <xdr:sp macro="JSON_TableHeaderClick" textlink="$AU$4">
      <xdr:nvSpPr>
        <xdr:cNvPr id="130" name="tReporting52428888_46">
          <a:extLst>
            <a:ext uri="{FF2B5EF4-FFF2-40B4-BE49-F238E27FC236}">
              <a16:creationId xmlns:a16="http://schemas.microsoft.com/office/drawing/2014/main" id="{BCB4383E-B789-4F45-8488-EFB4FC939540}"/>
            </a:ext>
          </a:extLst>
        </xdr:cNvPr>
        <xdr:cNvSpPr/>
      </xdr:nvSpPr>
      <xdr:spPr>
        <a:xfrm>
          <a:off x="30194250" y="571500"/>
          <a:ext cx="71437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9BFD318-BDDA-46DA-9B28-6ADFA5945382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Site de publication</a:t>
          </a:fld>
          <a:endParaRPr lang="fr-FR" sz="1100"/>
        </a:p>
      </xdr:txBody>
    </xdr:sp>
    <xdr:clientData/>
  </xdr:twoCellAnchor>
  <xdr:twoCellAnchor>
    <xdr:from>
      <xdr:col>47</xdr:col>
      <xdr:colOff>0</xdr:colOff>
      <xdr:row>2</xdr:row>
      <xdr:rowOff>63500</xdr:rowOff>
    </xdr:from>
    <xdr:to>
      <xdr:col>48</xdr:col>
      <xdr:colOff>0</xdr:colOff>
      <xdr:row>5</xdr:row>
      <xdr:rowOff>0</xdr:rowOff>
    </xdr:to>
    <xdr:sp macro="JSON_TableHeaderClick" textlink="$AV$4">
      <xdr:nvSpPr>
        <xdr:cNvPr id="131" name="tReporting52428888_47">
          <a:extLst>
            <a:ext uri="{FF2B5EF4-FFF2-40B4-BE49-F238E27FC236}">
              <a16:creationId xmlns:a16="http://schemas.microsoft.com/office/drawing/2014/main" id="{1EE8AB04-5EA1-4D87-BB25-12DF5BCEDC63}"/>
            </a:ext>
          </a:extLst>
        </xdr:cNvPr>
        <xdr:cNvSpPr/>
      </xdr:nvSpPr>
      <xdr:spPr>
        <a:xfrm>
          <a:off x="3090862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97B19D90-CDEA-4B92-A17F-D78E808089F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Liasse</a:t>
          </a:fld>
          <a:endParaRPr lang="fr-FR" sz="1100"/>
        </a:p>
      </xdr:txBody>
    </xdr:sp>
    <xdr:clientData/>
  </xdr:twoCellAnchor>
  <xdr:twoCellAnchor>
    <xdr:from>
      <xdr:col>48</xdr:col>
      <xdr:colOff>0</xdr:colOff>
      <xdr:row>3</xdr:row>
      <xdr:rowOff>0</xdr:rowOff>
    </xdr:from>
    <xdr:to>
      <xdr:col>49</xdr:col>
      <xdr:colOff>0</xdr:colOff>
      <xdr:row>5</xdr:row>
      <xdr:rowOff>0</xdr:rowOff>
    </xdr:to>
    <xdr:sp macro="JSON_TableHeaderClick" textlink="$AW$4">
      <xdr:nvSpPr>
        <xdr:cNvPr id="132" name="tReporting52428888_48">
          <a:extLst>
            <a:ext uri="{FF2B5EF4-FFF2-40B4-BE49-F238E27FC236}">
              <a16:creationId xmlns:a16="http://schemas.microsoft.com/office/drawing/2014/main" id="{E0E5BC36-032C-46DD-A232-1409EEBFA6B8}"/>
            </a:ext>
          </a:extLst>
        </xdr:cNvPr>
        <xdr:cNvSpPr/>
      </xdr:nvSpPr>
      <xdr:spPr>
        <a:xfrm>
          <a:off x="312896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919E450-5EB2-4733-A4E3-DC570D28469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Cahier Windows: défaut?</a:t>
          </a:fld>
          <a:endParaRPr lang="fr-FR" sz="1100"/>
        </a:p>
      </xdr:txBody>
    </xdr:sp>
    <xdr:clientData/>
  </xdr:twoCellAnchor>
  <xdr:twoCellAnchor>
    <xdr:from>
      <xdr:col>49</xdr:col>
      <xdr:colOff>0</xdr:colOff>
      <xdr:row>3</xdr:row>
      <xdr:rowOff>0</xdr:rowOff>
    </xdr:from>
    <xdr:to>
      <xdr:col>50</xdr:col>
      <xdr:colOff>0</xdr:colOff>
      <xdr:row>5</xdr:row>
      <xdr:rowOff>0</xdr:rowOff>
    </xdr:to>
    <xdr:sp macro="JSON_TableHeaderClick" textlink="$AX$4">
      <xdr:nvSpPr>
        <xdr:cNvPr id="133" name="tReporting52428888_49">
          <a:extLst>
            <a:ext uri="{FF2B5EF4-FFF2-40B4-BE49-F238E27FC236}">
              <a16:creationId xmlns:a16="http://schemas.microsoft.com/office/drawing/2014/main" id="{D315A9D5-21F8-4123-A0A6-8EC2CB79F2C3}"/>
            </a:ext>
          </a:extLst>
        </xdr:cNvPr>
        <xdr:cNvSpPr/>
      </xdr:nvSpPr>
      <xdr:spPr>
        <a:xfrm>
          <a:off x="319373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CADDA299-1482-46BC-93E2-2B8500CB1B0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Cahier Windows</a:t>
          </a:fld>
          <a:endParaRPr lang="fr-FR" sz="1100"/>
        </a:p>
      </xdr:txBody>
    </xdr:sp>
    <xdr:clientData/>
  </xdr:twoCellAnchor>
  <xdr:twoCellAnchor>
    <xdr:from>
      <xdr:col>50</xdr:col>
      <xdr:colOff>0</xdr:colOff>
      <xdr:row>3</xdr:row>
      <xdr:rowOff>0</xdr:rowOff>
    </xdr:from>
    <xdr:to>
      <xdr:col>51</xdr:col>
      <xdr:colOff>0</xdr:colOff>
      <xdr:row>5</xdr:row>
      <xdr:rowOff>0</xdr:rowOff>
    </xdr:to>
    <xdr:sp macro="JSON_TableHeaderClick" textlink="$AY$4">
      <xdr:nvSpPr>
        <xdr:cNvPr id="134" name="tReporting52428888_50">
          <a:extLst>
            <a:ext uri="{FF2B5EF4-FFF2-40B4-BE49-F238E27FC236}">
              <a16:creationId xmlns:a16="http://schemas.microsoft.com/office/drawing/2014/main" id="{334A35E0-4EF6-4ECB-B66D-EA617773A516}"/>
            </a:ext>
          </a:extLst>
        </xdr:cNvPr>
        <xdr:cNvSpPr/>
      </xdr:nvSpPr>
      <xdr:spPr>
        <a:xfrm>
          <a:off x="325850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7186FD9-6C6A-4265-ADE3-BDFAECC0560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Cahier Internet: défaut?</a:t>
          </a:fld>
          <a:endParaRPr lang="fr-FR" sz="1100"/>
        </a:p>
      </xdr:txBody>
    </xdr:sp>
    <xdr:clientData/>
  </xdr:twoCellAnchor>
  <xdr:twoCellAnchor>
    <xdr:from>
      <xdr:col>51</xdr:col>
      <xdr:colOff>0</xdr:colOff>
      <xdr:row>3</xdr:row>
      <xdr:rowOff>0</xdr:rowOff>
    </xdr:from>
    <xdr:to>
      <xdr:col>52</xdr:col>
      <xdr:colOff>0</xdr:colOff>
      <xdr:row>5</xdr:row>
      <xdr:rowOff>0</xdr:rowOff>
    </xdr:to>
    <xdr:sp macro="JSON_TableHeaderClick" textlink="$AZ$4">
      <xdr:nvSpPr>
        <xdr:cNvPr id="135" name="tReporting52428888_51">
          <a:extLst>
            <a:ext uri="{FF2B5EF4-FFF2-40B4-BE49-F238E27FC236}">
              <a16:creationId xmlns:a16="http://schemas.microsoft.com/office/drawing/2014/main" id="{DA1E7BE4-C02B-4E06-8DE0-455171A5B79E}"/>
            </a:ext>
          </a:extLst>
        </xdr:cNvPr>
        <xdr:cNvSpPr/>
      </xdr:nvSpPr>
      <xdr:spPr>
        <a:xfrm>
          <a:off x="332327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E5FEBEC-E816-46C1-A89E-C738A73AA2DF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Cahier Internet</a:t>
          </a:fld>
          <a:endParaRPr lang="fr-FR" sz="1100"/>
        </a:p>
      </xdr:txBody>
    </xdr:sp>
    <xdr:clientData/>
  </xdr:twoCellAnchor>
  <xdr:twoCellAnchor>
    <xdr:from>
      <xdr:col>52</xdr:col>
      <xdr:colOff>0</xdr:colOff>
      <xdr:row>3</xdr:row>
      <xdr:rowOff>0</xdr:rowOff>
    </xdr:from>
    <xdr:to>
      <xdr:col>53</xdr:col>
      <xdr:colOff>0</xdr:colOff>
      <xdr:row>5</xdr:row>
      <xdr:rowOff>0</xdr:rowOff>
    </xdr:to>
    <xdr:sp macro="JSON_TableHeaderClick" textlink="$BA$4">
      <xdr:nvSpPr>
        <xdr:cNvPr id="136" name="tReporting52428888_52">
          <a:extLst>
            <a:ext uri="{FF2B5EF4-FFF2-40B4-BE49-F238E27FC236}">
              <a16:creationId xmlns:a16="http://schemas.microsoft.com/office/drawing/2014/main" id="{044BAF19-A70A-460A-96E7-A1FBBAE23DC2}"/>
            </a:ext>
          </a:extLst>
        </xdr:cNvPr>
        <xdr:cNvSpPr/>
      </xdr:nvSpPr>
      <xdr:spPr>
        <a:xfrm>
          <a:off x="338804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ECE3C8E-9E5B-49F3-B730-093F29E62E9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Jeu de contrôles: défaut?</a:t>
          </a:fld>
          <a:endParaRPr lang="fr-FR" sz="1100"/>
        </a:p>
      </xdr:txBody>
    </xdr:sp>
    <xdr:clientData/>
  </xdr:twoCellAnchor>
  <xdr:twoCellAnchor>
    <xdr:from>
      <xdr:col>53</xdr:col>
      <xdr:colOff>0</xdr:colOff>
      <xdr:row>3</xdr:row>
      <xdr:rowOff>0</xdr:rowOff>
    </xdr:from>
    <xdr:to>
      <xdr:col>54</xdr:col>
      <xdr:colOff>0</xdr:colOff>
      <xdr:row>5</xdr:row>
      <xdr:rowOff>0</xdr:rowOff>
    </xdr:to>
    <xdr:sp macro="JSON_TableHeaderClick" textlink="$BB$4">
      <xdr:nvSpPr>
        <xdr:cNvPr id="137" name="tReporting52428888_53">
          <a:extLst>
            <a:ext uri="{FF2B5EF4-FFF2-40B4-BE49-F238E27FC236}">
              <a16:creationId xmlns:a16="http://schemas.microsoft.com/office/drawing/2014/main" id="{12686F4B-6C19-4C72-A153-DA3E94C8F176}"/>
            </a:ext>
          </a:extLst>
        </xdr:cNvPr>
        <xdr:cNvSpPr/>
      </xdr:nvSpPr>
      <xdr:spPr>
        <a:xfrm>
          <a:off x="345281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5FF164E-4ACE-4165-9A05-70FD792858DE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Jeu de contrôles</a:t>
          </a:fld>
          <a:endParaRPr lang="fr-FR" sz="1100"/>
        </a:p>
      </xdr:txBody>
    </xdr:sp>
    <xdr:clientData/>
  </xdr:twoCellAnchor>
  <xdr:twoCellAnchor>
    <xdr:from>
      <xdr:col>54</xdr:col>
      <xdr:colOff>0</xdr:colOff>
      <xdr:row>3</xdr:row>
      <xdr:rowOff>0</xdr:rowOff>
    </xdr:from>
    <xdr:to>
      <xdr:col>55</xdr:col>
      <xdr:colOff>0</xdr:colOff>
      <xdr:row>5</xdr:row>
      <xdr:rowOff>0</xdr:rowOff>
    </xdr:to>
    <xdr:sp macro="JSON_TableHeaderClick" textlink="$BC$4">
      <xdr:nvSpPr>
        <xdr:cNvPr id="138" name="tReporting52428888_54">
          <a:extLst>
            <a:ext uri="{FF2B5EF4-FFF2-40B4-BE49-F238E27FC236}">
              <a16:creationId xmlns:a16="http://schemas.microsoft.com/office/drawing/2014/main" id="{0BB69DC6-1A6E-4E6B-BED9-8508CECF0B2B}"/>
            </a:ext>
          </a:extLst>
        </xdr:cNvPr>
        <xdr:cNvSpPr/>
      </xdr:nvSpPr>
      <xdr:spPr>
        <a:xfrm>
          <a:off x="351758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C9FDD3B-4641-4463-9510-231599D6AE6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Niveau de contrôle: défaut?</a:t>
          </a:fld>
          <a:endParaRPr lang="fr-FR" sz="1100"/>
        </a:p>
      </xdr:txBody>
    </xdr:sp>
    <xdr:clientData/>
  </xdr:twoCellAnchor>
  <xdr:twoCellAnchor>
    <xdr:from>
      <xdr:col>55</xdr:col>
      <xdr:colOff>0</xdr:colOff>
      <xdr:row>3</xdr:row>
      <xdr:rowOff>0</xdr:rowOff>
    </xdr:from>
    <xdr:to>
      <xdr:col>56</xdr:col>
      <xdr:colOff>0</xdr:colOff>
      <xdr:row>5</xdr:row>
      <xdr:rowOff>0</xdr:rowOff>
    </xdr:to>
    <xdr:sp macro="JSON_TableHeaderClick" textlink="$BD$4">
      <xdr:nvSpPr>
        <xdr:cNvPr id="139" name="tReporting52428888_55">
          <a:extLst>
            <a:ext uri="{FF2B5EF4-FFF2-40B4-BE49-F238E27FC236}">
              <a16:creationId xmlns:a16="http://schemas.microsoft.com/office/drawing/2014/main" id="{BF4647EF-19F9-41E6-8E97-2959FC26FC6D}"/>
            </a:ext>
          </a:extLst>
        </xdr:cNvPr>
        <xdr:cNvSpPr/>
      </xdr:nvSpPr>
      <xdr:spPr>
        <a:xfrm>
          <a:off x="358235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526CF33-0B8E-42BC-8838-C492D0B23A7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Niveau de contrôle</a:t>
          </a:fld>
          <a:endParaRPr lang="fr-FR" sz="1100"/>
        </a:p>
      </xdr:txBody>
    </xdr:sp>
    <xdr:clientData/>
  </xdr:twoCellAnchor>
  <xdr:twoCellAnchor>
    <xdr:from>
      <xdr:col>56</xdr:col>
      <xdr:colOff>0</xdr:colOff>
      <xdr:row>3</xdr:row>
      <xdr:rowOff>0</xdr:rowOff>
    </xdr:from>
    <xdr:to>
      <xdr:col>57</xdr:col>
      <xdr:colOff>0</xdr:colOff>
      <xdr:row>5</xdr:row>
      <xdr:rowOff>0</xdr:rowOff>
    </xdr:to>
    <xdr:sp macro="JSON_TableHeaderClick" textlink="$BE$4">
      <xdr:nvSpPr>
        <xdr:cNvPr id="140" name="tReporting52428888_56">
          <a:extLst>
            <a:ext uri="{FF2B5EF4-FFF2-40B4-BE49-F238E27FC236}">
              <a16:creationId xmlns:a16="http://schemas.microsoft.com/office/drawing/2014/main" id="{A5651606-19DF-40BC-B51B-786F876ADAB9}"/>
            </a:ext>
          </a:extLst>
        </xdr:cNvPr>
        <xdr:cNvSpPr/>
      </xdr:nvSpPr>
      <xdr:spPr>
        <a:xfrm>
          <a:off x="364712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1DC56A0A-7E0E-4D03-A04E-3BC03B30753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Bloquant?</a:t>
          </a:fld>
          <a:endParaRPr lang="fr-FR" sz="1100"/>
        </a:p>
      </xdr:txBody>
    </xdr:sp>
    <xdr:clientData/>
  </xdr:twoCellAnchor>
  <xdr:twoCellAnchor>
    <xdr:from>
      <xdr:col>57</xdr:col>
      <xdr:colOff>0</xdr:colOff>
      <xdr:row>3</xdr:row>
      <xdr:rowOff>0</xdr:rowOff>
    </xdr:from>
    <xdr:to>
      <xdr:col>58</xdr:col>
      <xdr:colOff>0</xdr:colOff>
      <xdr:row>5</xdr:row>
      <xdr:rowOff>0</xdr:rowOff>
    </xdr:to>
    <xdr:sp macro="JSON_TableHeaderClick" textlink="$BF$4">
      <xdr:nvSpPr>
        <xdr:cNvPr id="141" name="tReporting52428888_57">
          <a:extLst>
            <a:ext uri="{FF2B5EF4-FFF2-40B4-BE49-F238E27FC236}">
              <a16:creationId xmlns:a16="http://schemas.microsoft.com/office/drawing/2014/main" id="{9F29AAEE-2CD3-498F-B381-82758646D758}"/>
            </a:ext>
          </a:extLst>
        </xdr:cNvPr>
        <xdr:cNvSpPr/>
      </xdr:nvSpPr>
      <xdr:spPr>
        <a:xfrm>
          <a:off x="371189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DE8B87B-9892-4AF4-B022-E1235B39180C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Verrouillage: défaut?</a:t>
          </a:fld>
          <a:endParaRPr lang="fr-FR" sz="1100"/>
        </a:p>
      </xdr:txBody>
    </xdr:sp>
    <xdr:clientData/>
  </xdr:twoCellAnchor>
  <xdr:twoCellAnchor>
    <xdr:from>
      <xdr:col>58</xdr:col>
      <xdr:colOff>0</xdr:colOff>
      <xdr:row>3</xdr:row>
      <xdr:rowOff>0</xdr:rowOff>
    </xdr:from>
    <xdr:to>
      <xdr:col>59</xdr:col>
      <xdr:colOff>0</xdr:colOff>
      <xdr:row>5</xdr:row>
      <xdr:rowOff>0</xdr:rowOff>
    </xdr:to>
    <xdr:sp macro="JSON_TableHeaderClick" textlink="$BG$4">
      <xdr:nvSpPr>
        <xdr:cNvPr id="142" name="tReporting52428888_58">
          <a:extLst>
            <a:ext uri="{FF2B5EF4-FFF2-40B4-BE49-F238E27FC236}">
              <a16:creationId xmlns:a16="http://schemas.microsoft.com/office/drawing/2014/main" id="{EAB26930-489F-44DE-8A47-09A4F8C70DAE}"/>
            </a:ext>
          </a:extLst>
        </xdr:cNvPr>
        <xdr:cNvSpPr/>
      </xdr:nvSpPr>
      <xdr:spPr>
        <a:xfrm>
          <a:off x="377666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87E4CBC-4F71-488E-A1CB-E3AEF7692A9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Verrouillage</a:t>
          </a:fld>
          <a:endParaRPr lang="fr-FR" sz="1100"/>
        </a:p>
      </xdr:txBody>
    </xdr:sp>
    <xdr:clientData/>
  </xdr:twoCellAnchor>
  <xdr:twoCellAnchor>
    <xdr:from>
      <xdr:col>59</xdr:col>
      <xdr:colOff>0</xdr:colOff>
      <xdr:row>3</xdr:row>
      <xdr:rowOff>0</xdr:rowOff>
    </xdr:from>
    <xdr:to>
      <xdr:col>60</xdr:col>
      <xdr:colOff>0</xdr:colOff>
      <xdr:row>5</xdr:row>
      <xdr:rowOff>0</xdr:rowOff>
    </xdr:to>
    <xdr:sp macro="JSON_TableHeaderClick" textlink="$BH$4">
      <xdr:nvSpPr>
        <xdr:cNvPr id="143" name="tReporting52428888_59">
          <a:extLst>
            <a:ext uri="{FF2B5EF4-FFF2-40B4-BE49-F238E27FC236}">
              <a16:creationId xmlns:a16="http://schemas.microsoft.com/office/drawing/2014/main" id="{36759645-E366-4945-A825-1B51CE73D03F}"/>
            </a:ext>
          </a:extLst>
        </xdr:cNvPr>
        <xdr:cNvSpPr/>
      </xdr:nvSpPr>
      <xdr:spPr>
        <a:xfrm>
          <a:off x="384143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81BDB376-C411-4020-96B5-F2E69856FFB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Jeu de règles: défaut?</a:t>
          </a:fld>
          <a:endParaRPr lang="fr-FR" sz="1100"/>
        </a:p>
      </xdr:txBody>
    </xdr:sp>
    <xdr:clientData/>
  </xdr:twoCellAnchor>
  <xdr:twoCellAnchor>
    <xdr:from>
      <xdr:col>60</xdr:col>
      <xdr:colOff>0</xdr:colOff>
      <xdr:row>3</xdr:row>
      <xdr:rowOff>0</xdr:rowOff>
    </xdr:from>
    <xdr:to>
      <xdr:col>61</xdr:col>
      <xdr:colOff>0</xdr:colOff>
      <xdr:row>5</xdr:row>
      <xdr:rowOff>0</xdr:rowOff>
    </xdr:to>
    <xdr:sp macro="JSON_TableHeaderClick" textlink="$BI$4">
      <xdr:nvSpPr>
        <xdr:cNvPr id="144" name="tReporting52428888_60">
          <a:extLst>
            <a:ext uri="{FF2B5EF4-FFF2-40B4-BE49-F238E27FC236}">
              <a16:creationId xmlns:a16="http://schemas.microsoft.com/office/drawing/2014/main" id="{E16952F9-7652-4CC4-88D7-ABC024A47BE2}"/>
            </a:ext>
          </a:extLst>
        </xdr:cNvPr>
        <xdr:cNvSpPr/>
      </xdr:nvSpPr>
      <xdr:spPr>
        <a:xfrm>
          <a:off x="390620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FD9BF0F-9112-4DFC-A727-16C491AFD106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Jeu de règles</a:t>
          </a:fld>
          <a:endParaRPr lang="fr-FR" sz="1100"/>
        </a:p>
      </xdr:txBody>
    </xdr:sp>
    <xdr:clientData/>
  </xdr:twoCellAnchor>
  <xdr:twoCellAnchor>
    <xdr:from>
      <xdr:col>61</xdr:col>
      <xdr:colOff>0</xdr:colOff>
      <xdr:row>3</xdr:row>
      <xdr:rowOff>0</xdr:rowOff>
    </xdr:from>
    <xdr:to>
      <xdr:col>62</xdr:col>
      <xdr:colOff>0</xdr:colOff>
      <xdr:row>5</xdr:row>
      <xdr:rowOff>0</xdr:rowOff>
    </xdr:to>
    <xdr:sp macro="JSON_TableHeaderClick" textlink="$BJ$4">
      <xdr:nvSpPr>
        <xdr:cNvPr id="145" name="tReporting52428888_61">
          <a:extLst>
            <a:ext uri="{FF2B5EF4-FFF2-40B4-BE49-F238E27FC236}">
              <a16:creationId xmlns:a16="http://schemas.microsoft.com/office/drawing/2014/main" id="{D57EEC6B-6738-4CBF-8DA3-7714E829D957}"/>
            </a:ext>
          </a:extLst>
        </xdr:cNvPr>
        <xdr:cNvSpPr/>
      </xdr:nvSpPr>
      <xdr:spPr>
        <a:xfrm>
          <a:off x="397097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BFD463B-1A6E-4D71-BCE5-FD069CC7693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A-nouveaux: défaut?</a:t>
          </a:fld>
          <a:endParaRPr lang="fr-FR" sz="1100"/>
        </a:p>
      </xdr:txBody>
    </xdr:sp>
    <xdr:clientData/>
  </xdr:twoCellAnchor>
  <xdr:twoCellAnchor>
    <xdr:from>
      <xdr:col>62</xdr:col>
      <xdr:colOff>0</xdr:colOff>
      <xdr:row>3</xdr:row>
      <xdr:rowOff>0</xdr:rowOff>
    </xdr:from>
    <xdr:to>
      <xdr:col>63</xdr:col>
      <xdr:colOff>0</xdr:colOff>
      <xdr:row>5</xdr:row>
      <xdr:rowOff>0</xdr:rowOff>
    </xdr:to>
    <xdr:sp macro="JSON_TableHeaderClick" textlink="$BK$4">
      <xdr:nvSpPr>
        <xdr:cNvPr id="146" name="tReporting52428888_62">
          <a:extLst>
            <a:ext uri="{FF2B5EF4-FFF2-40B4-BE49-F238E27FC236}">
              <a16:creationId xmlns:a16="http://schemas.microsoft.com/office/drawing/2014/main" id="{1C63920D-0817-4514-BAFB-8C80114B18D9}"/>
            </a:ext>
          </a:extLst>
        </xdr:cNvPr>
        <xdr:cNvSpPr/>
      </xdr:nvSpPr>
      <xdr:spPr>
        <a:xfrm>
          <a:off x="403574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7048DF4-A327-4AA1-A554-749A796BD177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A-nouveaux?</a:t>
          </a:fld>
          <a:endParaRPr lang="fr-FR" sz="1100"/>
        </a:p>
      </xdr:txBody>
    </xdr:sp>
    <xdr:clientData/>
  </xdr:twoCellAnchor>
  <xdr:twoCellAnchor>
    <xdr:from>
      <xdr:col>63</xdr:col>
      <xdr:colOff>0</xdr:colOff>
      <xdr:row>3</xdr:row>
      <xdr:rowOff>0</xdr:rowOff>
    </xdr:from>
    <xdr:to>
      <xdr:col>64</xdr:col>
      <xdr:colOff>0</xdr:colOff>
      <xdr:row>5</xdr:row>
      <xdr:rowOff>0</xdr:rowOff>
    </xdr:to>
    <xdr:sp macro="JSON_TableHeaderClick" textlink="$BL$4">
      <xdr:nvSpPr>
        <xdr:cNvPr id="147" name="tReporting52428888_63">
          <a:extLst>
            <a:ext uri="{FF2B5EF4-FFF2-40B4-BE49-F238E27FC236}">
              <a16:creationId xmlns:a16="http://schemas.microsoft.com/office/drawing/2014/main" id="{627082D2-BBCA-44B3-BE29-C764F0470995}"/>
            </a:ext>
          </a:extLst>
        </xdr:cNvPr>
        <xdr:cNvSpPr/>
      </xdr:nvSpPr>
      <xdr:spPr>
        <a:xfrm>
          <a:off x="410051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5AE36A72-340E-4534-86C5-02785B1BE2C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AN Phase</a:t>
          </a:fld>
          <a:endParaRPr lang="fr-FR" sz="1100"/>
        </a:p>
      </xdr:txBody>
    </xdr:sp>
    <xdr:clientData/>
  </xdr:twoCellAnchor>
  <xdr:twoCellAnchor>
    <xdr:from>
      <xdr:col>64</xdr:col>
      <xdr:colOff>0</xdr:colOff>
      <xdr:row>3</xdr:row>
      <xdr:rowOff>0</xdr:rowOff>
    </xdr:from>
    <xdr:to>
      <xdr:col>65</xdr:col>
      <xdr:colOff>0</xdr:colOff>
      <xdr:row>5</xdr:row>
      <xdr:rowOff>0</xdr:rowOff>
    </xdr:to>
    <xdr:sp macro="JSON_TableHeaderClick" textlink="$BM$4">
      <xdr:nvSpPr>
        <xdr:cNvPr id="148" name="tReporting52428888_64">
          <a:extLst>
            <a:ext uri="{FF2B5EF4-FFF2-40B4-BE49-F238E27FC236}">
              <a16:creationId xmlns:a16="http://schemas.microsoft.com/office/drawing/2014/main" id="{88B41D0E-C93C-4B4C-9B17-DA82B2DD3C4A}"/>
            </a:ext>
          </a:extLst>
        </xdr:cNvPr>
        <xdr:cNvSpPr/>
      </xdr:nvSpPr>
      <xdr:spPr>
        <a:xfrm>
          <a:off x="416528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B8332CC-E0F4-47B0-A1BF-C83E0CFF6AA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AN Exercice</a:t>
          </a:fld>
          <a:endParaRPr lang="fr-FR" sz="1100"/>
        </a:p>
      </xdr:txBody>
    </xdr:sp>
    <xdr:clientData/>
  </xdr:twoCellAnchor>
  <xdr:twoCellAnchor>
    <xdr:from>
      <xdr:col>65</xdr:col>
      <xdr:colOff>0</xdr:colOff>
      <xdr:row>3</xdr:row>
      <xdr:rowOff>0</xdr:rowOff>
    </xdr:from>
    <xdr:to>
      <xdr:col>66</xdr:col>
      <xdr:colOff>0</xdr:colOff>
      <xdr:row>5</xdr:row>
      <xdr:rowOff>0</xdr:rowOff>
    </xdr:to>
    <xdr:sp macro="JSON_TableHeaderClick" textlink="$BN$4">
      <xdr:nvSpPr>
        <xdr:cNvPr id="149" name="tReporting52428888_65">
          <a:extLst>
            <a:ext uri="{FF2B5EF4-FFF2-40B4-BE49-F238E27FC236}">
              <a16:creationId xmlns:a16="http://schemas.microsoft.com/office/drawing/2014/main" id="{A8098BC3-7DD0-4D7B-8D9B-734B5533889B}"/>
            </a:ext>
          </a:extLst>
        </xdr:cNvPr>
        <xdr:cNvSpPr/>
      </xdr:nvSpPr>
      <xdr:spPr>
        <a:xfrm>
          <a:off x="423005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1C4A085-2416-4EB2-BBF1-3CE96E036989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AN Périmètre</a:t>
          </a:fld>
          <a:endParaRPr lang="fr-FR" sz="1100"/>
        </a:p>
      </xdr:txBody>
    </xdr:sp>
    <xdr:clientData/>
  </xdr:twoCellAnchor>
  <xdr:twoCellAnchor>
    <xdr:from>
      <xdr:col>66</xdr:col>
      <xdr:colOff>0</xdr:colOff>
      <xdr:row>3</xdr:row>
      <xdr:rowOff>0</xdr:rowOff>
    </xdr:from>
    <xdr:to>
      <xdr:col>67</xdr:col>
      <xdr:colOff>0</xdr:colOff>
      <xdr:row>5</xdr:row>
      <xdr:rowOff>0</xdr:rowOff>
    </xdr:to>
    <xdr:sp macro="JSON_TableHeaderClick" textlink="$BO$4">
      <xdr:nvSpPr>
        <xdr:cNvPr id="150" name="tReporting52428888_66">
          <a:extLst>
            <a:ext uri="{FF2B5EF4-FFF2-40B4-BE49-F238E27FC236}">
              <a16:creationId xmlns:a16="http://schemas.microsoft.com/office/drawing/2014/main" id="{E467F439-E44D-4301-B351-35F4F89DBE21}"/>
            </a:ext>
          </a:extLst>
        </xdr:cNvPr>
        <xdr:cNvSpPr/>
      </xdr:nvSpPr>
      <xdr:spPr>
        <a:xfrm>
          <a:off x="429482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C141840-06E3-468F-B5BD-0B3BFADB452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AN Variante</a:t>
          </a:fld>
          <a:endParaRPr lang="fr-FR" sz="1100"/>
        </a:p>
      </xdr:txBody>
    </xdr:sp>
    <xdr:clientData/>
  </xdr:twoCellAnchor>
  <xdr:twoCellAnchor>
    <xdr:from>
      <xdr:col>67</xdr:col>
      <xdr:colOff>0</xdr:colOff>
      <xdr:row>3</xdr:row>
      <xdr:rowOff>0</xdr:rowOff>
    </xdr:from>
    <xdr:to>
      <xdr:col>68</xdr:col>
      <xdr:colOff>0</xdr:colOff>
      <xdr:row>5</xdr:row>
      <xdr:rowOff>0</xdr:rowOff>
    </xdr:to>
    <xdr:sp macro="JSON_TableHeaderClick" textlink="$BP$4">
      <xdr:nvSpPr>
        <xdr:cNvPr id="151" name="tReporting52428888_67">
          <a:extLst>
            <a:ext uri="{FF2B5EF4-FFF2-40B4-BE49-F238E27FC236}">
              <a16:creationId xmlns:a16="http://schemas.microsoft.com/office/drawing/2014/main" id="{5AC8CC5B-ECF2-486A-A5A4-6981B4D9CE44}"/>
            </a:ext>
          </a:extLst>
        </xdr:cNvPr>
        <xdr:cNvSpPr/>
      </xdr:nvSpPr>
      <xdr:spPr>
        <a:xfrm>
          <a:off x="4359592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63EAC4ED-CB79-4772-BFD3-86CBA0B6A928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AN Devise</a:t>
          </a:fld>
          <a:endParaRPr lang="fr-FR" sz="1100"/>
        </a:p>
      </xdr:txBody>
    </xdr:sp>
    <xdr:clientData/>
  </xdr:twoCellAnchor>
  <xdr:twoCellAnchor>
    <xdr:from>
      <xdr:col>68</xdr:col>
      <xdr:colOff>0</xdr:colOff>
      <xdr:row>2</xdr:row>
      <xdr:rowOff>63500</xdr:rowOff>
    </xdr:from>
    <xdr:to>
      <xdr:col>69</xdr:col>
      <xdr:colOff>0</xdr:colOff>
      <xdr:row>5</xdr:row>
      <xdr:rowOff>0</xdr:rowOff>
    </xdr:to>
    <xdr:sp macro="JSON_TableHeaderClick" textlink="$BQ$4">
      <xdr:nvSpPr>
        <xdr:cNvPr id="152" name="tReporting52428888_68">
          <a:extLst>
            <a:ext uri="{FF2B5EF4-FFF2-40B4-BE49-F238E27FC236}">
              <a16:creationId xmlns:a16="http://schemas.microsoft.com/office/drawing/2014/main" id="{46E560D8-F201-4A63-BF77-6F3EBBA7DA8B}"/>
            </a:ext>
          </a:extLst>
        </xdr:cNvPr>
        <xdr:cNvSpPr/>
      </xdr:nvSpPr>
      <xdr:spPr>
        <a:xfrm>
          <a:off x="4424362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DC71B15F-2B93-474C-A49F-8A3FFD399EC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Exploitation</a:t>
          </a:fld>
          <a:endParaRPr lang="fr-FR" sz="1100"/>
        </a:p>
      </xdr:txBody>
    </xdr:sp>
    <xdr:clientData/>
  </xdr:twoCellAnchor>
  <xdr:twoCellAnchor>
    <xdr:from>
      <xdr:col>69</xdr:col>
      <xdr:colOff>0</xdr:colOff>
      <xdr:row>3</xdr:row>
      <xdr:rowOff>0</xdr:rowOff>
    </xdr:from>
    <xdr:to>
      <xdr:col>70</xdr:col>
      <xdr:colOff>0</xdr:colOff>
      <xdr:row>5</xdr:row>
      <xdr:rowOff>0</xdr:rowOff>
    </xdr:to>
    <xdr:sp macro="JSON_TableHeaderClick" textlink="$BR$4">
      <xdr:nvSpPr>
        <xdr:cNvPr id="153" name="tReporting52428888_69">
          <a:extLst>
            <a:ext uri="{FF2B5EF4-FFF2-40B4-BE49-F238E27FC236}">
              <a16:creationId xmlns:a16="http://schemas.microsoft.com/office/drawing/2014/main" id="{88D5D680-D660-46C5-AE48-BAF431AF0F5C}"/>
            </a:ext>
          </a:extLst>
        </xdr:cNvPr>
        <xdr:cNvSpPr/>
      </xdr:nvSpPr>
      <xdr:spPr>
        <a:xfrm>
          <a:off x="44624625" y="571500"/>
          <a:ext cx="71437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A57305A5-7C2F-4E41-9ED5-A4B0B13D0BA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Exploitation: défaut?</a:t>
          </a:fld>
          <a:endParaRPr lang="fr-FR" sz="1100"/>
        </a:p>
      </xdr:txBody>
    </xdr:sp>
    <xdr:clientData/>
  </xdr:twoCellAnchor>
  <xdr:twoCellAnchor>
    <xdr:from>
      <xdr:col>70</xdr:col>
      <xdr:colOff>0</xdr:colOff>
      <xdr:row>3</xdr:row>
      <xdr:rowOff>0</xdr:rowOff>
    </xdr:from>
    <xdr:to>
      <xdr:col>71</xdr:col>
      <xdr:colOff>0</xdr:colOff>
      <xdr:row>5</xdr:row>
      <xdr:rowOff>0</xdr:rowOff>
    </xdr:to>
    <xdr:sp macro="JSON_TableHeaderClick" textlink="$BS$4">
      <xdr:nvSpPr>
        <xdr:cNvPr id="154" name="tReporting52428888_70">
          <a:extLst>
            <a:ext uri="{FF2B5EF4-FFF2-40B4-BE49-F238E27FC236}">
              <a16:creationId xmlns:a16="http://schemas.microsoft.com/office/drawing/2014/main" id="{82BC08D4-6CA0-459A-B826-9F32E26FEDD3}"/>
            </a:ext>
          </a:extLst>
        </xdr:cNvPr>
        <xdr:cNvSpPr/>
      </xdr:nvSpPr>
      <xdr:spPr>
        <a:xfrm>
          <a:off x="45339000" y="571500"/>
          <a:ext cx="14478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9C44A5D-BDB4-4753-9EBD-1CAE470EAB1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Date limite</a:t>
          </a:fld>
          <a:endParaRPr lang="fr-FR" sz="1100"/>
        </a:p>
      </xdr:txBody>
    </xdr:sp>
    <xdr:clientData/>
  </xdr:twoCellAnchor>
  <xdr:twoCellAnchor>
    <xdr:from>
      <xdr:col>71</xdr:col>
      <xdr:colOff>0</xdr:colOff>
      <xdr:row>3</xdr:row>
      <xdr:rowOff>0</xdr:rowOff>
    </xdr:from>
    <xdr:to>
      <xdr:col>72</xdr:col>
      <xdr:colOff>0</xdr:colOff>
      <xdr:row>5</xdr:row>
      <xdr:rowOff>0</xdr:rowOff>
    </xdr:to>
    <xdr:sp macro="JSON_TableHeaderClick" textlink="$BT$4">
      <xdr:nvSpPr>
        <xdr:cNvPr id="155" name="tReporting52428888_71">
          <a:extLst>
            <a:ext uri="{FF2B5EF4-FFF2-40B4-BE49-F238E27FC236}">
              <a16:creationId xmlns:a16="http://schemas.microsoft.com/office/drawing/2014/main" id="{571385B4-5098-4027-A36B-018268715EA5}"/>
            </a:ext>
          </a:extLst>
        </xdr:cNvPr>
        <xdr:cNvSpPr/>
      </xdr:nvSpPr>
      <xdr:spPr>
        <a:xfrm>
          <a:off x="46786800" y="571500"/>
          <a:ext cx="714375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DFD10D7-2367-404F-9069-D9F280CAD99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Publication anticipée?</a:t>
          </a:fld>
          <a:endParaRPr lang="fr-FR" sz="1100"/>
        </a:p>
      </xdr:txBody>
    </xdr:sp>
    <xdr:clientData/>
  </xdr:twoCellAnchor>
  <xdr:twoCellAnchor>
    <xdr:from>
      <xdr:col>72</xdr:col>
      <xdr:colOff>0</xdr:colOff>
      <xdr:row>2</xdr:row>
      <xdr:rowOff>63500</xdr:rowOff>
    </xdr:from>
    <xdr:to>
      <xdr:col>73</xdr:col>
      <xdr:colOff>0</xdr:colOff>
      <xdr:row>5</xdr:row>
      <xdr:rowOff>0</xdr:rowOff>
    </xdr:to>
    <xdr:sp macro="JSON_TableHeaderClick" textlink="$BU$4">
      <xdr:nvSpPr>
        <xdr:cNvPr id="156" name="tReporting52428888_72">
          <a:extLst>
            <a:ext uri="{FF2B5EF4-FFF2-40B4-BE49-F238E27FC236}">
              <a16:creationId xmlns:a16="http://schemas.microsoft.com/office/drawing/2014/main" id="{D200C4AC-E4EC-437D-BA8D-8068751C08FC}"/>
            </a:ext>
          </a:extLst>
        </xdr:cNvPr>
        <xdr:cNvSpPr/>
      </xdr:nvSpPr>
      <xdr:spPr>
        <a:xfrm>
          <a:off x="475011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242D7968-7741-4FB7-B622-7EA1569A421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Après publication</a:t>
          </a:fld>
          <a:endParaRPr lang="fr-FR" sz="1100"/>
        </a:p>
      </xdr:txBody>
    </xdr:sp>
    <xdr:clientData/>
  </xdr:twoCellAnchor>
  <xdr:twoCellAnchor>
    <xdr:from>
      <xdr:col>73</xdr:col>
      <xdr:colOff>0</xdr:colOff>
      <xdr:row>3</xdr:row>
      <xdr:rowOff>0</xdr:rowOff>
    </xdr:from>
    <xdr:to>
      <xdr:col>74</xdr:col>
      <xdr:colOff>0</xdr:colOff>
      <xdr:row>5</xdr:row>
      <xdr:rowOff>0</xdr:rowOff>
    </xdr:to>
    <xdr:sp macro="JSON_TableHeaderClick" textlink="$BV$4">
      <xdr:nvSpPr>
        <xdr:cNvPr id="157" name="tReporting52428888_73">
          <a:extLst>
            <a:ext uri="{FF2B5EF4-FFF2-40B4-BE49-F238E27FC236}">
              <a16:creationId xmlns:a16="http://schemas.microsoft.com/office/drawing/2014/main" id="{B53E7889-2350-4799-A899-E0590791E73E}"/>
            </a:ext>
          </a:extLst>
        </xdr:cNvPr>
        <xdr:cNvSpPr/>
      </xdr:nvSpPr>
      <xdr:spPr>
        <a:xfrm>
          <a:off x="478821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D1D3F841-557D-4F82-BC2A-E7B1A44F6D63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Après publication: défaut?</a:t>
          </a:fld>
          <a:endParaRPr lang="fr-FR" sz="1100"/>
        </a:p>
      </xdr:txBody>
    </xdr:sp>
    <xdr:clientData/>
  </xdr:twoCellAnchor>
  <xdr:twoCellAnchor>
    <xdr:from>
      <xdr:col>74</xdr:col>
      <xdr:colOff>0</xdr:colOff>
      <xdr:row>3</xdr:row>
      <xdr:rowOff>0</xdr:rowOff>
    </xdr:from>
    <xdr:to>
      <xdr:col>75</xdr:col>
      <xdr:colOff>0</xdr:colOff>
      <xdr:row>5</xdr:row>
      <xdr:rowOff>0</xdr:rowOff>
    </xdr:to>
    <xdr:sp macro="JSON_TableHeaderClick" textlink="$BW$4">
      <xdr:nvSpPr>
        <xdr:cNvPr id="158" name="tReporting52428888_74">
          <a:extLst>
            <a:ext uri="{FF2B5EF4-FFF2-40B4-BE49-F238E27FC236}">
              <a16:creationId xmlns:a16="http://schemas.microsoft.com/office/drawing/2014/main" id="{59F81D8B-519D-4902-AF13-63620C27230C}"/>
            </a:ext>
          </a:extLst>
        </xdr:cNvPr>
        <xdr:cNvSpPr/>
      </xdr:nvSpPr>
      <xdr:spPr>
        <a:xfrm>
          <a:off x="485298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E40C54CE-2045-4C71-BDCC-804E593CEB9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Publication standard</a:t>
          </a:fld>
          <a:endParaRPr lang="fr-FR" sz="1100"/>
        </a:p>
      </xdr:txBody>
    </xdr:sp>
    <xdr:clientData/>
  </xdr:twoCellAnchor>
  <xdr:twoCellAnchor>
    <xdr:from>
      <xdr:col>75</xdr:col>
      <xdr:colOff>0</xdr:colOff>
      <xdr:row>3</xdr:row>
      <xdr:rowOff>0</xdr:rowOff>
    </xdr:from>
    <xdr:to>
      <xdr:col>76</xdr:col>
      <xdr:colOff>0</xdr:colOff>
      <xdr:row>5</xdr:row>
      <xdr:rowOff>0</xdr:rowOff>
    </xdr:to>
    <xdr:sp macro="JSON_TableHeaderClick" textlink="$BX$4">
      <xdr:nvSpPr>
        <xdr:cNvPr id="159" name="tReporting52428888_75">
          <a:extLst>
            <a:ext uri="{FF2B5EF4-FFF2-40B4-BE49-F238E27FC236}">
              <a16:creationId xmlns:a16="http://schemas.microsoft.com/office/drawing/2014/main" id="{FC0CDFE5-6DAD-48CF-A510-1F179ADC625F}"/>
            </a:ext>
          </a:extLst>
        </xdr:cNvPr>
        <xdr:cNvSpPr/>
      </xdr:nvSpPr>
      <xdr:spPr>
        <a:xfrm>
          <a:off x="491775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06A27FB8-8BD7-4052-89A7-1516419F960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Publication spéciale</a:t>
          </a:fld>
          <a:endParaRPr lang="fr-FR" sz="1100"/>
        </a:p>
      </xdr:txBody>
    </xdr:sp>
    <xdr:clientData/>
  </xdr:twoCellAnchor>
  <xdr:twoCellAnchor>
    <xdr:from>
      <xdr:col>76</xdr:col>
      <xdr:colOff>0</xdr:colOff>
      <xdr:row>3</xdr:row>
      <xdr:rowOff>0</xdr:rowOff>
    </xdr:from>
    <xdr:to>
      <xdr:col>77</xdr:col>
      <xdr:colOff>0</xdr:colOff>
      <xdr:row>5</xdr:row>
      <xdr:rowOff>0</xdr:rowOff>
    </xdr:to>
    <xdr:sp macro="JSON_TableHeaderClick" textlink="$BY$4">
      <xdr:nvSpPr>
        <xdr:cNvPr id="160" name="tReporting52428888_76">
          <a:extLst>
            <a:ext uri="{FF2B5EF4-FFF2-40B4-BE49-F238E27FC236}">
              <a16:creationId xmlns:a16="http://schemas.microsoft.com/office/drawing/2014/main" id="{6748A578-A3A8-413D-A55A-613A8EBEE9AC}"/>
            </a:ext>
          </a:extLst>
        </xdr:cNvPr>
        <xdr:cNvSpPr/>
      </xdr:nvSpPr>
      <xdr:spPr>
        <a:xfrm>
          <a:off x="498252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977CCD8-A699-401D-A07B-BA1B6120E2EB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Publication avancée</a:t>
          </a:fld>
          <a:endParaRPr lang="fr-FR" sz="1100"/>
        </a:p>
      </xdr:txBody>
    </xdr:sp>
    <xdr:clientData/>
  </xdr:twoCellAnchor>
  <xdr:twoCellAnchor>
    <xdr:from>
      <xdr:col>77</xdr:col>
      <xdr:colOff>0</xdr:colOff>
      <xdr:row>3</xdr:row>
      <xdr:rowOff>0</xdr:rowOff>
    </xdr:from>
    <xdr:to>
      <xdr:col>78</xdr:col>
      <xdr:colOff>0</xdr:colOff>
      <xdr:row>5</xdr:row>
      <xdr:rowOff>0</xdr:rowOff>
    </xdr:to>
    <xdr:sp macro="JSON_TableHeaderClick" textlink="$BZ$4">
      <xdr:nvSpPr>
        <xdr:cNvPr id="161" name="tReporting52428888_77">
          <a:extLst>
            <a:ext uri="{FF2B5EF4-FFF2-40B4-BE49-F238E27FC236}">
              <a16:creationId xmlns:a16="http://schemas.microsoft.com/office/drawing/2014/main" id="{9E269989-006F-4714-84BE-B61A93C8313E}"/>
            </a:ext>
          </a:extLst>
        </xdr:cNvPr>
        <xdr:cNvSpPr/>
      </xdr:nvSpPr>
      <xdr:spPr>
        <a:xfrm>
          <a:off x="504729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32F7665B-D265-4C1F-97F4-3752F840015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Niveau après pub.</a:t>
          </a:fld>
          <a:endParaRPr lang="fr-FR" sz="1100"/>
        </a:p>
      </xdr:txBody>
    </xdr:sp>
    <xdr:clientData/>
  </xdr:twoCellAnchor>
  <xdr:twoCellAnchor>
    <xdr:from>
      <xdr:col>78</xdr:col>
      <xdr:colOff>0</xdr:colOff>
      <xdr:row>2</xdr:row>
      <xdr:rowOff>63500</xdr:rowOff>
    </xdr:from>
    <xdr:to>
      <xdr:col>79</xdr:col>
      <xdr:colOff>0</xdr:colOff>
      <xdr:row>5</xdr:row>
      <xdr:rowOff>0</xdr:rowOff>
    </xdr:to>
    <xdr:sp macro="JSON_TableHeaderClick" textlink="$CA$4">
      <xdr:nvSpPr>
        <xdr:cNvPr id="162" name="tReporting52428888_78">
          <a:extLst>
            <a:ext uri="{FF2B5EF4-FFF2-40B4-BE49-F238E27FC236}">
              <a16:creationId xmlns:a16="http://schemas.microsoft.com/office/drawing/2014/main" id="{2C6FE6C1-E474-4285-9A4B-9CCD1EC35F40}"/>
            </a:ext>
          </a:extLst>
        </xdr:cNvPr>
        <xdr:cNvSpPr/>
      </xdr:nvSpPr>
      <xdr:spPr>
        <a:xfrm>
          <a:off x="51120675" y="444500"/>
          <a:ext cx="381000" cy="965200"/>
        </a:xfrm>
        <a:prstGeom prst="rect">
          <a:avLst/>
        </a:prstGeom>
        <a:solidFill>
          <a:schemeClr val="bg1">
            <a:lumMod val="65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 anchorCtr="1"/>
        <a:lstStyle/>
        <a:p>
          <a:pPr algn="l"/>
          <a:fld id="{66FD6784-C27F-499B-9F49-34CCB481574D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Après transfert</a:t>
          </a:fld>
          <a:endParaRPr lang="fr-FR" sz="1100"/>
        </a:p>
      </xdr:txBody>
    </xdr:sp>
    <xdr:clientData/>
  </xdr:twoCellAnchor>
  <xdr:twoCellAnchor>
    <xdr:from>
      <xdr:col>79</xdr:col>
      <xdr:colOff>0</xdr:colOff>
      <xdr:row>3</xdr:row>
      <xdr:rowOff>0</xdr:rowOff>
    </xdr:from>
    <xdr:to>
      <xdr:col>80</xdr:col>
      <xdr:colOff>0</xdr:colOff>
      <xdr:row>5</xdr:row>
      <xdr:rowOff>0</xdr:rowOff>
    </xdr:to>
    <xdr:sp macro="JSON_TableHeaderClick" textlink="$CB$4">
      <xdr:nvSpPr>
        <xdr:cNvPr id="163" name="tReporting52428888_79">
          <a:extLst>
            <a:ext uri="{FF2B5EF4-FFF2-40B4-BE49-F238E27FC236}">
              <a16:creationId xmlns:a16="http://schemas.microsoft.com/office/drawing/2014/main" id="{CCA91512-D8E3-4145-8487-09F3FD4BBAA0}"/>
            </a:ext>
          </a:extLst>
        </xdr:cNvPr>
        <xdr:cNvSpPr/>
      </xdr:nvSpPr>
      <xdr:spPr>
        <a:xfrm>
          <a:off x="515016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B4F7EED7-AA1A-4736-BB43-0890EA8B9BB0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Après transfert: défaut?</a:t>
          </a:fld>
          <a:endParaRPr lang="fr-FR" sz="1100"/>
        </a:p>
      </xdr:txBody>
    </xdr:sp>
    <xdr:clientData/>
  </xdr:twoCellAnchor>
  <xdr:twoCellAnchor>
    <xdr:from>
      <xdr:col>80</xdr:col>
      <xdr:colOff>0</xdr:colOff>
      <xdr:row>3</xdr:row>
      <xdr:rowOff>0</xdr:rowOff>
    </xdr:from>
    <xdr:to>
      <xdr:col>81</xdr:col>
      <xdr:colOff>0</xdr:colOff>
      <xdr:row>5</xdr:row>
      <xdr:rowOff>0</xdr:rowOff>
    </xdr:to>
    <xdr:sp macro="JSON_TableHeaderClick" textlink="$CC$4">
      <xdr:nvSpPr>
        <xdr:cNvPr id="164" name="tReporting52428888_80">
          <a:extLst>
            <a:ext uri="{FF2B5EF4-FFF2-40B4-BE49-F238E27FC236}">
              <a16:creationId xmlns:a16="http://schemas.microsoft.com/office/drawing/2014/main" id="{CCC7A7FC-3F66-487E-A4A1-737CBE369705}"/>
            </a:ext>
          </a:extLst>
        </xdr:cNvPr>
        <xdr:cNvSpPr/>
      </xdr:nvSpPr>
      <xdr:spPr>
        <a:xfrm>
          <a:off x="521493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9C683B65-22F9-4C8A-B0F4-CE6035B6261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Transfert standard</a:t>
          </a:fld>
          <a:endParaRPr lang="fr-FR" sz="1100"/>
        </a:p>
      </xdr:txBody>
    </xdr:sp>
    <xdr:clientData/>
  </xdr:twoCellAnchor>
  <xdr:twoCellAnchor>
    <xdr:from>
      <xdr:col>81</xdr:col>
      <xdr:colOff>0</xdr:colOff>
      <xdr:row>3</xdr:row>
      <xdr:rowOff>0</xdr:rowOff>
    </xdr:from>
    <xdr:to>
      <xdr:col>82</xdr:col>
      <xdr:colOff>0</xdr:colOff>
      <xdr:row>5</xdr:row>
      <xdr:rowOff>0</xdr:rowOff>
    </xdr:to>
    <xdr:sp macro="JSON_TableHeaderClick" textlink="$CD$4">
      <xdr:nvSpPr>
        <xdr:cNvPr id="165" name="tReporting52428888_81">
          <a:extLst>
            <a:ext uri="{FF2B5EF4-FFF2-40B4-BE49-F238E27FC236}">
              <a16:creationId xmlns:a16="http://schemas.microsoft.com/office/drawing/2014/main" id="{0118B86E-4052-4077-BB82-1271C0F0CB56}"/>
            </a:ext>
          </a:extLst>
        </xdr:cNvPr>
        <xdr:cNvSpPr/>
      </xdr:nvSpPr>
      <xdr:spPr>
        <a:xfrm>
          <a:off x="527970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2B085846-27E2-4BE7-96EA-3ED6FBD9319A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Transfert spécial</a:t>
          </a:fld>
          <a:endParaRPr lang="fr-FR" sz="1100"/>
        </a:p>
      </xdr:txBody>
    </xdr:sp>
    <xdr:clientData/>
  </xdr:twoCellAnchor>
  <xdr:twoCellAnchor>
    <xdr:from>
      <xdr:col>82</xdr:col>
      <xdr:colOff>0</xdr:colOff>
      <xdr:row>3</xdr:row>
      <xdr:rowOff>0</xdr:rowOff>
    </xdr:from>
    <xdr:to>
      <xdr:col>83</xdr:col>
      <xdr:colOff>0</xdr:colOff>
      <xdr:row>5</xdr:row>
      <xdr:rowOff>0</xdr:rowOff>
    </xdr:to>
    <xdr:sp macro="JSON_TableHeaderClick" textlink="$CE$4">
      <xdr:nvSpPr>
        <xdr:cNvPr id="166" name="tReporting52428888_82">
          <a:extLst>
            <a:ext uri="{FF2B5EF4-FFF2-40B4-BE49-F238E27FC236}">
              <a16:creationId xmlns:a16="http://schemas.microsoft.com/office/drawing/2014/main" id="{E8B40368-A3E1-41AE-8420-4905BA3B49E4}"/>
            </a:ext>
          </a:extLst>
        </xdr:cNvPr>
        <xdr:cNvSpPr/>
      </xdr:nvSpPr>
      <xdr:spPr>
        <a:xfrm>
          <a:off x="534447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446EBE47-BD72-47F9-8191-4BAD3E7AF205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Transfert avancé</a:t>
          </a:fld>
          <a:endParaRPr lang="fr-FR" sz="1100"/>
        </a:p>
      </xdr:txBody>
    </xdr:sp>
    <xdr:clientData/>
  </xdr:twoCellAnchor>
  <xdr:twoCellAnchor>
    <xdr:from>
      <xdr:col>83</xdr:col>
      <xdr:colOff>0</xdr:colOff>
      <xdr:row>3</xdr:row>
      <xdr:rowOff>0</xdr:rowOff>
    </xdr:from>
    <xdr:to>
      <xdr:col>84</xdr:col>
      <xdr:colOff>0</xdr:colOff>
      <xdr:row>5</xdr:row>
      <xdr:rowOff>0</xdr:rowOff>
    </xdr:to>
    <xdr:sp macro="JSON_TableHeaderClick" textlink="$CF$4">
      <xdr:nvSpPr>
        <xdr:cNvPr id="167" name="tReporting52428888_83">
          <a:extLst>
            <a:ext uri="{FF2B5EF4-FFF2-40B4-BE49-F238E27FC236}">
              <a16:creationId xmlns:a16="http://schemas.microsoft.com/office/drawing/2014/main" id="{B4AE6633-63ED-4C86-BD99-7B1434D1C402}"/>
            </a:ext>
          </a:extLst>
        </xdr:cNvPr>
        <xdr:cNvSpPr/>
      </xdr:nvSpPr>
      <xdr:spPr>
        <a:xfrm>
          <a:off x="54092475" y="571500"/>
          <a:ext cx="647700" cy="838200"/>
        </a:xfrm>
        <a:prstGeom prst="rect">
          <a:avLst/>
        </a:prstGeom>
        <a:solidFill>
          <a:schemeClr val="accent1">
            <a:lumMod val="100000"/>
          </a:scheme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fld id="{F7F60C62-5E9D-4ADB-9C1A-2BFEFB042F64}" type="TxLink">
            <a:rPr lang="en-US" sz="1100" b="1" i="0" u="none" strike="noStrike">
              <a:solidFill>
                <a:srgbClr val="FFFFFF"/>
              </a:solidFill>
              <a:latin typeface="Calibri"/>
              <a:cs typeface="Calibri"/>
            </a:rPr>
            <a:t>Niveau après tran.</a:t>
          </a:fld>
          <a:endParaRPr lang="fr-FR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F09C5B1-327B-46A6-96CC-51F6DD1EF8E4}" name="tReportings" displayName="tReportings" ref="C13:F41" totalsRowShown="0" headerRowDxfId="91" dataDxfId="86" tableBorderDxfId="92">
  <autoFilter ref="C13:F41" xr:uid="{22167634-31A8-4935-8FDC-4DB75CC942FB}"/>
  <tableColumns count="4">
    <tableColumn id="1" xr3:uid="{29F05711-C772-44F7-93D1-E057F18F31C5}" name=" 1" dataDxfId="90"/>
    <tableColumn id="2" xr3:uid="{EB2C1414-820C-47BF-8B41-0B8E4A09B3E5}" name=" 2" dataDxfId="89"/>
    <tableColumn id="3" xr3:uid="{B68D99B9-905F-4BD9-A13E-FA26F7AB97E6}" name=" 3" dataDxfId="88"/>
    <tableColumn id="4" xr3:uid="{D3DB7E4F-755C-4C83-B14C-8C431AA2271B}" name=" 4" dataDxfId="8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735574C-6D3F-49B4-A6F6-F1C49D3FA72C}" name="tReporting52428888" displayName="tReporting52428888" ref="B5:CF6" totalsRowShown="0" headerRowDxfId="84" dataDxfId="0" tableBorderDxfId="85">
  <autoFilter ref="B5:CF6" xr:uid="{C4252D83-FE95-48B4-A33B-149B3C320CDB}"/>
  <tableColumns count="83">
    <tableColumn id="1" xr3:uid="{B94CBDCB-CE69-4E65-B97F-E99C3700D117}" name=" 1" dataDxfId="83"/>
    <tableColumn id="2" xr3:uid="{B88B6207-0076-41EC-8C6F-CD4DD6F28E86}" name=" 2" dataDxfId="82"/>
    <tableColumn id="3" xr3:uid="{55182165-9407-4F9E-A015-308996D12145}" name=" 3" dataDxfId="81"/>
    <tableColumn id="4" xr3:uid="{BF6E302A-B5DF-47CA-AF5E-180AB8A607D8}" name=" 4" dataDxfId="80"/>
    <tableColumn id="5" xr3:uid="{80DAE188-E1FA-4470-ABE2-7B73780130C6}" name=" 5" dataDxfId="79"/>
    <tableColumn id="6" xr3:uid="{49D3B863-40A2-46D1-8A5A-A72AA7C98A9F}" name=" 6" dataDxfId="78"/>
    <tableColumn id="7" xr3:uid="{FD4666B6-74BF-413C-995D-B24ADBC87FF2}" name=" 7" dataDxfId="77"/>
    <tableColumn id="8" xr3:uid="{E7588937-8DD5-401E-9763-F075A293BBA2}" name=" 8" dataDxfId="76"/>
    <tableColumn id="9" xr3:uid="{73C8073E-B336-4019-8648-D6C561CD9520}" name=" 9" dataDxfId="75"/>
    <tableColumn id="10" xr3:uid="{A545168A-9F9F-4F0C-BDED-29CC2877B792}" name=" 10" dataDxfId="74"/>
    <tableColumn id="11" xr3:uid="{A03C8099-EC97-4F81-B9A0-EF049333A0E2}" name=" 11" dataDxfId="73"/>
    <tableColumn id="12" xr3:uid="{26F951F8-916D-468A-9D7F-E6A55B919983}" name=" 12" dataDxfId="72"/>
    <tableColumn id="13" xr3:uid="{584A8925-EFE6-4919-BD10-5C53CE45C9C0}" name=" 13" dataDxfId="71"/>
    <tableColumn id="14" xr3:uid="{FC85D613-D419-4109-964D-CA9C6CA3DC92}" name=" 14" dataDxfId="70"/>
    <tableColumn id="15" xr3:uid="{6C8C06BE-1067-4A9A-8F0B-4B7EA6A282C1}" name=" 15" dataDxfId="69"/>
    <tableColumn id="16" xr3:uid="{293C5414-172D-47BB-BDB1-D777E8DF9589}" name=" 16" dataDxfId="68"/>
    <tableColumn id="17" xr3:uid="{DA1F5C53-483F-418D-96CC-7320B7218F2F}" name=" 17" dataDxfId="67"/>
    <tableColumn id="18" xr3:uid="{842A069A-245D-402B-93EF-B9C1F0B4246E}" name=" 18" dataDxfId="66"/>
    <tableColumn id="19" xr3:uid="{04B52A83-4B8A-422A-9BBC-471F2E55B51C}" name=" 19" dataDxfId="65"/>
    <tableColumn id="20" xr3:uid="{126C226A-6EDD-483D-8714-38A229EE73C4}" name=" 20" dataDxfId="64"/>
    <tableColumn id="21" xr3:uid="{75E26ADC-1EA4-460A-A535-DA09436447E7}" name=" 21" dataDxfId="63"/>
    <tableColumn id="22" xr3:uid="{1D18F4BA-9AD2-4709-8C26-FA3706CC68DB}" name=" 22" dataDxfId="62"/>
    <tableColumn id="23" xr3:uid="{7D903AC2-5F19-4AD5-A2C1-4DE299922A3F}" name=" 23" dataDxfId="61"/>
    <tableColumn id="24" xr3:uid="{712A6A0B-05DF-4EFC-8EAD-9B62A47C48D5}" name=" 24" dataDxfId="60"/>
    <tableColumn id="25" xr3:uid="{CB442DF3-1174-4A20-A47F-3B8A85BBC5EC}" name=" 25" dataDxfId="59"/>
    <tableColumn id="26" xr3:uid="{F4BFF0A3-26CB-41F1-955D-7B164135DC76}" name=" 26" dataDxfId="58"/>
    <tableColumn id="27" xr3:uid="{1E42B769-F7CF-4029-A0F7-74B912805161}" name=" 27" dataDxfId="57"/>
    <tableColumn id="28" xr3:uid="{BA592ACC-0E4A-4829-93F2-27F752AFF64A}" name=" 28" dataDxfId="56"/>
    <tableColumn id="29" xr3:uid="{A581D40A-E322-4A12-9418-A65631C4459C}" name=" 29" dataDxfId="55"/>
    <tableColumn id="30" xr3:uid="{79A76B86-6418-4A88-843B-B959795A4DF6}" name=" 30" dataDxfId="54"/>
    <tableColumn id="31" xr3:uid="{EDD0FF1C-A51E-48F8-ACF3-F407977223CD}" name=" 31" dataDxfId="53"/>
    <tableColumn id="32" xr3:uid="{18F2A8E9-7611-44A5-850A-6179F2C19BA7}" name=" 32" dataDxfId="52"/>
    <tableColumn id="33" xr3:uid="{B1A0357C-B9AB-4250-AE53-23F20EE23FE7}" name=" 33" dataDxfId="51"/>
    <tableColumn id="34" xr3:uid="{A9F4F323-26EF-476B-BB31-071B81C79AB3}" name=" 34" dataDxfId="50"/>
    <tableColumn id="35" xr3:uid="{C7B70C93-D3CE-4631-A5C4-B5E73589CB54}" name=" 35" dataDxfId="49"/>
    <tableColumn id="36" xr3:uid="{82CC9AC4-311F-4E61-A10E-9DE29CFC2564}" name=" 36" dataDxfId="48"/>
    <tableColumn id="37" xr3:uid="{9310DF54-9243-4D10-85F0-688035CA4384}" name=" 37" dataDxfId="47"/>
    <tableColumn id="38" xr3:uid="{F370133D-893E-42E3-B615-5E0A7FDB0514}" name=" 38" dataDxfId="46"/>
    <tableColumn id="39" xr3:uid="{1B5775EB-F65F-471A-9CED-90B388F3AA94}" name=" 39" dataDxfId="45"/>
    <tableColumn id="40" xr3:uid="{580B49ED-E920-440C-B48D-9678C57AF4AD}" name=" 40" dataDxfId="44"/>
    <tableColumn id="41" xr3:uid="{317E104F-A173-4094-B8C3-2EDACAF98FC0}" name=" 41" dataDxfId="43"/>
    <tableColumn id="42" xr3:uid="{3B8D0AE4-ABB8-4613-93B4-B6A6339B8692}" name=" 42" dataDxfId="42"/>
    <tableColumn id="43" xr3:uid="{FBC78ABA-E631-4AC6-9634-ED4B9487A549}" name=" 43" dataDxfId="41"/>
    <tableColumn id="44" xr3:uid="{8C490B24-25E7-4D04-A34A-7E97D8A4D66E}" name=" 44" dataDxfId="40"/>
    <tableColumn id="45" xr3:uid="{D8ACFE27-8447-4466-A27A-F26406779337}" name=" 45" dataDxfId="39"/>
    <tableColumn id="46" xr3:uid="{BD59C2C3-6551-4B47-B3BB-5F35F5CE1940}" name=" 46" dataDxfId="38"/>
    <tableColumn id="47" xr3:uid="{E939C54B-4D30-40CD-8B4A-709D9A8BC3A6}" name=" 47" dataDxfId="37"/>
    <tableColumn id="48" xr3:uid="{B3549CDB-7207-40C9-88A0-A750677E27D9}" name=" 48" dataDxfId="36"/>
    <tableColumn id="49" xr3:uid="{1F06412B-58BD-499C-9659-61218019B435}" name=" 49" dataDxfId="35"/>
    <tableColumn id="50" xr3:uid="{6A8628DD-792A-492C-9823-16492A3E87A3}" name=" 50" dataDxfId="34"/>
    <tableColumn id="51" xr3:uid="{1AA7BA91-283B-498C-A564-E074D371D848}" name=" 51" dataDxfId="33"/>
    <tableColumn id="52" xr3:uid="{413530D9-E1EF-464C-A9DB-2CA65EFFC5E6}" name=" 52" dataDxfId="32"/>
    <tableColumn id="53" xr3:uid="{7C7F3B61-D512-4D6C-8E4C-0093323D6ABF}" name=" 53" dataDxfId="31"/>
    <tableColumn id="54" xr3:uid="{5C4D56C5-05A7-4977-8A70-CF43C2E5923B}" name=" 54" dataDxfId="30"/>
    <tableColumn id="55" xr3:uid="{75313BE6-A5E0-4AD9-86F0-5A2DE3CDCA86}" name=" 55" dataDxfId="29"/>
    <tableColumn id="56" xr3:uid="{26E49207-C83C-4CFF-BF63-0EC9F46F87A3}" name=" 56" dataDxfId="28"/>
    <tableColumn id="57" xr3:uid="{9BB50124-2A46-4F46-945B-90B539A864F8}" name=" 57" dataDxfId="27"/>
    <tableColumn id="58" xr3:uid="{9BA41C91-EF39-43A9-AE34-421208248E24}" name=" 58" dataDxfId="26"/>
    <tableColumn id="59" xr3:uid="{F0952684-B516-4B85-A050-220FBABBD51B}" name=" 59" dataDxfId="25"/>
    <tableColumn id="60" xr3:uid="{75A00B8B-25BB-4DDD-A541-8D1B858FC99A}" name=" 60" dataDxfId="24"/>
    <tableColumn id="61" xr3:uid="{2ACC34E4-C181-4F7F-8F66-98A724227C09}" name=" 61" dataDxfId="23"/>
    <tableColumn id="62" xr3:uid="{808DFA7D-5C1D-4F4B-8AA7-6661B2D3D8B9}" name=" 62" dataDxfId="22"/>
    <tableColumn id="63" xr3:uid="{941911F8-7A8A-4F54-9224-7F1948A315C6}" name=" 63" dataDxfId="21"/>
    <tableColumn id="64" xr3:uid="{97185C81-F96D-45C5-A749-722968E9B2CF}" name=" 64" dataDxfId="20"/>
    <tableColumn id="65" xr3:uid="{68D420A2-535F-4642-804E-84D57DFD0670}" name=" 65" dataDxfId="19"/>
    <tableColumn id="66" xr3:uid="{B15E354D-19EA-4D54-8853-20FE8F1F03EB}" name=" 66" dataDxfId="18"/>
    <tableColumn id="67" xr3:uid="{BC609C20-34DA-466B-AC26-45E0ED73DED1}" name=" 67" dataDxfId="17"/>
    <tableColumn id="68" xr3:uid="{BBA2FE7E-3669-46DB-B411-4858D9DB2531}" name=" 68" dataDxfId="16"/>
    <tableColumn id="69" xr3:uid="{CD348475-B050-4C1D-8716-61CD1642095A}" name=" 69" dataDxfId="15"/>
    <tableColumn id="70" xr3:uid="{1956A94D-B1D8-4507-9E91-E330175AFFDD}" name=" 70" dataDxfId="14"/>
    <tableColumn id="71" xr3:uid="{EC265482-3E01-47DD-9952-62618D871468}" name=" 71" dataDxfId="13"/>
    <tableColumn id="72" xr3:uid="{2BEBE42C-7E67-4776-BA5C-4C0CDFC49C7D}" name=" 72" dataDxfId="12"/>
    <tableColumn id="73" xr3:uid="{C47834B7-6EED-4509-9385-FB52550C96E9}" name=" 73" dataDxfId="11"/>
    <tableColumn id="74" xr3:uid="{14666D1A-8937-439F-9105-9E8D4BE6B060}" name=" 74" dataDxfId="10"/>
    <tableColumn id="75" xr3:uid="{E6DC00D0-4F99-4EAE-842E-79D0B47B52ED}" name=" 75" dataDxfId="9"/>
    <tableColumn id="76" xr3:uid="{BBF38197-D138-4BA5-A32A-25E474D22671}" name=" 76" dataDxfId="8"/>
    <tableColumn id="77" xr3:uid="{8ED41E16-5A67-48CE-8A1E-30732430C27C}" name=" 77" dataDxfId="7"/>
    <tableColumn id="78" xr3:uid="{F38CB64D-A39B-4BF1-807B-C99FE638543F}" name=" 78" dataDxfId="6"/>
    <tableColumn id="79" xr3:uid="{69B78A13-17B4-40DD-83A0-1562FC2F6653}" name=" 79" dataDxfId="5"/>
    <tableColumn id="80" xr3:uid="{6FE1CB3C-1AD2-43E2-A8A6-3110EF867239}" name=" 80" dataDxfId="4"/>
    <tableColumn id="81" xr3:uid="{2F5CFB67-D601-4D7E-B7A5-DC49F9687ADB}" name=" 81" dataDxfId="3"/>
    <tableColumn id="82" xr3:uid="{719564BA-24E8-40D9-B45C-AE5534A1648C}" name=" 82" dataDxfId="2"/>
    <tableColumn id="83" xr3:uid="{76AC1E76-BEB7-42DA-A76E-721483872002}" name=" 83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7F5DB-134F-4B73-89E2-70E1DD563C03}" name="tI18N" displayName="tI18N" ref="A3:H114" totalsRowShown="0" dataDxfId="93">
  <autoFilter ref="A3:H114" xr:uid="{20495ABC-A0D8-40BE-8188-61D0FEE75739}"/>
  <tableColumns count="8">
    <tableColumn id="1" xr3:uid="{73903A16-45BE-4CB3-B71C-3468798E69E6}" name="ID" dataDxfId="101"/>
    <tableColumn id="3" xr3:uid="{02ADB156-C3E9-44A8-BC1B-FB2018DC836B}" name="Param1" dataDxfId="100"/>
    <tableColumn id="4" xr3:uid="{CF8C7CB6-4B86-4085-ACCC-19CBFD4C59FE}" name="Param2" dataDxfId="99"/>
    <tableColumn id="5" xr3:uid="{1227E0CB-DF13-4AEB-9B7C-A5B66DBC0C3F}" name="Param3" dataDxfId="98"/>
    <tableColumn id="6" xr3:uid="{2E60890B-30E9-4D21-92C9-7B06D14BAF00}" name="Param4" dataDxfId="97"/>
    <tableColumn id="7" xr3:uid="{03AC2232-F9FA-428A-BCAB-A8039123FBB5}" name="Param5" dataDxfId="96"/>
    <tableColumn id="9" xr3:uid="{5D6B89C0-1432-4927-AC0D-CC962FDD7705}" name="en_US" dataDxfId="95"/>
    <tableColumn id="8" xr3:uid="{8F5786B6-467E-46BD-A85E-B24EA01C31DC}" name="fr_FR" dataDxfId="9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C3AF48E-7774-4B4C-A458-0353297BFF2A}" name="tJSON" displayName="tJSON" ref="B3:S91" totalsRowShown="0" dataDxfId="137">
  <autoFilter ref="B3:S91" xr:uid="{D9E8808B-D9E1-4272-8694-E8D5F2C45F29}"/>
  <tableColumns count="18">
    <tableColumn id="1" xr3:uid="{3A646773-BE89-4522-98D7-B786E44BE0DC}" name="Query" dataDxfId="136"/>
    <tableColumn id="9" xr3:uid="{C4EB6F9D-3EAD-42F0-84FF-9BBD170B0DE5}" name="Table" dataDxfId="135"/>
    <tableColumn id="8" xr3:uid="{70E4004F-52ED-4A60-A759-27AFE028F894}" name="I18N" dataDxfId="134"/>
    <tableColumn id="13" xr3:uid="{A78438C4-24D6-4E6E-A29B-E72CABDED5AB}" name="JSON Row Array" dataDxfId="133"/>
    <tableColumn id="16" xr3:uid="{02735810-2DA9-4B37-A9AB-CC1D7668127D}" name="Editable?" dataDxfId="132"/>
    <tableColumn id="2" xr3:uid="{DFC5B263-91CC-4653-8ADC-74A0368CD202}" name="JSON Column" dataDxfId="131"/>
    <tableColumn id="3" xr3:uid="{D5540814-CF2F-4ACB-B92D-22093C535E0C}" name="JSON Type" dataDxfId="130"/>
    <tableColumn id="11" xr3:uid="{EDC8EA7C-C33C-4E55-9909-B09F730AE94B}" name="Required" dataDxfId="129"/>
    <tableColumn id="4" xr3:uid="{8D0A36EB-752B-47BA-B4F5-009678ACFDD0}" name="Title" dataDxfId="128"/>
    <tableColumn id="12" xr3:uid="{B7222461-457D-4B90-9925-68BAF8D1E421}" name="Editor" dataDxfId="127"/>
    <tableColumn id="14" xr3:uid="{C8DD975C-C222-4560-AD83-9B3E4EF275CD}" name="Format" dataDxfId="126"/>
    <tableColumn id="15" xr3:uid="{30CC9560-5D67-406A-B687-D2883B19A560}" name="Level" dataDxfId="125"/>
    <tableColumn id="18" xr3:uid="{9414E3E8-B630-435F-9660-16EFF4CAEFD7}" name="Width" dataDxfId="124"/>
    <tableColumn id="5" xr3:uid="{3613A1E0-361B-4D77-AB85-A190D3D733FC}" name="Hidden" dataDxfId="123"/>
    <tableColumn id="6" xr3:uid="{4FC768DF-246E-41E4-8A37-38EE7A822849}" name="Command" dataDxfId="122"/>
    <tableColumn id="10" xr3:uid="{08F0F3AA-70C9-46BE-9E8F-F9089FF43A15}" name="Params" dataDxfId="121"/>
    <tableColumn id="7" xr3:uid="{C3148FB9-B4AC-439B-977D-F7DC6FE2F875}" name="Position" dataDxfId="120"/>
    <tableColumn id="17" xr3:uid="{AAA7A96E-0AF3-43EB-9CAA-11C66E543F5D}" name="ReturnCol" dataDxfId="11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7B71501-A343-4D2E-A1D3-AC7530771EC1}" name="tJSON6" displayName="tJSON6" ref="B3:Q4" insertRow="1" totalsRowShown="0" dataDxfId="118">
  <autoFilter ref="B3:Q4" xr:uid="{D9E8808B-D9E1-4272-8694-E8D5F2C45F29}"/>
  <tableColumns count="16">
    <tableColumn id="1" xr3:uid="{848A5172-BE10-4671-A96C-19CB95280C30}" name="Query" dataDxfId="117"/>
    <tableColumn id="9" xr3:uid="{D4503C74-5BC6-42E3-9059-14AE6DF0435F}" name="Table" dataDxfId="116"/>
    <tableColumn id="8" xr3:uid="{6B1E570F-3015-4379-A06B-47DE792E9FF7}" name="I18N" dataDxfId="115"/>
    <tableColumn id="13" xr3:uid="{1F3DA983-C15A-44A1-9F86-08FE41BABCC4}" name="JSON Row Array" dataDxfId="114"/>
    <tableColumn id="2" xr3:uid="{2146287D-FA7C-4DC4-A184-861C99FB53FA}" name="JSON Column" dataDxfId="113"/>
    <tableColumn id="3" xr3:uid="{41F1B5AB-7B7D-4E20-9599-A4A18E607AC2}" name="JSON Type" dataDxfId="112"/>
    <tableColumn id="11" xr3:uid="{6B6D5F65-9066-427A-9E8E-83BC24FDA24E}" name="Required" dataDxfId="111"/>
    <tableColumn id="4" xr3:uid="{5632F87F-624C-41CA-9F02-FC8191282D24}" name="Title" dataDxfId="110"/>
    <tableColumn id="12" xr3:uid="{42F4ED45-AB09-422F-A7F0-D0219F6C21FB}" name="Editor" dataDxfId="109"/>
    <tableColumn id="14" xr3:uid="{2AA5569E-51E1-495E-B26C-0E3F01504CAF}" name="Format" dataDxfId="108"/>
    <tableColumn id="15" xr3:uid="{9FF31EFB-98A5-441C-AEEE-A8D70F766993}" name="Level" dataDxfId="107"/>
    <tableColumn id="5" xr3:uid="{AAEEF1F0-17A9-4995-BF9B-AB4346088E71}" name="Hidden" dataDxfId="106"/>
    <tableColumn id="6" xr3:uid="{7BDF45C7-3CB9-461B-82E3-465AF4328F16}" name="Command" dataDxfId="105"/>
    <tableColumn id="10" xr3:uid="{CC86848F-2654-487A-90EA-707ECEAFF905}" name="Params" dataDxfId="104"/>
    <tableColumn id="7" xr3:uid="{EB4FA941-2795-46FC-8CA9-7D002B610299}" name="Position" dataDxfId="103"/>
    <tableColumn id="17" xr3:uid="{CA1F3260-0D6C-4F7F-B7AE-4DFA8A856532}" name="ReturnCol" dataDxfId="10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://20.188.62.95/reportingmanager/api/reporting" TargetMode="External"/><Relationship Id="rId1" Type="http://schemas.openxmlformats.org/officeDocument/2006/relationships/hyperlink" Target="http://20.188.62.95/reportingmanager/api/reporting/%7bID%7d" TargetMode="External"/><Relationship Id="rId4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C1812-B0DA-4338-9FC4-A2A2F04E9A5D}">
  <sheetPr codeName="RF_I18N_Sheet"/>
  <dimension ref="B3:Q52"/>
  <sheetViews>
    <sheetView showGridLines="0" showRowColHeaders="0" zoomScaleNormal="100" workbookViewId="0">
      <selection activeCell="R53" sqref="R53"/>
    </sheetView>
  </sheetViews>
  <sheetFormatPr baseColWidth="10" defaultRowHeight="15" outlineLevelCol="1" x14ac:dyDescent="0.25"/>
  <cols>
    <col min="1" max="1" width="2.85546875" style="4" customWidth="1"/>
    <col min="2" max="2" width="7.85546875" style="4" customWidth="1"/>
    <col min="3" max="3" width="14.7109375" style="4" hidden="1" customWidth="1" outlineLevel="1"/>
    <col min="4" max="4" width="14.7109375" style="4" customWidth="1" collapsed="1"/>
    <col min="5" max="5" width="14.7109375" style="4" customWidth="1"/>
    <col min="6" max="6" width="28.7109375" style="4" customWidth="1"/>
    <col min="7" max="7" width="4" style="4" customWidth="1"/>
    <col min="8" max="8" width="14.28515625" style="4" customWidth="1"/>
    <col min="9" max="10" width="12.28515625" style="4" customWidth="1"/>
    <col min="11" max="11" width="6.7109375" style="4" customWidth="1"/>
    <col min="12" max="12" width="32.85546875" style="4" customWidth="1"/>
    <col min="13" max="16384" width="11.42578125" style="4"/>
  </cols>
  <sheetData>
    <row r="3" spans="2:12" x14ac:dyDescent="0.25">
      <c r="D3" s="16"/>
    </row>
    <row r="4" spans="2:12" x14ac:dyDescent="0.25">
      <c r="B4" s="4" t="str" cm="1">
        <f t="array" ref="B4">I18N_T(cellLanguage, "RF_Title")</f>
        <v>Génération des reportings</v>
      </c>
      <c r="F4" s="11"/>
      <c r="I4" s="5" t="str" cm="1">
        <f t="array" ref="I4">I18N_Version(cellLanguage)</f>
        <v>Version 0.93 du 08 03 21</v>
      </c>
    </row>
    <row r="5" spans="2:12" x14ac:dyDescent="0.25">
      <c r="C5" s="19"/>
      <c r="D5" s="20"/>
      <c r="E5" s="21"/>
      <c r="F5" s="22"/>
    </row>
    <row r="6" spans="2:12" x14ac:dyDescent="0.25">
      <c r="C6" s="23"/>
      <c r="D6" s="23"/>
      <c r="E6" s="23"/>
      <c r="F6" s="23"/>
    </row>
    <row r="7" spans="2:12" x14ac:dyDescent="0.25">
      <c r="C7"/>
      <c r="D7"/>
      <c r="E7"/>
      <c r="F7"/>
    </row>
    <row r="10" spans="2:12" x14ac:dyDescent="0.25">
      <c r="C10"/>
      <c r="D10" s="10" t="str">
        <f>I18N_T(cellLanguage, "RF_Refresh")</f>
        <v>Mettre à jour la liste</v>
      </c>
      <c r="E10"/>
      <c r="F10"/>
      <c r="G10"/>
      <c r="I10" s="7"/>
      <c r="J10" s="7"/>
      <c r="L10" s="6"/>
    </row>
    <row r="11" spans="2:12" x14ac:dyDescent="0.25">
      <c r="C11"/>
      <c r="D11" s="41">
        <f>SUBTOTAL(103, tReportings[[ 2]])</f>
        <v>28</v>
      </c>
      <c r="E11"/>
      <c r="F11" s="24"/>
      <c r="G11"/>
      <c r="H11" s="16"/>
      <c r="I11" s="12"/>
      <c r="J11" s="12"/>
    </row>
    <row r="12" spans="2:12" hidden="1" x14ac:dyDescent="0.25">
      <c r="C12" s="20" t="str">
        <f>I18N_T(cellLanguage, "RF_ID")</f>
        <v>ID</v>
      </c>
      <c r="D12" s="21" t="str">
        <f>I18N_T(cellLanguage, "RF_Phase")</f>
        <v>Phase</v>
      </c>
      <c r="E12" s="21" t="str">
        <f>I18N_T(cellLanguage, "RF_UpdatePeriod")</f>
        <v>Exercice</v>
      </c>
      <c r="F12" s="22" t="str">
        <f>I18N_T(cellLanguage, "RF_CreationDate")</f>
        <v>Date de création</v>
      </c>
      <c r="G12"/>
      <c r="H12" s="16"/>
      <c r="I12" s="12"/>
      <c r="J12" s="12"/>
    </row>
    <row r="13" spans="2:12" ht="15" customHeight="1" x14ac:dyDescent="0.25">
      <c r="C13" s="23" t="s">
        <v>204</v>
      </c>
      <c r="D13" s="23" t="s">
        <v>205</v>
      </c>
      <c r="E13" s="23" t="s">
        <v>206</v>
      </c>
      <c r="F13" s="23" t="s">
        <v>207</v>
      </c>
      <c r="H13" s="16"/>
      <c r="I13" s="12"/>
      <c r="J13" s="12"/>
    </row>
    <row r="14" spans="2:12" x14ac:dyDescent="0.25">
      <c r="C14" s="43">
        <v>52428888</v>
      </c>
      <c r="D14" s="43" t="s">
        <v>21</v>
      </c>
      <c r="E14" s="43" t="s">
        <v>604</v>
      </c>
      <c r="F14" s="43" t="s">
        <v>605</v>
      </c>
      <c r="H14" s="10" t="str">
        <f>I18N_T(cellLanguage, "RF_Modify")</f>
        <v>Modifier</v>
      </c>
      <c r="I14" s="10" t="str">
        <f>I18N_T(cellLanguage, "RF_Duplicate")</f>
        <v>Dupliquer</v>
      </c>
      <c r="J14" s="12"/>
      <c r="L14" s="8"/>
    </row>
    <row r="15" spans="2:12" x14ac:dyDescent="0.25">
      <c r="C15" s="43">
        <v>52428859</v>
      </c>
      <c r="D15" s="43" t="s">
        <v>21</v>
      </c>
      <c r="E15" s="43" t="s">
        <v>606</v>
      </c>
      <c r="F15" s="43" t="s">
        <v>607</v>
      </c>
      <c r="H15" s="10" t="str">
        <f>I18N_T(cellLanguage, "RF_Modify")</f>
        <v>Modifier</v>
      </c>
      <c r="I15" s="10" t="str">
        <f>I18N_T(cellLanguage, "RF_Duplicate")</f>
        <v>Dupliquer</v>
      </c>
      <c r="J15" s="12"/>
    </row>
    <row r="16" spans="2:12" x14ac:dyDescent="0.25">
      <c r="C16" s="43">
        <v>52428858</v>
      </c>
      <c r="D16" s="43" t="s">
        <v>21</v>
      </c>
      <c r="E16" s="43" t="s">
        <v>608</v>
      </c>
      <c r="F16" s="43" t="s">
        <v>609</v>
      </c>
      <c r="H16" s="10" t="str">
        <f>I18N_T(cellLanguage, "RF_Modify")</f>
        <v>Modifier</v>
      </c>
      <c r="I16" s="10" t="str">
        <f>I18N_T(cellLanguage, "RF_Duplicate")</f>
        <v>Dupliquer</v>
      </c>
      <c r="J16" s="12"/>
    </row>
    <row r="17" spans="3:10" x14ac:dyDescent="0.25">
      <c r="C17" s="43">
        <v>52428847</v>
      </c>
      <c r="D17" s="43" t="s">
        <v>21</v>
      </c>
      <c r="E17" s="43" t="s">
        <v>610</v>
      </c>
      <c r="F17" s="43" t="s">
        <v>611</v>
      </c>
      <c r="H17" s="10" t="str">
        <f>I18N_T(cellLanguage, "RF_Modify")</f>
        <v>Modifier</v>
      </c>
      <c r="I17" s="10" t="str">
        <f>I18N_T(cellLanguage, "RF_Duplicate")</f>
        <v>Dupliquer</v>
      </c>
      <c r="J17" s="12"/>
    </row>
    <row r="18" spans="3:10" x14ac:dyDescent="0.25">
      <c r="C18" s="43">
        <v>52428855</v>
      </c>
      <c r="D18" s="43" t="s">
        <v>21</v>
      </c>
      <c r="E18" s="43" t="s">
        <v>612</v>
      </c>
      <c r="F18" s="43" t="s">
        <v>613</v>
      </c>
      <c r="H18" s="10" t="str">
        <f>I18N_T(cellLanguage, "RF_Modify")</f>
        <v>Modifier</v>
      </c>
      <c r="I18" s="10" t="str">
        <f>I18N_T(cellLanguage, "RF_Duplicate")</f>
        <v>Dupliquer</v>
      </c>
      <c r="J18" s="12"/>
    </row>
    <row r="19" spans="3:10" x14ac:dyDescent="0.25">
      <c r="C19" s="43">
        <v>52428853</v>
      </c>
      <c r="D19" s="43" t="s">
        <v>21</v>
      </c>
      <c r="E19" s="43" t="s">
        <v>614</v>
      </c>
      <c r="F19" s="43" t="s">
        <v>615</v>
      </c>
      <c r="H19" s="10" t="str">
        <f>I18N_T(cellLanguage, "RF_Modify")</f>
        <v>Modifier</v>
      </c>
      <c r="I19" s="10" t="str">
        <f>I18N_T(cellLanguage, "RF_Duplicate")</f>
        <v>Dupliquer</v>
      </c>
      <c r="J19" s="12"/>
    </row>
    <row r="20" spans="3:10" x14ac:dyDescent="0.25">
      <c r="C20" s="43">
        <v>52428851</v>
      </c>
      <c r="D20" s="43" t="s">
        <v>21</v>
      </c>
      <c r="E20" s="43" t="s">
        <v>616</v>
      </c>
      <c r="F20" s="43" t="s">
        <v>617</v>
      </c>
      <c r="H20" s="10" t="str">
        <f>I18N_T(cellLanguage, "RF_Modify")</f>
        <v>Modifier</v>
      </c>
      <c r="I20" s="10" t="str">
        <f>I18N_T(cellLanguage, "RF_Duplicate")</f>
        <v>Dupliquer</v>
      </c>
      <c r="J20" s="12"/>
    </row>
    <row r="21" spans="3:10" x14ac:dyDescent="0.25">
      <c r="C21" s="43">
        <v>52428848</v>
      </c>
      <c r="D21" s="43" t="s">
        <v>21</v>
      </c>
      <c r="E21" s="43" t="s">
        <v>618</v>
      </c>
      <c r="F21" s="43" t="s">
        <v>619</v>
      </c>
      <c r="H21" s="10" t="str">
        <f>I18N_T(cellLanguage, "RF_Modify")</f>
        <v>Modifier</v>
      </c>
      <c r="I21" s="10" t="str">
        <f>I18N_T(cellLanguage, "RF_Duplicate")</f>
        <v>Dupliquer</v>
      </c>
      <c r="J21" s="12"/>
    </row>
    <row r="22" spans="3:10" x14ac:dyDescent="0.25">
      <c r="C22" s="43">
        <v>52428841</v>
      </c>
      <c r="D22" s="43" t="s">
        <v>21</v>
      </c>
      <c r="E22" s="43" t="s">
        <v>620</v>
      </c>
      <c r="F22" s="43" t="s">
        <v>621</v>
      </c>
      <c r="H22" s="10" t="str">
        <f>I18N_T(cellLanguage, "RF_Modify")</f>
        <v>Modifier</v>
      </c>
      <c r="I22" s="10" t="str">
        <f>I18N_T(cellLanguage, "RF_Duplicate")</f>
        <v>Dupliquer</v>
      </c>
      <c r="J22" s="12"/>
    </row>
    <row r="23" spans="3:10" x14ac:dyDescent="0.25">
      <c r="C23" s="43">
        <v>52428840</v>
      </c>
      <c r="D23" s="43" t="s">
        <v>21</v>
      </c>
      <c r="E23" s="43" t="s">
        <v>622</v>
      </c>
      <c r="F23" s="43" t="s">
        <v>623</v>
      </c>
      <c r="H23" s="10" t="str">
        <f>I18N_T(cellLanguage, "RF_Modify")</f>
        <v>Modifier</v>
      </c>
      <c r="I23" s="10" t="str">
        <f>I18N_T(cellLanguage, "RF_Duplicate")</f>
        <v>Dupliquer</v>
      </c>
      <c r="J23" s="12"/>
    </row>
    <row r="24" spans="3:10" x14ac:dyDescent="0.25">
      <c r="C24" s="43">
        <v>52428838</v>
      </c>
      <c r="D24" s="43" t="s">
        <v>21</v>
      </c>
      <c r="E24" s="43" t="s">
        <v>624</v>
      </c>
      <c r="F24" s="43" t="s">
        <v>625</v>
      </c>
      <c r="H24" s="10" t="str">
        <f>I18N_T(cellLanguage, "RF_Modify")</f>
        <v>Modifier</v>
      </c>
      <c r="I24" s="10" t="str">
        <f>I18N_T(cellLanguage, "RF_Duplicate")</f>
        <v>Dupliquer</v>
      </c>
      <c r="J24" s="12"/>
    </row>
    <row r="25" spans="3:10" x14ac:dyDescent="0.25">
      <c r="C25" s="43">
        <v>52428832</v>
      </c>
      <c r="D25" s="43" t="s">
        <v>21</v>
      </c>
      <c r="E25" s="43" t="s">
        <v>626</v>
      </c>
      <c r="F25" s="43" t="s">
        <v>627</v>
      </c>
      <c r="H25" s="10" t="str">
        <f>I18N_T(cellLanguage, "RF_Modify")</f>
        <v>Modifier</v>
      </c>
      <c r="I25" s="10" t="str">
        <f>I18N_T(cellLanguage, "RF_Duplicate")</f>
        <v>Dupliquer</v>
      </c>
      <c r="J25" s="12"/>
    </row>
    <row r="26" spans="3:10" x14ac:dyDescent="0.25">
      <c r="C26" s="43">
        <v>52428830</v>
      </c>
      <c r="D26" s="43" t="s">
        <v>21</v>
      </c>
      <c r="E26" s="43" t="s">
        <v>628</v>
      </c>
      <c r="F26" s="43" t="s">
        <v>629</v>
      </c>
      <c r="H26" s="10" t="str">
        <f>I18N_T(cellLanguage, "RF_Modify")</f>
        <v>Modifier</v>
      </c>
      <c r="I26" s="10" t="str">
        <f>I18N_T(cellLanguage, "RF_Duplicate")</f>
        <v>Dupliquer</v>
      </c>
      <c r="J26" s="12"/>
    </row>
    <row r="27" spans="3:10" x14ac:dyDescent="0.25">
      <c r="C27" s="43">
        <v>52428829</v>
      </c>
      <c r="D27" s="43" t="s">
        <v>21</v>
      </c>
      <c r="E27" s="43" t="s">
        <v>630</v>
      </c>
      <c r="F27" s="43" t="s">
        <v>631</v>
      </c>
      <c r="H27" s="10" t="str">
        <f>I18N_T(cellLanguage, "RF_Modify")</f>
        <v>Modifier</v>
      </c>
      <c r="I27" s="10" t="str">
        <f>I18N_T(cellLanguage, "RF_Duplicate")</f>
        <v>Dupliquer</v>
      </c>
      <c r="J27" s="12"/>
    </row>
    <row r="28" spans="3:10" x14ac:dyDescent="0.25">
      <c r="C28" s="43">
        <v>52428827</v>
      </c>
      <c r="D28" s="43" t="s">
        <v>21</v>
      </c>
      <c r="E28" s="43" t="s">
        <v>632</v>
      </c>
      <c r="F28" s="43" t="s">
        <v>633</v>
      </c>
      <c r="H28" s="10" t="str">
        <f>I18N_T(cellLanguage, "RF_Modify")</f>
        <v>Modifier</v>
      </c>
      <c r="I28" s="10" t="str">
        <f>I18N_T(cellLanguage, "RF_Duplicate")</f>
        <v>Dupliquer</v>
      </c>
      <c r="J28" s="12"/>
    </row>
    <row r="29" spans="3:10" x14ac:dyDescent="0.25">
      <c r="C29" s="43">
        <v>79</v>
      </c>
      <c r="D29" s="43" t="s">
        <v>21</v>
      </c>
      <c r="E29" s="43" t="s">
        <v>634</v>
      </c>
      <c r="F29" s="43" t="s">
        <v>635</v>
      </c>
      <c r="H29" s="10" t="str">
        <f>I18N_T(cellLanguage, "RF_Modify")</f>
        <v>Modifier</v>
      </c>
      <c r="I29" s="10" t="str">
        <f>I18N_T(cellLanguage, "RF_Duplicate")</f>
        <v>Dupliquer</v>
      </c>
      <c r="J29" s="12"/>
    </row>
    <row r="30" spans="3:10" x14ac:dyDescent="0.25">
      <c r="C30" s="43">
        <v>77</v>
      </c>
      <c r="D30" s="43" t="s">
        <v>21</v>
      </c>
      <c r="E30" s="43" t="s">
        <v>636</v>
      </c>
      <c r="F30" s="43" t="s">
        <v>637</v>
      </c>
      <c r="H30" s="10" t="str">
        <f>I18N_T(cellLanguage, "RF_Modify")</f>
        <v>Modifier</v>
      </c>
      <c r="I30" s="10" t="str">
        <f>I18N_T(cellLanguage, "RF_Duplicate")</f>
        <v>Dupliquer</v>
      </c>
      <c r="J30" s="12"/>
    </row>
    <row r="31" spans="3:10" x14ac:dyDescent="0.25">
      <c r="C31" s="43">
        <v>55</v>
      </c>
      <c r="D31" s="43" t="s">
        <v>21</v>
      </c>
      <c r="E31" s="43" t="s">
        <v>638</v>
      </c>
      <c r="F31" s="43" t="s">
        <v>639</v>
      </c>
      <c r="H31" s="10" t="str">
        <f>I18N_T(cellLanguage, "RF_Modify")</f>
        <v>Modifier</v>
      </c>
      <c r="I31" s="10" t="str">
        <f>I18N_T(cellLanguage, "RF_Duplicate")</f>
        <v>Dupliquer</v>
      </c>
      <c r="J31" s="12"/>
    </row>
    <row r="32" spans="3:10" x14ac:dyDescent="0.25">
      <c r="C32" s="43">
        <v>67</v>
      </c>
      <c r="D32" s="43" t="s">
        <v>21</v>
      </c>
      <c r="E32" s="43" t="s">
        <v>640</v>
      </c>
      <c r="F32" s="43" t="s">
        <v>641</v>
      </c>
      <c r="H32" s="10" t="str">
        <f>I18N_T(cellLanguage, "RF_Modify")</f>
        <v>Modifier</v>
      </c>
      <c r="I32" s="10" t="str">
        <f>I18N_T(cellLanguage, "RF_Duplicate")</f>
        <v>Dupliquer</v>
      </c>
      <c r="J32" s="12"/>
    </row>
    <row r="33" spans="3:13" x14ac:dyDescent="0.25">
      <c r="C33" s="43">
        <v>68</v>
      </c>
      <c r="D33" s="43" t="s">
        <v>21</v>
      </c>
      <c r="E33" s="43" t="s">
        <v>642</v>
      </c>
      <c r="F33" s="43" t="s">
        <v>643</v>
      </c>
      <c r="H33" s="10" t="str">
        <f>I18N_T(cellLanguage, "RF_Modify")</f>
        <v>Modifier</v>
      </c>
      <c r="I33" s="10" t="str">
        <f>I18N_T(cellLanguage, "RF_Duplicate")</f>
        <v>Dupliquer</v>
      </c>
      <c r="J33" s="12"/>
    </row>
    <row r="34" spans="3:13" x14ac:dyDescent="0.25">
      <c r="C34" s="43">
        <v>69</v>
      </c>
      <c r="D34" s="43" t="s">
        <v>21</v>
      </c>
      <c r="E34" s="43" t="s">
        <v>644</v>
      </c>
      <c r="F34" s="43" t="s">
        <v>645</v>
      </c>
      <c r="H34" s="10" t="str">
        <f>I18N_T(cellLanguage, "RF_Modify")</f>
        <v>Modifier</v>
      </c>
      <c r="I34" s="10" t="str">
        <f>I18N_T(cellLanguage, "RF_Duplicate")</f>
        <v>Dupliquer</v>
      </c>
      <c r="J34" s="12"/>
    </row>
    <row r="35" spans="3:13" x14ac:dyDescent="0.25">
      <c r="C35" s="43">
        <v>56</v>
      </c>
      <c r="D35" s="43" t="s">
        <v>21</v>
      </c>
      <c r="E35" s="43" t="s">
        <v>646</v>
      </c>
      <c r="F35" s="43" t="s">
        <v>647</v>
      </c>
      <c r="H35" s="10" t="str">
        <f>I18N_T(cellLanguage, "RF_Modify")</f>
        <v>Modifier</v>
      </c>
      <c r="I35" s="10" t="str">
        <f>I18N_T(cellLanguage, "RF_Duplicate")</f>
        <v>Dupliquer</v>
      </c>
      <c r="J35" s="12"/>
    </row>
    <row r="36" spans="3:13" x14ac:dyDescent="0.25">
      <c r="C36" s="43">
        <v>52428802</v>
      </c>
      <c r="D36" s="43" t="s">
        <v>21</v>
      </c>
      <c r="E36" s="43" t="s">
        <v>648</v>
      </c>
      <c r="F36" s="43" t="s">
        <v>649</v>
      </c>
      <c r="H36" s="10" t="str">
        <f>I18N_T(cellLanguage, "RF_Modify")</f>
        <v>Modifier</v>
      </c>
      <c r="I36" s="10" t="str">
        <f>I18N_T(cellLanguage, "RF_Duplicate")</f>
        <v>Dupliquer</v>
      </c>
      <c r="J36" s="12"/>
    </row>
    <row r="37" spans="3:13" x14ac:dyDescent="0.25">
      <c r="C37" s="43">
        <v>71</v>
      </c>
      <c r="D37" s="43" t="s">
        <v>21</v>
      </c>
      <c r="E37" s="43" t="s">
        <v>650</v>
      </c>
      <c r="F37" s="43" t="s">
        <v>651</v>
      </c>
      <c r="H37" s="10" t="str">
        <f>I18N_T(cellLanguage, "RF_Modify")</f>
        <v>Modifier</v>
      </c>
      <c r="I37" s="10" t="str">
        <f>I18N_T(cellLanguage, "RF_Duplicate")</f>
        <v>Dupliquer</v>
      </c>
      <c r="J37" s="12"/>
    </row>
    <row r="38" spans="3:13" x14ac:dyDescent="0.25">
      <c r="C38" s="43">
        <v>73</v>
      </c>
      <c r="D38" s="43" t="s">
        <v>21</v>
      </c>
      <c r="E38" s="43" t="s">
        <v>652</v>
      </c>
      <c r="F38" s="43" t="s">
        <v>653</v>
      </c>
      <c r="H38" s="10" t="str">
        <f>I18N_T(cellLanguage, "RF_Modify")</f>
        <v>Modifier</v>
      </c>
      <c r="I38" s="10" t="str">
        <f>I18N_T(cellLanguage, "RF_Duplicate")</f>
        <v>Dupliquer</v>
      </c>
      <c r="J38" s="12"/>
    </row>
    <row r="39" spans="3:13" x14ac:dyDescent="0.25">
      <c r="C39" s="43">
        <v>61</v>
      </c>
      <c r="D39" s="43" t="s">
        <v>21</v>
      </c>
      <c r="E39" s="43" t="s">
        <v>654</v>
      </c>
      <c r="F39" s="43" t="s">
        <v>655</v>
      </c>
      <c r="H39" s="10" t="str">
        <f>I18N_T(cellLanguage, "RF_Modify")</f>
        <v>Modifier</v>
      </c>
      <c r="I39" s="10" t="str">
        <f>I18N_T(cellLanguage, "RF_Duplicate")</f>
        <v>Dupliquer</v>
      </c>
      <c r="J39" s="12"/>
    </row>
    <row r="40" spans="3:13" x14ac:dyDescent="0.25">
      <c r="C40" s="43">
        <v>59</v>
      </c>
      <c r="D40" s="43" t="s">
        <v>21</v>
      </c>
      <c r="E40" s="43" t="s">
        <v>656</v>
      </c>
      <c r="F40" s="43" t="s">
        <v>657</v>
      </c>
      <c r="H40" s="10" t="str">
        <f>I18N_T(cellLanguage, "RF_Modify")</f>
        <v>Modifier</v>
      </c>
      <c r="I40" s="10" t="str">
        <f>I18N_T(cellLanguage, "RF_Duplicate")</f>
        <v>Dupliquer</v>
      </c>
      <c r="J40" s="12"/>
    </row>
    <row r="41" spans="3:13" x14ac:dyDescent="0.25">
      <c r="C41" s="43">
        <v>60</v>
      </c>
      <c r="D41" s="43" t="s">
        <v>21</v>
      </c>
      <c r="E41" s="43" t="s">
        <v>658</v>
      </c>
      <c r="F41" s="43" t="s">
        <v>659</v>
      </c>
      <c r="H41" s="10" t="str">
        <f>I18N_T(cellLanguage, "RF_Modify")</f>
        <v>Modifier</v>
      </c>
      <c r="I41" s="10" t="str">
        <f>I18N_T(cellLanguage, "RF_Duplicate")</f>
        <v>Dupliquer</v>
      </c>
      <c r="J41" s="12"/>
    </row>
    <row r="42" spans="3:13" x14ac:dyDescent="0.25">
      <c r="C42"/>
      <c r="D42"/>
      <c r="E42"/>
      <c r="F42"/>
      <c r="H42"/>
      <c r="I42"/>
      <c r="J42" s="12"/>
    </row>
    <row r="43" spans="3:13" x14ac:dyDescent="0.25">
      <c r="C43"/>
      <c r="D43"/>
      <c r="E43"/>
      <c r="F43"/>
      <c r="H43"/>
      <c r="I43"/>
      <c r="J43" s="12"/>
    </row>
    <row r="44" spans="3:13" x14ac:dyDescent="0.25">
      <c r="C44"/>
      <c r="D44"/>
      <c r="E44"/>
      <c r="F44"/>
      <c r="H44"/>
      <c r="I44"/>
      <c r="J44" s="12"/>
    </row>
    <row r="45" spans="3:13" x14ac:dyDescent="0.25">
      <c r="C45"/>
      <c r="D45"/>
      <c r="E45"/>
      <c r="F45"/>
      <c r="H45"/>
      <c r="I45"/>
      <c r="J45" s="12"/>
    </row>
    <row r="46" spans="3:13" x14ac:dyDescent="0.25">
      <c r="C46"/>
      <c r="D46"/>
      <c r="E46"/>
      <c r="F46"/>
      <c r="H46"/>
      <c r="I46"/>
      <c r="J46" s="12"/>
    </row>
    <row r="47" spans="3:13" x14ac:dyDescent="0.25">
      <c r="C47"/>
      <c r="D47"/>
      <c r="E47"/>
      <c r="F47"/>
      <c r="H47"/>
      <c r="I47"/>
      <c r="J47" s="12"/>
    </row>
    <row r="48" spans="3:13" x14ac:dyDescent="0.25">
      <c r="M48"/>
    </row>
    <row r="49" spans="14:17" x14ac:dyDescent="0.25">
      <c r="N49"/>
    </row>
    <row r="50" spans="14:17" x14ac:dyDescent="0.25">
      <c r="O50"/>
    </row>
    <row r="51" spans="14:17" x14ac:dyDescent="0.25">
      <c r="P51"/>
    </row>
    <row r="52" spans="14:17" x14ac:dyDescent="0.25">
      <c r="Q52"/>
    </row>
  </sheetData>
  <sheetProtection sheet="1" objects="1" scenarios="1" formatCells="0" formatColumns="0" formatRows="0" insertRows="0" sort="0" autoFilter="0"/>
  <hyperlinks>
    <hyperlink ref="D10" location="C3" tooltip=" " display="C3" xr:uid="{099C1DAD-6825-4CFF-8B05-E07EF1167AFC}"/>
    <hyperlink ref="H14" location="C3" tooltip=" " display="C3" xr:uid="{7D0866E1-4F39-4E19-8511-4AB48374E47D}"/>
    <hyperlink ref="I14" location="C3" tooltip=" " display="C3" xr:uid="{99297BCC-2AD9-4211-8DCE-EECCBA3B7194}"/>
    <hyperlink ref="H15" location="C3" tooltip=" " display="C3" xr:uid="{1745AC6F-1336-47B7-8135-1E8DF84C501B}"/>
    <hyperlink ref="H16" location="C3" tooltip=" " display="C3" xr:uid="{9D9CC3E2-E546-400F-92B4-B8D4D7D31403}"/>
    <hyperlink ref="H17" location="C3" tooltip=" " display="C3" xr:uid="{95F23920-8E0B-4DB3-9B14-F72163DB8CEC}"/>
    <hyperlink ref="H18" location="C3" tooltip=" " display="C3" xr:uid="{E1764F5A-C1BC-4944-8556-34304BB4D4AF}"/>
    <hyperlink ref="H19" location="C3" tooltip=" " display="C3" xr:uid="{A130AC5A-EDFF-4E6A-AFAE-A3924C6A5059}"/>
    <hyperlink ref="H20" location="C3" tooltip=" " display="C3" xr:uid="{79D7B8BD-D8F5-449C-8987-EF3EF074D094}"/>
    <hyperlink ref="H21" location="C3" tooltip=" " display="C3" xr:uid="{3F6550DB-826F-4773-9294-97D5B6A37D84}"/>
    <hyperlink ref="H22" location="C3" tooltip=" " display="C3" xr:uid="{778DB2E4-E0C6-499C-A510-AC0BFDBE999A}"/>
    <hyperlink ref="H23" location="C3" tooltip=" " display="C3" xr:uid="{38E4AD71-B462-48AD-98AF-E0761CB7287A}"/>
    <hyperlink ref="H24" location="C3" tooltip=" " display="C3" xr:uid="{C868A67C-AF1A-4344-8817-04A7EEF1CEE2}"/>
    <hyperlink ref="H25" location="C3" tooltip=" " display="C3" xr:uid="{76FEC068-3D0F-4103-9A29-57F4E9D213A5}"/>
    <hyperlink ref="H26" location="C3" tooltip=" " display="C3" xr:uid="{E17420D5-192F-4D1D-A000-D44840A765FD}"/>
    <hyperlink ref="H27" location="C3" tooltip=" " display="C3" xr:uid="{1BD0E2C6-E4CE-454B-A67E-F90AEC9F248F}"/>
    <hyperlink ref="H28" location="C3" tooltip=" " display="C3" xr:uid="{75D8AC35-B1C7-4F9D-AB1B-3A4E5EA84D5C}"/>
    <hyperlink ref="H29" location="C3" tooltip=" " display="C3" xr:uid="{257333DE-3837-45DC-8089-FD120C9E6703}"/>
    <hyperlink ref="H30" location="C3" tooltip=" " display="C3" xr:uid="{53451A2D-ADAE-4E1C-BDFD-166CCCB88230}"/>
    <hyperlink ref="H31" location="C3" tooltip=" " display="C3" xr:uid="{EB0C690F-D2FB-4166-9E20-951F3D105BD5}"/>
    <hyperlink ref="H32" location="C3" tooltip=" " display="C3" xr:uid="{77654492-EF0E-44A3-8F93-6BB3045FAAD3}"/>
    <hyperlink ref="H33" location="C3" tooltip=" " display="C3" xr:uid="{48B3F028-CCE1-490E-90F2-5E4F26BEF8CC}"/>
    <hyperlink ref="H34" location="C3" tooltip=" " display="C3" xr:uid="{2753C06F-2C0E-4E7B-AF0A-3E802FF9E6EF}"/>
    <hyperlink ref="H35" location="C3" tooltip=" " display="C3" xr:uid="{535414DF-4A47-46EF-A564-E35C42565A43}"/>
    <hyperlink ref="H36" location="C3" tooltip=" " display="C3" xr:uid="{200B2980-6871-4246-B8D4-3BBC1AF5E0C3}"/>
    <hyperlink ref="H37" location="C3" tooltip=" " display="C3" xr:uid="{F2ADA714-59F3-4CC0-8D77-E3538161EAF0}"/>
    <hyperlink ref="H38" location="C3" tooltip=" " display="C3" xr:uid="{4DE1EFF1-1D1D-432E-BDD6-323F132976A8}"/>
    <hyperlink ref="H39" location="C3" tooltip=" " display="C3" xr:uid="{9AB869B7-6333-4A9A-A426-9B1C90322DBE}"/>
    <hyperlink ref="H40" location="C3" tooltip=" " display="C3" xr:uid="{4598B037-A3C4-4E2B-8718-683A1AC6024B}"/>
    <hyperlink ref="H41" location="C3" tooltip=" " display="C3" xr:uid="{31B5E683-B236-45CA-82FD-65EC58DADD62}"/>
    <hyperlink ref="I15" location="C3" tooltip=" " display="C3" xr:uid="{E9FDD7AD-CF64-46DE-9D51-982C88DA6646}"/>
    <hyperlink ref="I16" location="C3" tooltip=" " display="C3" xr:uid="{7E1FA91C-B9FF-4195-B0E9-AC72A2AB7014}"/>
    <hyperlink ref="I17" location="C3" tooltip=" " display="C3" xr:uid="{85561C13-BA06-43B0-9A4E-4588A1FBD2A8}"/>
    <hyperlink ref="I18" location="C3" tooltip=" " display="C3" xr:uid="{34C8610C-4587-47D9-B877-918F79DFEB41}"/>
    <hyperlink ref="I19" location="C3" tooltip=" " display="C3" xr:uid="{CD41EEE3-ACEE-49D9-8342-7208CCCEC4CF}"/>
    <hyperlink ref="I20" location="C3" tooltip=" " display="C3" xr:uid="{3FC12A66-C8BB-4613-A79A-A146F3CCBC38}"/>
    <hyperlink ref="I21" location="C3" tooltip=" " display="C3" xr:uid="{395083AD-EE45-4CCE-9221-16BEEF90F930}"/>
    <hyperlink ref="I22" location="C3" tooltip=" " display="C3" xr:uid="{AA6D2154-5C6C-4D7D-B4FC-29E69B611CCF}"/>
    <hyperlink ref="I23" location="C3" tooltip=" " display="C3" xr:uid="{42567FCA-0CD6-40F4-AABC-64D08E51568C}"/>
    <hyperlink ref="I24" location="C3" tooltip=" " display="C3" xr:uid="{4E8FE18C-1EFE-4FA3-AFED-589C4B856D29}"/>
    <hyperlink ref="I25" location="C3" tooltip=" " display="C3" xr:uid="{A961A004-0379-46CA-B841-5A370386E4AD}"/>
    <hyperlink ref="I26" location="C3" tooltip=" " display="C3" xr:uid="{9AC75659-F820-4AA8-BA10-8B8C18C835D8}"/>
    <hyperlink ref="I27" location="C3" tooltip=" " display="C3" xr:uid="{B2DBA22F-0099-4B1C-A284-081A4C485432}"/>
    <hyperlink ref="I28" location="C3" tooltip=" " display="C3" xr:uid="{0CB42B71-90BB-4CD8-886F-D3A40A6552CA}"/>
    <hyperlink ref="I29" location="C3" tooltip=" " display="C3" xr:uid="{4A4AB782-E82F-4FF9-AACA-724B7B3D4077}"/>
    <hyperlink ref="I30" location="C3" tooltip=" " display="C3" xr:uid="{FBCBADDF-322B-448F-9472-DBE27CC2DD89}"/>
    <hyperlink ref="I31" location="C3" tooltip=" " display="C3" xr:uid="{15C6C282-0514-4928-8A15-715A3C02749D}"/>
    <hyperlink ref="I32" location="C3" tooltip=" " display="C3" xr:uid="{1202A42D-4CD8-4EEB-AF6C-A964B99DAB21}"/>
    <hyperlink ref="I33" location="C3" tooltip=" " display="C3" xr:uid="{92F86567-EDE5-46AA-94CF-AC153E3337B9}"/>
    <hyperlink ref="I34" location="C3" tooltip=" " display="C3" xr:uid="{BA986BA9-6A38-4610-B6E0-92EF12B4675E}"/>
    <hyperlink ref="I35" location="C3" tooltip=" " display="C3" xr:uid="{1A0B798E-10B5-4681-9BDA-C512799AB910}"/>
    <hyperlink ref="I36" location="C3" tooltip=" " display="C3" xr:uid="{8CD4CB9A-BA11-4C39-A705-11E732061CF4}"/>
    <hyperlink ref="I37" location="C3" tooltip=" " display="C3" xr:uid="{C046571B-3492-41B2-BA62-F9775CA9B80E}"/>
    <hyperlink ref="I38" location="C3" tooltip=" " display="C3" xr:uid="{6DC29FA8-9450-4D05-87C1-B21103B12F21}"/>
    <hyperlink ref="I39" location="C3" tooltip=" " display="C3" xr:uid="{A55CBCB0-6288-4CD6-B39E-DB3A174121AE}"/>
    <hyperlink ref="I40" location="C3" tooltip=" " display="C3" xr:uid="{D7AD0A2E-9478-40EE-ABE7-7E28C02B4BE4}"/>
    <hyperlink ref="I41" location="C3" tooltip=" " display="C3" xr:uid="{9C6A08F5-051F-4274-BB46-3C9775C6F7D0}"/>
  </hyperlink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C0B6D-AB46-4345-839A-7EC0B08525F7}">
  <sheetPr codeName="Feuil1">
    <outlinePr summaryRight="0"/>
  </sheetPr>
  <dimension ref="B2:CF6"/>
  <sheetViews>
    <sheetView showGridLines="0" workbookViewId="0">
      <selection activeCell="B6" sqref="B6"/>
    </sheetView>
  </sheetViews>
  <sheetFormatPr baseColWidth="10" defaultColWidth="6.7109375" defaultRowHeight="15" outlineLevelCol="3" x14ac:dyDescent="0.25"/>
  <cols>
    <col min="1" max="1" width="6.7109375" style="17"/>
    <col min="2" max="2" width="5.7109375" style="17" customWidth="1"/>
    <col min="3" max="5" width="9.7109375" style="17" customWidth="1" outlineLevel="3"/>
    <col min="6" max="7" width="21.7109375" style="17" customWidth="1" outlineLevel="3"/>
    <col min="8" max="8" width="5.7109375" style="17" customWidth="1" outlineLevel="1"/>
    <col min="9" max="9" width="5.7109375" style="17" customWidth="1" outlineLevel="1" collapsed="1"/>
    <col min="10" max="29" width="9.7109375" style="17" hidden="1" customWidth="1" outlineLevel="3"/>
    <col min="30" max="30" width="5.7109375" style="17" customWidth="1" outlineLevel="1"/>
    <col min="31" max="31" width="21.7109375" style="17" customWidth="1" outlineLevel="3"/>
    <col min="32" max="32" width="10.7109375" style="17" customWidth="1" outlineLevel="3"/>
    <col min="33" max="33" width="5.7109375" style="17" customWidth="1" outlineLevel="2" collapsed="1"/>
    <col min="34" max="37" width="9.7109375" style="17" hidden="1" customWidth="1" outlineLevel="3"/>
    <col min="38" max="38" width="5.7109375" style="17" customWidth="1" outlineLevel="2" collapsed="1"/>
    <col min="39" max="42" width="9.7109375" style="17" hidden="1" customWidth="1" outlineLevel="3"/>
    <col min="43" max="43" width="5.7109375" style="17" customWidth="1"/>
    <col min="44" max="46" width="9.7109375" style="17" customWidth="1" outlineLevel="3"/>
    <col min="47" max="47" width="10.7109375" style="17" customWidth="1" outlineLevel="3"/>
    <col min="48" max="48" width="5.7109375" style="17" customWidth="1" outlineLevel="1" collapsed="1"/>
    <col min="49" max="68" width="9.7109375" style="17" hidden="1" customWidth="1" outlineLevel="3"/>
    <col min="69" max="69" width="5.7109375" style="17" customWidth="1" outlineLevel="1"/>
    <col min="70" max="70" width="10.7109375" style="17" customWidth="1" outlineLevel="3"/>
    <col min="71" max="71" width="21.7109375" style="17" customWidth="1" outlineLevel="3"/>
    <col min="72" max="72" width="10.7109375" style="17" customWidth="1" outlineLevel="3"/>
    <col min="73" max="73" width="5.7109375" style="17" customWidth="1" outlineLevel="2" collapsed="1"/>
    <col min="74" max="78" width="9.7109375" style="17" hidden="1" customWidth="1" outlineLevel="3"/>
    <col min="79" max="79" width="5.7109375" style="17" customWidth="1" outlineLevel="2" collapsed="1"/>
    <col min="80" max="84" width="9.7109375" style="17" hidden="1" customWidth="1" outlineLevel="3"/>
    <col min="85" max="16384" width="6.7109375" style="17"/>
  </cols>
  <sheetData>
    <row r="2" spans="2:84" x14ac:dyDescent="0.25">
      <c r="B2" s="10" t="str">
        <f>I18N_T(cellLanguage, "RF_Save")</f>
        <v>Sauvegarder</v>
      </c>
    </row>
    <row r="3" spans="2:84" x14ac:dyDescent="0.25">
      <c r="C3" s="41">
        <f>SUBTOTAL(103, tReporting52428888[[ 2]])</f>
        <v>1</v>
      </c>
    </row>
    <row r="4" spans="2:84" hidden="1" x14ac:dyDescent="0.25">
      <c r="B4" s="46" t="str">
        <f>I18N_T(cellLanguage, "RF_Reporting")</f>
        <v>Reporting</v>
      </c>
      <c r="C4" s="47" t="str">
        <f>I18N_T(cellLanguage, "RF_Phase")</f>
        <v>Phase</v>
      </c>
      <c r="D4" s="47" t="str">
        <f>I18N_T(cellLanguage, "RF_UpdatePeriod")</f>
        <v>Exercice</v>
      </c>
      <c r="E4" s="47" t="str">
        <f>I18N_T(cellLanguage, "RF_FrameworkVersion")</f>
        <v>Version de référentiel</v>
      </c>
      <c r="F4" s="47" t="str">
        <f>I18N_T(cellLanguage, "RF_Start")</f>
        <v>Début</v>
      </c>
      <c r="G4" s="47" t="str">
        <f>I18N_T(cellLanguage, "RF_End")</f>
        <v>Fin</v>
      </c>
      <c r="H4" s="47" t="str">
        <f>I18N_T(cellLanguage, "RF_RepDesc")</f>
        <v>Libellés</v>
      </c>
      <c r="I4" s="47" t="str">
        <f>I18N_T(cellLanguage, "RF_RepPack")</f>
        <v>Liasse</v>
      </c>
      <c r="J4" s="47" t="str">
        <f>I18N_T(cellLanguage, "RF_UseDefaultWindowsFolder")</f>
        <v>Cahier Windows: défaut?</v>
      </c>
      <c r="K4" s="47" t="str">
        <f>I18N_T(cellLanguage, "RF_WindowsFolder")</f>
        <v>Cahier Windows</v>
      </c>
      <c r="L4" s="47" t="str">
        <f>I18N_T(cellLanguage, "RF_UseDefaultInternetFolder")</f>
        <v>Cahier Internet: défaut?</v>
      </c>
      <c r="M4" s="47" t="str">
        <f>I18N_T(cellLanguage, "RF_InternetFolder")</f>
        <v>Cahier Internet</v>
      </c>
      <c r="N4" s="47" t="str">
        <f>I18N_T(cellLanguage, "RF_UseDefaultSetOfControls")</f>
        <v>Jeu de contrôles: défaut?</v>
      </c>
      <c r="O4" s="47" t="str">
        <f>I18N_T(cellLanguage, "RF_SetOfControls")</f>
        <v>Jeu de contrôles</v>
      </c>
      <c r="P4" s="47" t="str">
        <f>I18N_T(cellLanguage, "RF_UseDefaultLevel")</f>
        <v>Niveau de contrôle: défaut?</v>
      </c>
      <c r="Q4" s="47" t="str">
        <f>I18N_T(cellLanguage, "RF_LevelToReach")</f>
        <v>Niveau de contrôle</v>
      </c>
      <c r="R4" s="47" t="str">
        <f>I18N_T(cellLanguage, "RF_Blocking")</f>
        <v>Bloquant?</v>
      </c>
      <c r="S4" s="47" t="str">
        <f>I18N_T(cellLanguage, "RF_UseDefaultLock")</f>
        <v>Verrouillage: défaut?</v>
      </c>
      <c r="T4" s="47" t="str">
        <f>I18N_T(cellLanguage, "RF_LockOnPublication")</f>
        <v>Verrouillage</v>
      </c>
      <c r="U4" s="47" t="str">
        <f>I18N_T(cellLanguage, "RF_UseDefaultRuleSet")</f>
        <v>Jeu de règles: défaut?</v>
      </c>
      <c r="V4" s="47" t="str">
        <f>I18N_T(cellLanguage, "RF_RuleSet")</f>
        <v>Jeu de règles</v>
      </c>
      <c r="W4" s="47" t="str">
        <f>I18N_T(cellLanguage, "RF_UseDefaultOpbal")</f>
        <v>A-nouveaux: défaut?</v>
      </c>
      <c r="X4" s="47" t="str">
        <f>I18N_T(cellLanguage, "RF_HasOpBal")</f>
        <v>A-nouveaux?</v>
      </c>
      <c r="Y4" s="47" t="str">
        <f>I18N_T(cellLanguage, "RF_OpbPhase")</f>
        <v>AN Phase</v>
      </c>
      <c r="Z4" s="47" t="str">
        <f>I18N_T(cellLanguage, "RF_OpbUpdatePeriod")</f>
        <v>AN Exercice</v>
      </c>
      <c r="AA4" s="47" t="str">
        <f>I18N_T(cellLanguage, "RF_OpbScope")</f>
        <v>AN Périmètre</v>
      </c>
      <c r="AB4" s="47" t="str">
        <f>I18N_T(cellLanguage, "RF_OpbVariant")</f>
        <v>AN Variante</v>
      </c>
      <c r="AC4" s="47" t="str">
        <f>I18N_T(cellLanguage, "RF_OpbConsCurrency")</f>
        <v>AN Devise</v>
      </c>
      <c r="AD4" s="47" t="str">
        <f>I18N_T(cellLanguage, "RF_RepOp")</f>
        <v>Exploitation</v>
      </c>
      <c r="AE4" s="47" t="str">
        <f>I18N_T(cellLanguage, "RF_CutoffDate")</f>
        <v>Date limite</v>
      </c>
      <c r="AF4" s="47" t="str">
        <f>I18N_T(cellLanguage, "RF_EarlyPublishing")</f>
        <v>Publication anticipée?</v>
      </c>
      <c r="AG4" s="47" t="str">
        <f>I18N_T(cellLanguage, "RF_RepOpAftPub")</f>
        <v>Après publication</v>
      </c>
      <c r="AH4" s="47" t="str">
        <f>I18N_T(cellLanguage, "RF_RepOpAftPubStd")</f>
        <v>Publication standard</v>
      </c>
      <c r="AI4" s="47" t="str">
        <f>I18N_T(cellLanguage, "RF_RepOpAftPubSpe")</f>
        <v>Publication spéciale</v>
      </c>
      <c r="AJ4" s="47" t="str">
        <f>I18N_T(cellLanguage, "RF_RepOpAftPubAdv")</f>
        <v>Publication avancée</v>
      </c>
      <c r="AK4" s="47" t="str">
        <f>I18N_T(cellLanguage, "RF_RepOpAftPubLvl")</f>
        <v>Niveau après pub.</v>
      </c>
      <c r="AL4" s="47" t="str">
        <f>I18N_T(cellLanguage, "RF_RepOpAftTran")</f>
        <v>Après transfert</v>
      </c>
      <c r="AM4" s="47" t="str">
        <f>I18N_T(cellLanguage, "RF_RepOpAftTranStd")</f>
        <v>Transfert standard</v>
      </c>
      <c r="AN4" s="47" t="str">
        <f>I18N_T(cellLanguage, "RF_RepOpAftTranSpe")</f>
        <v>Transfert spécial</v>
      </c>
      <c r="AO4" s="47" t="str">
        <f>I18N_T(cellLanguage, "RF_RepOpAftTranAdv")</f>
        <v>Transfert avancé</v>
      </c>
      <c r="AP4" s="47" t="str">
        <f>I18N_T(cellLanguage, "RF_RepOpAftTranLvl")</f>
        <v>Niveau après tran.</v>
      </c>
      <c r="AQ4" s="47" t="str">
        <f>I18N_T(cellLanguage, "RF_Entity")</f>
        <v>Unité</v>
      </c>
      <c r="AR4" s="47" t="str">
        <f>I18N_T(cellLanguage, "RF_Entity2")</f>
        <v>Code</v>
      </c>
      <c r="AS4" s="47" t="str">
        <f>I18N_T(cellLanguage, "RF_InputCurrency")</f>
        <v>Devise</v>
      </c>
      <c r="AT4" s="47" t="str">
        <f>I18N_T(cellLanguage, "RF_InputSite")</f>
        <v>Site de saisie</v>
      </c>
      <c r="AU4" s="47" t="str">
        <f>I18N_T(cellLanguage, "RF_PublicationSite")</f>
        <v>Site de publication</v>
      </c>
      <c r="AV4" s="47" t="str">
        <f>I18N_T(cellLanguage, "RF_EntPack")</f>
        <v>Liasse</v>
      </c>
      <c r="AW4" s="47" t="str">
        <f>I18N_T(cellLanguage, "RF_EntUseDefaultWindowsFolder")</f>
        <v>Cahier Windows: défaut?</v>
      </c>
      <c r="AX4" s="47" t="str">
        <f>I18N_T(cellLanguage, "RF_EntWindowsFolder")</f>
        <v>Cahier Windows</v>
      </c>
      <c r="AY4" s="47" t="str">
        <f>I18N_T(cellLanguage, "RF_EntUseDefaultInternetFolder")</f>
        <v>Cahier Internet: défaut?</v>
      </c>
      <c r="AZ4" s="47" t="str">
        <f>I18N_T(cellLanguage, "RF_EntInternetFolder")</f>
        <v>Cahier Internet</v>
      </c>
      <c r="BA4" s="47" t="str">
        <f>I18N_T(cellLanguage, "RF_EntUseDefaultSetOfControls")</f>
        <v>Jeu de contrôles: défaut?</v>
      </c>
      <c r="BB4" s="47" t="str">
        <f>I18N_T(cellLanguage, "RF_EntSetOfControls")</f>
        <v>Jeu de contrôles</v>
      </c>
      <c r="BC4" s="47" t="str">
        <f>I18N_T(cellLanguage, "RF_EntUseDefaultLevel")</f>
        <v>Niveau de contrôle: défaut?</v>
      </c>
      <c r="BD4" s="47" t="str">
        <f>I18N_T(cellLanguage, "RF_EntLevelToReach")</f>
        <v>Niveau de contrôle</v>
      </c>
      <c r="BE4" s="47" t="str">
        <f>I18N_T(cellLanguage, "RF_EntBlocking")</f>
        <v>Bloquant?</v>
      </c>
      <c r="BF4" s="47" t="str">
        <f>I18N_T(cellLanguage, "RF_EntUseDefaultLock")</f>
        <v>Verrouillage: défaut?</v>
      </c>
      <c r="BG4" s="47" t="str">
        <f>I18N_T(cellLanguage, "RF_EntLockOnPublication")</f>
        <v>Verrouillage</v>
      </c>
      <c r="BH4" s="47" t="str">
        <f>I18N_T(cellLanguage, "RF_EntUseDefaultRuleSet")</f>
        <v>Jeu de règles: défaut?</v>
      </c>
      <c r="BI4" s="47" t="str">
        <f>I18N_T(cellLanguage, "RF_EntRuleSet")</f>
        <v>Jeu de règles</v>
      </c>
      <c r="BJ4" s="47" t="str">
        <f>I18N_T(cellLanguage, "RF_EntUseDefaultOpbal")</f>
        <v>A-nouveaux: défaut?</v>
      </c>
      <c r="BK4" s="47" t="str">
        <f>I18N_T(cellLanguage, "RF_EntHasOpBal")</f>
        <v>A-nouveaux?</v>
      </c>
      <c r="BL4" s="47" t="str">
        <f>I18N_T(cellLanguage, "RF_EntOpbPhase")</f>
        <v>AN Phase</v>
      </c>
      <c r="BM4" s="47" t="str">
        <f>I18N_T(cellLanguage, "RF_EntOpbUpdatePeriod")</f>
        <v>AN Exercice</v>
      </c>
      <c r="BN4" s="47" t="str">
        <f>I18N_T(cellLanguage, "RF_EntOpbScope")</f>
        <v>AN Périmètre</v>
      </c>
      <c r="BO4" s="47" t="str">
        <f>I18N_T(cellLanguage, "RF_EntOpbVariant")</f>
        <v>AN Variante</v>
      </c>
      <c r="BP4" s="47" t="str">
        <f>I18N_T(cellLanguage, "RF_EntOpbConsCurrency")</f>
        <v>AN Devise</v>
      </c>
      <c r="BQ4" s="47" t="str">
        <f>I18N_T(cellLanguage, "RF_EntOp")</f>
        <v>Exploitation</v>
      </c>
      <c r="BR4" s="47" t="str">
        <f>I18N_T(cellLanguage, "RF_EntUseDefaultPublish")</f>
        <v>Exploitation: défaut?</v>
      </c>
      <c r="BS4" s="47" t="str">
        <f>I18N_T(cellLanguage, "RF_EntPackPublishingCutOffDate")</f>
        <v>Date limite</v>
      </c>
      <c r="BT4" s="47" t="str">
        <f>I18N_T(cellLanguage, "RF_EntAllowEarlyPublishing")</f>
        <v>Publication anticipée?</v>
      </c>
      <c r="BU4" s="47" t="str">
        <f>I18N_T(cellLanguage, "RF_EntOpAftPub")</f>
        <v>Après publication</v>
      </c>
      <c r="BV4" s="47" t="str">
        <f>I18N_T(cellLanguage, "RF_EntUseDefaultAfterPub")</f>
        <v>Après publication: défaut?</v>
      </c>
      <c r="BW4" s="47" t="str">
        <f>I18N_T(cellLanguage, "RF_EntAftPubStandard")</f>
        <v>Publication standard</v>
      </c>
      <c r="BX4" s="47" t="str">
        <f>I18N_T(cellLanguage, "RF_EntAftPubSpecial")</f>
        <v>Publication spéciale</v>
      </c>
      <c r="BY4" s="47" t="str">
        <f>I18N_T(cellLanguage, "RF_EntAftPubAdvanced")</f>
        <v>Publication avancée</v>
      </c>
      <c r="BZ4" s="47" t="str">
        <f>I18N_T(cellLanguage, "RF_EntAftPubLevel")</f>
        <v>Niveau après pub.</v>
      </c>
      <c r="CA4" s="47" t="str">
        <f>I18N_T(cellLanguage, "RF_EntOpAftTran")</f>
        <v>Après transfert</v>
      </c>
      <c r="CB4" s="47" t="str">
        <f>I18N_T(cellLanguage, "RF_EntUseDefaultAfterTran")</f>
        <v>Après transfert: défaut?</v>
      </c>
      <c r="CC4" s="47" t="str">
        <f>I18N_T(cellLanguage, "RF_EntAftTranStandard")</f>
        <v>Transfert standard</v>
      </c>
      <c r="CD4" s="47" t="str">
        <f>I18N_T(cellLanguage, "RF_EntAftTranSpecial")</f>
        <v>Transfert spécial</v>
      </c>
      <c r="CE4" s="47" t="str">
        <f>I18N_T(cellLanguage, "RF_EntAftTranAdvanced")</f>
        <v>Transfert avancé</v>
      </c>
      <c r="CF4" s="48" t="str">
        <f>I18N_T(cellLanguage, "RF_EntAftTranLevel")</f>
        <v>Niveau après tran.</v>
      </c>
    </row>
    <row r="5" spans="2:84" ht="66" customHeight="1" x14ac:dyDescent="0.25">
      <c r="B5" s="45" t="s">
        <v>204</v>
      </c>
      <c r="C5" s="45" t="s">
        <v>205</v>
      </c>
      <c r="D5" s="45" t="s">
        <v>206</v>
      </c>
      <c r="E5" s="45" t="s">
        <v>207</v>
      </c>
      <c r="F5" s="45" t="s">
        <v>660</v>
      </c>
      <c r="G5" s="45" t="s">
        <v>661</v>
      </c>
      <c r="H5" s="45" t="s">
        <v>662</v>
      </c>
      <c r="I5" s="45" t="s">
        <v>663</v>
      </c>
      <c r="J5" s="45" t="s">
        <v>664</v>
      </c>
      <c r="K5" s="45" t="s">
        <v>665</v>
      </c>
      <c r="L5" s="45" t="s">
        <v>666</v>
      </c>
      <c r="M5" s="45" t="s">
        <v>667</v>
      </c>
      <c r="N5" s="45" t="s">
        <v>668</v>
      </c>
      <c r="O5" s="45" t="s">
        <v>669</v>
      </c>
      <c r="P5" s="45" t="s">
        <v>670</v>
      </c>
      <c r="Q5" s="45" t="s">
        <v>671</v>
      </c>
      <c r="R5" s="45" t="s">
        <v>672</v>
      </c>
      <c r="S5" s="45" t="s">
        <v>673</v>
      </c>
      <c r="T5" s="45" t="s">
        <v>674</v>
      </c>
      <c r="U5" s="45" t="s">
        <v>675</v>
      </c>
      <c r="V5" s="45" t="s">
        <v>676</v>
      </c>
      <c r="W5" s="45" t="s">
        <v>677</v>
      </c>
      <c r="X5" s="45" t="s">
        <v>678</v>
      </c>
      <c r="Y5" s="45" t="s">
        <v>679</v>
      </c>
      <c r="Z5" s="45" t="s">
        <v>680</v>
      </c>
      <c r="AA5" s="45" t="s">
        <v>681</v>
      </c>
      <c r="AB5" s="45" t="s">
        <v>682</v>
      </c>
      <c r="AC5" s="45" t="s">
        <v>683</v>
      </c>
      <c r="AD5" s="45" t="s">
        <v>684</v>
      </c>
      <c r="AE5" s="45" t="s">
        <v>685</v>
      </c>
      <c r="AF5" s="45" t="s">
        <v>686</v>
      </c>
      <c r="AG5" s="45" t="s">
        <v>687</v>
      </c>
      <c r="AH5" s="45" t="s">
        <v>688</v>
      </c>
      <c r="AI5" s="45" t="s">
        <v>689</v>
      </c>
      <c r="AJ5" s="45" t="s">
        <v>690</v>
      </c>
      <c r="AK5" s="45" t="s">
        <v>691</v>
      </c>
      <c r="AL5" s="45" t="s">
        <v>692</v>
      </c>
      <c r="AM5" s="45" t="s">
        <v>693</v>
      </c>
      <c r="AN5" s="45" t="s">
        <v>694</v>
      </c>
      <c r="AO5" s="45" t="s">
        <v>695</v>
      </c>
      <c r="AP5" s="45" t="s">
        <v>696</v>
      </c>
      <c r="AQ5" s="45" t="s">
        <v>697</v>
      </c>
      <c r="AR5" s="45" t="s">
        <v>698</v>
      </c>
      <c r="AS5" s="45" t="s">
        <v>699</v>
      </c>
      <c r="AT5" s="45" t="s">
        <v>700</v>
      </c>
      <c r="AU5" s="45" t="s">
        <v>701</v>
      </c>
      <c r="AV5" s="45" t="s">
        <v>702</v>
      </c>
      <c r="AW5" s="45" t="s">
        <v>703</v>
      </c>
      <c r="AX5" s="45" t="s">
        <v>704</v>
      </c>
      <c r="AY5" s="45" t="s">
        <v>705</v>
      </c>
      <c r="AZ5" s="45" t="s">
        <v>706</v>
      </c>
      <c r="BA5" s="45" t="s">
        <v>707</v>
      </c>
      <c r="BB5" s="45" t="s">
        <v>708</v>
      </c>
      <c r="BC5" s="45" t="s">
        <v>709</v>
      </c>
      <c r="BD5" s="45" t="s">
        <v>710</v>
      </c>
      <c r="BE5" s="45" t="s">
        <v>711</v>
      </c>
      <c r="BF5" s="45" t="s">
        <v>712</v>
      </c>
      <c r="BG5" s="45" t="s">
        <v>713</v>
      </c>
      <c r="BH5" s="45" t="s">
        <v>714</v>
      </c>
      <c r="BI5" s="45" t="s">
        <v>715</v>
      </c>
      <c r="BJ5" s="45" t="s">
        <v>716</v>
      </c>
      <c r="BK5" s="45" t="s">
        <v>717</v>
      </c>
      <c r="BL5" s="45" t="s">
        <v>718</v>
      </c>
      <c r="BM5" s="45" t="s">
        <v>719</v>
      </c>
      <c r="BN5" s="45" t="s">
        <v>720</v>
      </c>
      <c r="BO5" s="45" t="s">
        <v>721</v>
      </c>
      <c r="BP5" s="45" t="s">
        <v>722</v>
      </c>
      <c r="BQ5" s="45" t="s">
        <v>723</v>
      </c>
      <c r="BR5" s="45" t="s">
        <v>724</v>
      </c>
      <c r="BS5" s="45" t="s">
        <v>725</v>
      </c>
      <c r="BT5" s="45" t="s">
        <v>726</v>
      </c>
      <c r="BU5" s="45" t="s">
        <v>727</v>
      </c>
      <c r="BV5" s="45" t="s">
        <v>728</v>
      </c>
      <c r="BW5" s="45" t="s">
        <v>729</v>
      </c>
      <c r="BX5" s="45" t="s">
        <v>730</v>
      </c>
      <c r="BY5" s="45" t="s">
        <v>731</v>
      </c>
      <c r="BZ5" s="45" t="s">
        <v>732</v>
      </c>
      <c r="CA5" s="45" t="s">
        <v>733</v>
      </c>
      <c r="CB5" s="45" t="s">
        <v>734</v>
      </c>
      <c r="CC5" s="45" t="s">
        <v>735</v>
      </c>
      <c r="CD5" s="45" t="s">
        <v>736</v>
      </c>
      <c r="CE5" s="45" t="s">
        <v>737</v>
      </c>
      <c r="CF5" s="45" t="s">
        <v>738</v>
      </c>
    </row>
    <row r="6" spans="2:84" x14ac:dyDescent="0.25">
      <c r="B6" s="49"/>
      <c r="C6" s="49" t="s">
        <v>21</v>
      </c>
      <c r="D6" s="49" t="s">
        <v>604</v>
      </c>
      <c r="E6" s="49" t="s">
        <v>22</v>
      </c>
      <c r="F6" s="49" t="s">
        <v>742</v>
      </c>
      <c r="G6" s="49" t="s">
        <v>743</v>
      </c>
      <c r="H6" s="49"/>
      <c r="I6" s="49"/>
      <c r="J6" s="49" t="b">
        <v>1</v>
      </c>
      <c r="K6" s="49"/>
      <c r="L6" s="49" t="b">
        <v>1</v>
      </c>
      <c r="M6" s="49"/>
      <c r="N6" s="49" t="b">
        <v>1</v>
      </c>
      <c r="O6" s="49"/>
      <c r="P6" s="49" t="b">
        <v>1</v>
      </c>
      <c r="Q6" s="49"/>
      <c r="R6" s="49" t="b">
        <v>0</v>
      </c>
      <c r="S6" s="49" t="b">
        <v>1</v>
      </c>
      <c r="T6" s="49">
        <v>0</v>
      </c>
      <c r="U6" s="49" t="b">
        <v>1</v>
      </c>
      <c r="V6" s="49"/>
      <c r="W6" s="49" t="b">
        <v>1</v>
      </c>
      <c r="X6" s="49" t="b">
        <v>0</v>
      </c>
      <c r="Y6" s="49"/>
      <c r="Z6" s="49"/>
      <c r="AA6" s="49"/>
      <c r="AB6" s="49"/>
      <c r="AC6" s="49"/>
      <c r="AD6" s="49"/>
      <c r="AE6" s="49" t="s">
        <v>744</v>
      </c>
      <c r="AF6" s="49" t="b">
        <v>1</v>
      </c>
      <c r="AG6" s="49"/>
      <c r="AH6" s="49" t="b">
        <v>1</v>
      </c>
      <c r="AI6" s="49" t="b">
        <v>1</v>
      </c>
      <c r="AJ6" s="49" t="b">
        <v>1</v>
      </c>
      <c r="AK6" s="49">
        <v>2</v>
      </c>
      <c r="AL6" s="49"/>
      <c r="AM6" s="49" t="b">
        <v>0</v>
      </c>
      <c r="AN6" s="49" t="b">
        <v>1</v>
      </c>
      <c r="AO6" s="49" t="b">
        <v>0</v>
      </c>
      <c r="AP6" s="49"/>
      <c r="AQ6" s="49"/>
      <c r="AR6" s="49" t="s">
        <v>745</v>
      </c>
      <c r="AS6" s="49" t="s">
        <v>746</v>
      </c>
      <c r="AT6" s="49" t="s">
        <v>747</v>
      </c>
      <c r="AU6" s="49" t="s">
        <v>747</v>
      </c>
      <c r="AV6" s="49"/>
      <c r="AW6" s="49" t="b">
        <v>1</v>
      </c>
      <c r="AX6" s="49"/>
      <c r="AY6" s="49" t="b">
        <v>1</v>
      </c>
      <c r="AZ6" s="49"/>
      <c r="BA6" s="49" t="b">
        <v>1</v>
      </c>
      <c r="BB6" s="49"/>
      <c r="BC6" s="49" t="b">
        <v>1</v>
      </c>
      <c r="BD6" s="49"/>
      <c r="BE6" s="49" t="b">
        <v>0</v>
      </c>
      <c r="BF6" s="49" t="b">
        <v>1</v>
      </c>
      <c r="BG6" s="49">
        <v>0</v>
      </c>
      <c r="BH6" s="49" t="b">
        <v>1</v>
      </c>
      <c r="BI6" s="49"/>
      <c r="BJ6" s="49" t="b">
        <v>1</v>
      </c>
      <c r="BK6" s="49" t="b">
        <v>0</v>
      </c>
      <c r="BL6" s="49"/>
      <c r="BM6" s="49"/>
      <c r="BN6" s="49"/>
      <c r="BO6" s="49"/>
      <c r="BP6" s="49"/>
      <c r="BQ6" s="49"/>
      <c r="BR6" s="49" t="b">
        <v>1</v>
      </c>
      <c r="BS6" s="49" t="s">
        <v>748</v>
      </c>
      <c r="BT6" s="49" t="b">
        <v>0</v>
      </c>
      <c r="BU6" s="49"/>
      <c r="BV6" s="49" t="b">
        <v>1</v>
      </c>
      <c r="BW6" s="49" t="b">
        <v>0</v>
      </c>
      <c r="BX6" s="49" t="b">
        <v>0</v>
      </c>
      <c r="BY6" s="49" t="b">
        <v>0</v>
      </c>
      <c r="BZ6" s="49"/>
      <c r="CA6" s="49"/>
      <c r="CB6" s="49" t="b">
        <v>1</v>
      </c>
      <c r="CC6" s="49" t="b">
        <v>0</v>
      </c>
      <c r="CD6" s="49" t="b">
        <v>0</v>
      </c>
      <c r="CE6" s="49" t="b">
        <v>0</v>
      </c>
      <c r="CF6" s="49"/>
    </row>
  </sheetData>
  <sheetProtection sheet="1" objects="1" scenarios="1" formatCells="0" formatColumns="0" formatRows="0" insertRows="0" sort="0" autoFilter="0"/>
  <hyperlinks>
    <hyperlink ref="B2" location="C3" tooltip=" " display="C3" xr:uid="{9BCB3FA9-8F9F-4F94-B3E3-EAC7A9E41AFB}"/>
  </hyperlink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5FD37-1A81-48CB-B23A-0FEEF1F711B1}">
  <sheetPr codeName="D_Cache"/>
  <dimension ref="A1:K12"/>
  <sheetViews>
    <sheetView workbookViewId="0">
      <selection activeCell="D13" sqref="D13"/>
    </sheetView>
  </sheetViews>
  <sheetFormatPr baseColWidth="10" defaultRowHeight="15" x14ac:dyDescent="0.25"/>
  <cols>
    <col min="1" max="1" width="18.85546875" style="2" customWidth="1"/>
    <col min="2" max="2" width="18.5703125" style="2" bestFit="1" customWidth="1"/>
    <col min="3" max="3" width="9.140625" style="2" bestFit="1" customWidth="1"/>
    <col min="4" max="4" width="24.42578125" style="30" customWidth="1"/>
    <col min="5" max="5" width="5.85546875" style="2" customWidth="1"/>
    <col min="6" max="6" width="11.7109375" style="2" bestFit="1" customWidth="1"/>
    <col min="7" max="7" width="16.5703125" style="2" bestFit="1" customWidth="1"/>
    <col min="8" max="8" width="7.28515625" style="2" bestFit="1" customWidth="1"/>
    <col min="9" max="9" width="5.28515625" style="2" bestFit="1" customWidth="1"/>
    <col min="10" max="10" width="6.28515625" style="2" bestFit="1" customWidth="1"/>
    <col min="11" max="11" width="21.7109375" style="2" bestFit="1" customWidth="1"/>
    <col min="12" max="16384" width="11.42578125" style="2"/>
  </cols>
  <sheetData>
    <row r="1" spans="1:11" x14ac:dyDescent="0.25">
      <c r="B1" s="2" t="s">
        <v>231</v>
      </c>
      <c r="C1" s="31">
        <v>1</v>
      </c>
      <c r="F1" s="37" t="s">
        <v>499</v>
      </c>
      <c r="G1" s="37" t="s">
        <v>500</v>
      </c>
      <c r="H1" s="37" t="s">
        <v>501</v>
      </c>
      <c r="I1" s="37" t="s">
        <v>502</v>
      </c>
      <c r="J1" s="37" t="s">
        <v>503</v>
      </c>
      <c r="K1" s="37" t="s">
        <v>504</v>
      </c>
    </row>
    <row r="3" spans="1:11" x14ac:dyDescent="0.25">
      <c r="A3" s="2" t="s">
        <v>230</v>
      </c>
      <c r="B3" s="2" t="s">
        <v>238</v>
      </c>
      <c r="C3" s="2" t="s">
        <v>235</v>
      </c>
      <c r="D3" s="30" t="s">
        <v>236</v>
      </c>
      <c r="E3" s="2" t="s">
        <v>229</v>
      </c>
    </row>
    <row r="4" spans="1:11" x14ac:dyDescent="0.25">
      <c r="A4" s="2" t="s">
        <v>495</v>
      </c>
      <c r="B4" s="2" t="s">
        <v>113</v>
      </c>
      <c r="C4" s="2" t="s">
        <v>602</v>
      </c>
      <c r="D4" s="30">
        <v>44270.778275462966</v>
      </c>
      <c r="E4" s="2" t="s">
        <v>603</v>
      </c>
    </row>
    <row r="5" spans="1:11" x14ac:dyDescent="0.25">
      <c r="A5" s="2" t="s">
        <v>495</v>
      </c>
      <c r="B5" s="2" t="s">
        <v>113</v>
      </c>
      <c r="C5" s="2" t="s">
        <v>602</v>
      </c>
      <c r="D5" s="30">
        <v>44270.786400462966</v>
      </c>
      <c r="E5" s="2" t="s">
        <v>603</v>
      </c>
    </row>
    <row r="6" spans="1:11" x14ac:dyDescent="0.25">
      <c r="A6" s="2" t="s">
        <v>495</v>
      </c>
      <c r="B6" s="2" t="s">
        <v>113</v>
      </c>
      <c r="C6" s="2" t="s">
        <v>602</v>
      </c>
      <c r="D6" s="30">
        <v>44270.786909722221</v>
      </c>
      <c r="E6" s="2" t="s">
        <v>603</v>
      </c>
    </row>
    <row r="7" spans="1:11" x14ac:dyDescent="0.25">
      <c r="A7" s="2" t="s">
        <v>739</v>
      </c>
      <c r="B7" s="2" t="s">
        <v>740</v>
      </c>
      <c r="C7" s="2" t="s">
        <v>602</v>
      </c>
      <c r="D7" s="30">
        <v>44270.787141203706</v>
      </c>
      <c r="E7" s="2" t="s">
        <v>741</v>
      </c>
    </row>
    <row r="8" spans="1:11" x14ac:dyDescent="0.25">
      <c r="A8" s="2" t="s">
        <v>495</v>
      </c>
      <c r="B8" s="2" t="s">
        <v>113</v>
      </c>
      <c r="C8" s="2" t="s">
        <v>602</v>
      </c>
      <c r="D8" s="30">
        <v>44270.791712962964</v>
      </c>
      <c r="E8" s="2" t="s">
        <v>749</v>
      </c>
    </row>
    <row r="9" spans="1:11" x14ac:dyDescent="0.25">
      <c r="A9" s="2" t="s">
        <v>495</v>
      </c>
      <c r="B9" s="2" t="s">
        <v>113</v>
      </c>
      <c r="C9" s="2" t="s">
        <v>602</v>
      </c>
      <c r="D9" s="30">
        <v>44270.792997685188</v>
      </c>
      <c r="E9" s="2" t="s">
        <v>749</v>
      </c>
    </row>
    <row r="10" spans="1:11" x14ac:dyDescent="0.25">
      <c r="A10" s="2" t="s">
        <v>739</v>
      </c>
      <c r="B10" s="2" t="s">
        <v>740</v>
      </c>
      <c r="C10" s="2" t="s">
        <v>602</v>
      </c>
      <c r="D10" s="30">
        <v>44270.793136574073</v>
      </c>
      <c r="E10" s="2" t="s">
        <v>750</v>
      </c>
    </row>
    <row r="11" spans="1:11" x14ac:dyDescent="0.25">
      <c r="A11" s="2" t="s">
        <v>751</v>
      </c>
      <c r="B11" s="2" t="s">
        <v>752</v>
      </c>
      <c r="C11" s="2" t="s">
        <v>602</v>
      </c>
      <c r="D11" s="30">
        <v>44270.793333333335</v>
      </c>
      <c r="E11" s="2" t="s">
        <v>753</v>
      </c>
    </row>
    <row r="12" spans="1:11" x14ac:dyDescent="0.25">
      <c r="A12" s="2" t="s">
        <v>754</v>
      </c>
      <c r="B12" s="2" t="s">
        <v>601</v>
      </c>
      <c r="C12" s="2" t="s">
        <v>602</v>
      </c>
      <c r="D12" s="30">
        <v>44270.793368055558</v>
      </c>
      <c r="E12" s="2" t="s">
        <v>755</v>
      </c>
    </row>
  </sheetData>
  <dataConsolidate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9FDC2-088B-41C0-89BA-6E02F9E4F0F2}">
  <sheetPr codeName="Feuil4" filterMode="1"/>
  <dimension ref="A3:M76"/>
  <sheetViews>
    <sheetView tabSelected="1" topLeftCell="A14" zoomScaleNormal="100" workbookViewId="0">
      <selection activeCell="B60" sqref="B60"/>
    </sheetView>
  </sheetViews>
  <sheetFormatPr baseColWidth="10" defaultRowHeight="15" x14ac:dyDescent="0.25"/>
  <cols>
    <col min="1" max="1" width="15.85546875" bestFit="1" customWidth="1"/>
    <col min="2" max="2" width="39.140625" bestFit="1" customWidth="1"/>
    <col min="6" max="6" width="11.42578125" style="17"/>
  </cols>
  <sheetData>
    <row r="3" spans="1:3" x14ac:dyDescent="0.25">
      <c r="A3" t="s">
        <v>20</v>
      </c>
      <c r="B3" t="s">
        <v>21</v>
      </c>
      <c r="C3" t="s">
        <v>24</v>
      </c>
    </row>
    <row r="4" spans="1:3" x14ac:dyDescent="0.25">
      <c r="B4" t="s">
        <v>25</v>
      </c>
      <c r="C4" t="s">
        <v>26</v>
      </c>
    </row>
    <row r="5" spans="1:3" x14ac:dyDescent="0.25">
      <c r="B5" t="s">
        <v>23</v>
      </c>
      <c r="C5" t="s">
        <v>27</v>
      </c>
    </row>
    <row r="9" spans="1:3" x14ac:dyDescent="0.25">
      <c r="A9" t="s">
        <v>28</v>
      </c>
      <c r="B9" t="s">
        <v>22</v>
      </c>
      <c r="C9" t="s">
        <v>29</v>
      </c>
    </row>
    <row r="12" spans="1:3" x14ac:dyDescent="0.25">
      <c r="A12" t="s">
        <v>30</v>
      </c>
      <c r="B12" t="s">
        <v>31</v>
      </c>
    </row>
    <row r="13" spans="1:3" x14ac:dyDescent="0.25">
      <c r="B13" t="s">
        <v>36</v>
      </c>
    </row>
    <row r="17" spans="1:13" x14ac:dyDescent="0.25">
      <c r="A17" t="s">
        <v>37</v>
      </c>
      <c r="C17" t="s">
        <v>64</v>
      </c>
      <c r="D17" t="s">
        <v>66</v>
      </c>
      <c r="F17" s="18">
        <v>44019</v>
      </c>
      <c r="G17" s="25">
        <v>44033</v>
      </c>
      <c r="H17" s="25">
        <v>44039</v>
      </c>
      <c r="I17" s="25">
        <v>44171</v>
      </c>
      <c r="J17" s="25">
        <v>44255</v>
      </c>
      <c r="K17" s="25">
        <v>44263</v>
      </c>
      <c r="L17" s="25">
        <v>44266</v>
      </c>
      <c r="M17" s="25">
        <v>44271</v>
      </c>
    </row>
    <row r="18" spans="1:13" hidden="1" x14ac:dyDescent="0.25">
      <c r="B18" t="s">
        <v>70</v>
      </c>
      <c r="D18">
        <v>1</v>
      </c>
      <c r="F18" s="17" t="s">
        <v>138</v>
      </c>
      <c r="G18" t="s">
        <v>138</v>
      </c>
      <c r="H18" t="s">
        <v>138</v>
      </c>
      <c r="I18" t="s">
        <v>138</v>
      </c>
      <c r="J18" t="s">
        <v>138</v>
      </c>
      <c r="K18" t="s">
        <v>138</v>
      </c>
      <c r="L18" t="s">
        <v>138</v>
      </c>
      <c r="M18" t="s">
        <v>138</v>
      </c>
    </row>
    <row r="19" spans="1:13" hidden="1" x14ac:dyDescent="0.25">
      <c r="B19" t="s">
        <v>65</v>
      </c>
      <c r="C19">
        <v>0.25</v>
      </c>
      <c r="D19">
        <v>0.25</v>
      </c>
      <c r="F19" s="17" t="s">
        <v>138</v>
      </c>
      <c r="G19" t="s">
        <v>138</v>
      </c>
      <c r="H19" t="s">
        <v>138</v>
      </c>
      <c r="I19" t="s">
        <v>138</v>
      </c>
      <c r="J19" t="s">
        <v>138</v>
      </c>
      <c r="K19" t="s">
        <v>138</v>
      </c>
      <c r="L19" t="s">
        <v>138</v>
      </c>
      <c r="M19" t="s">
        <v>138</v>
      </c>
    </row>
    <row r="20" spans="1:13" hidden="1" x14ac:dyDescent="0.25">
      <c r="B20" t="s">
        <v>85</v>
      </c>
      <c r="D20">
        <v>0.25</v>
      </c>
      <c r="G20" t="s">
        <v>138</v>
      </c>
      <c r="H20" t="s">
        <v>138</v>
      </c>
      <c r="I20" t="s">
        <v>138</v>
      </c>
      <c r="J20" t="s">
        <v>138</v>
      </c>
      <c r="K20" t="s">
        <v>138</v>
      </c>
      <c r="L20" t="s">
        <v>138</v>
      </c>
      <c r="M20" t="s">
        <v>138</v>
      </c>
    </row>
    <row r="21" spans="1:13" hidden="1" x14ac:dyDescent="0.25">
      <c r="B21" t="s">
        <v>152</v>
      </c>
      <c r="G21" t="s">
        <v>138</v>
      </c>
      <c r="H21" t="s">
        <v>138</v>
      </c>
      <c r="I21" t="s">
        <v>138</v>
      </c>
      <c r="J21" t="s">
        <v>138</v>
      </c>
      <c r="K21" t="s">
        <v>138</v>
      </c>
      <c r="L21" t="s">
        <v>138</v>
      </c>
      <c r="M21" t="s">
        <v>138</v>
      </c>
    </row>
    <row r="22" spans="1:13" hidden="1" x14ac:dyDescent="0.25">
      <c r="B22" t="s">
        <v>153</v>
      </c>
      <c r="G22" t="s">
        <v>138</v>
      </c>
      <c r="H22" t="s">
        <v>138</v>
      </c>
      <c r="I22" t="s">
        <v>138</v>
      </c>
      <c r="J22" t="s">
        <v>138</v>
      </c>
      <c r="K22" t="s">
        <v>138</v>
      </c>
      <c r="L22" t="s">
        <v>138</v>
      </c>
      <c r="M22" t="s">
        <v>138</v>
      </c>
    </row>
    <row r="23" spans="1:13" x14ac:dyDescent="0.25">
      <c r="B23" t="s">
        <v>86</v>
      </c>
      <c r="D23">
        <v>0.25</v>
      </c>
    </row>
    <row r="24" spans="1:13" hidden="1" x14ac:dyDescent="0.25">
      <c r="B24" t="s">
        <v>218</v>
      </c>
      <c r="H24">
        <v>0.25</v>
      </c>
      <c r="I24" t="s">
        <v>138</v>
      </c>
      <c r="J24" t="s">
        <v>138</v>
      </c>
      <c r="K24" t="s">
        <v>138</v>
      </c>
      <c r="L24" t="s">
        <v>138</v>
      </c>
      <c r="M24" t="s">
        <v>138</v>
      </c>
    </row>
    <row r="25" spans="1:13" x14ac:dyDescent="0.25">
      <c r="B25" t="s">
        <v>208</v>
      </c>
      <c r="H25">
        <v>0.25</v>
      </c>
      <c r="I25">
        <v>0.25</v>
      </c>
      <c r="J25">
        <v>0.25</v>
      </c>
      <c r="K25">
        <v>0.25</v>
      </c>
      <c r="L25">
        <v>0.25</v>
      </c>
      <c r="M25">
        <v>0.25</v>
      </c>
    </row>
    <row r="26" spans="1:13" hidden="1" x14ac:dyDescent="0.25">
      <c r="B26" t="s">
        <v>219</v>
      </c>
      <c r="H26">
        <v>0.25</v>
      </c>
      <c r="I26">
        <v>0.25</v>
      </c>
      <c r="J26" t="s">
        <v>138</v>
      </c>
      <c r="K26" t="s">
        <v>138</v>
      </c>
      <c r="L26" t="s">
        <v>138</v>
      </c>
      <c r="M26" t="s">
        <v>138</v>
      </c>
    </row>
    <row r="27" spans="1:13" hidden="1" x14ac:dyDescent="0.25">
      <c r="B27" t="s">
        <v>228</v>
      </c>
      <c r="I27">
        <v>0.25</v>
      </c>
      <c r="J27" t="s">
        <v>138</v>
      </c>
      <c r="K27" t="s">
        <v>138</v>
      </c>
      <c r="L27" t="s">
        <v>138</v>
      </c>
      <c r="M27" t="s">
        <v>138</v>
      </c>
    </row>
    <row r="28" spans="1:13" x14ac:dyDescent="0.25">
      <c r="B28" t="s">
        <v>176</v>
      </c>
      <c r="D28">
        <v>0.25</v>
      </c>
    </row>
    <row r="29" spans="1:13" hidden="1" x14ac:dyDescent="0.25">
      <c r="B29" t="s">
        <v>143</v>
      </c>
      <c r="I29">
        <v>0.25</v>
      </c>
      <c r="J29">
        <v>0.25</v>
      </c>
      <c r="K29" t="s">
        <v>138</v>
      </c>
      <c r="L29" t="s">
        <v>138</v>
      </c>
      <c r="M29" t="s">
        <v>138</v>
      </c>
    </row>
    <row r="30" spans="1:13" hidden="1" x14ac:dyDescent="0.25">
      <c r="B30" t="s">
        <v>141</v>
      </c>
      <c r="D30">
        <v>0.25</v>
      </c>
      <c r="G30" t="s">
        <v>138</v>
      </c>
      <c r="H30" t="s">
        <v>138</v>
      </c>
      <c r="I30" t="s">
        <v>138</v>
      </c>
      <c r="J30" t="s">
        <v>138</v>
      </c>
      <c r="K30" t="s">
        <v>138</v>
      </c>
      <c r="L30" t="s">
        <v>138</v>
      </c>
      <c r="M30" t="s">
        <v>138</v>
      </c>
    </row>
    <row r="31" spans="1:13" hidden="1" x14ac:dyDescent="0.25">
      <c r="B31" t="s">
        <v>144</v>
      </c>
      <c r="D31">
        <v>0.25</v>
      </c>
      <c r="M31" t="s">
        <v>138</v>
      </c>
    </row>
    <row r="32" spans="1:13" hidden="1" x14ac:dyDescent="0.25">
      <c r="B32" t="s">
        <v>142</v>
      </c>
      <c r="D32">
        <v>0.25</v>
      </c>
      <c r="G32" t="s">
        <v>138</v>
      </c>
      <c r="H32" t="s">
        <v>138</v>
      </c>
      <c r="I32" t="s">
        <v>138</v>
      </c>
      <c r="J32" t="s">
        <v>138</v>
      </c>
      <c r="K32" t="s">
        <v>138</v>
      </c>
      <c r="L32" t="s">
        <v>138</v>
      </c>
      <c r="M32" t="s">
        <v>138</v>
      </c>
    </row>
    <row r="33" spans="2:13" hidden="1" x14ac:dyDescent="0.25">
      <c r="B33" t="s">
        <v>179</v>
      </c>
      <c r="H33">
        <v>0.25</v>
      </c>
      <c r="I33" t="s">
        <v>138</v>
      </c>
      <c r="J33" t="s">
        <v>138</v>
      </c>
      <c r="K33" t="s">
        <v>138</v>
      </c>
      <c r="L33" t="s">
        <v>138</v>
      </c>
      <c r="M33" t="s">
        <v>138</v>
      </c>
    </row>
    <row r="34" spans="2:13" hidden="1" x14ac:dyDescent="0.25">
      <c r="B34" t="s">
        <v>203</v>
      </c>
      <c r="H34">
        <v>0.25</v>
      </c>
      <c r="I34" t="s">
        <v>138</v>
      </c>
      <c r="J34" t="s">
        <v>138</v>
      </c>
      <c r="K34" t="s">
        <v>138</v>
      </c>
      <c r="L34" t="s">
        <v>138</v>
      </c>
      <c r="M34" t="s">
        <v>138</v>
      </c>
    </row>
    <row r="35" spans="2:13" x14ac:dyDescent="0.25">
      <c r="B35" t="s">
        <v>145</v>
      </c>
      <c r="D35">
        <v>0.5</v>
      </c>
    </row>
    <row r="36" spans="2:13" x14ac:dyDescent="0.25">
      <c r="B36" t="s">
        <v>241</v>
      </c>
      <c r="I36">
        <v>0.5</v>
      </c>
      <c r="J36">
        <v>0.5</v>
      </c>
      <c r="K36">
        <v>0.5</v>
      </c>
      <c r="L36">
        <v>0.5</v>
      </c>
      <c r="M36">
        <v>0.5</v>
      </c>
    </row>
    <row r="37" spans="2:13" x14ac:dyDescent="0.25">
      <c r="B37" t="s">
        <v>67</v>
      </c>
      <c r="C37">
        <v>0.5</v>
      </c>
      <c r="D37">
        <v>1</v>
      </c>
      <c r="I37">
        <v>0.5</v>
      </c>
      <c r="J37">
        <v>0.5</v>
      </c>
      <c r="K37">
        <v>0.5</v>
      </c>
      <c r="L37">
        <v>0.5</v>
      </c>
      <c r="M37">
        <v>0.5</v>
      </c>
    </row>
    <row r="38" spans="2:13" hidden="1" x14ac:dyDescent="0.25">
      <c r="B38" t="s">
        <v>68</v>
      </c>
      <c r="C38">
        <v>0.25</v>
      </c>
      <c r="D38">
        <v>0.25</v>
      </c>
      <c r="I38" t="s">
        <v>138</v>
      </c>
      <c r="J38" t="s">
        <v>138</v>
      </c>
      <c r="K38" t="s">
        <v>138</v>
      </c>
      <c r="L38" t="s">
        <v>138</v>
      </c>
      <c r="M38" t="s">
        <v>138</v>
      </c>
    </row>
    <row r="39" spans="2:13" x14ac:dyDescent="0.25">
      <c r="B39" t="s">
        <v>30</v>
      </c>
      <c r="C39">
        <v>0.25</v>
      </c>
    </row>
    <row r="40" spans="2:13" hidden="1" x14ac:dyDescent="0.25">
      <c r="B40" t="s">
        <v>38</v>
      </c>
      <c r="D40">
        <v>0.5</v>
      </c>
      <c r="I40" t="s">
        <v>138</v>
      </c>
      <c r="J40" t="s">
        <v>138</v>
      </c>
      <c r="K40" t="s">
        <v>138</v>
      </c>
      <c r="L40" t="s">
        <v>138</v>
      </c>
      <c r="M40" t="s">
        <v>138</v>
      </c>
    </row>
    <row r="41" spans="2:13" hidden="1" x14ac:dyDescent="0.25">
      <c r="B41" t="s">
        <v>39</v>
      </c>
      <c r="D41">
        <v>0.5</v>
      </c>
      <c r="I41" t="s">
        <v>138</v>
      </c>
      <c r="J41" t="s">
        <v>138</v>
      </c>
      <c r="K41" t="s">
        <v>138</v>
      </c>
      <c r="L41" t="s">
        <v>138</v>
      </c>
      <c r="M41" t="s">
        <v>138</v>
      </c>
    </row>
    <row r="42" spans="2:13" x14ac:dyDescent="0.25">
      <c r="B42" t="s">
        <v>35</v>
      </c>
      <c r="D42">
        <v>0.5</v>
      </c>
    </row>
    <row r="43" spans="2:13" hidden="1" x14ac:dyDescent="0.25">
      <c r="B43" t="s">
        <v>40</v>
      </c>
      <c r="D43">
        <v>0.5</v>
      </c>
      <c r="I43" t="s">
        <v>138</v>
      </c>
      <c r="J43" t="s">
        <v>138</v>
      </c>
      <c r="K43" t="s">
        <v>138</v>
      </c>
      <c r="L43" t="s">
        <v>138</v>
      </c>
      <c r="M43" t="s">
        <v>138</v>
      </c>
    </row>
    <row r="44" spans="2:13" x14ac:dyDescent="0.25">
      <c r="B44" t="s">
        <v>32</v>
      </c>
      <c r="C44">
        <v>0.25</v>
      </c>
    </row>
    <row r="45" spans="2:13" x14ac:dyDescent="0.25">
      <c r="B45" t="s">
        <v>41</v>
      </c>
    </row>
    <row r="46" spans="2:13" x14ac:dyDescent="0.25">
      <c r="B46" t="s">
        <v>33</v>
      </c>
      <c r="C46">
        <v>0.25</v>
      </c>
    </row>
    <row r="47" spans="2:13" x14ac:dyDescent="0.25">
      <c r="B47" t="s">
        <v>42</v>
      </c>
      <c r="C47">
        <v>0.25</v>
      </c>
    </row>
    <row r="48" spans="2:13" x14ac:dyDescent="0.25">
      <c r="B48" t="s">
        <v>43</v>
      </c>
      <c r="D48">
        <v>0.5</v>
      </c>
    </row>
    <row r="49" spans="2:13" x14ac:dyDescent="0.25">
      <c r="B49" t="s">
        <v>44</v>
      </c>
      <c r="C49">
        <v>0.25</v>
      </c>
    </row>
    <row r="50" spans="2:13" x14ac:dyDescent="0.25">
      <c r="B50" t="s">
        <v>45</v>
      </c>
      <c r="C50">
        <v>0.25</v>
      </c>
    </row>
    <row r="51" spans="2:13" hidden="1" x14ac:dyDescent="0.25">
      <c r="B51" t="s">
        <v>69</v>
      </c>
      <c r="C51">
        <v>2</v>
      </c>
      <c r="D51">
        <v>0.5</v>
      </c>
      <c r="I51">
        <v>2</v>
      </c>
      <c r="J51" t="s">
        <v>138</v>
      </c>
      <c r="K51" t="s">
        <v>138</v>
      </c>
      <c r="L51" t="s">
        <v>138</v>
      </c>
      <c r="M51" t="s">
        <v>138</v>
      </c>
    </row>
    <row r="52" spans="2:13" hidden="1" x14ac:dyDescent="0.25">
      <c r="B52" t="s">
        <v>71</v>
      </c>
      <c r="C52">
        <v>4</v>
      </c>
      <c r="D52">
        <v>4</v>
      </c>
      <c r="J52" t="s">
        <v>138</v>
      </c>
      <c r="K52" t="s">
        <v>138</v>
      </c>
      <c r="L52" t="s">
        <v>138</v>
      </c>
      <c r="M52" t="s">
        <v>138</v>
      </c>
    </row>
    <row r="53" spans="2:13" hidden="1" x14ac:dyDescent="0.25">
      <c r="B53" t="s">
        <v>511</v>
      </c>
      <c r="J53" t="s">
        <v>138</v>
      </c>
      <c r="K53" t="s">
        <v>138</v>
      </c>
      <c r="L53" t="s">
        <v>138</v>
      </c>
      <c r="M53" t="s">
        <v>138</v>
      </c>
    </row>
    <row r="54" spans="2:13" hidden="1" x14ac:dyDescent="0.25">
      <c r="B54" t="s">
        <v>584</v>
      </c>
      <c r="K54">
        <v>0.3</v>
      </c>
      <c r="L54" t="s">
        <v>138</v>
      </c>
      <c r="M54" t="s">
        <v>138</v>
      </c>
    </row>
    <row r="55" spans="2:13" hidden="1" x14ac:dyDescent="0.25">
      <c r="B55" t="s">
        <v>518</v>
      </c>
      <c r="J55">
        <v>0.25</v>
      </c>
      <c r="K55" t="s">
        <v>138</v>
      </c>
      <c r="L55" t="s">
        <v>138</v>
      </c>
      <c r="M55" t="s">
        <v>138</v>
      </c>
    </row>
    <row r="56" spans="2:13" hidden="1" x14ac:dyDescent="0.25">
      <c r="B56" t="s">
        <v>526</v>
      </c>
      <c r="K56" t="s">
        <v>138</v>
      </c>
      <c r="L56" t="s">
        <v>138</v>
      </c>
      <c r="M56" t="s">
        <v>138</v>
      </c>
    </row>
    <row r="57" spans="2:13" hidden="1" x14ac:dyDescent="0.25">
      <c r="B57" t="s">
        <v>519</v>
      </c>
      <c r="J57">
        <v>0.25</v>
      </c>
      <c r="K57" t="s">
        <v>138</v>
      </c>
      <c r="L57" t="s">
        <v>138</v>
      </c>
      <c r="M57" t="s">
        <v>138</v>
      </c>
    </row>
    <row r="58" spans="2:13" hidden="1" x14ac:dyDescent="0.25">
      <c r="B58" t="s">
        <v>524</v>
      </c>
      <c r="K58" t="s">
        <v>138</v>
      </c>
      <c r="L58" t="s">
        <v>138</v>
      </c>
      <c r="M58" t="s">
        <v>138</v>
      </c>
    </row>
    <row r="59" spans="2:13" hidden="1" x14ac:dyDescent="0.25">
      <c r="B59" t="s">
        <v>525</v>
      </c>
      <c r="K59" t="s">
        <v>138</v>
      </c>
      <c r="L59" t="s">
        <v>138</v>
      </c>
      <c r="M59" t="s">
        <v>138</v>
      </c>
    </row>
    <row r="60" spans="2:13" x14ac:dyDescent="0.25">
      <c r="B60" t="s">
        <v>512</v>
      </c>
      <c r="J60">
        <v>0.25</v>
      </c>
      <c r="K60">
        <v>0.2</v>
      </c>
      <c r="L60">
        <v>0.2</v>
      </c>
      <c r="M60">
        <v>0.2</v>
      </c>
    </row>
    <row r="61" spans="2:13" x14ac:dyDescent="0.25">
      <c r="B61" t="s">
        <v>517</v>
      </c>
      <c r="J61">
        <v>0.25</v>
      </c>
      <c r="K61">
        <v>0.2</v>
      </c>
      <c r="L61">
        <v>0.2</v>
      </c>
      <c r="M61">
        <v>0.2</v>
      </c>
    </row>
    <row r="62" spans="2:13" x14ac:dyDescent="0.25">
      <c r="B62" t="s">
        <v>588</v>
      </c>
      <c r="K62">
        <v>0.2</v>
      </c>
      <c r="L62">
        <v>0.2</v>
      </c>
      <c r="M62">
        <v>0.2</v>
      </c>
    </row>
    <row r="63" spans="2:13" x14ac:dyDescent="0.25">
      <c r="B63" t="s">
        <v>515</v>
      </c>
      <c r="J63">
        <v>0.5</v>
      </c>
      <c r="K63">
        <v>0.3</v>
      </c>
      <c r="L63">
        <v>0.3</v>
      </c>
      <c r="M63">
        <v>0.3</v>
      </c>
    </row>
    <row r="64" spans="2:13" x14ac:dyDescent="0.25">
      <c r="B64" t="s">
        <v>599</v>
      </c>
      <c r="L64">
        <v>0.2</v>
      </c>
      <c r="M64">
        <v>0.2</v>
      </c>
    </row>
    <row r="65" spans="2:13" x14ac:dyDescent="0.25">
      <c r="B65" t="s">
        <v>510</v>
      </c>
      <c r="J65">
        <v>0.25</v>
      </c>
      <c r="K65">
        <v>0.1</v>
      </c>
      <c r="L65">
        <v>0.1</v>
      </c>
      <c r="M65">
        <v>0.1</v>
      </c>
    </row>
    <row r="66" spans="2:13" x14ac:dyDescent="0.25">
      <c r="B66" t="s">
        <v>514</v>
      </c>
      <c r="J66">
        <v>0.25</v>
      </c>
      <c r="K66">
        <v>0.25</v>
      </c>
      <c r="L66">
        <v>0.25</v>
      </c>
      <c r="M66">
        <v>0.25</v>
      </c>
    </row>
    <row r="67" spans="2:13" x14ac:dyDescent="0.25">
      <c r="B67" t="s">
        <v>513</v>
      </c>
      <c r="J67">
        <v>0.5</v>
      </c>
      <c r="K67">
        <v>0.5</v>
      </c>
      <c r="L67">
        <v>0.5</v>
      </c>
      <c r="M67">
        <v>0.5</v>
      </c>
    </row>
    <row r="68" spans="2:13" x14ac:dyDescent="0.25">
      <c r="B68" t="s">
        <v>509</v>
      </c>
      <c r="J68">
        <v>1</v>
      </c>
      <c r="K68">
        <v>1</v>
      </c>
      <c r="L68">
        <v>1</v>
      </c>
      <c r="M68">
        <v>1</v>
      </c>
    </row>
    <row r="69" spans="2:13" x14ac:dyDescent="0.25">
      <c r="B69" t="s">
        <v>533</v>
      </c>
      <c r="K69">
        <v>0.2</v>
      </c>
      <c r="L69">
        <v>0.2</v>
      </c>
      <c r="M69">
        <v>0.2</v>
      </c>
    </row>
    <row r="70" spans="2:13" x14ac:dyDescent="0.25">
      <c r="B70" t="s">
        <v>508</v>
      </c>
      <c r="J70">
        <v>0.5</v>
      </c>
      <c r="K70">
        <v>0.5</v>
      </c>
      <c r="L70">
        <v>0.5</v>
      </c>
      <c r="M70">
        <v>0.5</v>
      </c>
    </row>
    <row r="71" spans="2:13" x14ac:dyDescent="0.25">
      <c r="B71" t="s">
        <v>72</v>
      </c>
      <c r="C71">
        <v>3</v>
      </c>
      <c r="D71">
        <v>3</v>
      </c>
      <c r="J71">
        <v>2</v>
      </c>
      <c r="K71">
        <v>2</v>
      </c>
      <c r="L71">
        <v>2</v>
      </c>
      <c r="M71">
        <v>2</v>
      </c>
    </row>
    <row r="73" spans="2:13" x14ac:dyDescent="0.25">
      <c r="B73" s="27">
        <f>0+C73+D73</f>
        <v>26</v>
      </c>
      <c r="C73" s="28">
        <f>SUM(C18:C71)</f>
        <v>11.5</v>
      </c>
      <c r="D73" s="29">
        <f>SUM(D18:D71)</f>
        <v>14.5</v>
      </c>
      <c r="F73" s="17">
        <f t="shared" ref="F73:M73" si="0">SUMIF(F18:F72,"",$C18:$C72)+SUMIF(F18:F72,"",$D18:$D72)+SUBTOTAL(109,F18:F72)</f>
        <v>24.5</v>
      </c>
      <c r="G73" s="17">
        <f t="shared" si="0"/>
        <v>23.75</v>
      </c>
      <c r="H73" s="17">
        <f t="shared" si="0"/>
        <v>24</v>
      </c>
      <c r="I73" s="17">
        <f t="shared" si="0"/>
        <v>19</v>
      </c>
      <c r="J73" s="17">
        <f t="shared" si="0"/>
        <v>10.5</v>
      </c>
      <c r="K73" s="17">
        <f t="shared" ref="K73:L73" si="1">SUMIF(K18:K72,"",$C18:$C72)+SUMIF(K18:K72,"",$D18:$D72)+SUBTOTAL(109,K18:K72)</f>
        <v>10.45</v>
      </c>
      <c r="L73" s="17">
        <f t="shared" si="1"/>
        <v>10.65</v>
      </c>
      <c r="M73" s="17">
        <f t="shared" si="0"/>
        <v>10.4</v>
      </c>
    </row>
    <row r="76" spans="2:13" x14ac:dyDescent="0.25">
      <c r="B76" t="s">
        <v>46</v>
      </c>
    </row>
  </sheetData>
  <autoFilter ref="F17:M73" xr:uid="{00379212-E3CF-4218-9FEE-9E59D27F5740}">
    <filterColumn colId="7">
      <filters blank="1">
        <filter val="0,1"/>
        <filter val="0,2"/>
        <filter val="0,25"/>
        <filter val="0,3"/>
        <filter val="0,5"/>
        <filter val="1"/>
        <filter val="10,4"/>
        <filter val="2"/>
      </filters>
    </filterColumn>
  </autoFilter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2AB17-4C01-46D2-A8A8-94F27E949FEE}">
  <sheetPr codeName="Feuil6">
    <outlinePr summaryBelow="0"/>
  </sheetPr>
  <dimension ref="A3:C81"/>
  <sheetViews>
    <sheetView workbookViewId="0">
      <selection activeCell="C3" sqref="C3"/>
    </sheetView>
  </sheetViews>
  <sheetFormatPr baseColWidth="10" defaultRowHeight="15" outlineLevelRow="2" x14ac:dyDescent="0.25"/>
  <cols>
    <col min="1" max="1" width="13.42578125" bestFit="1" customWidth="1"/>
  </cols>
  <sheetData>
    <row r="3" spans="1:3" x14ac:dyDescent="0.25">
      <c r="A3" t="s">
        <v>84</v>
      </c>
    </row>
    <row r="4" spans="1:3" outlineLevel="1" x14ac:dyDescent="0.25">
      <c r="B4" t="s">
        <v>220</v>
      </c>
    </row>
    <row r="5" spans="1:3" outlineLevel="1" x14ac:dyDescent="0.25">
      <c r="B5" t="s">
        <v>221</v>
      </c>
    </row>
    <row r="6" spans="1:3" outlineLevel="1" x14ac:dyDescent="0.25">
      <c r="B6" t="s">
        <v>222</v>
      </c>
    </row>
    <row r="7" spans="1:3" outlineLevel="1" x14ac:dyDescent="0.25">
      <c r="B7" t="s">
        <v>507</v>
      </c>
    </row>
    <row r="8" spans="1:3" outlineLevel="1" x14ac:dyDescent="0.25"/>
    <row r="11" spans="1:3" x14ac:dyDescent="0.25">
      <c r="A11" t="s">
        <v>521</v>
      </c>
      <c r="B11" t="s">
        <v>522</v>
      </c>
      <c r="C11" t="s">
        <v>523</v>
      </c>
    </row>
    <row r="12" spans="1:3" outlineLevel="1" x14ac:dyDescent="0.25">
      <c r="B12" t="s">
        <v>496</v>
      </c>
    </row>
    <row r="13" spans="1:3" outlineLevel="1" x14ac:dyDescent="0.25">
      <c r="B13" t="s">
        <v>497</v>
      </c>
    </row>
    <row r="14" spans="1:3" outlineLevel="1" x14ac:dyDescent="0.25">
      <c r="B14" t="s">
        <v>498</v>
      </c>
    </row>
    <row r="15" spans="1:3" outlineLevel="1" x14ac:dyDescent="0.25"/>
    <row r="16" spans="1:3" outlineLevel="1" x14ac:dyDescent="0.25"/>
    <row r="19" spans="1:3" collapsed="1" x14ac:dyDescent="0.25">
      <c r="A19" t="s">
        <v>247</v>
      </c>
      <c r="B19" t="s">
        <v>248</v>
      </c>
      <c r="C19" t="s">
        <v>249</v>
      </c>
    </row>
    <row r="20" spans="1:3" hidden="1" outlineLevel="1" x14ac:dyDescent="0.25">
      <c r="B20" t="s">
        <v>496</v>
      </c>
    </row>
    <row r="21" spans="1:3" hidden="1" outlineLevel="1" x14ac:dyDescent="0.25">
      <c r="B21" t="s">
        <v>497</v>
      </c>
    </row>
    <row r="22" spans="1:3" hidden="1" outlineLevel="1" x14ac:dyDescent="0.25">
      <c r="B22" t="s">
        <v>498</v>
      </c>
    </row>
    <row r="23" spans="1:3" hidden="1" outlineLevel="1" x14ac:dyDescent="0.25"/>
    <row r="24" spans="1:3" hidden="1" outlineLevel="1" x14ac:dyDescent="0.25"/>
    <row r="26" spans="1:3" collapsed="1" x14ac:dyDescent="0.25">
      <c r="A26" t="s">
        <v>246</v>
      </c>
      <c r="B26" t="s">
        <v>227</v>
      </c>
      <c r="C26" t="s">
        <v>243</v>
      </c>
    </row>
    <row r="27" spans="1:3" hidden="1" outlineLevel="1" x14ac:dyDescent="0.25"/>
    <row r="28" spans="1:3" hidden="1" outlineLevel="1" x14ac:dyDescent="0.25"/>
    <row r="29" spans="1:3" hidden="1" outlineLevel="1" x14ac:dyDescent="0.25"/>
    <row r="31" spans="1:3" collapsed="1" x14ac:dyDescent="0.25">
      <c r="A31" t="s">
        <v>242</v>
      </c>
      <c r="B31" t="s">
        <v>227</v>
      </c>
      <c r="C31" t="s">
        <v>243</v>
      </c>
    </row>
    <row r="32" spans="1:3" hidden="1" outlineLevel="1" x14ac:dyDescent="0.25">
      <c r="B32" t="s">
        <v>244</v>
      </c>
    </row>
    <row r="33" spans="1:3" hidden="1" outlineLevel="1" x14ac:dyDescent="0.25">
      <c r="B33" t="s">
        <v>245</v>
      </c>
    </row>
    <row r="34" spans="1:3" hidden="1" outlineLevel="1" x14ac:dyDescent="0.25"/>
    <row r="36" spans="1:3" collapsed="1" x14ac:dyDescent="0.25">
      <c r="A36" t="s">
        <v>226</v>
      </c>
      <c r="B36" t="s">
        <v>227</v>
      </c>
      <c r="C36" t="s">
        <v>80</v>
      </c>
    </row>
    <row r="37" spans="1:3" hidden="1" outlineLevel="1" x14ac:dyDescent="0.25">
      <c r="B37" t="s">
        <v>232</v>
      </c>
    </row>
    <row r="38" spans="1:3" hidden="1" outlineLevel="1" x14ac:dyDescent="0.25">
      <c r="B38" t="s">
        <v>233</v>
      </c>
    </row>
    <row r="39" spans="1:3" hidden="1" outlineLevel="1" x14ac:dyDescent="0.25">
      <c r="B39" t="s">
        <v>234</v>
      </c>
    </row>
    <row r="40" spans="1:3" hidden="1" outlineLevel="1" x14ac:dyDescent="0.25">
      <c r="B40" t="s">
        <v>240</v>
      </c>
    </row>
    <row r="41" spans="1:3" hidden="1" outlineLevel="1" x14ac:dyDescent="0.25"/>
    <row r="43" spans="1:3" collapsed="1" x14ac:dyDescent="0.25">
      <c r="A43" t="s">
        <v>210</v>
      </c>
      <c r="B43" t="s">
        <v>211</v>
      </c>
      <c r="C43" t="s">
        <v>224</v>
      </c>
    </row>
    <row r="44" spans="1:3" hidden="1" outlineLevel="1" x14ac:dyDescent="0.25">
      <c r="B44" t="s">
        <v>214</v>
      </c>
    </row>
    <row r="45" spans="1:3" hidden="1" outlineLevel="1" x14ac:dyDescent="0.25">
      <c r="B45" t="s">
        <v>212</v>
      </c>
    </row>
    <row r="46" spans="1:3" hidden="1" outlineLevel="1" x14ac:dyDescent="0.25">
      <c r="B46" t="s">
        <v>213</v>
      </c>
    </row>
    <row r="47" spans="1:3" hidden="1" outlineLevel="1" x14ac:dyDescent="0.25"/>
    <row r="49" spans="1:3" collapsed="1" x14ac:dyDescent="0.25">
      <c r="A49" t="s">
        <v>215</v>
      </c>
      <c r="B49" t="s">
        <v>216</v>
      </c>
      <c r="C49" t="s">
        <v>225</v>
      </c>
    </row>
    <row r="50" spans="1:3" hidden="1" outlineLevel="1" x14ac:dyDescent="0.25">
      <c r="B50" t="s">
        <v>217</v>
      </c>
    </row>
    <row r="51" spans="1:3" hidden="1" outlineLevel="1" x14ac:dyDescent="0.25"/>
    <row r="52" spans="1:3" hidden="1" outlineLevel="1" x14ac:dyDescent="0.25"/>
    <row r="53" spans="1:3" hidden="1" outlineLevel="1" x14ac:dyDescent="0.25"/>
    <row r="56" spans="1:3" collapsed="1" x14ac:dyDescent="0.25">
      <c r="A56" t="s">
        <v>139</v>
      </c>
    </row>
    <row r="57" spans="1:3" hidden="1" outlineLevel="1" collapsed="1" x14ac:dyDescent="0.25">
      <c r="B57" t="s">
        <v>223</v>
      </c>
    </row>
    <row r="58" spans="1:3" hidden="1" outlineLevel="2" x14ac:dyDescent="0.25">
      <c r="B58" t="s">
        <v>117</v>
      </c>
    </row>
    <row r="59" spans="1:3" hidden="1" outlineLevel="2" x14ac:dyDescent="0.25"/>
    <row r="60" spans="1:3" hidden="1" outlineLevel="2" x14ac:dyDescent="0.25">
      <c r="B60" t="s">
        <v>118</v>
      </c>
    </row>
    <row r="61" spans="1:3" hidden="1" outlineLevel="2" x14ac:dyDescent="0.25"/>
    <row r="62" spans="1:3" hidden="1" outlineLevel="2" x14ac:dyDescent="0.25">
      <c r="B62" t="s">
        <v>119</v>
      </c>
    </row>
    <row r="63" spans="1:3" hidden="1" outlineLevel="2" x14ac:dyDescent="0.25">
      <c r="B63" t="s">
        <v>120</v>
      </c>
    </row>
    <row r="64" spans="1:3" hidden="1" outlineLevel="2" x14ac:dyDescent="0.25">
      <c r="B64" t="s">
        <v>121</v>
      </c>
    </row>
    <row r="65" spans="2:2" hidden="1" outlineLevel="2" x14ac:dyDescent="0.25">
      <c r="B65" t="s">
        <v>122</v>
      </c>
    </row>
    <row r="66" spans="2:2" hidden="1" outlineLevel="2" x14ac:dyDescent="0.25">
      <c r="B66" t="s">
        <v>123</v>
      </c>
    </row>
    <row r="67" spans="2:2" hidden="1" outlineLevel="2" x14ac:dyDescent="0.25">
      <c r="B67" t="s">
        <v>124</v>
      </c>
    </row>
    <row r="68" spans="2:2" hidden="1" outlineLevel="2" x14ac:dyDescent="0.25"/>
    <row r="69" spans="2:2" hidden="1" outlineLevel="2" x14ac:dyDescent="0.25">
      <c r="B69" t="s">
        <v>125</v>
      </c>
    </row>
    <row r="70" spans="2:2" hidden="1" outlineLevel="2" x14ac:dyDescent="0.25">
      <c r="B70" t="s">
        <v>126</v>
      </c>
    </row>
    <row r="71" spans="2:2" hidden="1" outlineLevel="2" x14ac:dyDescent="0.25"/>
    <row r="72" spans="2:2" hidden="1" outlineLevel="2" x14ac:dyDescent="0.25">
      <c r="B72" t="s">
        <v>127</v>
      </c>
    </row>
    <row r="73" spans="2:2" hidden="1" outlineLevel="2" x14ac:dyDescent="0.25">
      <c r="B73" t="s">
        <v>128</v>
      </c>
    </row>
    <row r="74" spans="2:2" hidden="1" outlineLevel="2" x14ac:dyDescent="0.25">
      <c r="B74" t="s">
        <v>129</v>
      </c>
    </row>
    <row r="75" spans="2:2" hidden="1" outlineLevel="2" x14ac:dyDescent="0.25">
      <c r="B75" t="s">
        <v>130</v>
      </c>
    </row>
    <row r="76" spans="2:2" hidden="1" outlineLevel="2" x14ac:dyDescent="0.25">
      <c r="B76" t="s">
        <v>131</v>
      </c>
    </row>
    <row r="77" spans="2:2" hidden="1" outlineLevel="2" x14ac:dyDescent="0.25">
      <c r="B77" t="s">
        <v>132</v>
      </c>
    </row>
    <row r="78" spans="2:2" hidden="1" outlineLevel="2" x14ac:dyDescent="0.25">
      <c r="B78" t="s">
        <v>133</v>
      </c>
    </row>
    <row r="79" spans="2:2" hidden="1" outlineLevel="1" x14ac:dyDescent="0.25"/>
    <row r="80" spans="2:2" hidden="1" outlineLevel="1" collapsed="1" x14ac:dyDescent="0.25">
      <c r="B80" t="s">
        <v>140</v>
      </c>
    </row>
    <row r="81" spans="3:3" hidden="1" outlineLevel="2" x14ac:dyDescent="0.25">
      <c r="C81" t="s">
        <v>56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9C7FF-75F3-40F3-9B2F-D3EAF1CD8DB9}">
  <sheetPr codeName="I18N_Data"/>
  <dimension ref="A1:L114"/>
  <sheetViews>
    <sheetView topLeftCell="A90" workbookViewId="0">
      <selection activeCell="E35" sqref="E35"/>
    </sheetView>
  </sheetViews>
  <sheetFormatPr baseColWidth="10" defaultRowHeight="15" x14ac:dyDescent="0.25"/>
  <cols>
    <col min="1" max="1" width="20.7109375" bestFit="1" customWidth="1"/>
    <col min="3" max="3" width="12.5703125" bestFit="1" customWidth="1"/>
    <col min="4" max="4" width="11.28515625" bestFit="1" customWidth="1"/>
    <col min="7" max="7" width="25.42578125" bestFit="1" customWidth="1"/>
    <col min="8" max="8" width="24.5703125" bestFit="1" customWidth="1"/>
  </cols>
  <sheetData>
    <row r="1" spans="1:12" ht="17.25" customHeight="1" x14ac:dyDescent="0.25">
      <c r="J1" s="1" t="s">
        <v>12</v>
      </c>
      <c r="L1" t="s">
        <v>56</v>
      </c>
    </row>
    <row r="2" spans="1:12" ht="17.25" customHeight="1" x14ac:dyDescent="0.25"/>
    <row r="3" spans="1:12" x14ac:dyDescent="0.25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11</v>
      </c>
      <c r="H3" t="s">
        <v>12</v>
      </c>
    </row>
    <row r="4" spans="1:12" x14ac:dyDescent="0.25">
      <c r="A4" s="2" t="s">
        <v>12</v>
      </c>
      <c r="B4" s="2"/>
      <c r="C4" s="2"/>
      <c r="D4" s="2"/>
      <c r="E4" s="2"/>
      <c r="F4" s="2"/>
      <c r="G4" s="2" t="s">
        <v>15</v>
      </c>
      <c r="H4" s="2" t="s">
        <v>13</v>
      </c>
    </row>
    <row r="5" spans="1:12" x14ac:dyDescent="0.25">
      <c r="A5" s="2" t="s">
        <v>11</v>
      </c>
      <c r="B5" s="2"/>
      <c r="C5" s="2"/>
      <c r="D5" s="2"/>
      <c r="E5" s="2"/>
      <c r="F5" s="2"/>
      <c r="G5" s="2" t="s">
        <v>16</v>
      </c>
      <c r="H5" s="2" t="s">
        <v>14</v>
      </c>
    </row>
    <row r="6" spans="1:12" x14ac:dyDescent="0.25">
      <c r="A6" s="2" t="s">
        <v>157</v>
      </c>
      <c r="B6" s="2"/>
      <c r="C6" s="3"/>
      <c r="D6" s="3"/>
      <c r="E6" s="2" t="s">
        <v>63</v>
      </c>
      <c r="F6" s="2" t="s">
        <v>63</v>
      </c>
      <c r="G6" s="2" t="s">
        <v>158</v>
      </c>
      <c r="H6" s="2" t="s">
        <v>159</v>
      </c>
    </row>
    <row r="7" spans="1:12" x14ac:dyDescent="0.25">
      <c r="A7" s="2" t="s">
        <v>160</v>
      </c>
      <c r="B7" s="2"/>
      <c r="C7" s="3"/>
      <c r="D7" s="3"/>
      <c r="E7" s="2"/>
      <c r="F7" s="2"/>
      <c r="G7" s="2" t="s">
        <v>161</v>
      </c>
      <c r="H7" s="2" t="s">
        <v>168</v>
      </c>
    </row>
    <row r="8" spans="1:12" x14ac:dyDescent="0.25">
      <c r="A8" s="2" t="s">
        <v>162</v>
      </c>
      <c r="B8" s="2"/>
      <c r="C8" s="3"/>
      <c r="D8" s="3"/>
      <c r="E8" s="2"/>
      <c r="F8" s="2"/>
      <c r="G8" s="2" t="s">
        <v>163</v>
      </c>
      <c r="H8" s="2" t="s">
        <v>164</v>
      </c>
    </row>
    <row r="9" spans="1:12" x14ac:dyDescent="0.25">
      <c r="A9" s="2" t="s">
        <v>167</v>
      </c>
      <c r="B9" s="2"/>
      <c r="C9" s="3"/>
      <c r="D9" s="3"/>
      <c r="E9" s="2"/>
      <c r="F9" s="2"/>
      <c r="G9" s="2" t="s">
        <v>169</v>
      </c>
      <c r="H9" s="2" t="s">
        <v>170</v>
      </c>
    </row>
    <row r="10" spans="1:12" x14ac:dyDescent="0.25">
      <c r="A10" s="2" t="s">
        <v>53</v>
      </c>
      <c r="B10" s="2" t="s">
        <v>165</v>
      </c>
      <c r="C10" s="3" t="s">
        <v>166</v>
      </c>
      <c r="D10" s="3"/>
      <c r="E10" s="2"/>
      <c r="F10" s="2"/>
      <c r="G10" s="2" t="str">
        <f xml:space="preserve"> "Version " &amp; tI18N[[#This Row],[Param1]] &amp; " - " &amp; tI18N[[#This Row],[Param2]]</f>
        <v>Version 01 - 10 12 15</v>
      </c>
      <c r="H10" s="2" t="str">
        <f xml:space="preserve"> "Version " &amp; tI18N[[#This Row],[Param1]] &amp; " du " &amp; tI18N[[#This Row],[Param2]]</f>
        <v>Version 01 du 10 12 15</v>
      </c>
    </row>
    <row r="11" spans="1:12" x14ac:dyDescent="0.25">
      <c r="A11" s="2" t="s">
        <v>57</v>
      </c>
      <c r="B11" s="2" t="s">
        <v>63</v>
      </c>
      <c r="C11" s="2" t="s">
        <v>63</v>
      </c>
      <c r="D11" s="2" t="s">
        <v>63</v>
      </c>
      <c r="E11" s="2" t="s">
        <v>63</v>
      </c>
      <c r="F11" s="2" t="s">
        <v>63</v>
      </c>
      <c r="G11" s="2" t="s">
        <v>58</v>
      </c>
      <c r="H11" s="2" t="s">
        <v>59</v>
      </c>
    </row>
    <row r="12" spans="1:12" x14ac:dyDescent="0.25">
      <c r="A12" s="2" t="s">
        <v>60</v>
      </c>
      <c r="B12" s="2" t="s">
        <v>63</v>
      </c>
      <c r="C12" s="2" t="s">
        <v>63</v>
      </c>
      <c r="D12" s="2" t="s">
        <v>63</v>
      </c>
      <c r="E12" s="2" t="s">
        <v>63</v>
      </c>
      <c r="F12" s="2" t="s">
        <v>63</v>
      </c>
      <c r="G12" s="2" t="s">
        <v>62</v>
      </c>
      <c r="H12" s="2" t="s">
        <v>61</v>
      </c>
    </row>
    <row r="13" spans="1:12" x14ac:dyDescent="0.25">
      <c r="A13" s="2" t="s">
        <v>49</v>
      </c>
      <c r="B13" s="2"/>
      <c r="C13" s="2"/>
      <c r="D13" s="2"/>
      <c r="E13" s="2"/>
      <c r="F13" s="2"/>
      <c r="G13" s="2" t="s">
        <v>6</v>
      </c>
      <c r="H13" s="2" t="s">
        <v>18</v>
      </c>
    </row>
    <row r="14" spans="1:12" x14ac:dyDescent="0.25">
      <c r="A14" s="2" t="s">
        <v>50</v>
      </c>
      <c r="B14" s="2"/>
      <c r="C14" s="2"/>
      <c r="D14" s="2"/>
      <c r="E14" s="2"/>
      <c r="F14" s="2"/>
      <c r="G14" s="2" t="s">
        <v>7</v>
      </c>
      <c r="H14" s="2" t="s">
        <v>7</v>
      </c>
    </row>
    <row r="15" spans="1:12" x14ac:dyDescent="0.25">
      <c r="A15" s="2" t="s">
        <v>51</v>
      </c>
      <c r="B15" s="2"/>
      <c r="C15" s="2"/>
      <c r="D15" s="2"/>
      <c r="E15" s="2"/>
      <c r="F15" s="2"/>
      <c r="G15" s="2" t="s">
        <v>8</v>
      </c>
      <c r="H15" s="2" t="s">
        <v>8</v>
      </c>
    </row>
    <row r="16" spans="1:12" x14ac:dyDescent="0.25">
      <c r="A16" s="2" t="s">
        <v>52</v>
      </c>
      <c r="B16" s="2"/>
      <c r="C16" s="2"/>
      <c r="D16" s="2"/>
      <c r="E16" s="2"/>
      <c r="F16" s="2"/>
      <c r="G16" s="2" t="s">
        <v>9</v>
      </c>
      <c r="H16" s="2" t="s">
        <v>17</v>
      </c>
    </row>
    <row r="17" spans="1:8" x14ac:dyDescent="0.25">
      <c r="A17" s="2" t="s">
        <v>10</v>
      </c>
      <c r="B17" s="2">
        <v>10</v>
      </c>
      <c r="C17" s="2"/>
      <c r="D17" s="2"/>
      <c r="E17" s="2"/>
      <c r="F17" s="2"/>
      <c r="G17" s="2" t="str">
        <f>"End after " &amp; TEXT(tI18N[[#This Row],[Param1]], "### ### ###") &amp; " second" &amp; IF(tI18N[[#This Row],[Param1]] &gt; 1, "s", "")</f>
        <v>End after 10 seconds</v>
      </c>
      <c r="H17" s="2" t="str">
        <f>"Terminé en " &amp; TEXT(tI18N[[#This Row],[Param1]], "### ### ###") &amp; " seconde" &amp; IF(tI18N[[#This Row],[Param1]] &gt; 1, "s", "")</f>
        <v>Terminé en 10 secondes</v>
      </c>
    </row>
    <row r="18" spans="1:8" x14ac:dyDescent="0.25">
      <c r="A18" s="2" t="s">
        <v>171</v>
      </c>
      <c r="B18" s="2"/>
      <c r="C18" s="2"/>
      <c r="D18" s="2"/>
      <c r="E18" s="2"/>
      <c r="F18" s="2"/>
      <c r="G18" s="2" t="s">
        <v>493</v>
      </c>
      <c r="H18" s="2" t="s">
        <v>237</v>
      </c>
    </row>
    <row r="19" spans="1:8" x14ac:dyDescent="0.25">
      <c r="A19" s="2" t="s">
        <v>172</v>
      </c>
      <c r="B19" s="2"/>
      <c r="C19" s="2"/>
      <c r="D19" s="2"/>
      <c r="E19" s="2"/>
      <c r="F19" s="2"/>
      <c r="G19" s="2" t="s">
        <v>174</v>
      </c>
      <c r="H19" s="2" t="s">
        <v>173</v>
      </c>
    </row>
    <row r="20" spans="1:8" x14ac:dyDescent="0.25">
      <c r="A20" s="2" t="s">
        <v>175</v>
      </c>
      <c r="B20" s="2"/>
      <c r="C20" s="2"/>
      <c r="D20" s="2"/>
      <c r="E20" s="2"/>
      <c r="F20" s="2"/>
      <c r="G20" s="2" t="s">
        <v>115</v>
      </c>
      <c r="H20" s="2" t="s">
        <v>65</v>
      </c>
    </row>
    <row r="21" spans="1:8" x14ac:dyDescent="0.25">
      <c r="A21" s="2" t="s">
        <v>75</v>
      </c>
      <c r="B21" s="2"/>
      <c r="C21" s="2"/>
      <c r="D21" s="2"/>
      <c r="E21" s="2"/>
      <c r="F21" s="2"/>
      <c r="G21" s="2" t="s">
        <v>76</v>
      </c>
      <c r="H21" s="2" t="s">
        <v>77</v>
      </c>
    </row>
    <row r="22" spans="1:8" x14ac:dyDescent="0.25">
      <c r="A22" s="2" t="s">
        <v>93</v>
      </c>
      <c r="B22" s="2"/>
      <c r="C22" s="2"/>
      <c r="D22" s="2"/>
      <c r="E22" s="2"/>
      <c r="F22" s="2"/>
      <c r="G22" s="2" t="s">
        <v>0</v>
      </c>
      <c r="H22" s="2" t="s">
        <v>0</v>
      </c>
    </row>
    <row r="23" spans="1:8" x14ac:dyDescent="0.25">
      <c r="A23" s="2" t="s">
        <v>73</v>
      </c>
      <c r="B23" s="2"/>
      <c r="C23" s="2"/>
      <c r="D23" s="2"/>
      <c r="E23" s="2"/>
      <c r="F23" s="2"/>
      <c r="G23" s="2" t="s">
        <v>20</v>
      </c>
      <c r="H23" s="2" t="s">
        <v>47</v>
      </c>
    </row>
    <row r="24" spans="1:8" x14ac:dyDescent="0.25">
      <c r="A24" s="2" t="s">
        <v>105</v>
      </c>
      <c r="B24" s="2"/>
      <c r="C24" s="2"/>
      <c r="D24" s="2"/>
      <c r="E24" s="2"/>
      <c r="F24" s="2"/>
      <c r="G24" s="2" t="s">
        <v>28</v>
      </c>
      <c r="H24" s="2" t="s">
        <v>107</v>
      </c>
    </row>
    <row r="25" spans="1:8" x14ac:dyDescent="0.25">
      <c r="A25" s="2" t="s">
        <v>103</v>
      </c>
      <c r="B25" s="2"/>
      <c r="C25" s="2"/>
      <c r="D25" s="2"/>
      <c r="E25" s="2"/>
      <c r="F25" s="2"/>
      <c r="G25" s="2" t="s">
        <v>104</v>
      </c>
      <c r="H25" s="2" t="s">
        <v>48</v>
      </c>
    </row>
    <row r="26" spans="1:8" x14ac:dyDescent="0.25">
      <c r="A26" s="2" t="s">
        <v>74</v>
      </c>
      <c r="B26" s="2"/>
      <c r="C26" s="2"/>
      <c r="D26" s="2"/>
      <c r="E26" s="2"/>
      <c r="F26" s="2"/>
      <c r="G26" s="2" t="s">
        <v>54</v>
      </c>
      <c r="H26" s="2" t="s">
        <v>55</v>
      </c>
    </row>
    <row r="27" spans="1:8" x14ac:dyDescent="0.25">
      <c r="A27" s="2" t="s">
        <v>87</v>
      </c>
      <c r="B27" s="2"/>
      <c r="C27" s="2"/>
      <c r="D27" s="2"/>
      <c r="E27" s="2"/>
      <c r="F27" s="2"/>
      <c r="G27" s="2" t="s">
        <v>88</v>
      </c>
      <c r="H27" s="2" t="s">
        <v>89</v>
      </c>
    </row>
    <row r="28" spans="1:8" x14ac:dyDescent="0.25">
      <c r="A28" s="2" t="s">
        <v>83</v>
      </c>
      <c r="B28" s="2"/>
      <c r="C28" s="2"/>
      <c r="D28" s="2"/>
      <c r="E28" s="2"/>
      <c r="F28" s="2"/>
      <c r="G28" s="2" t="s">
        <v>79</v>
      </c>
      <c r="H28" s="2" t="s">
        <v>81</v>
      </c>
    </row>
    <row r="29" spans="1:8" x14ac:dyDescent="0.25">
      <c r="A29" s="2" t="s">
        <v>78</v>
      </c>
      <c r="B29" s="2"/>
      <c r="C29" s="2"/>
      <c r="D29" s="2"/>
      <c r="E29" s="2"/>
      <c r="F29" s="2"/>
      <c r="G29" s="2" t="s">
        <v>80</v>
      </c>
      <c r="H29" s="2" t="s">
        <v>82</v>
      </c>
    </row>
    <row r="30" spans="1:8" x14ac:dyDescent="0.25">
      <c r="A30" s="26" t="s">
        <v>146</v>
      </c>
      <c r="B30" s="2"/>
      <c r="C30" s="2"/>
      <c r="D30" s="2"/>
      <c r="E30" s="2"/>
      <c r="F30" s="2"/>
      <c r="G30" s="2" t="s">
        <v>181</v>
      </c>
      <c r="H30" s="2" t="s">
        <v>182</v>
      </c>
    </row>
    <row r="31" spans="1:8" x14ac:dyDescent="0.25">
      <c r="A31" s="26" t="s">
        <v>147</v>
      </c>
      <c r="B31" s="2"/>
      <c r="C31" s="2"/>
      <c r="D31" s="2"/>
      <c r="E31" s="2"/>
      <c r="F31" s="2"/>
      <c r="G31" s="2" t="s">
        <v>45</v>
      </c>
      <c r="H31" s="2" t="s">
        <v>183</v>
      </c>
    </row>
    <row r="32" spans="1:8" x14ac:dyDescent="0.25">
      <c r="A32" s="26" t="s">
        <v>148</v>
      </c>
      <c r="B32" s="2"/>
      <c r="C32" s="2"/>
      <c r="D32" s="2"/>
      <c r="E32" s="2"/>
      <c r="F32" s="2"/>
      <c r="G32" s="2" t="s">
        <v>184</v>
      </c>
      <c r="H32" s="2" t="s">
        <v>185</v>
      </c>
    </row>
    <row r="33" spans="1:8" x14ac:dyDescent="0.25">
      <c r="A33" s="26" t="s">
        <v>180</v>
      </c>
      <c r="B33" s="2"/>
      <c r="C33" s="2"/>
      <c r="D33" s="2"/>
      <c r="E33" s="2"/>
      <c r="F33" s="2"/>
      <c r="G33" s="2" t="s">
        <v>582</v>
      </c>
      <c r="H33" s="2" t="s">
        <v>583</v>
      </c>
    </row>
    <row r="34" spans="1:8" x14ac:dyDescent="0.25">
      <c r="A34" s="26" t="s">
        <v>150</v>
      </c>
      <c r="B34" s="2"/>
      <c r="C34" s="2"/>
      <c r="D34" s="2"/>
      <c r="E34" s="2"/>
      <c r="F34" s="2"/>
      <c r="G34" s="2" t="s">
        <v>186</v>
      </c>
      <c r="H34" s="2" t="s">
        <v>188</v>
      </c>
    </row>
    <row r="35" spans="1:8" x14ac:dyDescent="0.25">
      <c r="A35" s="26" t="s">
        <v>151</v>
      </c>
      <c r="B35" s="2"/>
      <c r="C35" s="2"/>
      <c r="D35" s="2"/>
      <c r="E35" s="2"/>
      <c r="F35" s="2"/>
      <c r="G35" s="2" t="s">
        <v>187</v>
      </c>
      <c r="H35" s="2" t="s">
        <v>189</v>
      </c>
    </row>
    <row r="36" spans="1:8" x14ac:dyDescent="0.25">
      <c r="A36" s="2" t="s">
        <v>134</v>
      </c>
      <c r="B36" s="2"/>
      <c r="C36" s="2"/>
      <c r="D36" s="2"/>
      <c r="E36" s="2"/>
      <c r="F36" s="2"/>
      <c r="G36" s="2" t="s">
        <v>209</v>
      </c>
      <c r="H36" s="2" t="s">
        <v>190</v>
      </c>
    </row>
    <row r="37" spans="1:8" x14ac:dyDescent="0.25">
      <c r="A37" s="26" t="s">
        <v>199</v>
      </c>
      <c r="B37" s="2"/>
      <c r="C37" s="2"/>
      <c r="D37" s="2"/>
      <c r="E37" s="2"/>
      <c r="F37" s="2"/>
      <c r="G37" s="2" t="s">
        <v>19</v>
      </c>
      <c r="H37" s="2" t="s">
        <v>19</v>
      </c>
    </row>
    <row r="38" spans="1:8" x14ac:dyDescent="0.25">
      <c r="A38" s="26" t="s">
        <v>197</v>
      </c>
      <c r="B38" s="2"/>
      <c r="C38" s="2"/>
      <c r="D38" s="2"/>
      <c r="E38" s="2"/>
      <c r="F38" s="2"/>
      <c r="G38" s="2" t="s">
        <v>201</v>
      </c>
      <c r="H38" s="2" t="s">
        <v>200</v>
      </c>
    </row>
    <row r="39" spans="1:8" x14ac:dyDescent="0.25">
      <c r="A39" s="26" t="s">
        <v>198</v>
      </c>
      <c r="B39" s="2"/>
      <c r="C39" s="2"/>
      <c r="D39" s="2"/>
      <c r="E39" s="2"/>
      <c r="F39" s="2"/>
      <c r="G39" s="2" t="s">
        <v>34</v>
      </c>
      <c r="H39" s="2" t="s">
        <v>202</v>
      </c>
    </row>
    <row r="40" spans="1:8" x14ac:dyDescent="0.25">
      <c r="A40" s="36" t="s">
        <v>372</v>
      </c>
      <c r="B40" s="2"/>
      <c r="C40" s="2"/>
      <c r="D40" s="2"/>
      <c r="E40" s="2"/>
      <c r="F40" s="2"/>
      <c r="G40" s="2" t="s">
        <v>470</v>
      </c>
      <c r="H40" s="2" t="s">
        <v>17</v>
      </c>
    </row>
    <row r="41" spans="1:8" x14ac:dyDescent="0.25">
      <c r="A41" s="36" t="s">
        <v>373</v>
      </c>
      <c r="B41" s="2"/>
      <c r="C41" s="2"/>
      <c r="D41" s="2"/>
      <c r="E41" s="2"/>
      <c r="F41" s="2"/>
      <c r="G41" s="2" t="s">
        <v>471</v>
      </c>
      <c r="H41" s="2" t="s">
        <v>472</v>
      </c>
    </row>
    <row r="42" spans="1:8" x14ac:dyDescent="0.25">
      <c r="A42" s="35" t="s">
        <v>323</v>
      </c>
      <c r="B42" s="2"/>
      <c r="C42" s="2"/>
      <c r="D42" s="2"/>
      <c r="E42" s="2"/>
      <c r="F42" s="2"/>
      <c r="G42" s="2" t="s">
        <v>473</v>
      </c>
      <c r="H42" s="2" t="s">
        <v>474</v>
      </c>
    </row>
    <row r="43" spans="1:8" x14ac:dyDescent="0.25">
      <c r="A43" s="36" t="s">
        <v>450</v>
      </c>
      <c r="B43" s="2"/>
      <c r="C43" s="2"/>
      <c r="D43" s="2"/>
      <c r="E43" s="2"/>
      <c r="F43" s="2"/>
      <c r="G43" s="2" t="s">
        <v>475</v>
      </c>
      <c r="H43" s="38" t="s">
        <v>483</v>
      </c>
    </row>
    <row r="44" spans="1:8" x14ac:dyDescent="0.25">
      <c r="A44" s="36" t="s">
        <v>451</v>
      </c>
      <c r="B44" s="2"/>
      <c r="C44" s="2"/>
      <c r="D44" s="2"/>
      <c r="E44" s="2"/>
      <c r="F44" s="2"/>
      <c r="G44" s="2" t="s">
        <v>479</v>
      </c>
      <c r="H44" s="2" t="s">
        <v>481</v>
      </c>
    </row>
    <row r="45" spans="1:8" x14ac:dyDescent="0.25">
      <c r="A45" s="36" t="s">
        <v>452</v>
      </c>
      <c r="B45" s="2"/>
      <c r="C45" s="2"/>
      <c r="D45" s="2"/>
      <c r="E45" s="2"/>
      <c r="F45" s="2"/>
      <c r="G45" s="2" t="s">
        <v>476</v>
      </c>
      <c r="H45" s="38" t="s">
        <v>484</v>
      </c>
    </row>
    <row r="46" spans="1:8" x14ac:dyDescent="0.25">
      <c r="A46" s="36" t="s">
        <v>453</v>
      </c>
      <c r="B46" s="2"/>
      <c r="C46" s="2"/>
      <c r="D46" s="2"/>
      <c r="E46" s="2"/>
      <c r="F46" s="2"/>
      <c r="G46" s="2" t="s">
        <v>480</v>
      </c>
      <c r="H46" s="2" t="s">
        <v>482</v>
      </c>
    </row>
    <row r="47" spans="1:8" x14ac:dyDescent="0.25">
      <c r="A47" s="36" t="s">
        <v>454</v>
      </c>
      <c r="B47" s="2"/>
      <c r="C47" s="2"/>
      <c r="D47" s="2"/>
      <c r="E47" s="2"/>
      <c r="F47" s="2"/>
      <c r="G47" s="2" t="s">
        <v>485</v>
      </c>
      <c r="H47" s="2" t="s">
        <v>486</v>
      </c>
    </row>
    <row r="48" spans="1:8" x14ac:dyDescent="0.25">
      <c r="A48" s="36" t="s">
        <v>455</v>
      </c>
      <c r="B48" s="2"/>
      <c r="C48" s="2"/>
      <c r="D48" s="2"/>
      <c r="E48" s="2"/>
      <c r="F48" s="2"/>
      <c r="G48" s="2" t="s">
        <v>487</v>
      </c>
      <c r="H48" s="2" t="s">
        <v>488</v>
      </c>
    </row>
    <row r="49" spans="1:8" x14ac:dyDescent="0.25">
      <c r="A49" s="36" t="s">
        <v>456</v>
      </c>
      <c r="B49" s="2"/>
      <c r="C49" s="2"/>
      <c r="D49" s="2"/>
      <c r="E49" s="2"/>
      <c r="F49" s="2"/>
      <c r="G49" s="2" t="s">
        <v>477</v>
      </c>
      <c r="H49" s="2" t="s">
        <v>489</v>
      </c>
    </row>
    <row r="50" spans="1:8" x14ac:dyDescent="0.25">
      <c r="A50" s="36" t="s">
        <v>457</v>
      </c>
      <c r="B50" s="2"/>
      <c r="C50" s="2"/>
      <c r="D50" s="2"/>
      <c r="E50" s="2"/>
      <c r="F50" s="2"/>
      <c r="G50" s="2" t="s">
        <v>490</v>
      </c>
      <c r="H50" s="2" t="s">
        <v>491</v>
      </c>
    </row>
    <row r="51" spans="1:8" x14ac:dyDescent="0.25">
      <c r="A51" s="36" t="s">
        <v>458</v>
      </c>
      <c r="B51" s="2"/>
      <c r="C51" s="2"/>
      <c r="D51" s="2"/>
      <c r="E51" s="2"/>
      <c r="F51" s="2"/>
      <c r="G51" s="2" t="s">
        <v>478</v>
      </c>
      <c r="H51" s="2" t="s">
        <v>492</v>
      </c>
    </row>
    <row r="52" spans="1:8" x14ac:dyDescent="0.25">
      <c r="A52" s="36" t="s">
        <v>459</v>
      </c>
      <c r="B52" s="2"/>
      <c r="C52" s="2"/>
      <c r="D52" s="2"/>
      <c r="E52" s="2"/>
      <c r="F52" s="2"/>
      <c r="G52" s="36" t="s">
        <v>527</v>
      </c>
      <c r="H52" s="36" t="s">
        <v>528</v>
      </c>
    </row>
    <row r="53" spans="1:8" x14ac:dyDescent="0.25">
      <c r="A53" s="36" t="s">
        <v>460</v>
      </c>
      <c r="B53" s="2"/>
      <c r="C53" s="2"/>
      <c r="D53" s="2"/>
      <c r="E53" s="2"/>
      <c r="F53" s="2"/>
      <c r="G53" s="36" t="s">
        <v>530</v>
      </c>
      <c r="H53" s="36" t="s">
        <v>529</v>
      </c>
    </row>
    <row r="54" spans="1:8" x14ac:dyDescent="0.25">
      <c r="A54" s="36" t="s">
        <v>461</v>
      </c>
      <c r="B54" s="2"/>
      <c r="C54" s="2"/>
      <c r="D54" s="2"/>
      <c r="E54" s="2"/>
      <c r="F54" s="2"/>
      <c r="G54" s="36" t="s">
        <v>531</v>
      </c>
      <c r="H54" s="36" t="s">
        <v>532</v>
      </c>
    </row>
    <row r="55" spans="1:8" x14ac:dyDescent="0.25">
      <c r="A55" s="36" t="s">
        <v>462</v>
      </c>
      <c r="B55" s="2"/>
      <c r="C55" s="2"/>
      <c r="D55" s="2"/>
      <c r="E55" s="2"/>
      <c r="F55" s="2"/>
      <c r="G55" s="36" t="s">
        <v>534</v>
      </c>
      <c r="H55" s="36" t="s">
        <v>535</v>
      </c>
    </row>
    <row r="56" spans="1:8" x14ac:dyDescent="0.25">
      <c r="A56" s="36" t="s">
        <v>463</v>
      </c>
      <c r="B56" s="2"/>
      <c r="C56" s="2"/>
      <c r="D56" s="2"/>
      <c r="E56" s="2"/>
      <c r="F56" s="2"/>
      <c r="G56" s="36" t="s">
        <v>536</v>
      </c>
      <c r="H56" s="36" t="s">
        <v>538</v>
      </c>
    </row>
    <row r="57" spans="1:8" x14ac:dyDescent="0.25">
      <c r="A57" s="36" t="s">
        <v>464</v>
      </c>
      <c r="B57" s="2"/>
      <c r="C57" s="2"/>
      <c r="D57" s="2"/>
      <c r="E57" s="2"/>
      <c r="F57" s="2"/>
      <c r="G57" s="36" t="s">
        <v>537</v>
      </c>
      <c r="H57" s="36" t="s">
        <v>539</v>
      </c>
    </row>
    <row r="58" spans="1:8" x14ac:dyDescent="0.25">
      <c r="A58" s="36" t="s">
        <v>465</v>
      </c>
      <c r="B58" s="2"/>
      <c r="C58" s="2"/>
      <c r="D58" s="2"/>
      <c r="E58" s="2"/>
      <c r="F58" s="2"/>
      <c r="G58" s="36" t="s">
        <v>540</v>
      </c>
      <c r="H58" s="36" t="s">
        <v>541</v>
      </c>
    </row>
    <row r="59" spans="1:8" x14ac:dyDescent="0.25">
      <c r="A59" s="36" t="s">
        <v>466</v>
      </c>
      <c r="B59" s="2"/>
      <c r="C59" s="2"/>
      <c r="D59" s="2"/>
      <c r="E59" s="2"/>
      <c r="F59" s="2"/>
      <c r="G59" s="36" t="s">
        <v>542</v>
      </c>
      <c r="H59" s="36" t="s">
        <v>543</v>
      </c>
    </row>
    <row r="60" spans="1:8" x14ac:dyDescent="0.25">
      <c r="A60" s="36" t="s">
        <v>467</v>
      </c>
      <c r="B60" s="2"/>
      <c r="C60" s="2"/>
      <c r="D60" s="2"/>
      <c r="E60" s="2"/>
      <c r="F60" s="2"/>
      <c r="G60" s="36" t="s">
        <v>544</v>
      </c>
      <c r="H60" s="36" t="s">
        <v>545</v>
      </c>
    </row>
    <row r="61" spans="1:8" x14ac:dyDescent="0.25">
      <c r="A61" s="36" t="s">
        <v>468</v>
      </c>
      <c r="B61" s="2"/>
      <c r="C61" s="2"/>
      <c r="D61" s="2"/>
      <c r="E61" s="2"/>
      <c r="F61" s="2"/>
      <c r="G61" s="36" t="s">
        <v>546</v>
      </c>
      <c r="H61" s="36" t="s">
        <v>547</v>
      </c>
    </row>
    <row r="62" spans="1:8" x14ac:dyDescent="0.25">
      <c r="A62" s="36" t="s">
        <v>469</v>
      </c>
      <c r="B62" s="2"/>
      <c r="C62" s="2"/>
      <c r="D62" s="2"/>
      <c r="E62" s="2"/>
      <c r="F62" s="2"/>
      <c r="G62" s="36" t="s">
        <v>548</v>
      </c>
      <c r="H62" s="36" t="s">
        <v>549</v>
      </c>
    </row>
    <row r="63" spans="1:8" x14ac:dyDescent="0.25">
      <c r="A63" s="35" t="s">
        <v>324</v>
      </c>
      <c r="B63" s="2"/>
      <c r="C63" s="2"/>
      <c r="D63" s="2"/>
      <c r="E63" s="2"/>
      <c r="F63" s="2"/>
      <c r="G63" s="35" t="s">
        <v>34</v>
      </c>
      <c r="H63" s="35" t="s">
        <v>202</v>
      </c>
    </row>
    <row r="64" spans="1:8" x14ac:dyDescent="0.25">
      <c r="A64" s="35" t="s">
        <v>325</v>
      </c>
      <c r="B64" s="2"/>
      <c r="C64" s="2"/>
      <c r="D64" s="2"/>
      <c r="E64" s="2"/>
      <c r="F64" s="2"/>
      <c r="G64" s="35" t="s">
        <v>550</v>
      </c>
      <c r="H64" s="35" t="s">
        <v>551</v>
      </c>
    </row>
    <row r="65" spans="1:8" x14ac:dyDescent="0.25">
      <c r="A65" s="36" t="s">
        <v>407</v>
      </c>
      <c r="B65" s="2"/>
      <c r="C65" s="2"/>
      <c r="D65" s="2"/>
      <c r="E65" s="2"/>
      <c r="F65" s="2"/>
      <c r="G65" s="36" t="s">
        <v>552</v>
      </c>
      <c r="H65" s="36" t="s">
        <v>553</v>
      </c>
    </row>
    <row r="66" spans="1:8" x14ac:dyDescent="0.25">
      <c r="A66" s="36" t="s">
        <v>408</v>
      </c>
      <c r="B66" s="2"/>
      <c r="C66" s="2"/>
      <c r="D66" s="2"/>
      <c r="E66" s="2"/>
      <c r="F66" s="2"/>
      <c r="G66" s="36" t="s">
        <v>554</v>
      </c>
      <c r="H66" s="36" t="s">
        <v>555</v>
      </c>
    </row>
    <row r="67" spans="1:8" x14ac:dyDescent="0.25">
      <c r="A67" s="36" t="s">
        <v>409</v>
      </c>
      <c r="B67" s="2"/>
      <c r="C67" s="2"/>
      <c r="D67" s="2"/>
      <c r="E67" s="2"/>
      <c r="F67" s="2"/>
      <c r="G67" s="36" t="s">
        <v>556</v>
      </c>
      <c r="H67" s="36" t="s">
        <v>557</v>
      </c>
    </row>
    <row r="68" spans="1:8" x14ac:dyDescent="0.25">
      <c r="A68" s="36" t="s">
        <v>410</v>
      </c>
      <c r="B68" s="2"/>
      <c r="C68" s="2"/>
      <c r="D68" s="2"/>
      <c r="E68" s="2"/>
      <c r="F68" s="2"/>
      <c r="G68" s="36" t="s">
        <v>558</v>
      </c>
      <c r="H68" s="36" t="s">
        <v>559</v>
      </c>
    </row>
    <row r="69" spans="1:8" x14ac:dyDescent="0.25">
      <c r="A69" s="35" t="s">
        <v>326</v>
      </c>
      <c r="B69" s="2"/>
      <c r="C69" s="2"/>
      <c r="D69" s="2"/>
      <c r="E69" s="2"/>
      <c r="F69" s="2"/>
      <c r="G69" s="35" t="s">
        <v>560</v>
      </c>
      <c r="H69" s="35" t="s">
        <v>561</v>
      </c>
    </row>
    <row r="70" spans="1:8" x14ac:dyDescent="0.25">
      <c r="A70" s="36" t="s">
        <v>411</v>
      </c>
      <c r="B70" s="2"/>
      <c r="C70" s="2"/>
      <c r="D70" s="2"/>
      <c r="E70" s="2"/>
      <c r="F70" s="2"/>
      <c r="G70" s="36" t="s">
        <v>562</v>
      </c>
      <c r="H70" s="36" t="s">
        <v>568</v>
      </c>
    </row>
    <row r="71" spans="1:8" x14ac:dyDescent="0.25">
      <c r="A71" s="36" t="s">
        <v>412</v>
      </c>
      <c r="B71" s="2"/>
      <c r="C71" s="2"/>
      <c r="D71" s="2"/>
      <c r="E71" s="2"/>
      <c r="F71" s="2"/>
      <c r="G71" s="36" t="s">
        <v>565</v>
      </c>
      <c r="H71" s="36" t="s">
        <v>569</v>
      </c>
    </row>
    <row r="72" spans="1:8" x14ac:dyDescent="0.25">
      <c r="A72" s="36" t="s">
        <v>413</v>
      </c>
      <c r="B72" s="2"/>
      <c r="C72" s="2"/>
      <c r="D72" s="2"/>
      <c r="E72" s="2"/>
      <c r="F72" s="2"/>
      <c r="G72" s="36" t="s">
        <v>566</v>
      </c>
      <c r="H72" s="36" t="s">
        <v>570</v>
      </c>
    </row>
    <row r="73" spans="1:8" x14ac:dyDescent="0.25">
      <c r="A73" s="36" t="s">
        <v>414</v>
      </c>
      <c r="B73" s="2"/>
      <c r="C73" s="2"/>
      <c r="D73" s="2"/>
      <c r="E73" s="2"/>
      <c r="F73" s="2"/>
      <c r="G73" s="36" t="s">
        <v>567</v>
      </c>
      <c r="H73" s="36" t="s">
        <v>571</v>
      </c>
    </row>
    <row r="74" spans="1:8" x14ac:dyDescent="0.25">
      <c r="A74" s="35" t="s">
        <v>327</v>
      </c>
      <c r="B74" s="2"/>
      <c r="C74" s="2"/>
      <c r="D74" s="2"/>
      <c r="E74" s="2"/>
      <c r="F74" s="2"/>
      <c r="G74" s="35" t="s">
        <v>563</v>
      </c>
      <c r="H74" s="35" t="s">
        <v>564</v>
      </c>
    </row>
    <row r="75" spans="1:8" x14ac:dyDescent="0.25">
      <c r="A75" s="36" t="s">
        <v>251</v>
      </c>
      <c r="B75" s="2"/>
      <c r="C75" s="2"/>
      <c r="D75" s="2"/>
      <c r="E75" s="2"/>
      <c r="F75" s="2"/>
      <c r="G75" s="36" t="s">
        <v>251</v>
      </c>
      <c r="H75" s="36" t="s">
        <v>251</v>
      </c>
    </row>
    <row r="76" spans="1:8" x14ac:dyDescent="0.25">
      <c r="A76" s="36" t="s">
        <v>415</v>
      </c>
      <c r="B76" s="2"/>
      <c r="C76" s="2"/>
      <c r="D76" s="2"/>
      <c r="E76" s="2"/>
      <c r="F76" s="2"/>
      <c r="G76" s="36" t="s">
        <v>572</v>
      </c>
      <c r="H76" s="36" t="s">
        <v>573</v>
      </c>
    </row>
    <row r="77" spans="1:8" x14ac:dyDescent="0.25">
      <c r="A77" s="36" t="s">
        <v>416</v>
      </c>
      <c r="B77" s="2"/>
      <c r="C77" s="2"/>
      <c r="D77" s="2"/>
      <c r="E77" s="2"/>
      <c r="F77" s="2"/>
      <c r="G77" s="36" t="s">
        <v>574</v>
      </c>
      <c r="H77" s="36" t="s">
        <v>575</v>
      </c>
    </row>
    <row r="78" spans="1:8" x14ac:dyDescent="0.25">
      <c r="A78" s="35" t="s">
        <v>364</v>
      </c>
      <c r="B78" s="2"/>
      <c r="C78" s="2"/>
      <c r="D78" s="2"/>
      <c r="E78" s="2"/>
      <c r="F78" s="2"/>
      <c r="G78" s="35" t="s">
        <v>473</v>
      </c>
      <c r="H78" s="35" t="s">
        <v>474</v>
      </c>
    </row>
    <row r="79" spans="1:8" x14ac:dyDescent="0.25">
      <c r="A79" s="36" t="s">
        <v>417</v>
      </c>
      <c r="B79" s="2"/>
      <c r="C79" s="2"/>
      <c r="D79" s="2"/>
      <c r="E79" s="2"/>
      <c r="F79" s="2"/>
      <c r="G79" s="2" t="s">
        <v>475</v>
      </c>
      <c r="H79" s="38" t="s">
        <v>483</v>
      </c>
    </row>
    <row r="80" spans="1:8" x14ac:dyDescent="0.25">
      <c r="A80" s="36" t="s">
        <v>436</v>
      </c>
      <c r="B80" s="2"/>
      <c r="C80" s="2"/>
      <c r="D80" s="2"/>
      <c r="E80" s="2"/>
      <c r="F80" s="2"/>
      <c r="G80" s="2" t="s">
        <v>479</v>
      </c>
      <c r="H80" s="2" t="s">
        <v>481</v>
      </c>
    </row>
    <row r="81" spans="1:8" x14ac:dyDescent="0.25">
      <c r="A81" s="36" t="s">
        <v>418</v>
      </c>
      <c r="B81" s="2"/>
      <c r="C81" s="2"/>
      <c r="D81" s="2"/>
      <c r="E81" s="2"/>
      <c r="F81" s="2"/>
      <c r="G81" s="2" t="s">
        <v>476</v>
      </c>
      <c r="H81" s="38" t="s">
        <v>484</v>
      </c>
    </row>
    <row r="82" spans="1:8" x14ac:dyDescent="0.25">
      <c r="A82" s="36" t="s">
        <v>449</v>
      </c>
      <c r="B82" s="2"/>
      <c r="C82" s="2"/>
      <c r="D82" s="2"/>
      <c r="E82" s="2"/>
      <c r="F82" s="2"/>
      <c r="G82" s="2" t="s">
        <v>480</v>
      </c>
      <c r="H82" s="2" t="s">
        <v>482</v>
      </c>
    </row>
    <row r="83" spans="1:8" x14ac:dyDescent="0.25">
      <c r="A83" s="36" t="s">
        <v>419</v>
      </c>
      <c r="B83" s="2"/>
      <c r="C83" s="2"/>
      <c r="D83" s="2"/>
      <c r="E83" s="2"/>
      <c r="F83" s="2"/>
      <c r="G83" s="2" t="s">
        <v>485</v>
      </c>
      <c r="H83" s="2" t="s">
        <v>486</v>
      </c>
    </row>
    <row r="84" spans="1:8" x14ac:dyDescent="0.25">
      <c r="A84" s="36" t="s">
        <v>437</v>
      </c>
      <c r="B84" s="2"/>
      <c r="C84" s="2"/>
      <c r="D84" s="2"/>
      <c r="E84" s="2"/>
      <c r="F84" s="2"/>
      <c r="G84" s="2" t="s">
        <v>487</v>
      </c>
      <c r="H84" s="2" t="s">
        <v>488</v>
      </c>
    </row>
    <row r="85" spans="1:8" x14ac:dyDescent="0.25">
      <c r="A85" s="36" t="s">
        <v>420</v>
      </c>
      <c r="B85" s="2"/>
      <c r="C85" s="2"/>
      <c r="D85" s="2"/>
      <c r="E85" s="2"/>
      <c r="F85" s="2"/>
      <c r="G85" s="2" t="s">
        <v>477</v>
      </c>
      <c r="H85" s="2" t="s">
        <v>489</v>
      </c>
    </row>
    <row r="86" spans="1:8" x14ac:dyDescent="0.25">
      <c r="A86" s="36" t="s">
        <v>421</v>
      </c>
      <c r="B86" s="2"/>
      <c r="C86" s="2"/>
      <c r="D86" s="2"/>
      <c r="E86" s="2"/>
      <c r="F86" s="2"/>
      <c r="G86" s="2" t="s">
        <v>490</v>
      </c>
      <c r="H86" s="2" t="s">
        <v>491</v>
      </c>
    </row>
    <row r="87" spans="1:8" x14ac:dyDescent="0.25">
      <c r="A87" s="36" t="s">
        <v>422</v>
      </c>
      <c r="B87" s="2"/>
      <c r="C87" s="2"/>
      <c r="D87" s="2"/>
      <c r="E87" s="2"/>
      <c r="F87" s="2"/>
      <c r="G87" s="2" t="s">
        <v>478</v>
      </c>
      <c r="H87" s="2" t="s">
        <v>492</v>
      </c>
    </row>
    <row r="88" spans="1:8" x14ac:dyDescent="0.25">
      <c r="A88" s="36" t="s">
        <v>423</v>
      </c>
      <c r="B88" s="2"/>
      <c r="C88" s="2"/>
      <c r="D88" s="2"/>
      <c r="E88" s="2"/>
      <c r="F88" s="2"/>
      <c r="G88" s="36" t="s">
        <v>527</v>
      </c>
      <c r="H88" s="36" t="s">
        <v>528</v>
      </c>
    </row>
    <row r="89" spans="1:8" x14ac:dyDescent="0.25">
      <c r="A89" s="36" t="s">
        <v>438</v>
      </c>
      <c r="B89" s="2"/>
      <c r="C89" s="2"/>
      <c r="D89" s="2"/>
      <c r="E89" s="2"/>
      <c r="F89" s="2"/>
      <c r="G89" s="36" t="s">
        <v>530</v>
      </c>
      <c r="H89" s="36" t="s">
        <v>529</v>
      </c>
    </row>
    <row r="90" spans="1:8" x14ac:dyDescent="0.25">
      <c r="A90" s="36" t="s">
        <v>424</v>
      </c>
      <c r="B90" s="2"/>
      <c r="C90" s="2"/>
      <c r="D90" s="2"/>
      <c r="E90" s="2"/>
      <c r="F90" s="2"/>
      <c r="G90" s="36" t="s">
        <v>531</v>
      </c>
      <c r="H90" s="36" t="s">
        <v>532</v>
      </c>
    </row>
    <row r="91" spans="1:8" x14ac:dyDescent="0.25">
      <c r="A91" s="36" t="s">
        <v>439</v>
      </c>
      <c r="B91" s="2"/>
      <c r="C91" s="2"/>
      <c r="D91" s="2"/>
      <c r="E91" s="2"/>
      <c r="F91" s="2"/>
      <c r="G91" s="36" t="s">
        <v>534</v>
      </c>
      <c r="H91" s="36" t="s">
        <v>535</v>
      </c>
    </row>
    <row r="92" spans="1:8" x14ac:dyDescent="0.25">
      <c r="A92" s="36" t="s">
        <v>425</v>
      </c>
      <c r="B92" s="2"/>
      <c r="C92" s="2"/>
      <c r="D92" s="2"/>
      <c r="E92" s="2"/>
      <c r="F92" s="2"/>
      <c r="G92" s="36" t="s">
        <v>536</v>
      </c>
      <c r="H92" s="36" t="s">
        <v>538</v>
      </c>
    </row>
    <row r="93" spans="1:8" x14ac:dyDescent="0.25">
      <c r="A93" s="36" t="s">
        <v>426</v>
      </c>
      <c r="B93" s="2"/>
      <c r="C93" s="2"/>
      <c r="D93" s="2"/>
      <c r="E93" s="2"/>
      <c r="F93" s="2"/>
      <c r="G93" s="36" t="s">
        <v>537</v>
      </c>
      <c r="H93" s="36" t="s">
        <v>539</v>
      </c>
    </row>
    <row r="94" spans="1:8" x14ac:dyDescent="0.25">
      <c r="A94" s="36" t="s">
        <v>440</v>
      </c>
      <c r="B94" s="2"/>
      <c r="C94" s="2"/>
      <c r="D94" s="2"/>
      <c r="E94" s="2"/>
      <c r="F94" s="2"/>
      <c r="G94" s="36" t="s">
        <v>540</v>
      </c>
      <c r="H94" s="36" t="s">
        <v>541</v>
      </c>
    </row>
    <row r="95" spans="1:8" x14ac:dyDescent="0.25">
      <c r="A95" s="36" t="s">
        <v>427</v>
      </c>
      <c r="B95" s="2"/>
      <c r="C95" s="2"/>
      <c r="D95" s="2"/>
      <c r="E95" s="2"/>
      <c r="F95" s="2"/>
      <c r="G95" s="36" t="s">
        <v>542</v>
      </c>
      <c r="H95" s="36" t="s">
        <v>543</v>
      </c>
    </row>
    <row r="96" spans="1:8" x14ac:dyDescent="0.25">
      <c r="A96" s="36" t="s">
        <v>428</v>
      </c>
      <c r="B96" s="2"/>
      <c r="C96" s="2"/>
      <c r="D96" s="2"/>
      <c r="E96" s="2"/>
      <c r="F96" s="2"/>
      <c r="G96" s="36" t="s">
        <v>544</v>
      </c>
      <c r="H96" s="36" t="s">
        <v>545</v>
      </c>
    </row>
    <row r="97" spans="1:8" x14ac:dyDescent="0.25">
      <c r="A97" s="36" t="s">
        <v>429</v>
      </c>
      <c r="B97" s="2"/>
      <c r="C97" s="2"/>
      <c r="D97" s="2"/>
      <c r="E97" s="2"/>
      <c r="F97" s="2"/>
      <c r="G97" s="36" t="s">
        <v>546</v>
      </c>
      <c r="H97" s="36" t="s">
        <v>547</v>
      </c>
    </row>
    <row r="98" spans="1:8" x14ac:dyDescent="0.25">
      <c r="A98" s="36" t="s">
        <v>430</v>
      </c>
      <c r="B98" s="2"/>
      <c r="C98" s="2"/>
      <c r="D98" s="2"/>
      <c r="E98" s="2"/>
      <c r="F98" s="2"/>
      <c r="G98" s="36" t="s">
        <v>548</v>
      </c>
      <c r="H98" s="36" t="s">
        <v>549</v>
      </c>
    </row>
    <row r="99" spans="1:8" x14ac:dyDescent="0.25">
      <c r="A99" s="35" t="s">
        <v>365</v>
      </c>
      <c r="B99" s="2"/>
      <c r="C99" s="2"/>
      <c r="D99" s="2"/>
      <c r="E99" s="2"/>
      <c r="F99" s="2"/>
      <c r="G99" s="35" t="s">
        <v>34</v>
      </c>
      <c r="H99" s="35" t="s">
        <v>202</v>
      </c>
    </row>
    <row r="100" spans="1:8" x14ac:dyDescent="0.25">
      <c r="A100" s="36" t="s">
        <v>431</v>
      </c>
      <c r="B100" s="2"/>
      <c r="C100" s="2"/>
      <c r="D100" s="2"/>
      <c r="E100" s="2"/>
      <c r="F100" s="2"/>
      <c r="G100" s="35" t="s">
        <v>580</v>
      </c>
      <c r="H100" s="35" t="s">
        <v>581</v>
      </c>
    </row>
    <row r="101" spans="1:8" x14ac:dyDescent="0.25">
      <c r="A101" s="36" t="s">
        <v>432</v>
      </c>
      <c r="B101" s="2"/>
      <c r="C101" s="2"/>
      <c r="D101" s="2"/>
      <c r="E101" s="2"/>
      <c r="F101" s="2"/>
      <c r="G101" s="36" t="s">
        <v>184</v>
      </c>
      <c r="H101" s="36" t="s">
        <v>185</v>
      </c>
    </row>
    <row r="102" spans="1:8" x14ac:dyDescent="0.25">
      <c r="A102" s="36" t="s">
        <v>433</v>
      </c>
      <c r="B102" s="2"/>
      <c r="C102" s="2"/>
      <c r="D102" s="2"/>
      <c r="E102" s="2"/>
      <c r="F102" s="2"/>
      <c r="G102" s="36" t="s">
        <v>582</v>
      </c>
      <c r="H102" s="36" t="s">
        <v>583</v>
      </c>
    </row>
    <row r="103" spans="1:8" x14ac:dyDescent="0.25">
      <c r="A103" s="35" t="s">
        <v>366</v>
      </c>
      <c r="B103" s="2"/>
      <c r="C103" s="2"/>
      <c r="D103" s="2"/>
      <c r="E103" s="2"/>
      <c r="F103" s="2"/>
      <c r="G103" s="35" t="s">
        <v>550</v>
      </c>
      <c r="H103" s="35" t="s">
        <v>551</v>
      </c>
    </row>
    <row r="104" spans="1:8" x14ac:dyDescent="0.25">
      <c r="A104" s="36" t="s">
        <v>434</v>
      </c>
      <c r="B104" s="2"/>
      <c r="C104" s="2"/>
      <c r="D104" s="2"/>
      <c r="E104" s="2"/>
      <c r="F104" s="2"/>
      <c r="G104" s="35" t="s">
        <v>578</v>
      </c>
      <c r="H104" s="35" t="s">
        <v>579</v>
      </c>
    </row>
    <row r="105" spans="1:8" x14ac:dyDescent="0.25">
      <c r="A105" s="36" t="s">
        <v>441</v>
      </c>
      <c r="B105" s="2"/>
      <c r="C105" s="2"/>
      <c r="D105" s="2"/>
      <c r="E105" s="2"/>
      <c r="F105" s="2"/>
      <c r="G105" s="36" t="s">
        <v>552</v>
      </c>
      <c r="H105" s="36" t="s">
        <v>553</v>
      </c>
    </row>
    <row r="106" spans="1:8" x14ac:dyDescent="0.25">
      <c r="A106" s="36" t="s">
        <v>447</v>
      </c>
      <c r="B106" s="2"/>
      <c r="C106" s="2"/>
      <c r="D106" s="2"/>
      <c r="E106" s="2"/>
      <c r="F106" s="2"/>
      <c r="G106" s="36" t="s">
        <v>554</v>
      </c>
      <c r="H106" s="36" t="s">
        <v>555</v>
      </c>
    </row>
    <row r="107" spans="1:8" x14ac:dyDescent="0.25">
      <c r="A107" s="36" t="s">
        <v>448</v>
      </c>
      <c r="B107" s="2"/>
      <c r="C107" s="2"/>
      <c r="D107" s="2"/>
      <c r="E107" s="2"/>
      <c r="F107" s="2"/>
      <c r="G107" s="36" t="s">
        <v>556</v>
      </c>
      <c r="H107" s="36" t="s">
        <v>557</v>
      </c>
    </row>
    <row r="108" spans="1:8" x14ac:dyDescent="0.25">
      <c r="A108" s="36" t="s">
        <v>442</v>
      </c>
      <c r="B108" s="2"/>
      <c r="C108" s="2"/>
      <c r="D108" s="2"/>
      <c r="E108" s="2"/>
      <c r="F108" s="2"/>
      <c r="G108" s="36" t="s">
        <v>558</v>
      </c>
      <c r="H108" s="36" t="s">
        <v>559</v>
      </c>
    </row>
    <row r="109" spans="1:8" x14ac:dyDescent="0.25">
      <c r="A109" s="35" t="s">
        <v>367</v>
      </c>
      <c r="B109" s="2"/>
      <c r="C109" s="2"/>
      <c r="D109" s="2"/>
      <c r="E109" s="2"/>
      <c r="F109" s="2"/>
      <c r="G109" s="35" t="s">
        <v>560</v>
      </c>
      <c r="H109" s="35" t="s">
        <v>561</v>
      </c>
    </row>
    <row r="110" spans="1:8" x14ac:dyDescent="0.25">
      <c r="A110" s="36" t="s">
        <v>435</v>
      </c>
      <c r="B110" s="2"/>
      <c r="C110" s="2"/>
      <c r="D110" s="2"/>
      <c r="E110" s="2"/>
      <c r="F110" s="2"/>
      <c r="G110" s="35" t="s">
        <v>576</v>
      </c>
      <c r="H110" s="35" t="s">
        <v>577</v>
      </c>
    </row>
    <row r="111" spans="1:8" x14ac:dyDescent="0.25">
      <c r="A111" s="36" t="s">
        <v>443</v>
      </c>
      <c r="B111" s="2"/>
      <c r="C111" s="2"/>
      <c r="D111" s="2"/>
      <c r="E111" s="2"/>
      <c r="F111" s="2"/>
      <c r="G111" s="36" t="s">
        <v>562</v>
      </c>
      <c r="H111" s="36" t="s">
        <v>568</v>
      </c>
    </row>
    <row r="112" spans="1:8" x14ac:dyDescent="0.25">
      <c r="A112" s="36" t="s">
        <v>444</v>
      </c>
      <c r="B112" s="2"/>
      <c r="C112" s="2"/>
      <c r="D112" s="2"/>
      <c r="E112" s="2"/>
      <c r="F112" s="2"/>
      <c r="G112" s="36" t="s">
        <v>565</v>
      </c>
      <c r="H112" s="36" t="s">
        <v>569</v>
      </c>
    </row>
    <row r="113" spans="1:8" x14ac:dyDescent="0.25">
      <c r="A113" s="36" t="s">
        <v>445</v>
      </c>
      <c r="B113" s="2"/>
      <c r="C113" s="2"/>
      <c r="D113" s="2"/>
      <c r="E113" s="2"/>
      <c r="F113" s="2"/>
      <c r="G113" s="36" t="s">
        <v>566</v>
      </c>
      <c r="H113" s="36" t="s">
        <v>570</v>
      </c>
    </row>
    <row r="114" spans="1:8" x14ac:dyDescent="0.25">
      <c r="A114" s="36" t="s">
        <v>446</v>
      </c>
      <c r="B114" s="2"/>
      <c r="C114" s="2"/>
      <c r="D114" s="2"/>
      <c r="E114" s="2"/>
      <c r="F114" s="2"/>
      <c r="G114" s="36" t="s">
        <v>567</v>
      </c>
      <c r="H114" s="36" t="s">
        <v>571</v>
      </c>
    </row>
  </sheetData>
  <phoneticPr fontId="1" type="noConversion"/>
  <dataValidations count="1">
    <dataValidation type="list" showInputMessage="1" promptTitle="Langue" prompt="Choisir une langue" sqref="J1" xr:uid="{3CC2E797-95B2-4CB1-AB93-EFCC5B1ECBD8}">
      <formula1>"en_US,fr_FR"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0D0AF-103F-435D-B985-1FB32C40F8E2}">
  <sheetPr codeName="Feuil7"/>
  <dimension ref="B1:S91"/>
  <sheetViews>
    <sheetView topLeftCell="A7" zoomScale="82" zoomScaleNormal="82" workbookViewId="0">
      <selection activeCell="K52" sqref="K52"/>
    </sheetView>
  </sheetViews>
  <sheetFormatPr baseColWidth="10" defaultRowHeight="15" x14ac:dyDescent="0.25"/>
  <cols>
    <col min="2" max="2" width="10.5703125" customWidth="1"/>
    <col min="3" max="3" width="14.5703125" customWidth="1"/>
    <col min="4" max="4" width="7.28515625" bestFit="1" customWidth="1"/>
    <col min="5" max="5" width="24.85546875" customWidth="1"/>
    <col min="6" max="6" width="12" bestFit="1" customWidth="1"/>
    <col min="7" max="7" width="51.42578125" bestFit="1" customWidth="1"/>
    <col min="8" max="8" width="12.7109375" customWidth="1"/>
    <col min="9" max="9" width="11.42578125" bestFit="1" customWidth="1"/>
    <col min="10" max="10" width="30.85546875" bestFit="1" customWidth="1"/>
    <col min="11" max="11" width="16.5703125" customWidth="1"/>
    <col min="12" max="12" width="19.140625" bestFit="1" customWidth="1"/>
    <col min="13" max="13" width="9.7109375" bestFit="1" customWidth="1"/>
    <col min="14" max="14" width="9.7109375" customWidth="1"/>
    <col min="15" max="15" width="12.5703125" bestFit="1" customWidth="1"/>
    <col min="16" max="16" width="12.5703125" customWidth="1"/>
    <col min="17" max="17" width="31.5703125" customWidth="1"/>
    <col min="18" max="18" width="23.28515625" bestFit="1" customWidth="1"/>
    <col min="19" max="19" width="12.5703125" customWidth="1"/>
  </cols>
  <sheetData>
    <row r="1" spans="2:19" x14ac:dyDescent="0.25">
      <c r="B1" t="s">
        <v>114</v>
      </c>
      <c r="J1" s="9"/>
      <c r="P1" s="44" t="s">
        <v>589</v>
      </c>
      <c r="Q1" s="9" t="s">
        <v>600</v>
      </c>
    </row>
    <row r="3" spans="2:19" x14ac:dyDescent="0.25">
      <c r="B3" t="s">
        <v>90</v>
      </c>
      <c r="C3" t="s">
        <v>112</v>
      </c>
      <c r="D3" t="s">
        <v>110</v>
      </c>
      <c r="E3" t="s">
        <v>136</v>
      </c>
      <c r="F3" t="s">
        <v>585</v>
      </c>
      <c r="G3" t="s">
        <v>97</v>
      </c>
      <c r="H3" t="s">
        <v>100</v>
      </c>
      <c r="I3" t="s">
        <v>135</v>
      </c>
      <c r="J3" t="s">
        <v>91</v>
      </c>
      <c r="K3" t="s">
        <v>155</v>
      </c>
      <c r="L3" t="s">
        <v>154</v>
      </c>
      <c r="M3" t="s">
        <v>196</v>
      </c>
      <c r="N3" t="s">
        <v>587</v>
      </c>
      <c r="O3" t="s">
        <v>92</v>
      </c>
      <c r="P3" t="s">
        <v>111</v>
      </c>
      <c r="Q3" s="39" t="s">
        <v>116</v>
      </c>
      <c r="R3" t="s">
        <v>108</v>
      </c>
      <c r="S3" t="s">
        <v>322</v>
      </c>
    </row>
    <row r="4" spans="2:19" ht="30" x14ac:dyDescent="0.25">
      <c r="B4" s="13" t="s">
        <v>495</v>
      </c>
      <c r="C4" s="14" t="s">
        <v>113</v>
      </c>
      <c r="D4" s="14" t="s">
        <v>94</v>
      </c>
      <c r="E4" s="14" t="s">
        <v>137</v>
      </c>
      <c r="F4" s="14" t="s">
        <v>96</v>
      </c>
      <c r="G4" s="14" t="s">
        <v>0</v>
      </c>
      <c r="H4" s="14" t="s">
        <v>98</v>
      </c>
      <c r="I4" s="14" t="s">
        <v>94</v>
      </c>
      <c r="J4" s="14" t="s">
        <v>93</v>
      </c>
      <c r="K4" s="14"/>
      <c r="L4" s="14"/>
      <c r="M4" s="14">
        <v>1</v>
      </c>
      <c r="N4" s="14">
        <v>14</v>
      </c>
      <c r="O4" s="14" t="s">
        <v>94</v>
      </c>
      <c r="P4" s="14" t="s">
        <v>87</v>
      </c>
      <c r="Q4" s="15" t="s">
        <v>177</v>
      </c>
      <c r="R4" s="14" t="s">
        <v>106</v>
      </c>
      <c r="S4" s="14"/>
    </row>
    <row r="5" spans="2:19" ht="30" x14ac:dyDescent="0.25">
      <c r="B5" s="14"/>
      <c r="C5" s="14"/>
      <c r="D5" s="14"/>
      <c r="E5" s="14"/>
      <c r="F5" s="14"/>
      <c r="G5" s="14" t="s">
        <v>47</v>
      </c>
      <c r="H5" s="14" t="s">
        <v>101</v>
      </c>
      <c r="I5" s="14" t="s">
        <v>94</v>
      </c>
      <c r="J5" s="14" t="s">
        <v>73</v>
      </c>
      <c r="K5" s="14"/>
      <c r="L5" s="14"/>
      <c r="M5" s="14">
        <v>1</v>
      </c>
      <c r="N5" s="14">
        <v>14</v>
      </c>
      <c r="O5" s="14" t="s">
        <v>96</v>
      </c>
      <c r="P5" s="14" t="s">
        <v>83</v>
      </c>
      <c r="Q5" s="15" t="s">
        <v>178</v>
      </c>
      <c r="R5" s="14" t="s">
        <v>109</v>
      </c>
      <c r="S5" s="14"/>
    </row>
    <row r="6" spans="2:19" ht="30" x14ac:dyDescent="0.25">
      <c r="B6" s="14"/>
      <c r="C6" s="14"/>
      <c r="D6" s="14"/>
      <c r="E6" s="14"/>
      <c r="F6" s="14"/>
      <c r="G6" s="14" t="s">
        <v>102</v>
      </c>
      <c r="H6" s="14" t="s">
        <v>101</v>
      </c>
      <c r="I6" s="14" t="s">
        <v>94</v>
      </c>
      <c r="J6" s="14" t="s">
        <v>103</v>
      </c>
      <c r="K6" s="14"/>
      <c r="L6" s="14"/>
      <c r="M6" s="14">
        <v>1</v>
      </c>
      <c r="N6" s="14">
        <v>14</v>
      </c>
      <c r="O6" s="14" t="s">
        <v>96</v>
      </c>
      <c r="P6" s="14" t="s">
        <v>78</v>
      </c>
      <c r="Q6" s="15" t="s">
        <v>178</v>
      </c>
      <c r="R6" s="14" t="s">
        <v>109</v>
      </c>
      <c r="S6" s="14"/>
    </row>
    <row r="7" spans="2:19" x14ac:dyDescent="0.25">
      <c r="B7" s="14"/>
      <c r="C7" s="14"/>
      <c r="D7" s="14"/>
      <c r="E7" s="14"/>
      <c r="F7" s="14"/>
      <c r="G7" s="14" t="s">
        <v>95</v>
      </c>
      <c r="H7" s="14" t="s">
        <v>99</v>
      </c>
      <c r="I7" s="14" t="s">
        <v>96</v>
      </c>
      <c r="J7" s="14" t="s">
        <v>74</v>
      </c>
      <c r="K7" s="14"/>
      <c r="L7" s="14" t="s">
        <v>156</v>
      </c>
      <c r="M7" s="14">
        <v>1</v>
      </c>
      <c r="N7" s="14">
        <v>28</v>
      </c>
      <c r="O7" s="14" t="s">
        <v>96</v>
      </c>
      <c r="P7" s="14"/>
      <c r="Q7" s="15"/>
      <c r="R7" s="14"/>
      <c r="S7" s="14"/>
    </row>
    <row r="8" spans="2:19" x14ac:dyDescent="0.25"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5"/>
      <c r="R8" s="14"/>
      <c r="S8" s="14"/>
    </row>
    <row r="9" spans="2:19" ht="30" x14ac:dyDescent="0.25">
      <c r="B9" s="13" t="s">
        <v>494</v>
      </c>
      <c r="C9" s="14" t="s">
        <v>239</v>
      </c>
      <c r="D9" s="14" t="s">
        <v>94</v>
      </c>
      <c r="E9" s="15" t="s">
        <v>516</v>
      </c>
      <c r="F9" s="15" t="s">
        <v>94</v>
      </c>
      <c r="G9" s="14" t="s">
        <v>586</v>
      </c>
      <c r="H9" s="14"/>
      <c r="I9" s="14"/>
      <c r="J9" s="14" t="s">
        <v>199</v>
      </c>
      <c r="K9" s="14"/>
      <c r="L9" s="14"/>
      <c r="M9" s="14">
        <v>1</v>
      </c>
      <c r="N9" s="14">
        <v>5</v>
      </c>
      <c r="O9" s="14"/>
      <c r="P9" s="14" t="s">
        <v>134</v>
      </c>
      <c r="Q9" s="15" t="s">
        <v>520</v>
      </c>
      <c r="R9" s="14" t="s">
        <v>106</v>
      </c>
      <c r="S9" s="14"/>
    </row>
    <row r="10" spans="2:19" x14ac:dyDescent="0.25">
      <c r="B10" s="14"/>
      <c r="C10" s="14"/>
      <c r="D10" s="14"/>
      <c r="E10" s="14"/>
      <c r="F10" s="14"/>
      <c r="G10" s="33" t="s">
        <v>191</v>
      </c>
      <c r="H10" s="33" t="s">
        <v>101</v>
      </c>
      <c r="I10" s="33" t="s">
        <v>94</v>
      </c>
      <c r="J10" s="32" t="s">
        <v>73</v>
      </c>
      <c r="K10" s="32" t="s">
        <v>590</v>
      </c>
      <c r="L10" s="33"/>
      <c r="M10" s="33">
        <v>4</v>
      </c>
      <c r="N10" s="33">
        <v>9</v>
      </c>
      <c r="O10" s="33" t="s">
        <v>96</v>
      </c>
      <c r="P10" s="34"/>
      <c r="Q10" s="40"/>
      <c r="R10" s="34"/>
      <c r="S10" s="33" t="s">
        <v>250</v>
      </c>
    </row>
    <row r="11" spans="2:19" x14ac:dyDescent="0.25">
      <c r="B11" s="14"/>
      <c r="C11" s="14"/>
      <c r="D11" s="14"/>
      <c r="E11" s="14"/>
      <c r="F11" s="14"/>
      <c r="G11" s="33" t="s">
        <v>192</v>
      </c>
      <c r="H11" s="33" t="s">
        <v>101</v>
      </c>
      <c r="I11" s="33" t="s">
        <v>94</v>
      </c>
      <c r="J11" s="32" t="s">
        <v>103</v>
      </c>
      <c r="K11" s="33" t="s">
        <v>601</v>
      </c>
      <c r="L11" s="33"/>
      <c r="M11" s="33">
        <v>4</v>
      </c>
      <c r="N11" s="33">
        <v>9</v>
      </c>
      <c r="O11" s="33" t="s">
        <v>96</v>
      </c>
      <c r="P11" s="34"/>
      <c r="Q11" s="40"/>
      <c r="R11" s="34"/>
      <c r="S11" s="33" t="s">
        <v>281</v>
      </c>
    </row>
    <row r="12" spans="2:19" x14ac:dyDescent="0.25">
      <c r="B12" s="14"/>
      <c r="C12" s="14"/>
      <c r="D12" s="14"/>
      <c r="E12" s="14"/>
      <c r="F12" s="14"/>
      <c r="G12" s="33" t="s">
        <v>193</v>
      </c>
      <c r="H12" s="33" t="s">
        <v>101</v>
      </c>
      <c r="I12" s="33" t="s">
        <v>94</v>
      </c>
      <c r="J12" s="32" t="s">
        <v>105</v>
      </c>
      <c r="K12" s="33" t="s">
        <v>591</v>
      </c>
      <c r="L12" s="33"/>
      <c r="M12" s="33">
        <v>4</v>
      </c>
      <c r="N12" s="33">
        <v>9</v>
      </c>
      <c r="O12" s="33" t="s">
        <v>96</v>
      </c>
      <c r="P12" s="34"/>
      <c r="Q12" s="40"/>
      <c r="R12" s="34"/>
      <c r="S12" s="33" t="s">
        <v>282</v>
      </c>
    </row>
    <row r="13" spans="2:19" x14ac:dyDescent="0.25">
      <c r="B13" s="14"/>
      <c r="C13" s="14"/>
      <c r="D13" s="14"/>
      <c r="E13" s="14"/>
      <c r="F13" s="14"/>
      <c r="G13" s="33" t="s">
        <v>374</v>
      </c>
      <c r="H13" s="33" t="s">
        <v>99</v>
      </c>
      <c r="I13" s="33" t="s">
        <v>94</v>
      </c>
      <c r="J13" s="33" t="s">
        <v>372</v>
      </c>
      <c r="K13" s="33"/>
      <c r="L13" s="32" t="s">
        <v>194</v>
      </c>
      <c r="M13" s="33">
        <v>4</v>
      </c>
      <c r="N13" s="33">
        <v>21</v>
      </c>
      <c r="O13" s="33" t="s">
        <v>96</v>
      </c>
      <c r="P13" s="34"/>
      <c r="Q13" s="40"/>
      <c r="R13" s="34"/>
      <c r="S13" s="33" t="s">
        <v>283</v>
      </c>
    </row>
    <row r="14" spans="2:19" x14ac:dyDescent="0.25">
      <c r="B14" s="14"/>
      <c r="C14" s="14"/>
      <c r="D14" s="14"/>
      <c r="E14" s="14"/>
      <c r="F14" s="14"/>
      <c r="G14" s="33" t="s">
        <v>375</v>
      </c>
      <c r="H14" s="33" t="s">
        <v>99</v>
      </c>
      <c r="I14" s="33" t="s">
        <v>94</v>
      </c>
      <c r="J14" s="33" t="s">
        <v>373</v>
      </c>
      <c r="K14" s="33"/>
      <c r="L14" s="32" t="s">
        <v>194</v>
      </c>
      <c r="M14" s="33">
        <v>4</v>
      </c>
      <c r="N14" s="33">
        <v>21</v>
      </c>
      <c r="O14" s="33" t="s">
        <v>96</v>
      </c>
      <c r="P14" s="34"/>
      <c r="Q14" s="40"/>
      <c r="R14" s="34"/>
      <c r="S14" s="33" t="s">
        <v>284</v>
      </c>
    </row>
    <row r="15" spans="2:19" x14ac:dyDescent="0.25">
      <c r="B15" s="14"/>
      <c r="C15" s="14"/>
      <c r="D15" s="14"/>
      <c r="E15" s="14"/>
      <c r="F15" s="14"/>
      <c r="G15" s="32" t="s">
        <v>195</v>
      </c>
      <c r="H15" s="32"/>
      <c r="I15" s="33"/>
      <c r="J15" s="32" t="s">
        <v>327</v>
      </c>
      <c r="K15" s="32"/>
      <c r="L15" s="32"/>
      <c r="M15" s="32">
        <v>2</v>
      </c>
      <c r="N15" s="42">
        <v>5</v>
      </c>
      <c r="O15" s="33"/>
      <c r="P15" s="34"/>
      <c r="Q15" s="40"/>
      <c r="R15" s="34"/>
      <c r="S15" s="33"/>
    </row>
    <row r="16" spans="2:19" x14ac:dyDescent="0.25">
      <c r="B16" s="14"/>
      <c r="C16" s="14"/>
      <c r="D16" s="14"/>
      <c r="E16" s="14"/>
      <c r="F16" s="14"/>
      <c r="G16" s="32" t="s">
        <v>195</v>
      </c>
      <c r="H16" s="32"/>
      <c r="I16" s="33"/>
      <c r="J16" s="32" t="s">
        <v>323</v>
      </c>
      <c r="K16" s="32"/>
      <c r="L16" s="32"/>
      <c r="M16" s="32">
        <v>2</v>
      </c>
      <c r="N16" s="42">
        <v>5</v>
      </c>
      <c r="O16" s="33"/>
      <c r="P16" s="34"/>
      <c r="Q16" s="40"/>
      <c r="R16" s="34"/>
      <c r="S16" s="33"/>
    </row>
    <row r="17" spans="2:19" x14ac:dyDescent="0.25">
      <c r="B17" s="14"/>
      <c r="C17" s="14"/>
      <c r="D17" s="14"/>
      <c r="E17" s="14"/>
      <c r="F17" s="14"/>
      <c r="G17" s="33" t="s">
        <v>376</v>
      </c>
      <c r="H17" s="33" t="s">
        <v>149</v>
      </c>
      <c r="I17" s="33" t="s">
        <v>96</v>
      </c>
      <c r="J17" s="33" t="s">
        <v>450</v>
      </c>
      <c r="K17" s="33"/>
      <c r="L17" s="33"/>
      <c r="M17" s="33">
        <v>4</v>
      </c>
      <c r="N17" s="33">
        <v>9</v>
      </c>
      <c r="O17" s="33" t="s">
        <v>96</v>
      </c>
      <c r="P17" s="34"/>
      <c r="Q17" s="40"/>
      <c r="R17" s="34"/>
      <c r="S17" s="33" t="s">
        <v>252</v>
      </c>
    </row>
    <row r="18" spans="2:19" x14ac:dyDescent="0.25">
      <c r="B18" s="14"/>
      <c r="C18" s="14"/>
      <c r="D18" s="14"/>
      <c r="E18" s="14"/>
      <c r="F18" s="14"/>
      <c r="G18" s="33" t="s">
        <v>377</v>
      </c>
      <c r="H18" s="33" t="s">
        <v>101</v>
      </c>
      <c r="I18" s="33" t="s">
        <v>96</v>
      </c>
      <c r="J18" s="33" t="s">
        <v>451</v>
      </c>
      <c r="K18" s="33" t="s">
        <v>368</v>
      </c>
      <c r="L18" s="33"/>
      <c r="M18" s="33">
        <v>4</v>
      </c>
      <c r="N18" s="33">
        <v>9</v>
      </c>
      <c r="O18" s="33" t="s">
        <v>96</v>
      </c>
      <c r="P18" s="34"/>
      <c r="Q18" s="40"/>
      <c r="R18" s="34"/>
      <c r="S18" s="33" t="s">
        <v>253</v>
      </c>
    </row>
    <row r="19" spans="2:19" x14ac:dyDescent="0.25">
      <c r="B19" s="14"/>
      <c r="C19" s="14"/>
      <c r="D19" s="14"/>
      <c r="E19" s="14"/>
      <c r="F19" s="14"/>
      <c r="G19" s="33" t="s">
        <v>378</v>
      </c>
      <c r="H19" s="33" t="s">
        <v>149</v>
      </c>
      <c r="I19" s="33" t="s">
        <v>96</v>
      </c>
      <c r="J19" s="33" t="s">
        <v>452</v>
      </c>
      <c r="K19" s="33"/>
      <c r="L19" s="33"/>
      <c r="M19" s="33">
        <v>4</v>
      </c>
      <c r="N19" s="33">
        <v>9</v>
      </c>
      <c r="O19" s="33" t="s">
        <v>96</v>
      </c>
      <c r="P19" s="34"/>
      <c r="Q19" s="40"/>
      <c r="R19" s="34"/>
      <c r="S19" s="33" t="s">
        <v>254</v>
      </c>
    </row>
    <row r="20" spans="2:19" x14ac:dyDescent="0.25">
      <c r="B20" s="14"/>
      <c r="C20" s="14"/>
      <c r="D20" s="14"/>
      <c r="E20" s="14"/>
      <c r="F20" s="14"/>
      <c r="G20" s="33" t="s">
        <v>379</v>
      </c>
      <c r="H20" s="33" t="s">
        <v>101</v>
      </c>
      <c r="I20" s="33" t="s">
        <v>96</v>
      </c>
      <c r="J20" s="33" t="s">
        <v>453</v>
      </c>
      <c r="K20" s="33" t="s">
        <v>368</v>
      </c>
      <c r="L20" s="33"/>
      <c r="M20" s="33">
        <v>4</v>
      </c>
      <c r="N20" s="33">
        <v>9</v>
      </c>
      <c r="O20" s="33" t="s">
        <v>96</v>
      </c>
      <c r="P20" s="34"/>
      <c r="Q20" s="40"/>
      <c r="R20" s="34"/>
      <c r="S20" s="33" t="s">
        <v>255</v>
      </c>
    </row>
    <row r="21" spans="2:19" x14ac:dyDescent="0.25">
      <c r="B21" s="14"/>
      <c r="C21" s="14"/>
      <c r="D21" s="14"/>
      <c r="E21" s="14"/>
      <c r="F21" s="14"/>
      <c r="G21" s="33" t="s">
        <v>380</v>
      </c>
      <c r="H21" s="33" t="s">
        <v>149</v>
      </c>
      <c r="I21" s="33" t="s">
        <v>96</v>
      </c>
      <c r="J21" s="33" t="s">
        <v>454</v>
      </c>
      <c r="K21" s="33"/>
      <c r="L21" s="33"/>
      <c r="M21" s="33">
        <v>4</v>
      </c>
      <c r="N21" s="33">
        <v>9</v>
      </c>
      <c r="O21" s="33" t="s">
        <v>96</v>
      </c>
      <c r="P21" s="34"/>
      <c r="Q21" s="40"/>
      <c r="R21" s="34"/>
      <c r="S21" s="33" t="s">
        <v>256</v>
      </c>
    </row>
    <row r="22" spans="2:19" x14ac:dyDescent="0.25">
      <c r="B22" s="14"/>
      <c r="C22" s="14"/>
      <c r="D22" s="14"/>
      <c r="E22" s="14"/>
      <c r="F22" s="14"/>
      <c r="G22" s="33" t="s">
        <v>381</v>
      </c>
      <c r="H22" s="33" t="s">
        <v>101</v>
      </c>
      <c r="I22" s="33" t="s">
        <v>96</v>
      </c>
      <c r="J22" s="33" t="s">
        <v>455</v>
      </c>
      <c r="K22" s="33" t="s">
        <v>597</v>
      </c>
      <c r="L22" s="33"/>
      <c r="M22" s="33">
        <v>4</v>
      </c>
      <c r="N22" s="33">
        <v>9</v>
      </c>
      <c r="O22" s="33" t="s">
        <v>96</v>
      </c>
      <c r="P22" s="34"/>
      <c r="Q22" s="40"/>
      <c r="R22" s="34"/>
      <c r="S22" s="33" t="s">
        <v>257</v>
      </c>
    </row>
    <row r="23" spans="2:19" x14ac:dyDescent="0.25">
      <c r="B23" s="14"/>
      <c r="C23" s="14"/>
      <c r="D23" s="14"/>
      <c r="E23" s="14"/>
      <c r="F23" s="14"/>
      <c r="G23" s="33" t="s">
        <v>382</v>
      </c>
      <c r="H23" s="33" t="s">
        <v>149</v>
      </c>
      <c r="I23" s="33" t="s">
        <v>96</v>
      </c>
      <c r="J23" s="33" t="s">
        <v>456</v>
      </c>
      <c r="K23" s="33"/>
      <c r="L23" s="33"/>
      <c r="M23" s="33">
        <v>4</v>
      </c>
      <c r="N23" s="33">
        <v>9</v>
      </c>
      <c r="O23" s="33" t="s">
        <v>96</v>
      </c>
      <c r="P23" s="34"/>
      <c r="Q23" s="40"/>
      <c r="R23" s="34"/>
      <c r="S23" s="33" t="s">
        <v>258</v>
      </c>
    </row>
    <row r="24" spans="2:19" x14ac:dyDescent="0.25">
      <c r="B24" s="14"/>
      <c r="C24" s="14"/>
      <c r="D24" s="14"/>
      <c r="E24" s="14"/>
      <c r="F24" s="14"/>
      <c r="G24" s="33" t="s">
        <v>383</v>
      </c>
      <c r="H24" s="33" t="s">
        <v>98</v>
      </c>
      <c r="I24" s="33" t="s">
        <v>96</v>
      </c>
      <c r="J24" s="33" t="s">
        <v>457</v>
      </c>
      <c r="K24" s="33" t="s">
        <v>598</v>
      </c>
      <c r="L24" s="33"/>
      <c r="M24" s="33">
        <v>4</v>
      </c>
      <c r="N24" s="33">
        <v>9</v>
      </c>
      <c r="O24" s="33" t="s">
        <v>96</v>
      </c>
      <c r="P24" s="34"/>
      <c r="Q24" s="40"/>
      <c r="R24" s="34"/>
      <c r="S24" s="33" t="s">
        <v>259</v>
      </c>
    </row>
    <row r="25" spans="2:19" x14ac:dyDescent="0.25">
      <c r="B25" s="14"/>
      <c r="C25" s="14"/>
      <c r="D25" s="14"/>
      <c r="E25" s="14"/>
      <c r="F25" s="14"/>
      <c r="G25" s="33" t="s">
        <v>384</v>
      </c>
      <c r="H25" s="33" t="s">
        <v>149</v>
      </c>
      <c r="I25" s="33" t="s">
        <v>96</v>
      </c>
      <c r="J25" s="33" t="s">
        <v>458</v>
      </c>
      <c r="K25" s="33"/>
      <c r="L25" s="33"/>
      <c r="M25" s="33">
        <v>4</v>
      </c>
      <c r="N25" s="33">
        <v>9</v>
      </c>
      <c r="O25" s="33" t="s">
        <v>96</v>
      </c>
      <c r="P25" s="34"/>
      <c r="Q25" s="40"/>
      <c r="R25" s="34"/>
      <c r="S25" s="33" t="s">
        <v>260</v>
      </c>
    </row>
    <row r="26" spans="2:19" x14ac:dyDescent="0.25">
      <c r="B26" s="14"/>
      <c r="C26" s="14"/>
      <c r="D26" s="14"/>
      <c r="E26" s="14"/>
      <c r="F26" s="14"/>
      <c r="G26" s="33" t="s">
        <v>385</v>
      </c>
      <c r="H26" s="33" t="s">
        <v>149</v>
      </c>
      <c r="I26" s="33" t="s">
        <v>96</v>
      </c>
      <c r="J26" s="33" t="s">
        <v>459</v>
      </c>
      <c r="K26" s="33"/>
      <c r="L26" s="33"/>
      <c r="M26" s="33">
        <v>4</v>
      </c>
      <c r="N26" s="33">
        <v>9</v>
      </c>
      <c r="O26" s="33" t="s">
        <v>96</v>
      </c>
      <c r="P26" s="34"/>
      <c r="Q26" s="40"/>
      <c r="R26" s="34"/>
      <c r="S26" s="33" t="s">
        <v>261</v>
      </c>
    </row>
    <row r="27" spans="2:19" x14ac:dyDescent="0.25">
      <c r="B27" s="14"/>
      <c r="C27" s="14"/>
      <c r="D27" s="14"/>
      <c r="E27" s="14"/>
      <c r="F27" s="14"/>
      <c r="G27" s="33" t="s">
        <v>386</v>
      </c>
      <c r="H27" s="33" t="s">
        <v>98</v>
      </c>
      <c r="I27" s="33" t="s">
        <v>96</v>
      </c>
      <c r="J27" s="33" t="s">
        <v>460</v>
      </c>
      <c r="K27" s="33" t="s">
        <v>369</v>
      </c>
      <c r="L27" s="33"/>
      <c r="M27" s="33">
        <v>4</v>
      </c>
      <c r="N27" s="33">
        <v>9</v>
      </c>
      <c r="O27" s="33" t="s">
        <v>96</v>
      </c>
      <c r="P27" s="34"/>
      <c r="Q27" s="40"/>
      <c r="R27" s="34"/>
      <c r="S27" s="33" t="s">
        <v>262</v>
      </c>
    </row>
    <row r="28" spans="2:19" x14ac:dyDescent="0.25">
      <c r="B28" s="14"/>
      <c r="C28" s="14"/>
      <c r="D28" s="14"/>
      <c r="E28" s="14"/>
      <c r="F28" s="14"/>
      <c r="G28" s="33" t="s">
        <v>387</v>
      </c>
      <c r="H28" s="33" t="s">
        <v>149</v>
      </c>
      <c r="I28" s="33" t="s">
        <v>96</v>
      </c>
      <c r="J28" s="33" t="s">
        <v>461</v>
      </c>
      <c r="K28" s="33"/>
      <c r="L28" s="33"/>
      <c r="M28" s="33">
        <v>4</v>
      </c>
      <c r="N28" s="33">
        <v>9</v>
      </c>
      <c r="O28" s="33" t="s">
        <v>96</v>
      </c>
      <c r="P28" s="34"/>
      <c r="Q28" s="40"/>
      <c r="R28" s="34"/>
      <c r="S28" s="33" t="s">
        <v>263</v>
      </c>
    </row>
    <row r="29" spans="2:19" x14ac:dyDescent="0.25">
      <c r="B29" s="14"/>
      <c r="C29" s="14"/>
      <c r="D29" s="14"/>
      <c r="E29" s="14"/>
      <c r="F29" s="14"/>
      <c r="G29" s="33" t="s">
        <v>388</v>
      </c>
      <c r="H29" s="33" t="s">
        <v>101</v>
      </c>
      <c r="I29" s="33" t="s">
        <v>96</v>
      </c>
      <c r="J29" s="33" t="s">
        <v>462</v>
      </c>
      <c r="K29" s="33" t="s">
        <v>370</v>
      </c>
      <c r="L29" s="33"/>
      <c r="M29" s="33">
        <v>4</v>
      </c>
      <c r="N29" s="33">
        <v>9</v>
      </c>
      <c r="O29" s="33" t="s">
        <v>96</v>
      </c>
      <c r="P29" s="34"/>
      <c r="Q29" s="40"/>
      <c r="R29" s="34"/>
      <c r="S29" s="33" t="s">
        <v>264</v>
      </c>
    </row>
    <row r="30" spans="2:19" x14ac:dyDescent="0.25">
      <c r="B30" s="14"/>
      <c r="C30" s="14"/>
      <c r="D30" s="14"/>
      <c r="E30" s="14"/>
      <c r="F30" s="14"/>
      <c r="G30" s="33" t="s">
        <v>389</v>
      </c>
      <c r="H30" s="33" t="s">
        <v>149</v>
      </c>
      <c r="I30" s="33" t="s">
        <v>96</v>
      </c>
      <c r="J30" s="33" t="s">
        <v>463</v>
      </c>
      <c r="K30" s="33"/>
      <c r="L30" s="33"/>
      <c r="M30" s="33">
        <v>4</v>
      </c>
      <c r="N30" s="33">
        <v>9</v>
      </c>
      <c r="O30" s="33" t="s">
        <v>96</v>
      </c>
      <c r="P30" s="34"/>
      <c r="Q30" s="40"/>
      <c r="R30" s="34"/>
      <c r="S30" s="33" t="s">
        <v>265</v>
      </c>
    </row>
    <row r="31" spans="2:19" x14ac:dyDescent="0.25">
      <c r="B31" s="14"/>
      <c r="C31" s="14"/>
      <c r="D31" s="14"/>
      <c r="E31" s="14"/>
      <c r="F31" s="14"/>
      <c r="G31" s="33" t="s">
        <v>390</v>
      </c>
      <c r="H31" s="33" t="s">
        <v>149</v>
      </c>
      <c r="I31" s="33" t="s">
        <v>96</v>
      </c>
      <c r="J31" s="33" t="s">
        <v>464</v>
      </c>
      <c r="K31" s="33"/>
      <c r="L31" s="33"/>
      <c r="M31" s="33">
        <v>4</v>
      </c>
      <c r="N31" s="33">
        <v>9</v>
      </c>
      <c r="O31" s="33" t="s">
        <v>96</v>
      </c>
      <c r="P31" s="34"/>
      <c r="Q31" s="40"/>
      <c r="R31" s="34"/>
      <c r="S31" s="33" t="s">
        <v>266</v>
      </c>
    </row>
    <row r="32" spans="2:19" x14ac:dyDescent="0.25">
      <c r="B32" s="14"/>
      <c r="C32" s="14"/>
      <c r="D32" s="14"/>
      <c r="E32" s="14"/>
      <c r="F32" s="14"/>
      <c r="G32" s="33" t="s">
        <v>391</v>
      </c>
      <c r="H32" s="33" t="s">
        <v>101</v>
      </c>
      <c r="I32" s="33" t="s">
        <v>96</v>
      </c>
      <c r="J32" s="33" t="s">
        <v>465</v>
      </c>
      <c r="K32" s="33" t="s">
        <v>592</v>
      </c>
      <c r="L32" s="33"/>
      <c r="M32" s="33">
        <v>4</v>
      </c>
      <c r="N32" s="33">
        <v>9</v>
      </c>
      <c r="O32" s="33" t="s">
        <v>96</v>
      </c>
      <c r="P32" s="34"/>
      <c r="Q32" s="40"/>
      <c r="R32" s="34"/>
      <c r="S32" s="33" t="s">
        <v>267</v>
      </c>
    </row>
    <row r="33" spans="2:19" x14ac:dyDescent="0.25">
      <c r="B33" s="14"/>
      <c r="C33" s="14"/>
      <c r="D33" s="14"/>
      <c r="E33" s="14"/>
      <c r="F33" s="14"/>
      <c r="G33" s="33" t="s">
        <v>392</v>
      </c>
      <c r="H33" s="33" t="s">
        <v>101</v>
      </c>
      <c r="I33" s="33" t="s">
        <v>96</v>
      </c>
      <c r="J33" s="33" t="s">
        <v>466</v>
      </c>
      <c r="K33" s="33" t="s">
        <v>593</v>
      </c>
      <c r="L33" s="33"/>
      <c r="M33" s="33">
        <v>4</v>
      </c>
      <c r="N33" s="33">
        <v>9</v>
      </c>
      <c r="O33" s="33" t="s">
        <v>96</v>
      </c>
      <c r="P33" s="34"/>
      <c r="Q33" s="40"/>
      <c r="R33" s="34"/>
      <c r="S33" s="33" t="s">
        <v>268</v>
      </c>
    </row>
    <row r="34" spans="2:19" x14ac:dyDescent="0.25">
      <c r="B34" s="14"/>
      <c r="C34" s="14"/>
      <c r="D34" s="14"/>
      <c r="E34" s="14"/>
      <c r="F34" s="14"/>
      <c r="G34" s="33" t="s">
        <v>393</v>
      </c>
      <c r="H34" s="33" t="s">
        <v>101</v>
      </c>
      <c r="I34" s="33" t="s">
        <v>96</v>
      </c>
      <c r="J34" s="33" t="s">
        <v>467</v>
      </c>
      <c r="K34" s="33" t="s">
        <v>594</v>
      </c>
      <c r="L34" s="33"/>
      <c r="M34" s="33">
        <v>4</v>
      </c>
      <c r="N34" s="33">
        <v>9</v>
      </c>
      <c r="O34" s="33" t="s">
        <v>96</v>
      </c>
      <c r="P34" s="34"/>
      <c r="Q34" s="40"/>
      <c r="R34" s="34"/>
      <c r="S34" s="33" t="s">
        <v>269</v>
      </c>
    </row>
    <row r="35" spans="2:19" x14ac:dyDescent="0.25">
      <c r="B35" s="14"/>
      <c r="C35" s="14"/>
      <c r="D35" s="14"/>
      <c r="E35" s="14"/>
      <c r="F35" s="14"/>
      <c r="G35" s="33" t="s">
        <v>394</v>
      </c>
      <c r="H35" s="33" t="s">
        <v>101</v>
      </c>
      <c r="I35" s="33" t="s">
        <v>96</v>
      </c>
      <c r="J35" s="33" t="s">
        <v>468</v>
      </c>
      <c r="K35" s="33" t="s">
        <v>595</v>
      </c>
      <c r="L35" s="33"/>
      <c r="M35" s="33">
        <v>4</v>
      </c>
      <c r="N35" s="33">
        <v>9</v>
      </c>
      <c r="O35" s="33" t="s">
        <v>96</v>
      </c>
      <c r="P35" s="34"/>
      <c r="Q35" s="40"/>
      <c r="R35" s="34"/>
      <c r="S35" s="33" t="s">
        <v>270</v>
      </c>
    </row>
    <row r="36" spans="2:19" x14ac:dyDescent="0.25">
      <c r="B36" s="14"/>
      <c r="C36" s="14"/>
      <c r="D36" s="14"/>
      <c r="E36" s="14"/>
      <c r="F36" s="14"/>
      <c r="G36" s="33" t="s">
        <v>395</v>
      </c>
      <c r="H36" s="33" t="s">
        <v>101</v>
      </c>
      <c r="I36" s="33" t="s">
        <v>96</v>
      </c>
      <c r="J36" s="33" t="s">
        <v>469</v>
      </c>
      <c r="K36" s="33" t="s">
        <v>596</v>
      </c>
      <c r="L36" s="33"/>
      <c r="M36" s="33">
        <v>4</v>
      </c>
      <c r="N36" s="33">
        <v>9</v>
      </c>
      <c r="O36" s="33" t="s">
        <v>96</v>
      </c>
      <c r="P36" s="34"/>
      <c r="Q36" s="40"/>
      <c r="R36" s="34"/>
      <c r="S36" s="33" t="s">
        <v>271</v>
      </c>
    </row>
    <row r="37" spans="2:19" x14ac:dyDescent="0.25">
      <c r="B37" s="14"/>
      <c r="C37" s="14"/>
      <c r="D37" s="14"/>
      <c r="E37" s="14"/>
      <c r="F37" s="14"/>
      <c r="G37" s="32" t="s">
        <v>586</v>
      </c>
      <c r="H37" s="32"/>
      <c r="I37" s="33"/>
      <c r="J37" s="32" t="s">
        <v>324</v>
      </c>
      <c r="K37" s="32"/>
      <c r="L37" s="32"/>
      <c r="M37" s="32">
        <v>2</v>
      </c>
      <c r="N37" s="33">
        <v>5</v>
      </c>
      <c r="O37" s="33"/>
      <c r="P37" s="34"/>
      <c r="Q37" s="40"/>
      <c r="R37" s="34"/>
      <c r="S37" s="33"/>
    </row>
    <row r="38" spans="2:19" x14ac:dyDescent="0.25">
      <c r="B38" s="14"/>
      <c r="C38" s="14"/>
      <c r="D38" s="14"/>
      <c r="E38" s="14"/>
      <c r="F38" s="14"/>
      <c r="G38" s="33" t="s">
        <v>396</v>
      </c>
      <c r="H38" s="33" t="s">
        <v>99</v>
      </c>
      <c r="I38" s="33" t="s">
        <v>96</v>
      </c>
      <c r="J38" s="32" t="s">
        <v>148</v>
      </c>
      <c r="K38" s="33"/>
      <c r="L38" s="32" t="s">
        <v>194</v>
      </c>
      <c r="M38" s="33">
        <v>4</v>
      </c>
      <c r="N38" s="33">
        <v>21</v>
      </c>
      <c r="O38" s="33" t="s">
        <v>96</v>
      </c>
      <c r="P38" s="34"/>
      <c r="Q38" s="40"/>
      <c r="R38" s="34"/>
      <c r="S38" s="33" t="s">
        <v>272</v>
      </c>
    </row>
    <row r="39" spans="2:19" x14ac:dyDescent="0.25">
      <c r="B39" s="14"/>
      <c r="C39" s="14"/>
      <c r="D39" s="14"/>
      <c r="E39" s="14"/>
      <c r="F39" s="14"/>
      <c r="G39" s="33" t="s">
        <v>397</v>
      </c>
      <c r="H39" s="33" t="s">
        <v>149</v>
      </c>
      <c r="I39" s="33" t="s">
        <v>96</v>
      </c>
      <c r="J39" s="32" t="s">
        <v>180</v>
      </c>
      <c r="K39" s="33"/>
      <c r="L39" s="33"/>
      <c r="M39" s="33">
        <v>4</v>
      </c>
      <c r="N39" s="33">
        <v>10</v>
      </c>
      <c r="O39" s="33" t="s">
        <v>96</v>
      </c>
      <c r="P39" s="34"/>
      <c r="Q39" s="40"/>
      <c r="R39" s="34"/>
      <c r="S39" s="33" t="s">
        <v>138</v>
      </c>
    </row>
    <row r="40" spans="2:19" x14ac:dyDescent="0.25">
      <c r="B40" s="14"/>
      <c r="C40" s="14"/>
      <c r="D40" s="14"/>
      <c r="E40" s="14"/>
      <c r="F40" s="14"/>
      <c r="G40" s="32" t="s">
        <v>195</v>
      </c>
      <c r="H40" s="32"/>
      <c r="I40" s="33"/>
      <c r="J40" s="32" t="s">
        <v>325</v>
      </c>
      <c r="K40" s="32"/>
      <c r="L40" s="32"/>
      <c r="M40" s="32">
        <v>3</v>
      </c>
      <c r="N40" s="33">
        <v>5</v>
      </c>
      <c r="O40" s="33"/>
      <c r="P40" s="34"/>
      <c r="Q40" s="40"/>
      <c r="R40" s="34"/>
      <c r="S40" s="33"/>
    </row>
    <row r="41" spans="2:19" x14ac:dyDescent="0.25">
      <c r="B41" s="14"/>
      <c r="C41" s="14"/>
      <c r="D41" s="14"/>
      <c r="E41" s="14"/>
      <c r="F41" s="14"/>
      <c r="G41" s="33" t="s">
        <v>398</v>
      </c>
      <c r="H41" s="33" t="s">
        <v>149</v>
      </c>
      <c r="I41" s="33" t="s">
        <v>96</v>
      </c>
      <c r="J41" s="33" t="s">
        <v>407</v>
      </c>
      <c r="K41" s="33"/>
      <c r="L41" s="33"/>
      <c r="M41" s="33">
        <v>4</v>
      </c>
      <c r="N41" s="33">
        <v>9</v>
      </c>
      <c r="O41" s="33" t="s">
        <v>96</v>
      </c>
      <c r="P41" s="34"/>
      <c r="Q41" s="40"/>
      <c r="R41" s="34"/>
      <c r="S41" s="33" t="s">
        <v>273</v>
      </c>
    </row>
    <row r="42" spans="2:19" x14ac:dyDescent="0.25">
      <c r="B42" s="14"/>
      <c r="C42" s="14"/>
      <c r="D42" s="14"/>
      <c r="E42" s="14"/>
      <c r="F42" s="14"/>
      <c r="G42" s="33" t="s">
        <v>399</v>
      </c>
      <c r="H42" s="33" t="s">
        <v>149</v>
      </c>
      <c r="I42" s="33" t="s">
        <v>96</v>
      </c>
      <c r="J42" s="33" t="s">
        <v>408</v>
      </c>
      <c r="K42" s="33"/>
      <c r="L42" s="33"/>
      <c r="M42" s="33">
        <v>4</v>
      </c>
      <c r="N42" s="33">
        <v>9</v>
      </c>
      <c r="O42" s="33" t="s">
        <v>96</v>
      </c>
      <c r="P42" s="34"/>
      <c r="Q42" s="40"/>
      <c r="R42" s="34"/>
      <c r="S42" s="33" t="s">
        <v>274</v>
      </c>
    </row>
    <row r="43" spans="2:19" x14ac:dyDescent="0.25">
      <c r="B43" s="14"/>
      <c r="C43" s="14"/>
      <c r="D43" s="14"/>
      <c r="E43" s="14"/>
      <c r="F43" s="14"/>
      <c r="G43" s="33" t="s">
        <v>400</v>
      </c>
      <c r="H43" s="33" t="s">
        <v>149</v>
      </c>
      <c r="I43" s="33" t="s">
        <v>96</v>
      </c>
      <c r="J43" s="33" t="s">
        <v>409</v>
      </c>
      <c r="K43" s="33"/>
      <c r="L43" s="33"/>
      <c r="M43" s="33">
        <v>4</v>
      </c>
      <c r="N43" s="33">
        <v>9</v>
      </c>
      <c r="O43" s="33" t="s">
        <v>96</v>
      </c>
      <c r="P43" s="34"/>
      <c r="Q43" s="40"/>
      <c r="R43" s="34"/>
      <c r="S43" s="33" t="s">
        <v>275</v>
      </c>
    </row>
    <row r="44" spans="2:19" x14ac:dyDescent="0.25">
      <c r="B44" s="14"/>
      <c r="C44" s="14"/>
      <c r="D44" s="14"/>
      <c r="E44" s="14"/>
      <c r="F44" s="14"/>
      <c r="G44" s="33" t="s">
        <v>401</v>
      </c>
      <c r="H44" s="33" t="s">
        <v>98</v>
      </c>
      <c r="I44" s="33" t="s">
        <v>96</v>
      </c>
      <c r="J44" s="33" t="s">
        <v>410</v>
      </c>
      <c r="K44" s="33" t="s">
        <v>598</v>
      </c>
      <c r="L44" s="33"/>
      <c r="M44" s="33">
        <v>4</v>
      </c>
      <c r="N44" s="33">
        <v>9</v>
      </c>
      <c r="O44" s="33" t="s">
        <v>96</v>
      </c>
      <c r="P44" s="34"/>
      <c r="Q44" s="40"/>
      <c r="R44" s="34"/>
      <c r="S44" s="33" t="s">
        <v>276</v>
      </c>
    </row>
    <row r="45" spans="2:19" x14ac:dyDescent="0.25">
      <c r="B45" s="14"/>
      <c r="C45" s="14"/>
      <c r="D45" s="14"/>
      <c r="E45" s="14"/>
      <c r="F45" s="14"/>
      <c r="G45" s="32" t="s">
        <v>195</v>
      </c>
      <c r="H45" s="32"/>
      <c r="I45" s="33"/>
      <c r="J45" s="32" t="s">
        <v>326</v>
      </c>
      <c r="K45" s="32"/>
      <c r="L45" s="32"/>
      <c r="M45" s="32">
        <v>3</v>
      </c>
      <c r="N45" s="33">
        <v>5</v>
      </c>
      <c r="O45" s="33"/>
      <c r="P45" s="34"/>
      <c r="Q45" s="40"/>
      <c r="R45" s="34"/>
      <c r="S45" s="33"/>
    </row>
    <row r="46" spans="2:19" x14ac:dyDescent="0.25">
      <c r="B46" s="14"/>
      <c r="C46" s="14"/>
      <c r="D46" s="14"/>
      <c r="E46" s="14"/>
      <c r="F46" s="14"/>
      <c r="G46" s="33" t="s">
        <v>402</v>
      </c>
      <c r="H46" s="33" t="s">
        <v>149</v>
      </c>
      <c r="I46" s="33" t="s">
        <v>96</v>
      </c>
      <c r="J46" s="33" t="s">
        <v>411</v>
      </c>
      <c r="K46" s="33"/>
      <c r="L46" s="33"/>
      <c r="M46" s="33">
        <v>4</v>
      </c>
      <c r="N46" s="33">
        <v>9</v>
      </c>
      <c r="O46" s="33" t="s">
        <v>96</v>
      </c>
      <c r="P46" s="34"/>
      <c r="Q46" s="40"/>
      <c r="R46" s="34"/>
      <c r="S46" s="33" t="s">
        <v>277</v>
      </c>
    </row>
    <row r="47" spans="2:19" x14ac:dyDescent="0.25">
      <c r="B47" s="14"/>
      <c r="C47" s="14"/>
      <c r="D47" s="14"/>
      <c r="E47" s="14"/>
      <c r="F47" s="14"/>
      <c r="G47" s="33" t="s">
        <v>403</v>
      </c>
      <c r="H47" s="33" t="s">
        <v>149</v>
      </c>
      <c r="I47" s="33" t="s">
        <v>96</v>
      </c>
      <c r="J47" s="33" t="s">
        <v>412</v>
      </c>
      <c r="K47" s="33"/>
      <c r="L47" s="33"/>
      <c r="M47" s="33">
        <v>4</v>
      </c>
      <c r="N47" s="33">
        <v>9</v>
      </c>
      <c r="O47" s="33" t="s">
        <v>96</v>
      </c>
      <c r="P47" s="34"/>
      <c r="Q47" s="40"/>
      <c r="R47" s="34"/>
      <c r="S47" s="33" t="s">
        <v>278</v>
      </c>
    </row>
    <row r="48" spans="2:19" x14ac:dyDescent="0.25">
      <c r="B48" s="14"/>
      <c r="C48" s="14"/>
      <c r="D48" s="14"/>
      <c r="E48" s="14"/>
      <c r="F48" s="14"/>
      <c r="G48" s="33" t="s">
        <v>404</v>
      </c>
      <c r="H48" s="33" t="s">
        <v>149</v>
      </c>
      <c r="I48" s="33" t="s">
        <v>96</v>
      </c>
      <c r="J48" s="33" t="s">
        <v>413</v>
      </c>
      <c r="K48" s="33"/>
      <c r="L48" s="33"/>
      <c r="M48" s="33">
        <v>4</v>
      </c>
      <c r="N48" s="33">
        <v>9</v>
      </c>
      <c r="O48" s="33" t="s">
        <v>96</v>
      </c>
      <c r="P48" s="34"/>
      <c r="Q48" s="40"/>
      <c r="R48" s="34"/>
      <c r="S48" s="33" t="s">
        <v>279</v>
      </c>
    </row>
    <row r="49" spans="2:19" x14ac:dyDescent="0.25">
      <c r="B49" s="14"/>
      <c r="C49" s="14"/>
      <c r="D49" s="14"/>
      <c r="E49" s="14"/>
      <c r="F49" s="14"/>
      <c r="G49" s="33" t="s">
        <v>405</v>
      </c>
      <c r="H49" s="33" t="s">
        <v>98</v>
      </c>
      <c r="I49" s="33" t="s">
        <v>96</v>
      </c>
      <c r="J49" s="33" t="s">
        <v>414</v>
      </c>
      <c r="K49" s="33" t="s">
        <v>598</v>
      </c>
      <c r="L49" s="33"/>
      <c r="M49" s="33">
        <v>4</v>
      </c>
      <c r="N49" s="33">
        <v>9</v>
      </c>
      <c r="O49" s="33" t="s">
        <v>96</v>
      </c>
      <c r="P49" s="34"/>
      <c r="Q49" s="40"/>
      <c r="R49" s="34"/>
      <c r="S49" s="33" t="s">
        <v>280</v>
      </c>
    </row>
    <row r="50" spans="2:19" x14ac:dyDescent="0.25">
      <c r="B50" s="14"/>
      <c r="C50" s="14"/>
      <c r="D50" s="14"/>
      <c r="E50" s="14"/>
      <c r="F50" s="14"/>
      <c r="G50" s="32" t="s">
        <v>586</v>
      </c>
      <c r="H50" s="32"/>
      <c r="I50" s="33"/>
      <c r="J50" s="32" t="s">
        <v>146</v>
      </c>
      <c r="K50" s="32"/>
      <c r="L50" s="32"/>
      <c r="M50" s="32">
        <v>1</v>
      </c>
      <c r="N50" s="33">
        <v>5</v>
      </c>
      <c r="O50" s="33"/>
      <c r="P50" s="34"/>
      <c r="Q50" s="40"/>
      <c r="R50" s="34"/>
      <c r="S50" s="33"/>
    </row>
    <row r="51" spans="2:19" x14ac:dyDescent="0.25">
      <c r="B51" s="14"/>
      <c r="C51" s="14"/>
      <c r="D51" s="14"/>
      <c r="E51" s="14"/>
      <c r="F51" s="14"/>
      <c r="G51" s="33" t="s">
        <v>181</v>
      </c>
      <c r="H51" s="33" t="s">
        <v>101</v>
      </c>
      <c r="I51" s="33" t="s">
        <v>94</v>
      </c>
      <c r="J51" s="32" t="s">
        <v>197</v>
      </c>
      <c r="K51" s="33" t="s">
        <v>181</v>
      </c>
      <c r="L51" s="33"/>
      <c r="M51" s="33">
        <v>4</v>
      </c>
      <c r="N51" s="33">
        <v>9</v>
      </c>
      <c r="O51" s="33" t="s">
        <v>96</v>
      </c>
      <c r="P51" s="34"/>
      <c r="Q51" s="40"/>
      <c r="R51" s="34"/>
      <c r="S51" s="33" t="s">
        <v>285</v>
      </c>
    </row>
    <row r="52" spans="2:19" x14ac:dyDescent="0.25">
      <c r="B52" s="14"/>
      <c r="C52" s="14"/>
      <c r="D52" s="14"/>
      <c r="E52" s="14"/>
      <c r="F52" s="14"/>
      <c r="G52" s="33" t="s">
        <v>328</v>
      </c>
      <c r="H52" s="33" t="s">
        <v>101</v>
      </c>
      <c r="I52" s="33" t="s">
        <v>94</v>
      </c>
      <c r="J52" s="32" t="s">
        <v>147</v>
      </c>
      <c r="K52" s="33" t="s">
        <v>45</v>
      </c>
      <c r="L52" s="33"/>
      <c r="M52" s="33">
        <v>4</v>
      </c>
      <c r="N52" s="33">
        <v>9</v>
      </c>
      <c r="O52" s="33" t="s">
        <v>96</v>
      </c>
      <c r="P52" s="34"/>
      <c r="Q52" s="40"/>
      <c r="R52" s="34"/>
      <c r="S52" s="33" t="s">
        <v>286</v>
      </c>
    </row>
    <row r="53" spans="2:19" x14ac:dyDescent="0.25">
      <c r="B53" s="14"/>
      <c r="C53" s="14"/>
      <c r="D53" s="14"/>
      <c r="E53" s="14"/>
      <c r="F53" s="14"/>
      <c r="G53" s="33" t="s">
        <v>329</v>
      </c>
      <c r="H53" s="33" t="s">
        <v>101</v>
      </c>
      <c r="I53" s="33" t="s">
        <v>94</v>
      </c>
      <c r="J53" s="33" t="s">
        <v>415</v>
      </c>
      <c r="K53" s="33" t="s">
        <v>371</v>
      </c>
      <c r="L53" s="33"/>
      <c r="M53" s="33">
        <v>4</v>
      </c>
      <c r="N53" s="33">
        <v>9</v>
      </c>
      <c r="O53" s="33" t="s">
        <v>96</v>
      </c>
      <c r="P53" s="34"/>
      <c r="Q53" s="40"/>
      <c r="R53" s="34"/>
      <c r="S53" s="33" t="s">
        <v>287</v>
      </c>
    </row>
    <row r="54" spans="2:19" x14ac:dyDescent="0.25">
      <c r="B54" s="14"/>
      <c r="C54" s="14"/>
      <c r="D54" s="14"/>
      <c r="E54" s="14"/>
      <c r="F54" s="14"/>
      <c r="G54" s="33" t="s">
        <v>330</v>
      </c>
      <c r="H54" s="33" t="s">
        <v>101</v>
      </c>
      <c r="I54" s="33" t="s">
        <v>94</v>
      </c>
      <c r="J54" s="33" t="s">
        <v>416</v>
      </c>
      <c r="K54" s="33" t="s">
        <v>371</v>
      </c>
      <c r="L54" s="33"/>
      <c r="M54" s="33">
        <v>4</v>
      </c>
      <c r="N54" s="33">
        <v>10</v>
      </c>
      <c r="O54" s="33" t="s">
        <v>96</v>
      </c>
      <c r="P54" s="34"/>
      <c r="Q54" s="40"/>
      <c r="R54" s="34"/>
      <c r="S54" s="33" t="s">
        <v>288</v>
      </c>
    </row>
    <row r="55" spans="2:19" x14ac:dyDescent="0.25">
      <c r="B55" s="14"/>
      <c r="C55" s="14"/>
      <c r="D55" s="14"/>
      <c r="E55" s="14"/>
      <c r="F55" s="14"/>
      <c r="G55" s="32" t="s">
        <v>195</v>
      </c>
      <c r="H55" s="32"/>
      <c r="I55" s="33"/>
      <c r="J55" s="32" t="s">
        <v>364</v>
      </c>
      <c r="K55" s="32"/>
      <c r="L55" s="32"/>
      <c r="M55" s="32">
        <v>2</v>
      </c>
      <c r="N55" s="33">
        <v>5</v>
      </c>
      <c r="O55" s="33"/>
      <c r="P55" s="34"/>
      <c r="Q55" s="40"/>
      <c r="R55" s="34"/>
      <c r="S55" s="33"/>
    </row>
    <row r="56" spans="2:19" x14ac:dyDescent="0.25">
      <c r="B56" s="14"/>
      <c r="C56" s="14"/>
      <c r="D56" s="14"/>
      <c r="E56" s="14"/>
      <c r="F56" s="14"/>
      <c r="G56" s="33" t="s">
        <v>331</v>
      </c>
      <c r="H56" s="33" t="s">
        <v>149</v>
      </c>
      <c r="I56" s="33" t="s">
        <v>96</v>
      </c>
      <c r="J56" s="33" t="s">
        <v>417</v>
      </c>
      <c r="K56" s="33"/>
      <c r="L56" s="33"/>
      <c r="M56" s="33">
        <v>4</v>
      </c>
      <c r="N56" s="33">
        <v>9</v>
      </c>
      <c r="O56" s="33" t="s">
        <v>96</v>
      </c>
      <c r="P56" s="34"/>
      <c r="Q56" s="40"/>
      <c r="R56" s="34"/>
      <c r="S56" s="33" t="s">
        <v>289</v>
      </c>
    </row>
    <row r="57" spans="2:19" x14ac:dyDescent="0.25">
      <c r="B57" s="14"/>
      <c r="C57" s="14"/>
      <c r="D57" s="14"/>
      <c r="E57" s="14"/>
      <c r="F57" s="14"/>
      <c r="G57" s="33" t="s">
        <v>332</v>
      </c>
      <c r="H57" s="33" t="s">
        <v>101</v>
      </c>
      <c r="I57" s="33" t="s">
        <v>96</v>
      </c>
      <c r="J57" s="33" t="s">
        <v>436</v>
      </c>
      <c r="K57" s="33" t="s">
        <v>368</v>
      </c>
      <c r="L57" s="33"/>
      <c r="M57" s="33">
        <v>4</v>
      </c>
      <c r="N57" s="33">
        <v>9</v>
      </c>
      <c r="O57" s="33" t="s">
        <v>96</v>
      </c>
      <c r="P57" s="34"/>
      <c r="Q57" s="40"/>
      <c r="R57" s="34"/>
      <c r="S57" s="33" t="s">
        <v>290</v>
      </c>
    </row>
    <row r="58" spans="2:19" x14ac:dyDescent="0.25">
      <c r="B58" s="14"/>
      <c r="C58" s="14"/>
      <c r="D58" s="14"/>
      <c r="E58" s="14"/>
      <c r="F58" s="14"/>
      <c r="G58" s="33" t="s">
        <v>333</v>
      </c>
      <c r="H58" s="33" t="s">
        <v>149</v>
      </c>
      <c r="I58" s="33" t="s">
        <v>96</v>
      </c>
      <c r="J58" s="33" t="s">
        <v>418</v>
      </c>
      <c r="K58" s="33"/>
      <c r="L58" s="33"/>
      <c r="M58" s="33">
        <v>4</v>
      </c>
      <c r="N58" s="33">
        <v>9</v>
      </c>
      <c r="O58" s="33" t="s">
        <v>96</v>
      </c>
      <c r="P58" s="34"/>
      <c r="Q58" s="40"/>
      <c r="R58" s="34"/>
      <c r="S58" s="33" t="s">
        <v>291</v>
      </c>
    </row>
    <row r="59" spans="2:19" x14ac:dyDescent="0.25">
      <c r="B59" s="14"/>
      <c r="C59" s="14"/>
      <c r="D59" s="14"/>
      <c r="E59" s="14"/>
      <c r="F59" s="14"/>
      <c r="G59" s="33" t="s">
        <v>334</v>
      </c>
      <c r="H59" s="33" t="s">
        <v>101</v>
      </c>
      <c r="I59" s="33" t="s">
        <v>96</v>
      </c>
      <c r="J59" s="33" t="s">
        <v>449</v>
      </c>
      <c r="K59" s="33" t="s">
        <v>368</v>
      </c>
      <c r="L59" s="33"/>
      <c r="M59" s="33">
        <v>4</v>
      </c>
      <c r="N59" s="33">
        <v>9</v>
      </c>
      <c r="O59" s="33" t="s">
        <v>96</v>
      </c>
      <c r="P59" s="34"/>
      <c r="Q59" s="40"/>
      <c r="R59" s="34"/>
      <c r="S59" s="33" t="s">
        <v>292</v>
      </c>
    </row>
    <row r="60" spans="2:19" x14ac:dyDescent="0.25">
      <c r="B60" s="14"/>
      <c r="C60" s="14"/>
      <c r="D60" s="14"/>
      <c r="E60" s="14"/>
      <c r="F60" s="14"/>
      <c r="G60" s="33" t="s">
        <v>335</v>
      </c>
      <c r="H60" s="33" t="s">
        <v>149</v>
      </c>
      <c r="I60" s="33" t="s">
        <v>96</v>
      </c>
      <c r="J60" s="33" t="s">
        <v>419</v>
      </c>
      <c r="K60" s="33"/>
      <c r="L60" s="33"/>
      <c r="M60" s="33">
        <v>4</v>
      </c>
      <c r="N60" s="33">
        <v>9</v>
      </c>
      <c r="O60" s="33" t="s">
        <v>96</v>
      </c>
      <c r="P60" s="34"/>
      <c r="Q60" s="40"/>
      <c r="R60" s="34"/>
      <c r="S60" s="33" t="s">
        <v>293</v>
      </c>
    </row>
    <row r="61" spans="2:19" x14ac:dyDescent="0.25">
      <c r="B61" s="14"/>
      <c r="C61" s="14"/>
      <c r="D61" s="14"/>
      <c r="E61" s="14"/>
      <c r="F61" s="14"/>
      <c r="G61" s="33" t="s">
        <v>336</v>
      </c>
      <c r="H61" s="33" t="s">
        <v>101</v>
      </c>
      <c r="I61" s="33" t="s">
        <v>96</v>
      </c>
      <c r="J61" s="33" t="s">
        <v>437</v>
      </c>
      <c r="K61" s="33" t="s">
        <v>597</v>
      </c>
      <c r="L61" s="33"/>
      <c r="M61" s="33">
        <v>4</v>
      </c>
      <c r="N61" s="33">
        <v>9</v>
      </c>
      <c r="O61" s="33" t="s">
        <v>96</v>
      </c>
      <c r="P61" s="34"/>
      <c r="Q61" s="40"/>
      <c r="R61" s="34"/>
      <c r="S61" s="33" t="s">
        <v>294</v>
      </c>
    </row>
    <row r="62" spans="2:19" x14ac:dyDescent="0.25">
      <c r="B62" s="14"/>
      <c r="C62" s="14"/>
      <c r="D62" s="14"/>
      <c r="E62" s="14"/>
      <c r="F62" s="14"/>
      <c r="G62" s="33" t="s">
        <v>337</v>
      </c>
      <c r="H62" s="33" t="s">
        <v>149</v>
      </c>
      <c r="I62" s="33" t="s">
        <v>96</v>
      </c>
      <c r="J62" s="33" t="s">
        <v>420</v>
      </c>
      <c r="K62" s="33"/>
      <c r="L62" s="33"/>
      <c r="M62" s="33">
        <v>4</v>
      </c>
      <c r="N62" s="33">
        <v>9</v>
      </c>
      <c r="O62" s="33" t="s">
        <v>96</v>
      </c>
      <c r="P62" s="34"/>
      <c r="Q62" s="40"/>
      <c r="R62" s="34"/>
      <c r="S62" s="33" t="s">
        <v>295</v>
      </c>
    </row>
    <row r="63" spans="2:19" x14ac:dyDescent="0.25">
      <c r="B63" s="14"/>
      <c r="C63" s="14"/>
      <c r="D63" s="14"/>
      <c r="E63" s="14"/>
      <c r="F63" s="14"/>
      <c r="G63" s="33" t="s">
        <v>338</v>
      </c>
      <c r="H63" s="33" t="s">
        <v>98</v>
      </c>
      <c r="I63" s="33" t="s">
        <v>96</v>
      </c>
      <c r="J63" s="33" t="s">
        <v>421</v>
      </c>
      <c r="K63" s="33" t="s">
        <v>598</v>
      </c>
      <c r="L63" s="33"/>
      <c r="M63" s="33">
        <v>4</v>
      </c>
      <c r="N63" s="33">
        <v>9</v>
      </c>
      <c r="O63" s="33" t="s">
        <v>96</v>
      </c>
      <c r="P63" s="34"/>
      <c r="Q63" s="40"/>
      <c r="R63" s="34"/>
      <c r="S63" s="33" t="s">
        <v>296</v>
      </c>
    </row>
    <row r="64" spans="2:19" x14ac:dyDescent="0.25">
      <c r="B64" s="14"/>
      <c r="C64" s="14"/>
      <c r="D64" s="14"/>
      <c r="E64" s="14"/>
      <c r="F64" s="14"/>
      <c r="G64" s="33" t="s">
        <v>339</v>
      </c>
      <c r="H64" s="33" t="s">
        <v>149</v>
      </c>
      <c r="I64" s="33" t="s">
        <v>96</v>
      </c>
      <c r="J64" s="33" t="s">
        <v>422</v>
      </c>
      <c r="K64" s="33"/>
      <c r="L64" s="33"/>
      <c r="M64" s="33">
        <v>4</v>
      </c>
      <c r="N64" s="33">
        <v>9</v>
      </c>
      <c r="O64" s="33" t="s">
        <v>96</v>
      </c>
      <c r="P64" s="34"/>
      <c r="Q64" s="40"/>
      <c r="R64" s="34"/>
      <c r="S64" s="33" t="s">
        <v>297</v>
      </c>
    </row>
    <row r="65" spans="2:19" x14ac:dyDescent="0.25">
      <c r="B65" s="14"/>
      <c r="C65" s="14"/>
      <c r="D65" s="14"/>
      <c r="E65" s="14"/>
      <c r="F65" s="14"/>
      <c r="G65" s="33" t="s">
        <v>340</v>
      </c>
      <c r="H65" s="33" t="s">
        <v>149</v>
      </c>
      <c r="I65" s="33" t="s">
        <v>96</v>
      </c>
      <c r="J65" s="33" t="s">
        <v>423</v>
      </c>
      <c r="K65" s="33"/>
      <c r="L65" s="33"/>
      <c r="M65" s="33">
        <v>4</v>
      </c>
      <c r="N65" s="33">
        <v>9</v>
      </c>
      <c r="O65" s="33" t="s">
        <v>96</v>
      </c>
      <c r="P65" s="34"/>
      <c r="Q65" s="40"/>
      <c r="R65" s="34"/>
      <c r="S65" s="33" t="s">
        <v>298</v>
      </c>
    </row>
    <row r="66" spans="2:19" x14ac:dyDescent="0.25">
      <c r="B66" s="14"/>
      <c r="C66" s="14"/>
      <c r="D66" s="14"/>
      <c r="E66" s="14"/>
      <c r="F66" s="14"/>
      <c r="G66" s="33" t="s">
        <v>341</v>
      </c>
      <c r="H66" s="33" t="s">
        <v>98</v>
      </c>
      <c r="I66" s="33" t="s">
        <v>96</v>
      </c>
      <c r="J66" s="33" t="s">
        <v>438</v>
      </c>
      <c r="K66" s="33" t="s">
        <v>369</v>
      </c>
      <c r="L66" s="33"/>
      <c r="M66" s="33">
        <v>4</v>
      </c>
      <c r="N66" s="33">
        <v>9</v>
      </c>
      <c r="O66" s="33" t="s">
        <v>96</v>
      </c>
      <c r="P66" s="34"/>
      <c r="Q66" s="40"/>
      <c r="R66" s="34"/>
      <c r="S66" s="33" t="s">
        <v>299</v>
      </c>
    </row>
    <row r="67" spans="2:19" x14ac:dyDescent="0.25">
      <c r="B67" s="14"/>
      <c r="C67" s="14"/>
      <c r="D67" s="14"/>
      <c r="E67" s="14"/>
      <c r="F67" s="14"/>
      <c r="G67" s="33" t="s">
        <v>342</v>
      </c>
      <c r="H67" s="33" t="s">
        <v>149</v>
      </c>
      <c r="I67" s="33" t="s">
        <v>96</v>
      </c>
      <c r="J67" s="33" t="s">
        <v>424</v>
      </c>
      <c r="K67" s="33"/>
      <c r="L67" s="33"/>
      <c r="M67" s="33">
        <v>4</v>
      </c>
      <c r="N67" s="33">
        <v>9</v>
      </c>
      <c r="O67" s="33" t="s">
        <v>96</v>
      </c>
      <c r="P67" s="34"/>
      <c r="Q67" s="40"/>
      <c r="R67" s="34"/>
      <c r="S67" s="33" t="s">
        <v>300</v>
      </c>
    </row>
    <row r="68" spans="2:19" x14ac:dyDescent="0.25">
      <c r="B68" s="14"/>
      <c r="C68" s="14"/>
      <c r="D68" s="14"/>
      <c r="E68" s="14"/>
      <c r="F68" s="14"/>
      <c r="G68" s="33" t="s">
        <v>343</v>
      </c>
      <c r="H68" s="33" t="s">
        <v>101</v>
      </c>
      <c r="I68" s="33" t="s">
        <v>96</v>
      </c>
      <c r="J68" s="33" t="s">
        <v>439</v>
      </c>
      <c r="K68" s="33" t="s">
        <v>370</v>
      </c>
      <c r="L68" s="33"/>
      <c r="M68" s="33">
        <v>4</v>
      </c>
      <c r="N68" s="33">
        <v>9</v>
      </c>
      <c r="O68" s="33" t="s">
        <v>96</v>
      </c>
      <c r="P68" s="34"/>
      <c r="Q68" s="40"/>
      <c r="R68" s="34"/>
      <c r="S68" s="33" t="s">
        <v>301</v>
      </c>
    </row>
    <row r="69" spans="2:19" x14ac:dyDescent="0.25">
      <c r="B69" s="14"/>
      <c r="C69" s="14"/>
      <c r="D69" s="14"/>
      <c r="E69" s="14"/>
      <c r="F69" s="14"/>
      <c r="G69" s="33" t="s">
        <v>344</v>
      </c>
      <c r="H69" s="33" t="s">
        <v>149</v>
      </c>
      <c r="I69" s="33" t="s">
        <v>96</v>
      </c>
      <c r="J69" s="33" t="s">
        <v>425</v>
      </c>
      <c r="K69" s="33"/>
      <c r="L69" s="33"/>
      <c r="M69" s="33">
        <v>4</v>
      </c>
      <c r="N69" s="33">
        <v>9</v>
      </c>
      <c r="O69" s="33" t="s">
        <v>96</v>
      </c>
      <c r="P69" s="34"/>
      <c r="Q69" s="40"/>
      <c r="R69" s="34"/>
      <c r="S69" s="33" t="s">
        <v>302</v>
      </c>
    </row>
    <row r="70" spans="2:19" x14ac:dyDescent="0.25">
      <c r="B70" s="14"/>
      <c r="C70" s="14"/>
      <c r="D70" s="14"/>
      <c r="E70" s="14"/>
      <c r="F70" s="14"/>
      <c r="G70" s="33" t="s">
        <v>345</v>
      </c>
      <c r="H70" s="33" t="s">
        <v>149</v>
      </c>
      <c r="I70" s="33" t="s">
        <v>96</v>
      </c>
      <c r="J70" s="33" t="s">
        <v>426</v>
      </c>
      <c r="K70" s="33"/>
      <c r="L70" s="33"/>
      <c r="M70" s="33">
        <v>4</v>
      </c>
      <c r="N70" s="33">
        <v>9</v>
      </c>
      <c r="O70" s="33" t="s">
        <v>96</v>
      </c>
      <c r="P70" s="34"/>
      <c r="Q70" s="40"/>
      <c r="R70" s="34"/>
      <c r="S70" s="33" t="s">
        <v>303</v>
      </c>
    </row>
    <row r="71" spans="2:19" x14ac:dyDescent="0.25">
      <c r="B71" s="14"/>
      <c r="C71" s="14"/>
      <c r="D71" s="14"/>
      <c r="E71" s="14"/>
      <c r="F71" s="14"/>
      <c r="G71" s="33" t="s">
        <v>346</v>
      </c>
      <c r="H71" s="33" t="s">
        <v>101</v>
      </c>
      <c r="I71" s="33" t="s">
        <v>96</v>
      </c>
      <c r="J71" s="33" t="s">
        <v>440</v>
      </c>
      <c r="K71" s="33" t="s">
        <v>592</v>
      </c>
      <c r="L71" s="33"/>
      <c r="M71" s="33">
        <v>4</v>
      </c>
      <c r="N71" s="33">
        <v>9</v>
      </c>
      <c r="O71" s="33" t="s">
        <v>96</v>
      </c>
      <c r="P71" s="34"/>
      <c r="Q71" s="40"/>
      <c r="R71" s="34"/>
      <c r="S71" s="33" t="s">
        <v>304</v>
      </c>
    </row>
    <row r="72" spans="2:19" x14ac:dyDescent="0.25">
      <c r="B72" s="14"/>
      <c r="C72" s="14"/>
      <c r="D72" s="14"/>
      <c r="E72" s="14"/>
      <c r="F72" s="14"/>
      <c r="G72" s="33" t="s">
        <v>347</v>
      </c>
      <c r="H72" s="33" t="s">
        <v>101</v>
      </c>
      <c r="I72" s="33" t="s">
        <v>96</v>
      </c>
      <c r="J72" s="33" t="s">
        <v>427</v>
      </c>
      <c r="K72" s="33" t="s">
        <v>593</v>
      </c>
      <c r="L72" s="33"/>
      <c r="M72" s="33">
        <v>4</v>
      </c>
      <c r="N72" s="33">
        <v>9</v>
      </c>
      <c r="O72" s="33" t="s">
        <v>96</v>
      </c>
      <c r="P72" s="34"/>
      <c r="Q72" s="40"/>
      <c r="R72" s="34"/>
      <c r="S72" s="33" t="s">
        <v>305</v>
      </c>
    </row>
    <row r="73" spans="2:19" x14ac:dyDescent="0.25">
      <c r="B73" s="14"/>
      <c r="C73" s="14"/>
      <c r="D73" s="14"/>
      <c r="E73" s="14"/>
      <c r="F73" s="14"/>
      <c r="G73" s="33" t="s">
        <v>348</v>
      </c>
      <c r="H73" s="33" t="s">
        <v>101</v>
      </c>
      <c r="I73" s="33" t="s">
        <v>96</v>
      </c>
      <c r="J73" s="33" t="s">
        <v>428</v>
      </c>
      <c r="K73" s="33" t="s">
        <v>594</v>
      </c>
      <c r="L73" s="33"/>
      <c r="M73" s="33">
        <v>4</v>
      </c>
      <c r="N73" s="33">
        <v>9</v>
      </c>
      <c r="O73" s="33" t="s">
        <v>96</v>
      </c>
      <c r="P73" s="34"/>
      <c r="Q73" s="40"/>
      <c r="R73" s="34"/>
      <c r="S73" s="33" t="s">
        <v>306</v>
      </c>
    </row>
    <row r="74" spans="2:19" x14ac:dyDescent="0.25">
      <c r="B74" s="14"/>
      <c r="C74" s="14"/>
      <c r="D74" s="14"/>
      <c r="E74" s="14"/>
      <c r="F74" s="14"/>
      <c r="G74" s="33" t="s">
        <v>349</v>
      </c>
      <c r="H74" s="33" t="s">
        <v>101</v>
      </c>
      <c r="I74" s="33" t="s">
        <v>96</v>
      </c>
      <c r="J74" s="33" t="s">
        <v>429</v>
      </c>
      <c r="K74" s="33" t="s">
        <v>595</v>
      </c>
      <c r="L74" s="33"/>
      <c r="M74" s="33">
        <v>4</v>
      </c>
      <c r="N74" s="33">
        <v>9</v>
      </c>
      <c r="O74" s="33" t="s">
        <v>96</v>
      </c>
      <c r="P74" s="34"/>
      <c r="Q74" s="40"/>
      <c r="R74" s="34"/>
      <c r="S74" s="33" t="s">
        <v>307</v>
      </c>
    </row>
    <row r="75" spans="2:19" x14ac:dyDescent="0.25">
      <c r="B75" s="14"/>
      <c r="C75" s="14"/>
      <c r="D75" s="14"/>
      <c r="E75" s="14"/>
      <c r="F75" s="14"/>
      <c r="G75" s="33" t="s">
        <v>350</v>
      </c>
      <c r="H75" s="33" t="s">
        <v>101</v>
      </c>
      <c r="I75" s="33" t="s">
        <v>96</v>
      </c>
      <c r="J75" s="33" t="s">
        <v>430</v>
      </c>
      <c r="K75" s="33" t="s">
        <v>596</v>
      </c>
      <c r="L75" s="33"/>
      <c r="M75" s="33">
        <v>4</v>
      </c>
      <c r="N75" s="33">
        <v>9</v>
      </c>
      <c r="O75" s="33" t="s">
        <v>96</v>
      </c>
      <c r="P75" s="34"/>
      <c r="Q75" s="40"/>
      <c r="R75" s="34"/>
      <c r="S75" s="33" t="s">
        <v>308</v>
      </c>
    </row>
    <row r="76" spans="2:19" x14ac:dyDescent="0.25">
      <c r="B76" s="14"/>
      <c r="C76" s="14"/>
      <c r="D76" s="14"/>
      <c r="E76" s="14"/>
      <c r="F76" s="14"/>
      <c r="G76" s="32" t="s">
        <v>586</v>
      </c>
      <c r="H76" s="32"/>
      <c r="I76" s="33"/>
      <c r="J76" s="32" t="s">
        <v>365</v>
      </c>
      <c r="K76" s="32"/>
      <c r="L76" s="32"/>
      <c r="M76" s="32">
        <v>2</v>
      </c>
      <c r="N76" s="33">
        <v>5</v>
      </c>
      <c r="O76" s="33"/>
      <c r="P76" s="34"/>
      <c r="Q76" s="40"/>
      <c r="R76" s="34"/>
      <c r="S76" s="33"/>
    </row>
    <row r="77" spans="2:19" x14ac:dyDescent="0.25">
      <c r="B77" s="14"/>
      <c r="C77" s="14"/>
      <c r="D77" s="14"/>
      <c r="E77" s="14"/>
      <c r="F77" s="14"/>
      <c r="G77" s="33" t="s">
        <v>351</v>
      </c>
      <c r="H77" s="33" t="s">
        <v>149</v>
      </c>
      <c r="I77" s="33" t="s">
        <v>96</v>
      </c>
      <c r="J77" s="33" t="s">
        <v>431</v>
      </c>
      <c r="K77" s="33"/>
      <c r="L77" s="33"/>
      <c r="M77" s="33">
        <v>4</v>
      </c>
      <c r="N77" s="33">
        <v>10</v>
      </c>
      <c r="O77" s="33" t="s">
        <v>96</v>
      </c>
      <c r="P77" s="34"/>
      <c r="Q77" s="40"/>
      <c r="R77" s="34"/>
      <c r="S77" s="33" t="s">
        <v>309</v>
      </c>
    </row>
    <row r="78" spans="2:19" x14ac:dyDescent="0.25">
      <c r="B78" s="14"/>
      <c r="C78" s="14"/>
      <c r="D78" s="14"/>
      <c r="E78" s="14"/>
      <c r="F78" s="14"/>
      <c r="G78" s="33" t="s">
        <v>352</v>
      </c>
      <c r="H78" s="33" t="s">
        <v>99</v>
      </c>
      <c r="I78" s="33" t="s">
        <v>96</v>
      </c>
      <c r="J78" s="33" t="s">
        <v>432</v>
      </c>
      <c r="K78" s="33"/>
      <c r="L78" s="32" t="s">
        <v>194</v>
      </c>
      <c r="M78" s="33">
        <v>4</v>
      </c>
      <c r="N78" s="33">
        <v>21</v>
      </c>
      <c r="O78" s="33" t="s">
        <v>96</v>
      </c>
      <c r="P78" s="34"/>
      <c r="Q78" s="40"/>
      <c r="R78" s="34"/>
      <c r="S78" s="33" t="s">
        <v>310</v>
      </c>
    </row>
    <row r="79" spans="2:19" x14ac:dyDescent="0.25">
      <c r="B79" s="14"/>
      <c r="C79" s="14"/>
      <c r="D79" s="14"/>
      <c r="E79" s="14"/>
      <c r="F79" s="14"/>
      <c r="G79" s="33" t="s">
        <v>353</v>
      </c>
      <c r="H79" s="33" t="s">
        <v>149</v>
      </c>
      <c r="I79" s="33" t="s">
        <v>96</v>
      </c>
      <c r="J79" s="33" t="s">
        <v>433</v>
      </c>
      <c r="K79" s="33"/>
      <c r="L79" s="33"/>
      <c r="M79" s="33">
        <v>4</v>
      </c>
      <c r="N79" s="33">
        <v>10</v>
      </c>
      <c r="O79" s="33" t="s">
        <v>96</v>
      </c>
      <c r="P79" s="34"/>
      <c r="Q79" s="40"/>
      <c r="R79" s="34"/>
      <c r="S79" s="33" t="s">
        <v>311</v>
      </c>
    </row>
    <row r="80" spans="2:19" x14ac:dyDescent="0.25">
      <c r="B80" s="14"/>
      <c r="C80" s="14"/>
      <c r="D80" s="14"/>
      <c r="E80" s="14"/>
      <c r="F80" s="14"/>
      <c r="G80" s="32" t="s">
        <v>195</v>
      </c>
      <c r="H80" s="32"/>
      <c r="I80" s="33"/>
      <c r="J80" s="32" t="s">
        <v>366</v>
      </c>
      <c r="K80" s="32"/>
      <c r="L80" s="32"/>
      <c r="M80" s="32">
        <v>3</v>
      </c>
      <c r="N80" s="33">
        <v>5</v>
      </c>
      <c r="O80" s="33"/>
      <c r="P80" s="34"/>
      <c r="Q80" s="40"/>
      <c r="R80" s="34"/>
      <c r="S80" s="33"/>
    </row>
    <row r="81" spans="2:19" x14ac:dyDescent="0.25">
      <c r="B81" s="14"/>
      <c r="C81" s="14"/>
      <c r="D81" s="14"/>
      <c r="E81" s="14"/>
      <c r="F81" s="14"/>
      <c r="G81" s="33" t="s">
        <v>354</v>
      </c>
      <c r="H81" s="33" t="s">
        <v>149</v>
      </c>
      <c r="I81" s="33" t="s">
        <v>96</v>
      </c>
      <c r="J81" s="33" t="s">
        <v>434</v>
      </c>
      <c r="K81" s="33"/>
      <c r="L81" s="33"/>
      <c r="M81" s="33">
        <v>4</v>
      </c>
      <c r="N81" s="33">
        <v>9</v>
      </c>
      <c r="O81" s="33" t="s">
        <v>96</v>
      </c>
      <c r="P81" s="34"/>
      <c r="Q81" s="40"/>
      <c r="R81" s="34"/>
      <c r="S81" s="33" t="s">
        <v>312</v>
      </c>
    </row>
    <row r="82" spans="2:19" x14ac:dyDescent="0.25">
      <c r="B82" s="14"/>
      <c r="C82" s="14"/>
      <c r="D82" s="14"/>
      <c r="E82" s="14"/>
      <c r="F82" s="14"/>
      <c r="G82" s="33" t="s">
        <v>355</v>
      </c>
      <c r="H82" s="33" t="s">
        <v>149</v>
      </c>
      <c r="I82" s="33" t="s">
        <v>96</v>
      </c>
      <c r="J82" s="33" t="s">
        <v>441</v>
      </c>
      <c r="K82" s="33"/>
      <c r="L82" s="33"/>
      <c r="M82" s="33">
        <v>4</v>
      </c>
      <c r="N82" s="33">
        <v>9</v>
      </c>
      <c r="O82" s="33" t="s">
        <v>96</v>
      </c>
      <c r="P82" s="34"/>
      <c r="Q82" s="40"/>
      <c r="R82" s="34"/>
      <c r="S82" s="33" t="s">
        <v>313</v>
      </c>
    </row>
    <row r="83" spans="2:19" x14ac:dyDescent="0.25">
      <c r="B83" s="14"/>
      <c r="C83" s="14"/>
      <c r="D83" s="14"/>
      <c r="E83" s="14"/>
      <c r="F83" s="14"/>
      <c r="G83" s="33" t="s">
        <v>356</v>
      </c>
      <c r="H83" s="33" t="s">
        <v>149</v>
      </c>
      <c r="I83" s="33" t="s">
        <v>96</v>
      </c>
      <c r="J83" s="33" t="s">
        <v>447</v>
      </c>
      <c r="K83" s="33"/>
      <c r="L83" s="33"/>
      <c r="M83" s="33">
        <v>4</v>
      </c>
      <c r="N83" s="33">
        <v>9</v>
      </c>
      <c r="O83" s="33" t="s">
        <v>96</v>
      </c>
      <c r="P83" s="34"/>
      <c r="Q83" s="40"/>
      <c r="R83" s="34"/>
      <c r="S83" s="33" t="s">
        <v>314</v>
      </c>
    </row>
    <row r="84" spans="2:19" x14ac:dyDescent="0.25">
      <c r="B84" s="14"/>
      <c r="C84" s="14"/>
      <c r="D84" s="14"/>
      <c r="E84" s="14"/>
      <c r="F84" s="14"/>
      <c r="G84" s="33" t="s">
        <v>357</v>
      </c>
      <c r="H84" s="33" t="s">
        <v>149</v>
      </c>
      <c r="I84" s="33" t="s">
        <v>96</v>
      </c>
      <c r="J84" s="33" t="s">
        <v>448</v>
      </c>
      <c r="K84" s="33"/>
      <c r="L84" s="33"/>
      <c r="M84" s="33">
        <v>4</v>
      </c>
      <c r="N84" s="33">
        <v>9</v>
      </c>
      <c r="O84" s="33" t="s">
        <v>96</v>
      </c>
      <c r="P84" s="34"/>
      <c r="Q84" s="40"/>
      <c r="R84" s="34"/>
      <c r="S84" s="33" t="s">
        <v>315</v>
      </c>
    </row>
    <row r="85" spans="2:19" x14ac:dyDescent="0.25">
      <c r="B85" s="14"/>
      <c r="C85" s="14"/>
      <c r="D85" s="14"/>
      <c r="E85" s="14"/>
      <c r="F85" s="14"/>
      <c r="G85" s="33" t="s">
        <v>358</v>
      </c>
      <c r="H85" s="33" t="s">
        <v>98</v>
      </c>
      <c r="I85" s="33" t="s">
        <v>96</v>
      </c>
      <c r="J85" s="33" t="s">
        <v>442</v>
      </c>
      <c r="K85" s="33" t="s">
        <v>598</v>
      </c>
      <c r="L85" s="33"/>
      <c r="M85" s="33">
        <v>4</v>
      </c>
      <c r="N85" s="33">
        <v>9</v>
      </c>
      <c r="O85" s="33" t="s">
        <v>96</v>
      </c>
      <c r="P85" s="34"/>
      <c r="Q85" s="40"/>
      <c r="R85" s="34"/>
      <c r="S85" s="33" t="s">
        <v>316</v>
      </c>
    </row>
    <row r="86" spans="2:19" x14ac:dyDescent="0.25">
      <c r="B86" s="14"/>
      <c r="C86" s="14"/>
      <c r="D86" s="14"/>
      <c r="E86" s="14"/>
      <c r="F86" s="14"/>
      <c r="G86" s="32" t="s">
        <v>195</v>
      </c>
      <c r="H86" s="32"/>
      <c r="I86" s="33"/>
      <c r="J86" s="32" t="s">
        <v>367</v>
      </c>
      <c r="K86" s="32"/>
      <c r="L86" s="32"/>
      <c r="M86" s="32">
        <v>3</v>
      </c>
      <c r="N86" s="33">
        <v>5</v>
      </c>
      <c r="O86" s="33"/>
      <c r="P86" s="34"/>
      <c r="Q86" s="40"/>
      <c r="R86" s="34"/>
      <c r="S86" s="33"/>
    </row>
    <row r="87" spans="2:19" x14ac:dyDescent="0.25">
      <c r="B87" s="14"/>
      <c r="C87" s="14"/>
      <c r="D87" s="14"/>
      <c r="E87" s="14"/>
      <c r="F87" s="14"/>
      <c r="G87" s="33" t="s">
        <v>359</v>
      </c>
      <c r="H87" s="33" t="s">
        <v>149</v>
      </c>
      <c r="I87" s="33" t="s">
        <v>96</v>
      </c>
      <c r="J87" s="33" t="s">
        <v>435</v>
      </c>
      <c r="K87" s="33"/>
      <c r="L87" s="33"/>
      <c r="M87" s="33">
        <v>4</v>
      </c>
      <c r="N87" s="33">
        <v>9</v>
      </c>
      <c r="O87" s="33" t="s">
        <v>96</v>
      </c>
      <c r="P87" s="34"/>
      <c r="Q87" s="40"/>
      <c r="R87" s="34"/>
      <c r="S87" s="33" t="s">
        <v>317</v>
      </c>
    </row>
    <row r="88" spans="2:19" x14ac:dyDescent="0.25">
      <c r="B88" s="14"/>
      <c r="C88" s="14"/>
      <c r="D88" s="14"/>
      <c r="E88" s="14"/>
      <c r="F88" s="14"/>
      <c r="G88" s="33" t="s">
        <v>360</v>
      </c>
      <c r="H88" s="33" t="s">
        <v>149</v>
      </c>
      <c r="I88" s="33" t="s">
        <v>96</v>
      </c>
      <c r="J88" s="33" t="s">
        <v>443</v>
      </c>
      <c r="K88" s="33"/>
      <c r="L88" s="33"/>
      <c r="M88" s="33">
        <v>4</v>
      </c>
      <c r="N88" s="33">
        <v>9</v>
      </c>
      <c r="O88" s="33" t="s">
        <v>96</v>
      </c>
      <c r="P88" s="34"/>
      <c r="Q88" s="40"/>
      <c r="R88" s="34"/>
      <c r="S88" s="33" t="s">
        <v>318</v>
      </c>
    </row>
    <row r="89" spans="2:19" x14ac:dyDescent="0.25">
      <c r="B89" s="14"/>
      <c r="C89" s="14"/>
      <c r="D89" s="14"/>
      <c r="E89" s="14"/>
      <c r="F89" s="14"/>
      <c r="G89" s="33" t="s">
        <v>361</v>
      </c>
      <c r="H89" s="33" t="s">
        <v>149</v>
      </c>
      <c r="I89" s="33" t="s">
        <v>96</v>
      </c>
      <c r="J89" s="33" t="s">
        <v>444</v>
      </c>
      <c r="K89" s="33"/>
      <c r="L89" s="33"/>
      <c r="M89" s="33">
        <v>4</v>
      </c>
      <c r="N89" s="33">
        <v>9</v>
      </c>
      <c r="O89" s="33" t="s">
        <v>96</v>
      </c>
      <c r="P89" s="34"/>
      <c r="Q89" s="40"/>
      <c r="R89" s="34"/>
      <c r="S89" s="33" t="s">
        <v>319</v>
      </c>
    </row>
    <row r="90" spans="2:19" x14ac:dyDescent="0.25">
      <c r="B90" s="14"/>
      <c r="C90" s="14"/>
      <c r="D90" s="14"/>
      <c r="E90" s="14"/>
      <c r="F90" s="14"/>
      <c r="G90" s="33" t="s">
        <v>362</v>
      </c>
      <c r="H90" s="33" t="s">
        <v>149</v>
      </c>
      <c r="I90" s="33" t="s">
        <v>96</v>
      </c>
      <c r="J90" s="33" t="s">
        <v>445</v>
      </c>
      <c r="K90" s="33"/>
      <c r="L90" s="33"/>
      <c r="M90" s="33">
        <v>4</v>
      </c>
      <c r="N90" s="33">
        <v>9</v>
      </c>
      <c r="O90" s="33" t="s">
        <v>96</v>
      </c>
      <c r="P90" s="34"/>
      <c r="Q90" s="40"/>
      <c r="R90" s="34"/>
      <c r="S90" s="33" t="s">
        <v>320</v>
      </c>
    </row>
    <row r="91" spans="2:19" x14ac:dyDescent="0.25">
      <c r="B91" s="14"/>
      <c r="C91" s="14"/>
      <c r="D91" s="14"/>
      <c r="E91" s="14"/>
      <c r="F91" s="14"/>
      <c r="G91" s="33" t="s">
        <v>363</v>
      </c>
      <c r="H91" s="33" t="s">
        <v>98</v>
      </c>
      <c r="I91" s="33" t="s">
        <v>96</v>
      </c>
      <c r="J91" s="33" t="s">
        <v>446</v>
      </c>
      <c r="K91" s="33" t="s">
        <v>598</v>
      </c>
      <c r="L91" s="33"/>
      <c r="M91" s="33">
        <v>4</v>
      </c>
      <c r="N91" s="33">
        <v>9</v>
      </c>
      <c r="O91" s="33" t="s">
        <v>96</v>
      </c>
      <c r="P91" s="34"/>
      <c r="Q91" s="40"/>
      <c r="R91" s="34"/>
      <c r="S91" s="33" t="s">
        <v>321</v>
      </c>
    </row>
  </sheetData>
  <hyperlinks>
    <hyperlink ref="B9" r:id="rId1" display="http://20.188.62.95/reportingmanager/api/reporting/{ID}" xr:uid="{10FE6A28-D839-4124-AB92-F50F125C824C}"/>
    <hyperlink ref="B4" r:id="rId2" display="http://20.188.62.95/reportingmanager/api/reporting" xr:uid="{E4BC7E82-3420-4C54-88BD-3467497FFFFC}"/>
  </hyperlinks>
  <pageMargins left="0.7" right="0.7" top="0.75" bottom="0.75" header="0.3" footer="0.3"/>
  <pageSetup paperSize="9" orientation="portrait" horizontalDpi="4294967295" verticalDpi="4294967295" r:id="rId3"/>
  <tableParts count="1"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641F5-F8A6-4AF1-BA7A-867EDA62C716}">
  <sheetPr codeName="Feuil8"/>
  <dimension ref="B1:Q7"/>
  <sheetViews>
    <sheetView topLeftCell="A68" zoomScale="82" zoomScaleNormal="82" workbookViewId="0">
      <selection activeCell="E35" sqref="E35"/>
    </sheetView>
  </sheetViews>
  <sheetFormatPr baseColWidth="10" defaultRowHeight="15" x14ac:dyDescent="0.25"/>
  <cols>
    <col min="2" max="2" width="10.5703125" customWidth="1"/>
    <col min="3" max="3" width="14.5703125" customWidth="1"/>
    <col min="4" max="4" width="7.28515625" bestFit="1" customWidth="1"/>
    <col min="5" max="5" width="24.85546875" customWidth="1"/>
    <col min="6" max="6" width="51.42578125" bestFit="1" customWidth="1"/>
    <col min="7" max="7" width="12.7109375" customWidth="1"/>
    <col min="8" max="8" width="11.42578125" bestFit="1" customWidth="1"/>
    <col min="9" max="9" width="30.85546875" bestFit="1" customWidth="1"/>
    <col min="10" max="10" width="16.5703125" customWidth="1"/>
    <col min="11" max="11" width="19.140625" bestFit="1" customWidth="1"/>
    <col min="12" max="12" width="9.7109375" bestFit="1" customWidth="1"/>
    <col min="13" max="13" width="12.5703125" bestFit="1" customWidth="1"/>
    <col min="14" max="14" width="12.5703125" customWidth="1"/>
    <col min="15" max="15" width="15.28515625" bestFit="1" customWidth="1"/>
    <col min="16" max="16" width="23.28515625" bestFit="1" customWidth="1"/>
    <col min="17" max="17" width="12.5703125" customWidth="1"/>
  </cols>
  <sheetData>
    <row r="1" spans="2:17" x14ac:dyDescent="0.25">
      <c r="B1" t="s">
        <v>114</v>
      </c>
      <c r="I1" s="9"/>
    </row>
    <row r="3" spans="2:17" x14ac:dyDescent="0.25">
      <c r="B3" t="s">
        <v>90</v>
      </c>
      <c r="C3" t="s">
        <v>112</v>
      </c>
      <c r="D3" t="s">
        <v>110</v>
      </c>
      <c r="E3" t="s">
        <v>136</v>
      </c>
      <c r="F3" t="s">
        <v>97</v>
      </c>
      <c r="G3" t="s">
        <v>100</v>
      </c>
      <c r="H3" t="s">
        <v>135</v>
      </c>
      <c r="I3" t="s">
        <v>91</v>
      </c>
      <c r="J3" t="s">
        <v>155</v>
      </c>
      <c r="K3" t="s">
        <v>154</v>
      </c>
      <c r="L3" t="s">
        <v>196</v>
      </c>
      <c r="M3" t="s">
        <v>92</v>
      </c>
      <c r="N3" t="s">
        <v>111</v>
      </c>
      <c r="O3" t="s">
        <v>116</v>
      </c>
      <c r="P3" t="s">
        <v>108</v>
      </c>
      <c r="Q3" t="s">
        <v>322</v>
      </c>
    </row>
    <row r="4" spans="2:17" x14ac:dyDescent="0.25">
      <c r="B4" s="13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</row>
    <row r="7" spans="2:17" x14ac:dyDescent="0.25">
      <c r="B7" s="14"/>
      <c r="C7" s="14"/>
      <c r="D7" s="14"/>
      <c r="E7" s="14"/>
      <c r="F7" s="33" t="s">
        <v>406</v>
      </c>
      <c r="G7" s="33" t="s">
        <v>101</v>
      </c>
      <c r="H7" s="33" t="s">
        <v>96</v>
      </c>
      <c r="I7" s="33" t="s">
        <v>506</v>
      </c>
      <c r="J7" s="33"/>
      <c r="K7" s="33"/>
      <c r="L7" s="33">
        <v>3</v>
      </c>
      <c r="M7" s="33" t="s">
        <v>96</v>
      </c>
      <c r="N7" s="34"/>
      <c r="O7" s="34"/>
      <c r="P7" s="34"/>
      <c r="Q7" s="33" t="s">
        <v>505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10</vt:i4>
      </vt:variant>
    </vt:vector>
  </HeadingPairs>
  <TitlesOfParts>
    <vt:vector size="18" baseType="lpstr">
      <vt:lpstr>Liste des reportings</vt:lpstr>
      <vt:lpstr>A - 2000.12</vt:lpstr>
      <vt:lpstr>CACHE</vt:lpstr>
      <vt:lpstr>Planning</vt:lpstr>
      <vt:lpstr>History</vt:lpstr>
      <vt:lpstr>I18N</vt:lpstr>
      <vt:lpstr>JSON</vt:lpstr>
      <vt:lpstr>JSON (2)</vt:lpstr>
      <vt:lpstr>'JSON (2)'!cell_JSON_Param</vt:lpstr>
      <vt:lpstr>cell_JSON_Param</vt:lpstr>
      <vt:lpstr>cellLanguage</vt:lpstr>
      <vt:lpstr>JSON_MetadataQuery</vt:lpstr>
      <vt:lpstr>lCategory</vt:lpstr>
      <vt:lpstr>lCategoryVersion</vt:lpstr>
      <vt:lpstr>lFolders</vt:lpstr>
      <vt:lpstr>tReporting52428888___RF_Save</vt:lpstr>
      <vt:lpstr>tReportings____ROWS_</vt:lpstr>
      <vt:lpstr>tReportings___RF_Refresh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</dc:creator>
  <cp:lastModifiedBy>Administrator</cp:lastModifiedBy>
  <dcterms:created xsi:type="dcterms:W3CDTF">2015-06-05T18:19:34Z</dcterms:created>
  <dcterms:modified xsi:type="dcterms:W3CDTF">2021-03-15T18:48:12Z</dcterms:modified>
</cp:coreProperties>
</file>