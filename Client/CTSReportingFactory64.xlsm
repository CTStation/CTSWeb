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994D2085-4F19-424C-A93D-AE3E9356D9A2}" xr6:coauthVersionLast="46" xr6:coauthVersionMax="46" xr10:uidLastSave="{00000000-0000-0000-0000-000000000000}"/>
  <bookViews>
    <workbookView xWindow="-120" yWindow="-120" windowWidth="29040" windowHeight="17640" tabRatio="723" xr2:uid="{00000000-000D-0000-FFFF-FFFF00000000}"/>
  </bookViews>
  <sheets>
    <sheet name="Liste des reportings" sheetId="6" r:id="rId1"/>
    <sheet name="CACHE" sheetId="10" r:id="rId2"/>
    <sheet name="Planning" sheetId="4" r:id="rId3"/>
    <sheet name="History" sheetId="7" r:id="rId4"/>
    <sheet name="I18N" sheetId="2" r:id="rId5"/>
    <sheet name="JSON" sheetId="8" r:id="rId6"/>
    <sheet name="JSON (2)" sheetId="13" r:id="rId7"/>
  </sheets>
  <functionGroups builtInGroupCount="19"/>
  <definedNames>
    <definedName name="_xlnm._FilterDatabase" localSheetId="0" hidden="1">'Liste des reportings'!$C$10:$E$14</definedName>
    <definedName name="_xlnm._FilterDatabase" localSheetId="2" hidden="1">Planning!$F$17:$L$73</definedName>
    <definedName name="cell_JSON_Param" localSheetId="6">'JSON (2)'!$I$1</definedName>
    <definedName name="cell_JSON_Param">JSON!$J$1</definedName>
    <definedName name="cellLanguage">I18N!$J$1</definedName>
    <definedName name="JSON_MetadataQuery">JSON!$Q$1</definedName>
    <definedName name="lCategory">Planning!$B$3:$B$5</definedName>
    <definedName name="lCategoryVersion">Planning!$B$9</definedName>
    <definedName name="lFolders">Planning!$B$12:$B$13</definedName>
    <definedName name="tReportings____ROWS_">'Liste des reportings'!$H$14:$I$41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6" l="1"/>
  <c r="K73" i="4"/>
  <c r="I41" i="6"/>
  <c r="I37" i="6"/>
  <c r="I33" i="6"/>
  <c r="I29" i="6"/>
  <c r="I25" i="6"/>
  <c r="I21" i="6"/>
  <c r="I17" i="6"/>
  <c r="H41" i="6"/>
  <c r="H37" i="6"/>
  <c r="H33" i="6"/>
  <c r="H29" i="6"/>
  <c r="H25" i="6"/>
  <c r="H21" i="6"/>
  <c r="H17" i="6"/>
  <c r="I35" i="6"/>
  <c r="I31" i="6"/>
  <c r="I23" i="6"/>
  <c r="I15" i="6"/>
  <c r="H35" i="6"/>
  <c r="H27" i="6"/>
  <c r="H15" i="6"/>
  <c r="I38" i="6"/>
  <c r="I26" i="6"/>
  <c r="I22" i="6"/>
  <c r="H34" i="6"/>
  <c r="H30" i="6"/>
  <c r="H22" i="6"/>
  <c r="I40" i="6"/>
  <c r="I36" i="6"/>
  <c r="I32" i="6"/>
  <c r="I28" i="6"/>
  <c r="I24" i="6"/>
  <c r="I20" i="6"/>
  <c r="I16" i="6"/>
  <c r="H40" i="6"/>
  <c r="H36" i="6"/>
  <c r="H32" i="6"/>
  <c r="H28" i="6"/>
  <c r="H24" i="6"/>
  <c r="H20" i="6"/>
  <c r="H16" i="6"/>
  <c r="I39" i="6"/>
  <c r="I27" i="6"/>
  <c r="I19" i="6"/>
  <c r="H39" i="6"/>
  <c r="H31" i="6"/>
  <c r="H23" i="6"/>
  <c r="H19" i="6"/>
  <c r="I34" i="6"/>
  <c r="I30" i="6"/>
  <c r="I18" i="6"/>
  <c r="H38" i="6"/>
  <c r="H26" i="6"/>
  <c r="H18" i="6"/>
  <c r="I14" i="6"/>
  <c r="H14" i="6"/>
  <c r="F12" i="6"/>
  <c r="E12" i="6"/>
  <c r="D12" i="6"/>
  <c r="C12" i="6"/>
  <c r="D10" i="6"/>
  <c r="L73" i="4" l="1"/>
  <c r="J73" i="4"/>
  <c r="I73" i="4" l="1"/>
  <c r="H73" i="4"/>
  <c r="F73" i="4" l="1"/>
  <c r="G73" i="4"/>
  <c r="D73" i="4"/>
  <c r="C73" i="4"/>
  <c r="I4" i="6" a="1"/>
  <c r="B73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<sst xmlns="http://schemas.openxmlformats.org/spreadsheetml/2006/main" count="1545" uniqueCount="709">
  <si>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</si>
  <si>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</si>
  <si>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</si>
  <si>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</si>
  <si>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</si>
  <si>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</si>
  <si>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</si>
  <si>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</si>
  <si>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</si>
  <si>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</si>
  <si>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</si>
  <si>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</si>
  <si>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</si>
  <si>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</si>
  <si>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</si>
  <si>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</si>
  <si>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</si>
  <si>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</si>
  <si>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</si>
  <si>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</si>
  <si>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</si>
  <si>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</si>
  <si>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</si>
  <si>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</si>
  <si>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</si>
  <si>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</si>
  <si>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</si>
  <si>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</si>
  <si>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</si>
  <si>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</si>
  <si>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</si>
  <si>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</si>
  <si>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</si>
  <si>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</si>
  <si>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</si>
  <si>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</si>
  <si>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</si>
  <si>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</si>
  <si>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</si>
  <si>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</si>
  <si>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</si>
  <si>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</si>
  <si>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</si>
  <si>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</si>
  <si>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</si>
  <si>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</si>
  <si>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</si>
  <si>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</si>
  <si>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</si>
  <si>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</si>
  <si>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</si>
  <si>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</si>
  <si>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</si>
  <si>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</si>
  <si>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</si>
  <si>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</si>
  <si>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</si>
  <si>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</si>
  <si>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</si>
  <si>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</si>
  <si>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</si>
  <si>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</si>
  <si>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</si>
  <si>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</si>
  <si>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</si>
  <si>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</si>
  <si>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</si>
  <si>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</si>
  <si>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</si>
  <si>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</si>
  <si>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</si>
  <si>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</si>
  <si>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</si>
  <si>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</si>
  <si>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</si>
  <si>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</si>
  <si>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</si>
  <si>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</si>
  <si>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</si>
  <si>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</si>
  <si>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</si>
  <si>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</si>
  <si>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</si>
  <si>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</si>
  <si>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</si>
  <si>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</si>
  <si>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</si>
  <si>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</si>
  <si>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</si>
  <si>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</si>
  <si>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</si>
  <si>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</si>
  <si>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</si>
  <si>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</si>
  <si>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</si>
  <si>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</si>
  <si>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</si>
  <si>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</si>
  <si>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</si>
  <si>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</si>
  <si>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</si>
  <si>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</si>
  <si>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</si>
  <si>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</si>
  <si>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</si>
  <si>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</si>
  <si>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</si>
  <si>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</si>
  <si>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</si>
  <si>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</si>
  <si>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</si>
  <si>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</si>
  <si>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</si>
  <si>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</si>
  <si>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</si>
  <si>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</si>
  <si>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</si>
  <si>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</si>
  <si>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</si>
  <si>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</si>
  <si>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</si>
  <si>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</si>
  <si>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</si>
  <si>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</si>
  <si>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</si>
  <si>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</si>
  <si>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</si>
  <si>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</si>
  <si>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</si>
  <si>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</si>
  <si>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</si>
  <si>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</si>
  <si>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</si>
  <si>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</si>
  <si>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</si>
  <si>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</si>
  <si>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</si>
  <si>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</si>
  <si>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</si>
  <si>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</si>
  <si>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</si>
  <si>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</si>
  <si>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</si>
  <si>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</si>
  <si>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</si>
  <si>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</si>
  <si>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</si>
  <si>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</si>
  <si>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</si>
  <si>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</si>
  <si>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</si>
  <si>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</si>
  <si>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</si>
  <si>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</si>
  <si>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</si>
  <si>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</si>
  <si>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</si>
  <si>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</si>
  <si>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</si>
  <si>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</si>
  <si>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</si>
  <si>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</si>
  <si>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</si>
  <si>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</si>
  <si>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</si>
  <si>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</si>
  <si>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</si>
  <si>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</si>
  <si>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</si>
  <si>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</si>
  <si>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</si>
  <si>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</si>
  <si>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</si>
  <si>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</si>
  <si>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</si>
  <si>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</si>
  <si>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</si>
  <si>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</si>
  <si>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</si>
  <si>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</si>
  <si>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</si>
  <si>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</si>
  <si>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</si>
  <si>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</si>
  <si>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</si>
  <si>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</si>
  <si>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</si>
  <si>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</si>
  <si>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</si>
  <si>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</si>
  <si>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</si>
  <si>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</si>
  <si>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</si>
  <si>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</si>
  <si>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</si>
  <si>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</si>
  <si>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</si>
  <si>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</si>
  <si>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</si>
  <si>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</si>
  <si>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</si>
  <si>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</si>
  <si>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</si>
  <si>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</si>
  <si>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</si>
  <si>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</si>
  <si>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</si>
  <si>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</si>
  <si>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</si>
  <si>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</si>
  <si>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</si>
  <si>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</si>
  <si>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</si>
  <si>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</si>
  <si>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</si>
  <si>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</si>
  <si>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</si>
  <si>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</si>
  <si>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</si>
  <si>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</si>
  <si>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</si>
  <si>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</si>
  <si>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</si>
  <si>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</si>
  <si>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</si>
  <si>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</si>
  <si>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</si>
  <si>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</si>
  <si>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</si>
  <si>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</si>
  <si>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</si>
  <si>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</si>
  <si>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</si>
  <si>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</si>
  <si>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</si>
  <si>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</si>
  <si>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</si>
  <si>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</si>
  <si>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</si>
  <si>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</si>
  <si>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</si>
  <si>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</si>
  <si>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</si>
  <si>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</si>
  <si>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</si>
  <si>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</si>
  <si>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</si>
  <si>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</si>
  <si>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</si>
  <si>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</si>
  <si>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</si>
  <si>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</si>
  <si>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</si>
  <si>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</si>
  <si>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</si>
  <si>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</si>
  <si>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</si>
  <si>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</si>
  <si>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</si>
  <si>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</si>
  <si>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</si>
  <si>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</si>
  <si>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</si>
  <si>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</si>
  <si>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</si>
  <si>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</si>
  <si>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</si>
  <si>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</si>
  <si>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</si>
  <si>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</si>
  <si>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</si>
  <si>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</si>
  <si>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</si>
  <si>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</si>
  <si>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</si>
  <si>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</si>
  <si>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</si>
  <si>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</si>
  <si>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</si>
  <si>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</si>
  <si>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</si>
  <si>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</si>
  <si>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</si>
  <si>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</si>
  <si>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</si>
  <si>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</si>
  <si>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</si>
  <si>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</si>
  <si>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</si>
  <si>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</si>
  <si>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</si>
  <si>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</si>
  <si>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</si>
  <si>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</si>
  <si>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</si>
  <si>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</si>
  <si>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</si>
  <si>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</si>
  <si>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</si>
  <si>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</si>
  <si>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</si>
  <si>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</si>
  <si>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</si>
  <si>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</si>
  <si>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</si>
  <si>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</si>
  <si>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</si>
  <si>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</si>
  <si>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</si>
  <si>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</si>
  <si>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</si>
  <si>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</si>
  <si>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</si>
  <si>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</si>
  <si>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</si>
  <si>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</si>
  <si>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</si>
  <si>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</si>
  <si>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</si>
  <si>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</si>
  <si>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</si>
  <si>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</si>
  <si>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</si>
  <si>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</si>
  <si>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</si>
  <si>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</si>
  <si>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</si>
  <si>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</si>
  <si>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</si>
  <si>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</si>
  <si>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</si>
  <si>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</si>
  <si>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</si>
  <si>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</si>
  <si>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</si>
  <si>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</si>
  <si>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</si>
  <si>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</si>
  <si>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</si>
  <si>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</si>
  <si>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</si>
  <si>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</si>
  <si>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</si>
  <si>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</si>
  <si>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</si>
  <si>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</si>
  <si>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</si>
  <si>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</si>
  <si>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</si>
  <si>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</si>
  <si>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</si>
  <si>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</si>
  <si>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</si>
  <si>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</si>
  <si>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</si>
  <si>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</si>
  <si>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</si>
  <si>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</si>
  <si>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</si>
  <si>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</si>
  <si>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</si>
  <si>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</si>
  <si>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</si>
  <si>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</si>
  <si>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</si>
  <si>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</si>
  <si>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</si>
  <si>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</si>
  <si>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</si>
  <si>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</si>
  <si>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</si>
  <si>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</si>
  <si>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</si>
  <si>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</si>
  <si>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</si>
  <si>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</si>
  <si>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</si>
  <si>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</si>
  <si>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</si>
  <si>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</si>
  <si>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</si>
  <si>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</si>
  <si>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</si>
  <si>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</si>
  <si>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</si>
  <si>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</si>
  <si>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</si>
  <si>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</si>
  <si>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</si>
  <si>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</si>
  <si>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</si>
  <si>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</si>
  <si>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</si>
  <si>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</si>
  <si>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</si>
  <si>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</si>
  <si>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</si>
  <si>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</si>
  <si>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</si>
  <si>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</si>
  <si>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</si>
  <si>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</si>
  <si>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</si>
  <si>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</si>
  <si>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</si>
  <si>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</si>
  <si>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</si>
  <si>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</si>
  <si>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</si>
  <si>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</si>
  <si>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</si>
  <si>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</si>
  <si>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</si>
  <si>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</si>
  <si>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</si>
  <si>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</si>
  <si>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</si>
  <si>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</si>
  <si>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</si>
  <si>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</si>
  <si>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</si>
  <si>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</si>
  <si>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</si>
  <si>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</si>
  <si>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</si>
  <si>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</si>
  <si>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</si>
  <si>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</si>
  <si>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</si>
  <si>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</si>
  <si>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</si>
  <si>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</si>
  <si>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</si>
  <si>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</si>
  <si>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</si>
  <si>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</si>
  <si>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</si>
  <si>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</si>
  <si>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</si>
  <si>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</si>
  <si>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</si>
  <si>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</si>
  <si>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</si>
  <si>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</si>
  <si>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</si>
  <si>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</si>
  <si>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</si>
  <si>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</si>
  <si>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</si>
  <si>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</si>
  <si>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</si>
  <si>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</si>
  <si>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</si>
  <si>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</si>
  <si>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</si>
  <si>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</si>
  <si>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</si>
  <si>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</si>
  <si>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</si>
  <si>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</si>
  <si>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</si>
  <si>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</si>
  <si>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</si>
  <si>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</si>
  <si>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</si>
  <si>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</si>
  <si>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</si>
  <si>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</si>
  <si>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</si>
  <si>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</si>
  <si>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</si>
  <si>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</si>
  <si>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</si>
  <si>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</si>
  <si>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</si>
  <si>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</si>
  <si>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</si>
  <si>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</si>
  <si>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</si>
  <si>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</si>
  <si>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</si>
  <si>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</si>
  <si>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</si>
  <si>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</si>
  <si>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</si>
  <si>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</si>
  <si>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</si>
  <si>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</si>
  <si>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</si>
  <si>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</si>
  <si>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</si>
  <si>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</si>
  <si>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</si>
  <si>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</si>
  <si>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</si>
  <si>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</si>
  <si>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</si>
  <si>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</si>
  <si>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</si>
  <si>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</si>
  <si>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</si>
  <si>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</si>
  <si>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</si>
  <si>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</si>
  <si>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</si>
  <si>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</si>
  <si>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</si>
  <si>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</si>
  <si>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</si>
  <si>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</si>
  <si>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</si>
  <si>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</si>
  <si>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</si>
  <si>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</si>
  <si>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</si>
  <si>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</si>
  <si>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</si>
  <si>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</si>
  <si>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</si>
  <si>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</si>
  <si>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</si>
  <si>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</si>
  <si>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</si>
  <si>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/api/Reporting</t>
  </si>
  <si>
    <t>Post#tReporting52428888</t>
  </si>
  <si>
    <t>Out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</si>
  <si>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</si>
  <si>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</si>
  <si>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</si>
  <si>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</si>
  <si>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</si>
  <si>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</si>
  <si>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</si>
  <si>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</si>
  <si>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</si>
  <si>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</si>
  <si>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</si>
  <si>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51:46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</si>
  <si>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37.408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- 2000.12"}],"Messages":{"Messages":[],"UsedHints":{}}}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</si>
  <si>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</si>
  <si>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</si>
  <si>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</si>
  <si>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</si>
  <si>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</si>
  <si>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</si>
  <si>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</si>
  <si>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</si>
  <si>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</si>
  <si>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</si>
  <si>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</si>
  <si>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</si>
  <si>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</si>
  <si>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</si>
  <si>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</si>
  <si>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</si>
  <si>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</si>
  <si>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</si>
  <si>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</si>
  <si>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</si>
  <si>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</si>
  <si>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</si>
  <si>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</si>
  <si>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</si>
  <si>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</si>
  <si>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</si>
  <si>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</si>
  <si>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</si>
  <si>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</si>
  <si>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</si>
  <si>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</si>
  <si>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</si>
  <si>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</si>
  <si>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</si>
  <si>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</si>
  <si>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</si>
  <si>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</si>
  <si>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</si>
  <si>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</si>
  <si>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</si>
  <si>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</si>
  <si>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</si>
  <si>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</si>
  <si>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</si>
  <si>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</si>
  <si>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</si>
  <si>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</si>
  <si>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</si>
  <si>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</si>
  <si>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</si>
  <si>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</si>
  <si>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</si>
  <si>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</si>
  <si>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</si>
  <si>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</si>
  <si>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</si>
  <si>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</si>
  <si>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</si>
  <si>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</si>
  <si>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</si>
  <si>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</si>
  <si>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</si>
  <si>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</si>
  <si>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</si>
  <si>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</si>
  <si>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</si>
  <si>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</si>
  <si>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</si>
  <si>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</si>
  <si>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</si>
  <si>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</si>
  <si>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</si>
  <si>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</si>
  <si>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</si>
  <si>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</si>
  <si>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</si>
  <si>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</si>
  <si>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</si>
  <si>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</si>
  <si>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</si>
  <si>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</si>
  <si>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</si>
  <si>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</si>
  <si>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</si>
  <si>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</si>
  <si>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</si>
  <si>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</si>
  <si>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</si>
  <si>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</si>
  <si>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</si>
  <si>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</si>
  <si>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</si>
  <si>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</si>
  <si>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</si>
  <si>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</si>
  <si>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</si>
  <si>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</si>
  <si>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</si>
  <si>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</si>
  <si>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</si>
  <si>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</si>
  <si>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</si>
  <si>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</si>
  <si>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</si>
  <si>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</si>
  <si>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</si>
  <si>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</si>
  <si>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</si>
  <si>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</si>
  <si>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</si>
  <si>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</si>
  <si>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</si>
  <si>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</si>
  <si>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</si>
  <si>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</si>
  <si>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</si>
  <si>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</si>
  <si>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</si>
  <si>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</si>
  <si>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</si>
  <si>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</si>
  <si>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</si>
  <si>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</si>
  <si>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Commande Add entities</t>
  </si>
  <si>
    <t>/api/reporting/New3</t>
  </si>
  <si>
    <t>tReportingNew3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</si>
  <si>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Q2-2019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</si>
  <si>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</si>
  <si>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</si>
  <si>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</si>
  <si>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</si>
  <si>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</si>
  <si>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</si>
  <si>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/api/reporting/New5</t>
  </si>
  <si>
    <t>tReportingNew5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</si>
  <si>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-08T23:00:00.000Z","ReportingEndDate":"2021-03-19T23:00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</si>
  <si>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Post#tReportingNew5</t>
  </si>
  <si>
    <t>{"Table":[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,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]}</t>
  </si>
  <si>
    <t>PostResponse#tReportingNew5</t>
  </si>
  <si>
    <t>{"Data":[],"Messages":{"Messages":[{"Code":"RF0212","Severity":8,"Description":"Valeur incorrecte 'V1' dans la colonne 'al'","SourceRow":1,"SourceCol":3},{"Code":"RF0212","Severity":8,"Description":"Valeur incorrecte 'V1' dans la colonne 'al'","SourceRow":2,"SourceCol":3}],"UsedHints":{"RF0212":"Corrigez la valeur"}}}</t>
  </si>
  <si>
    <t>Dim_UpdPer</t>
  </si>
  <si>
    <t>Dim_Currency</t>
  </si>
  <si>
    <t>Dim_Entity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</si>
  <si>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</si>
  <si>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</si>
  <si>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</si>
  <si>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</si>
  <si>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</si>
  <si>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</si>
  <si>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</si>
  <si>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</si>
  <si>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SetOfCtrl_1</t>
  </si>
  <si>
    <t>SetOfCtrl_2</t>
  </si>
  <si>
    <t>MDPicker: ajouter les libellés</t>
  </si>
  <si>
    <t>/api/metadata/{ID}</t>
  </si>
  <si>
    <t>/api/metadata/PublishedFramework</t>
  </si>
  <si>
    <t>PublishedFramework</t>
  </si>
  <si>
    <t>{"Data":[{"Desc":"Réel","Next":[{"Desc":"Actuel","Next":null,"Name":"C"}],"Name":"A"}],"Messages":{"Messages":[],"UsedHints":{}}}</t>
  </si>
  <si>
    <t>/api/metadata/Dim</t>
  </si>
  <si>
    <t>Dim</t>
  </si>
  <si>
    <t>{"Data":null,"Messages":{"Messages":[],"UsedHints":{}}}</t>
  </si>
  <si>
    <t>/api/metadata/Folder</t>
  </si>
  <si>
    <t>{"Data":[{"Descriptions":[{"CultureName":"fr-FR","Texts":{"LDesc":"Homepage"}},{"CultureName":"en-US","Texts":{"LDesc":"Page d'accueil"}}],"ID":-524287,"LDesc":"Homepage","Name":"HOME"},{"Descriptions":[{"CultureName":"fr-FR","Texts":{"LDesc":"Liasse de consolidation statutaire"}},{"CultureName":"en-US","Texts":{"LDesc":"Package - Actual"}}],"ID":1,"LDesc":"Liasse de consolidation statutaire","Name":"P-A"},{"Descriptions":[{"CultureName":"fr-FR","Texts":{"LDesc":"Consultations comptables"}},{"CultureName":"en-US","Texts":{"LDesc":"Accounting reports"}}],"ID":2,"LDesc":"Consultations comptables","Name":"C3"},{"Descriptions":[{"CultureName":"fr-FR","Texts":{"LDesc":"Etats financiers"}},{"CultureName":"en-US","Texts":{"LDesc":"Annual report"}}],"ID":4,"LDesc":"Etats financiers","Name":"C1"},{"Descriptions":[{"CultureName":"fr-FR","Texts":{"LDesc":"Sommaire de restitution"}},{"CultureName":"en-US","Texts":{"LDesc":"Home pages and summary reports"}}],"ID":5,"LDesc":"Sommaire de restitution","Name":"C0"},{"Descriptions":[{"CultureName":"fr-FR","Texts":{"LDesc":"Analyses"}},{"CultureName":"en-US","Texts":{"LDesc":"Analysis"}}],"ID":7,"LDesc":"Analyses","Name":"C2"},{"Descriptions":[{"CultureName":"fr-FR","Texts":{"LDesc":"Contrôles"}},{"CultureName":"en-US","Texts":{"LDesc":"Control reports"}}],"ID":8,"LDesc":"Contrôles","Name":"C4"},{"Descriptions":[{"CultureName":"fr-FR","Texts":{"LDesc":"Liasse pour les unités mises en équivalence"}},{"CultureName":"en-US","Texts":{"LDesc":"Package for equity method companies"}}],"ID":9,"LDesc":"Liasse pour les unités mises en équivalence","Name":"P-E"},{"Descriptions":[{"CultureName":"fr-FR","Texts":{"LDesc":"Contrôle du paramétrage"}},{"CultureName":"en-US","Texts":{"LDesc":"Check configuration"}}],"ID":10,"LDesc":"Contrôle du paramétrage","Name":"T"},{"Descriptions":[{"CultureName":"fr-FR","Texts":{"LDesc":"Taux de conversion - Saisie"}},{"CultureName":"en-US","Texts":{"LDesc":"Conversion rates - Input"}}],"ID":11,"LDesc":"Taux de conversion - Saisie","Name":"Y"},{"Descriptions":[{"CultureName":"fr-FR","Texts":{"LDesc":"Adoption des IFRS"}},{"CultureName":"en-US","Texts":{"LDesc":"IFRS adoption"}}],"ID":13,"LDesc":"Adoption des IFRS","Name":"C5"},{"Descriptions":[{"CultureName":"fr-FR","Texts":{"LDesc":"Rapports locaux"}},{"CultureName":"en-US","Texts":{"LDesc":"Local reports"}}],"ID":15,"LDesc":"Rapports locaux","Name":"C6"}],"Messages":{"Messages":[],"UsedHints":{}}}</t>
  </si>
  <si>
    <t>/api/metadata/SetOfCtrl</t>
  </si>
  <si>
    <t>SetOfCtrl</t>
  </si>
  <si>
    <t>/api/metadata/Lock</t>
  </si>
  <si>
    <t>/api/metadata/SetOfRules</t>
  </si>
  <si>
    <t>/api/metadata/Conso</t>
  </si>
  <si>
    <t>Conso</t>
  </si>
  <si>
    <t>/api/metadata/Recipient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</si>
</sst>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0" fillId="0" borderId="0" xfId="0" applyAlignment="1">
      <alignment horizontal="right"/>
    </xf>
  </cellXfs>
  <cellStyles count="2">
    <cellStyle name="Lien hypertexte" xfId="1" builtinId="8"/>
    <cellStyle name="Normal" xfId="0" builtinId="0"/>
  </cellStyles>
  <dxfs count="52"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du 08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26" name="tReportings_1">
          <a:extLst>
            <a:ext uri="{FF2B5EF4-FFF2-40B4-BE49-F238E27FC236}">
              <a16:creationId xmlns:a16="http://schemas.microsoft.com/office/drawing/2014/main" id="{FB3A847D-9082-4937-9E93-584895E9B024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3544F90-C832-4F8A-9B3C-131E244B900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27" name="tReportings_2">
          <a:extLst>
            <a:ext uri="{FF2B5EF4-FFF2-40B4-BE49-F238E27FC236}">
              <a16:creationId xmlns:a16="http://schemas.microsoft.com/office/drawing/2014/main" id="{E961EC1F-AB68-4578-B49E-D7F17DC1A479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F88C764-7941-4537-984A-B9F2F48E357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28" name="tReportings_3">
          <a:extLst>
            <a:ext uri="{FF2B5EF4-FFF2-40B4-BE49-F238E27FC236}">
              <a16:creationId xmlns:a16="http://schemas.microsoft.com/office/drawing/2014/main" id="{565FB600-13A6-4442-988F-5109D73A5DB8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FC540C8-7475-49C2-8058-97E6A50CF64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29" name="tReportings_4">
          <a:extLst>
            <a:ext uri="{FF2B5EF4-FFF2-40B4-BE49-F238E27FC236}">
              <a16:creationId xmlns:a16="http://schemas.microsoft.com/office/drawing/2014/main" id="{DC491A22-E75B-4CA0-8BC8-5377B442DA25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E6C3D9D-46FB-4370-A5EF-CFE05B19F74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de création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1893FC-F6AD-4A11-9528-829D35A0301E}" name="tReportings" displayName="tReportings" ref="C13:F41" totalsRowShown="0" headerRowDxfId="5" dataDxfId="0" tableBorderDxfId="6">
  <autoFilter ref="C13:F41" xr:uid="{1FA659C4-116F-4DB8-AACC-9AD9D759D6FB}"/>
  <tableColumns count="4">
    <tableColumn id="1" xr3:uid="{EFEBF705-E9D2-4D2C-9329-DAEE640CC741}" name=" 1" dataDxfId="4"/>
    <tableColumn id="2" xr3:uid="{0F43F35E-DE74-476E-8CAC-B20B6C68395B}" name=" 2" dataDxfId="3"/>
    <tableColumn id="3" xr3:uid="{B11F50D5-A1E4-4314-ACBF-6B493EB1FC24}" name=" 3" dataDxfId="2"/>
    <tableColumn id="4" xr3:uid="{6F81B360-25A7-4E37-B62D-EFBD4B7D9C9C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7">
  <autoFilter ref="A3:H114" xr:uid="{20495ABC-A0D8-40BE-8188-61D0FEE75739}"/>
  <tableColumns count="8">
    <tableColumn id="1" xr3:uid="{73903A16-45BE-4CB3-B71C-3468798E69E6}" name="ID" dataDxfId="15"/>
    <tableColumn id="3" xr3:uid="{02ADB156-C3E9-44A8-BC1B-FB2018DC836B}" name="Param1" dataDxfId="14"/>
    <tableColumn id="4" xr3:uid="{CF8C7CB6-4B86-4085-ACCC-19CBFD4C59FE}" name="Param2" dataDxfId="13"/>
    <tableColumn id="5" xr3:uid="{1227E0CB-DF13-4AEB-9B7C-A5B66DBC0C3F}" name="Param3" dataDxfId="12"/>
    <tableColumn id="6" xr3:uid="{2E60890B-30E9-4D21-92C9-7B06D14BAF00}" name="Param4" dataDxfId="11"/>
    <tableColumn id="7" xr3:uid="{03AC2232-F9FA-428A-BCAB-A8039123FBB5}" name="Param5" dataDxfId="10"/>
    <tableColumn id="9" xr3:uid="{5D6B89C0-1432-4927-AC0D-CC962FDD7705}" name="en_US" dataDxfId="9"/>
    <tableColumn id="8" xr3:uid="{8F5786B6-467E-46BD-A85E-B24EA01C31DC}" name="fr_FR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51">
  <autoFilter ref="B3:S91" xr:uid="{D9E8808B-D9E1-4272-8694-E8D5F2C45F29}"/>
  <tableColumns count="18">
    <tableColumn id="1" xr3:uid="{3A646773-BE89-4522-98D7-B786E44BE0DC}" name="Query" dataDxfId="50"/>
    <tableColumn id="9" xr3:uid="{C4EB6F9D-3EAD-42F0-84FF-9BBD170B0DE5}" name="Table" dataDxfId="49"/>
    <tableColumn id="8" xr3:uid="{70E4004F-52ED-4A60-A759-27AFE028F894}" name="I18N" dataDxfId="48"/>
    <tableColumn id="13" xr3:uid="{A78438C4-24D6-4E6E-A29B-E72CABDED5AB}" name="JSON Row Array" dataDxfId="47"/>
    <tableColumn id="16" xr3:uid="{02735810-2DA9-4B37-A9AB-CC1D7668127D}" name="Editable?" dataDxfId="46"/>
    <tableColumn id="2" xr3:uid="{DFC5B263-91CC-4653-8ADC-74A0368CD202}" name="JSON Column" dataDxfId="45"/>
    <tableColumn id="3" xr3:uid="{D5540814-CF2F-4ACB-B92D-22093C535E0C}" name="JSON Type" dataDxfId="44"/>
    <tableColumn id="11" xr3:uid="{EDC8EA7C-C33C-4E55-9909-B09F730AE94B}" name="Required" dataDxfId="43"/>
    <tableColumn id="4" xr3:uid="{8D0A36EB-752B-47BA-B4F5-009678ACFDD0}" name="Title" dataDxfId="42"/>
    <tableColumn id="12" xr3:uid="{B7222461-457D-4B90-9925-68BAF8D1E421}" name="Editor" dataDxfId="41"/>
    <tableColumn id="14" xr3:uid="{C8DD975C-C222-4560-AD83-9B3E4EF275CD}" name="Format" dataDxfId="40"/>
    <tableColumn id="15" xr3:uid="{30CC9560-5D67-406A-B687-D2883B19A560}" name="Level" dataDxfId="39"/>
    <tableColumn id="18" xr3:uid="{9414E3E8-B630-435F-9660-16EFF4CAEFD7}" name="Width" dataDxfId="38"/>
    <tableColumn id="5" xr3:uid="{3613A1E0-361B-4D77-AB85-A190D3D733FC}" name="Hidden" dataDxfId="37"/>
    <tableColumn id="6" xr3:uid="{4FC768DF-246E-41E4-8A37-38EE7A822849}" name="Command" dataDxfId="36"/>
    <tableColumn id="10" xr3:uid="{08F0F3AA-70C9-46BE-9E8F-F9089FF43A15}" name="Params" dataDxfId="35"/>
    <tableColumn id="7" xr3:uid="{C3148FB9-B4AC-439B-977D-F7DC6FE2F875}" name="Position" dataDxfId="34"/>
    <tableColumn id="17" xr3:uid="{AAA7A96E-0AF3-43EB-9CAA-11C66E543F5D}" name="ReturnCol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2">
  <autoFilter ref="B3:Q4" xr:uid="{D9E8808B-D9E1-4272-8694-E8D5F2C45F29}"/>
  <tableColumns count="16">
    <tableColumn id="1" xr3:uid="{848A5172-BE10-4671-A96C-19CB95280C30}" name="Query" dataDxfId="31"/>
    <tableColumn id="9" xr3:uid="{D4503C74-5BC6-42E3-9059-14AE6DF0435F}" name="Table" dataDxfId="30"/>
    <tableColumn id="8" xr3:uid="{6B1E570F-3015-4379-A06B-47DE792E9FF7}" name="I18N" dataDxfId="29"/>
    <tableColumn id="13" xr3:uid="{1F3DA983-C15A-44A1-9F86-08FE41BABCC4}" name="JSON Row Array" dataDxfId="28"/>
    <tableColumn id="2" xr3:uid="{2146287D-FA7C-4DC4-A184-861C99FB53FA}" name="JSON Column" dataDxfId="27"/>
    <tableColumn id="3" xr3:uid="{41F1B5AB-7B7D-4E20-9599-A4A18E607AC2}" name="JSON Type" dataDxfId="26"/>
    <tableColumn id="11" xr3:uid="{6B6D5F65-9066-427A-9E8E-83BC24FDA24E}" name="Required" dataDxfId="25"/>
    <tableColumn id="4" xr3:uid="{5632F87F-624C-41CA-9F02-FC8191282D24}" name="Title" dataDxfId="24"/>
    <tableColumn id="12" xr3:uid="{42F4ED45-AB09-422F-A7F0-D0219F6C21FB}" name="Editor" dataDxfId="23"/>
    <tableColumn id="14" xr3:uid="{2AA5569E-51E1-495E-B26C-0E3F01504CAF}" name="Format" dataDxfId="22"/>
    <tableColumn id="15" xr3:uid="{9FF31EFB-98A5-441C-AEEE-A8D70F766993}" name="Level" dataDxfId="21"/>
    <tableColumn id="5" xr3:uid="{AAEEF1F0-17A9-4995-BF9B-AB4346088E71}" name="Hidden" dataDxfId="20"/>
    <tableColumn id="6" xr3:uid="{7BDF45C7-3CB9-461B-82E3-465AF4328F16}" name="Command" dataDxfId="19"/>
    <tableColumn id="10" xr3:uid="{CC86848F-2654-487A-90EA-707ECEAFF905}" name="Params" dataDxfId="18"/>
    <tableColumn id="7" xr3:uid="{EB4FA941-2795-46FC-8CA9-7D002B610299}" name="Position" dataDxfId="17"/>
    <tableColumn id="17" xr3:uid="{CA1F3260-0D6C-4F7F-B7AE-4DFA8A856532}" name="ReturnCol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showRowColHeaders="0" tabSelected="1" zoomScaleNormal="100" workbookViewId="0">
      <selection activeCell="M48" sqref="M48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0.93 du 08 03 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28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606</v>
      </c>
      <c r="F14" s="43" t="s">
        <v>607</v>
      </c>
      <c r="H14" s="10" t="str">
        <f>I18N_T(cellLanguage, "RF_Modify")</f>
        <v>Modifier</v>
      </c>
      <c r="I14" s="10" t="str">
        <f>I18N_T(cellLanguage, "RF_Duplicate")</f>
        <v>Dupliquer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608</v>
      </c>
      <c r="F15" s="43" t="s">
        <v>609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2:12" x14ac:dyDescent="0.25">
      <c r="C16" s="43">
        <v>52428858</v>
      </c>
      <c r="D16" s="43" t="s">
        <v>21</v>
      </c>
      <c r="E16" s="43" t="s">
        <v>610</v>
      </c>
      <c r="F16" s="43" t="s">
        <v>611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43">
        <v>52428847</v>
      </c>
      <c r="D17" s="43" t="s">
        <v>21</v>
      </c>
      <c r="E17" s="43" t="s">
        <v>612</v>
      </c>
      <c r="F17" s="43" t="s">
        <v>613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43">
        <v>52428855</v>
      </c>
      <c r="D18" s="43" t="s">
        <v>21</v>
      </c>
      <c r="E18" s="43" t="s">
        <v>614</v>
      </c>
      <c r="F18" s="43" t="s">
        <v>615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43">
        <v>52428853</v>
      </c>
      <c r="D19" s="43" t="s">
        <v>21</v>
      </c>
      <c r="E19" s="43" t="s">
        <v>616</v>
      </c>
      <c r="F19" s="43" t="s">
        <v>617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43">
        <v>52428851</v>
      </c>
      <c r="D20" s="43" t="s">
        <v>21</v>
      </c>
      <c r="E20" s="43" t="s">
        <v>618</v>
      </c>
      <c r="F20" s="43" t="s">
        <v>619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43">
        <v>52428848</v>
      </c>
      <c r="D21" s="43" t="s">
        <v>21</v>
      </c>
      <c r="E21" s="43" t="s">
        <v>620</v>
      </c>
      <c r="F21" s="43" t="s">
        <v>621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43">
        <v>52428841</v>
      </c>
      <c r="D22" s="43" t="s">
        <v>21</v>
      </c>
      <c r="E22" s="43" t="s">
        <v>622</v>
      </c>
      <c r="F22" s="43" t="s">
        <v>623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43">
        <v>52428840</v>
      </c>
      <c r="D23" s="43" t="s">
        <v>21</v>
      </c>
      <c r="E23" s="43" t="s">
        <v>624</v>
      </c>
      <c r="F23" s="43" t="s">
        <v>625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43">
        <v>52428838</v>
      </c>
      <c r="D24" s="43" t="s">
        <v>21</v>
      </c>
      <c r="E24" s="43" t="s">
        <v>626</v>
      </c>
      <c r="F24" s="43" t="s">
        <v>627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43">
        <v>52428832</v>
      </c>
      <c r="D25" s="43" t="s">
        <v>21</v>
      </c>
      <c r="E25" s="43" t="s">
        <v>628</v>
      </c>
      <c r="F25" s="43" t="s">
        <v>629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43">
        <v>52428830</v>
      </c>
      <c r="D26" s="43" t="s">
        <v>21</v>
      </c>
      <c r="E26" s="43" t="s">
        <v>630</v>
      </c>
      <c r="F26" s="43" t="s">
        <v>631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43">
        <v>52428829</v>
      </c>
      <c r="D27" s="43" t="s">
        <v>21</v>
      </c>
      <c r="E27" s="43" t="s">
        <v>632</v>
      </c>
      <c r="F27" s="43" t="s">
        <v>633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43">
        <v>52428827</v>
      </c>
      <c r="D28" s="43" t="s">
        <v>21</v>
      </c>
      <c r="E28" s="43" t="s">
        <v>634</v>
      </c>
      <c r="F28" s="43" t="s">
        <v>635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43">
        <v>79</v>
      </c>
      <c r="D29" s="43" t="s">
        <v>21</v>
      </c>
      <c r="E29" s="43" t="s">
        <v>636</v>
      </c>
      <c r="F29" s="43" t="s">
        <v>637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43">
        <v>77</v>
      </c>
      <c r="D30" s="43" t="s">
        <v>21</v>
      </c>
      <c r="E30" s="43" t="s">
        <v>638</v>
      </c>
      <c r="F30" s="43" t="s">
        <v>639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43">
        <v>55</v>
      </c>
      <c r="D31" s="43" t="s">
        <v>21</v>
      </c>
      <c r="E31" s="43" t="s">
        <v>640</v>
      </c>
      <c r="F31" s="43" t="s">
        <v>641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43">
        <v>67</v>
      </c>
      <c r="D32" s="43" t="s">
        <v>21</v>
      </c>
      <c r="E32" s="43" t="s">
        <v>642</v>
      </c>
      <c r="F32" s="43" t="s">
        <v>643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0" x14ac:dyDescent="0.25">
      <c r="C33" s="43">
        <v>68</v>
      </c>
      <c r="D33" s="43" t="s">
        <v>21</v>
      </c>
      <c r="E33" s="43" t="s">
        <v>644</v>
      </c>
      <c r="F33" s="43" t="s">
        <v>645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0" x14ac:dyDescent="0.25">
      <c r="C34" s="43">
        <v>69</v>
      </c>
      <c r="D34" s="43" t="s">
        <v>21</v>
      </c>
      <c r="E34" s="43" t="s">
        <v>646</v>
      </c>
      <c r="F34" s="43" t="s">
        <v>647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0" x14ac:dyDescent="0.25">
      <c r="C35" s="43">
        <v>56</v>
      </c>
      <c r="D35" s="43" t="s">
        <v>21</v>
      </c>
      <c r="E35" s="43" t="s">
        <v>648</v>
      </c>
      <c r="F35" s="43" t="s">
        <v>649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0" x14ac:dyDescent="0.25">
      <c r="C36" s="43">
        <v>52428802</v>
      </c>
      <c r="D36" s="43" t="s">
        <v>21</v>
      </c>
      <c r="E36" s="43" t="s">
        <v>650</v>
      </c>
      <c r="F36" s="43" t="s">
        <v>651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0" x14ac:dyDescent="0.25">
      <c r="C37" s="43">
        <v>71</v>
      </c>
      <c r="D37" s="43" t="s">
        <v>21</v>
      </c>
      <c r="E37" s="43" t="s">
        <v>652</v>
      </c>
      <c r="F37" s="43" t="s">
        <v>653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0" x14ac:dyDescent="0.25">
      <c r="C38" s="43">
        <v>73</v>
      </c>
      <c r="D38" s="43" t="s">
        <v>21</v>
      </c>
      <c r="E38" s="43" t="s">
        <v>654</v>
      </c>
      <c r="F38" s="43" t="s">
        <v>655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0" x14ac:dyDescent="0.25">
      <c r="C39" s="43">
        <v>61</v>
      </c>
      <c r="D39" s="43" t="s">
        <v>21</v>
      </c>
      <c r="E39" s="43" t="s">
        <v>656</v>
      </c>
      <c r="F39" s="43" t="s">
        <v>657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0" x14ac:dyDescent="0.25">
      <c r="C40" s="43">
        <v>59</v>
      </c>
      <c r="D40" s="43" t="s">
        <v>21</v>
      </c>
      <c r="E40" s="43" t="s">
        <v>658</v>
      </c>
      <c r="F40" s="43" t="s">
        <v>659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0" x14ac:dyDescent="0.25">
      <c r="C41" s="43">
        <v>60</v>
      </c>
      <c r="D41" s="43" t="s">
        <v>21</v>
      </c>
      <c r="E41" s="43" t="s">
        <v>660</v>
      </c>
      <c r="F41" s="43" t="s">
        <v>661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0" x14ac:dyDescent="0.25">
      <c r="C42"/>
      <c r="D42"/>
      <c r="E42"/>
      <c r="F42"/>
      <c r="H42"/>
      <c r="I42"/>
      <c r="J42" s="12"/>
    </row>
    <row r="43" spans="3:10" x14ac:dyDescent="0.25">
      <c r="C43"/>
      <c r="D43"/>
      <c r="E43"/>
      <c r="F43"/>
      <c r="H43"/>
      <c r="I43"/>
      <c r="J43" s="12"/>
    </row>
    <row r="44" spans="3:10" x14ac:dyDescent="0.25">
      <c r="C44"/>
      <c r="D44"/>
      <c r="E44"/>
      <c r="F44"/>
      <c r="H44"/>
      <c r="I44"/>
      <c r="J44" s="12"/>
    </row>
    <row r="45" spans="3:10" x14ac:dyDescent="0.25">
      <c r="C45"/>
      <c r="D45"/>
      <c r="E45"/>
      <c r="F45"/>
      <c r="H45"/>
      <c r="I45"/>
      <c r="J45" s="12"/>
    </row>
    <row r="46" spans="3:10" x14ac:dyDescent="0.25">
      <c r="C46"/>
      <c r="D46"/>
      <c r="E46"/>
      <c r="F46"/>
      <c r="H46"/>
      <c r="I46"/>
      <c r="J46" s="12"/>
    </row>
    <row r="47" spans="3:10" x14ac:dyDescent="0.25">
      <c r="C47"/>
      <c r="D47"/>
      <c r="E47"/>
      <c r="F47"/>
      <c r="H47"/>
      <c r="I47"/>
      <c r="J47" s="12"/>
    </row>
  </sheetData>
  <sheetProtection sheet="1" objects="1" scenarios="1" formatCells="0" formatColumns="0" formatRows="0" insertRows="0" sort="0" autoFilter="0"/>
  <hyperlinks>
    <hyperlink ref="D10" location="C3" tooltip=" " display="C3" xr:uid="{A11A1417-E338-4FB9-873B-79B6E2957BDD}"/>
    <hyperlink ref="H14" location="C3" tooltip=" " display="C3" xr:uid="{91851D76-5D3E-4CB0-ADD6-EBC6361B80C4}"/>
    <hyperlink ref="I14" location="C3" tooltip=" " display="C3" xr:uid="{15E4284E-BDAD-481D-BCEC-DF6003351CCA}"/>
    <hyperlink ref="H15" location="C3" tooltip=" " display="C3" xr:uid="{8EA2A493-8FE9-4D15-BEA4-69CF592DDA5E}"/>
    <hyperlink ref="H16" location="C3" tooltip=" " display="C3" xr:uid="{48D70CDC-4201-4904-8216-84D18180C4D8}"/>
    <hyperlink ref="H17" location="C3" tooltip=" " display="C3" xr:uid="{A7967606-2A47-4B3D-A578-DE4566D6816D}"/>
    <hyperlink ref="H18" location="C3" tooltip=" " display="C3" xr:uid="{53695D5F-23BE-4C93-9F4B-284751FE9434}"/>
    <hyperlink ref="H19" location="C3" tooltip=" " display="C3" xr:uid="{77BA908D-2195-4105-8012-2A8F22909E24}"/>
    <hyperlink ref="H20" location="C3" tooltip=" " display="C3" xr:uid="{863E561A-D33D-4860-9466-13E5C18E8799}"/>
    <hyperlink ref="H21" location="C3" tooltip=" " display="C3" xr:uid="{79BC28BB-67EA-4D09-81FA-C1675D7B8AD5}"/>
    <hyperlink ref="H22" location="C3" tooltip=" " display="C3" xr:uid="{173A01ED-4429-4A9A-8604-EDC0F959659F}"/>
    <hyperlink ref="H23" location="C3" tooltip=" " display="C3" xr:uid="{665D7FE7-492E-4878-B9FE-3C67A628CEAA}"/>
    <hyperlink ref="H24" location="C3" tooltip=" " display="C3" xr:uid="{A12380E7-550E-4BAE-AA81-DC0BA227458E}"/>
    <hyperlink ref="H25" location="C3" tooltip=" " display="C3" xr:uid="{D930BDAD-13CF-45C5-ABE9-F10EF0B8C0A8}"/>
    <hyperlink ref="H26" location="C3" tooltip=" " display="C3" xr:uid="{80DAEC8A-432D-4094-84FF-35424CDAB34B}"/>
    <hyperlink ref="H27" location="C3" tooltip=" " display="C3" xr:uid="{566837E8-20E7-4752-B6EB-2165F9E7055B}"/>
    <hyperlink ref="H28" location="C3" tooltip=" " display="C3" xr:uid="{08A331B3-0154-4CE9-97C6-A7FE180E4579}"/>
    <hyperlink ref="H29" location="C3" tooltip=" " display="C3" xr:uid="{28417C60-DA04-42AB-B8F4-785E64FEEBAD}"/>
    <hyperlink ref="H30" location="C3" tooltip=" " display="C3" xr:uid="{FE30433A-A84E-46A5-87A9-3FC03AF3046D}"/>
    <hyperlink ref="H31" location="C3" tooltip=" " display="C3" xr:uid="{3E5737DA-19DF-44EE-9DFD-AFACC55F5543}"/>
    <hyperlink ref="H32" location="C3" tooltip=" " display="C3" xr:uid="{625A6729-BA97-4299-8B84-4009387EE6E9}"/>
    <hyperlink ref="H33" location="C3" tooltip=" " display="C3" xr:uid="{D6CAA7BB-F446-4536-B2DF-51537934F04B}"/>
    <hyperlink ref="H34" location="C3" tooltip=" " display="C3" xr:uid="{8C88D1B0-C994-4C69-AC2A-D972E5A191F1}"/>
    <hyperlink ref="H35" location="C3" tooltip=" " display="C3" xr:uid="{ECC8FF11-4740-4842-B594-ABF777EFEB8A}"/>
    <hyperlink ref="H36" location="C3" tooltip=" " display="C3" xr:uid="{9B31FC2F-A166-4A96-BBB1-78B1DE6533EF}"/>
    <hyperlink ref="H37" location="C3" tooltip=" " display="C3" xr:uid="{DCBCC8C1-60F1-4C20-B838-608BAC3A8BD3}"/>
    <hyperlink ref="H38" location="C3" tooltip=" " display="C3" xr:uid="{62F0AF88-21E5-4B1E-A66C-BC27B86FC2B2}"/>
    <hyperlink ref="H39" location="C3" tooltip=" " display="C3" xr:uid="{EF29C4E7-A921-4FA8-A9C9-6A797A2F4AE9}"/>
    <hyperlink ref="H40" location="C3" tooltip=" " display="C3" xr:uid="{8C6D4428-325A-473F-A512-A8F950469419}"/>
    <hyperlink ref="H41" location="C3" tooltip=" " display="C3" xr:uid="{09BBEC68-5E5E-45E7-BA4D-1955823435AD}"/>
    <hyperlink ref="I15" location="C3" tooltip=" " display="C3" xr:uid="{3E16FAC4-0984-4759-9AC5-8B0732EA4683}"/>
    <hyperlink ref="I16" location="C3" tooltip=" " display="C3" xr:uid="{EFF5EACF-476A-4891-9EBC-E1577C056F57}"/>
    <hyperlink ref="I17" location="C3" tooltip=" " display="C3" xr:uid="{363F71C8-70CD-4975-B521-B85F4BD0DFD9}"/>
    <hyperlink ref="I18" location="C3" tooltip=" " display="C3" xr:uid="{D463021B-094D-465C-A1F1-ABC688B0E5C8}"/>
    <hyperlink ref="I19" location="C3" tooltip=" " display="C3" xr:uid="{6D661FD0-B2E7-42AF-B73F-9B84C78B162F}"/>
    <hyperlink ref="I20" location="C3" tooltip=" " display="C3" xr:uid="{121E9807-47BD-40DD-80C6-CEC7B2D8ECFD}"/>
    <hyperlink ref="I21" location="C3" tooltip=" " display="C3" xr:uid="{C770413A-DDA4-4813-9A14-297287DEC68A}"/>
    <hyperlink ref="I22" location="C3" tooltip=" " display="C3" xr:uid="{1A135C55-2633-4C89-B241-D238F1DD2055}"/>
    <hyperlink ref="I23" location="C3" tooltip=" " display="C3" xr:uid="{C0FFF253-5F0A-4262-BE91-535752841199}"/>
    <hyperlink ref="I24" location="C3" tooltip=" " display="C3" xr:uid="{3368B928-D1A2-4EB6-9C7A-DEA4F2EBEFA2}"/>
    <hyperlink ref="I25" location="C3" tooltip=" " display="C3" xr:uid="{0BB16452-E223-48FA-96AC-5A602A1566C6}"/>
    <hyperlink ref="I26" location="C3" tooltip=" " display="C3" xr:uid="{2D4D62CC-EC8C-4D57-B39A-FE3A46D4C6E6}"/>
    <hyperlink ref="I27" location="C3" tooltip=" " display="C3" xr:uid="{84B18579-9583-4EEA-8638-1D41EE23EAAD}"/>
    <hyperlink ref="I28" location="C3" tooltip=" " display="C3" xr:uid="{0AF6B074-C733-4C4F-B306-A7686F6F60CD}"/>
    <hyperlink ref="I29" location="C3" tooltip=" " display="C3" xr:uid="{8A5439AC-AEEC-4F37-BCB7-568BD6A83AD2}"/>
    <hyperlink ref="I30" location="C3" tooltip=" " display="C3" xr:uid="{1BFC32FD-2A35-46A8-9D4D-938E2DF1B02D}"/>
    <hyperlink ref="I31" location="C3" tooltip=" " display="C3" xr:uid="{55E93337-3317-4194-AE37-4BC4A233885F}"/>
    <hyperlink ref="I32" location="C3" tooltip=" " display="C3" xr:uid="{86ABC525-C4E9-4D27-81D6-AF9BC552073D}"/>
    <hyperlink ref="I33" location="C3" tooltip=" " display="C3" xr:uid="{3A9CFE34-13E4-4B8A-8439-70DA2FECE292}"/>
    <hyperlink ref="I34" location="C3" tooltip=" " display="C3" xr:uid="{E29742C9-DDBC-4501-BCFA-09CB75B0C985}"/>
    <hyperlink ref="I35" location="C3" tooltip=" " display="C3" xr:uid="{7FA0ADA0-C5F1-4120-8B4A-E59BB1F90EDE}"/>
    <hyperlink ref="I36" location="C3" tooltip=" " display="C3" xr:uid="{902E994B-EE47-4B0C-909F-45825DE8ED8A}"/>
    <hyperlink ref="I37" location="C3" tooltip=" " display="C3" xr:uid="{4D3CAC85-BFE7-4A09-B76D-7334DE7DE0C3}"/>
    <hyperlink ref="I38" location="C3" tooltip=" " display="C3" xr:uid="{448ECE4D-A41B-48F4-89DD-47924A267A28}"/>
    <hyperlink ref="I39" location="C3" tooltip=" " display="C3" xr:uid="{823C3646-DC80-4E35-AD35-D52386FC1931}"/>
    <hyperlink ref="I40" location="C3" tooltip=" " display="C3" xr:uid="{F9E92131-2929-4B2B-9433-AAD3FCA2A603}"/>
    <hyperlink ref="I41" location="C3" tooltip=" " display="C3" xr:uid="{7B87FD9B-B746-4303-B5EE-1F29249EFDC7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73"/>
  <sheetViews>
    <sheetView topLeftCell="A22" workbookViewId="0">
      <selection activeCell="E50" sqref="E50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5</v>
      </c>
      <c r="F1" s="37" t="s">
        <v>499</v>
      </c>
      <c r="G1" s="37" t="s">
        <v>500</v>
      </c>
      <c r="H1" s="37" t="s">
        <v>501</v>
      </c>
      <c r="I1" s="37" t="s">
        <v>502</v>
      </c>
      <c r="J1" s="37" t="s">
        <v>503</v>
      </c>
      <c r="K1" s="37" t="s">
        <v>504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495</v>
      </c>
      <c r="B4" s="2" t="s">
        <v>113</v>
      </c>
      <c r="C4" s="2" t="s">
        <v>521</v>
      </c>
      <c r="D4" s="30">
        <v>44262.77579861111</v>
      </c>
      <c r="E4" s="2" t="s">
        <v>522</v>
      </c>
    </row>
    <row r="5" spans="1:11" x14ac:dyDescent="0.25">
      <c r="A5" s="2" t="s">
        <v>523</v>
      </c>
      <c r="B5" s="2" t="s">
        <v>524</v>
      </c>
      <c r="C5" s="2" t="s">
        <v>525</v>
      </c>
      <c r="D5" s="30">
        <v>44262.775925925926</v>
      </c>
      <c r="E5" s="2" t="s">
        <v>526</v>
      </c>
    </row>
    <row r="6" spans="1:11" x14ac:dyDescent="0.25">
      <c r="A6" s="2" t="s">
        <v>523</v>
      </c>
      <c r="B6" s="2" t="s">
        <v>524</v>
      </c>
      <c r="C6" s="2" t="s">
        <v>525</v>
      </c>
      <c r="D6" s="30">
        <v>44262.77615740741</v>
      </c>
      <c r="E6" s="2" t="s">
        <v>526</v>
      </c>
    </row>
    <row r="7" spans="1:11" x14ac:dyDescent="0.25">
      <c r="A7" s="2" t="s">
        <v>523</v>
      </c>
      <c r="B7" s="2" t="s">
        <v>527</v>
      </c>
      <c r="C7" s="2" t="s">
        <v>521</v>
      </c>
      <c r="D7" s="30">
        <v>44262.776192129626</v>
      </c>
      <c r="E7" s="2" t="s">
        <v>528</v>
      </c>
    </row>
    <row r="8" spans="1:11" x14ac:dyDescent="0.25">
      <c r="A8" s="2" t="s">
        <v>495</v>
      </c>
      <c r="B8" s="2" t="s">
        <v>113</v>
      </c>
      <c r="C8" s="2" t="s">
        <v>521</v>
      </c>
      <c r="D8" s="30">
        <v>44262.792280092595</v>
      </c>
      <c r="E8" s="2" t="s">
        <v>522</v>
      </c>
    </row>
    <row r="9" spans="1:11" x14ac:dyDescent="0.25">
      <c r="A9" s="2" t="s">
        <v>529</v>
      </c>
      <c r="B9" s="2" t="s">
        <v>530</v>
      </c>
      <c r="C9" s="2" t="s">
        <v>521</v>
      </c>
      <c r="D9" s="30">
        <v>44262.792395833334</v>
      </c>
      <c r="E9" s="2" t="s">
        <v>531</v>
      </c>
    </row>
    <row r="10" spans="1:11" x14ac:dyDescent="0.25">
      <c r="A10" s="2" t="s">
        <v>523</v>
      </c>
      <c r="B10" s="2" t="s">
        <v>524</v>
      </c>
      <c r="C10" s="2" t="s">
        <v>525</v>
      </c>
      <c r="D10" s="30">
        <v>44262.792453703703</v>
      </c>
      <c r="E10" s="2" t="s">
        <v>532</v>
      </c>
    </row>
    <row r="11" spans="1:11" x14ac:dyDescent="0.25">
      <c r="A11" s="2" t="s">
        <v>523</v>
      </c>
      <c r="B11" s="2" t="s">
        <v>527</v>
      </c>
      <c r="C11" s="2" t="s">
        <v>521</v>
      </c>
      <c r="D11" s="30">
        <v>44262.792488425926</v>
      </c>
      <c r="E11" s="2" t="s">
        <v>533</v>
      </c>
    </row>
    <row r="12" spans="1:11" x14ac:dyDescent="0.25">
      <c r="A12" s="2" t="s">
        <v>523</v>
      </c>
      <c r="B12" s="2" t="s">
        <v>524</v>
      </c>
      <c r="C12" s="2" t="s">
        <v>525</v>
      </c>
      <c r="D12" s="30">
        <v>44262.793749999997</v>
      </c>
      <c r="E12" s="2" t="s">
        <v>534</v>
      </c>
    </row>
    <row r="13" spans="1:11" x14ac:dyDescent="0.25">
      <c r="A13" s="2" t="s">
        <v>523</v>
      </c>
      <c r="B13" s="2" t="s">
        <v>524</v>
      </c>
      <c r="C13" s="2" t="s">
        <v>525</v>
      </c>
      <c r="D13" s="30">
        <v>44262.79614583333</v>
      </c>
      <c r="E13" s="2" t="s">
        <v>534</v>
      </c>
    </row>
    <row r="14" spans="1:11" x14ac:dyDescent="0.25">
      <c r="A14" s="2" t="s">
        <v>523</v>
      </c>
      <c r="B14" s="2" t="s">
        <v>524</v>
      </c>
      <c r="C14" s="2" t="s">
        <v>525</v>
      </c>
      <c r="D14" s="30">
        <v>44262.796886574077</v>
      </c>
      <c r="E14" s="2" t="s">
        <v>534</v>
      </c>
    </row>
    <row r="15" spans="1:11" x14ac:dyDescent="0.25">
      <c r="A15" s="2" t="s">
        <v>523</v>
      </c>
      <c r="B15" s="2" t="s">
        <v>524</v>
      </c>
      <c r="C15" s="2" t="s">
        <v>525</v>
      </c>
      <c r="D15" s="30">
        <v>44262.798067129632</v>
      </c>
      <c r="E15" s="2" t="s">
        <v>534</v>
      </c>
    </row>
    <row r="16" spans="1:11" x14ac:dyDescent="0.25">
      <c r="A16" s="2" t="s">
        <v>523</v>
      </c>
      <c r="B16" s="2" t="s">
        <v>524</v>
      </c>
      <c r="C16" s="2" t="s">
        <v>525</v>
      </c>
      <c r="D16" s="30">
        <v>44262.799444444441</v>
      </c>
      <c r="E16" s="2" t="s">
        <v>534</v>
      </c>
    </row>
    <row r="17" spans="1:5" x14ac:dyDescent="0.25">
      <c r="A17" s="2" t="s">
        <v>523</v>
      </c>
      <c r="B17" s="2" t="s">
        <v>524</v>
      </c>
      <c r="C17" s="2" t="s">
        <v>525</v>
      </c>
      <c r="D17" s="30">
        <v>44262.801377314812</v>
      </c>
      <c r="E17" s="2" t="s">
        <v>534</v>
      </c>
    </row>
    <row r="18" spans="1:5" x14ac:dyDescent="0.25">
      <c r="A18" s="2" t="s">
        <v>495</v>
      </c>
      <c r="B18" s="2" t="s">
        <v>113</v>
      </c>
      <c r="C18" s="2" t="s">
        <v>521</v>
      </c>
      <c r="D18" s="30">
        <v>44262.802071759259</v>
      </c>
      <c r="E18" s="2" t="s">
        <v>522</v>
      </c>
    </row>
    <row r="19" spans="1:5" x14ac:dyDescent="0.25">
      <c r="A19" s="2" t="s">
        <v>523</v>
      </c>
      <c r="B19" s="2" t="s">
        <v>524</v>
      </c>
      <c r="C19" s="2" t="s">
        <v>525</v>
      </c>
      <c r="D19" s="30">
        <v>44262.802222222221</v>
      </c>
      <c r="E19" s="2" t="s">
        <v>534</v>
      </c>
    </row>
    <row r="20" spans="1:5" x14ac:dyDescent="0.25">
      <c r="A20" s="2" t="s">
        <v>523</v>
      </c>
      <c r="B20" s="2" t="s">
        <v>524</v>
      </c>
      <c r="C20" s="2" t="s">
        <v>525</v>
      </c>
      <c r="D20" s="30">
        <v>44262.804849537039</v>
      </c>
      <c r="E20" s="2" t="s">
        <v>534</v>
      </c>
    </row>
    <row r="21" spans="1:5" x14ac:dyDescent="0.25">
      <c r="A21" s="2" t="s">
        <v>495</v>
      </c>
      <c r="B21" s="2" t="s">
        <v>113</v>
      </c>
      <c r="C21" s="2" t="s">
        <v>521</v>
      </c>
      <c r="D21" s="30">
        <v>44262.805937500001</v>
      </c>
      <c r="E21" s="2" t="s">
        <v>522</v>
      </c>
    </row>
    <row r="22" spans="1:5" x14ac:dyDescent="0.25">
      <c r="A22" s="2" t="s">
        <v>523</v>
      </c>
      <c r="B22" s="2" t="s">
        <v>524</v>
      </c>
      <c r="C22" s="2" t="s">
        <v>525</v>
      </c>
      <c r="D22" s="30">
        <v>44262.806064814817</v>
      </c>
      <c r="E22" s="2" t="s">
        <v>534</v>
      </c>
    </row>
    <row r="23" spans="1:5" x14ac:dyDescent="0.25">
      <c r="A23" s="2" t="s">
        <v>523</v>
      </c>
      <c r="B23" s="2" t="s">
        <v>527</v>
      </c>
      <c r="C23" s="2" t="s">
        <v>521</v>
      </c>
      <c r="D23" s="30">
        <v>44262.80609953704</v>
      </c>
      <c r="E23" s="2" t="s">
        <v>535</v>
      </c>
    </row>
    <row r="24" spans="1:5" x14ac:dyDescent="0.25">
      <c r="A24" s="2" t="s">
        <v>495</v>
      </c>
      <c r="B24" s="2" t="s">
        <v>113</v>
      </c>
      <c r="C24" s="2" t="s">
        <v>521</v>
      </c>
      <c r="D24" s="30">
        <v>44262.813148148147</v>
      </c>
      <c r="E24" s="2" t="s">
        <v>536</v>
      </c>
    </row>
    <row r="25" spans="1:5" x14ac:dyDescent="0.25">
      <c r="A25" s="2" t="s">
        <v>523</v>
      </c>
      <c r="B25" s="2" t="s">
        <v>524</v>
      </c>
      <c r="C25" s="2" t="s">
        <v>525</v>
      </c>
      <c r="D25" s="30">
        <v>44262.813275462962</v>
      </c>
      <c r="E25" s="2" t="s">
        <v>534</v>
      </c>
    </row>
    <row r="26" spans="1:5" x14ac:dyDescent="0.25">
      <c r="A26" s="2" t="s">
        <v>495</v>
      </c>
      <c r="B26" s="2" t="s">
        <v>113</v>
      </c>
      <c r="C26" s="2" t="s">
        <v>521</v>
      </c>
      <c r="D26" s="30">
        <v>44262.813773148147</v>
      </c>
      <c r="E26" s="2" t="s">
        <v>522</v>
      </c>
    </row>
    <row r="27" spans="1:5" x14ac:dyDescent="0.25">
      <c r="A27" s="2" t="s">
        <v>523</v>
      </c>
      <c r="B27" s="2" t="s">
        <v>524</v>
      </c>
      <c r="C27" s="2" t="s">
        <v>525</v>
      </c>
      <c r="D27" s="30">
        <v>44262.813877314817</v>
      </c>
      <c r="E27" s="2" t="s">
        <v>534</v>
      </c>
    </row>
    <row r="28" spans="1:5" x14ac:dyDescent="0.25">
      <c r="A28" s="2" t="s">
        <v>495</v>
      </c>
      <c r="B28" s="2" t="s">
        <v>113</v>
      </c>
      <c r="C28" s="2" t="s">
        <v>521</v>
      </c>
      <c r="D28" s="30">
        <v>44262.816469907404</v>
      </c>
      <c r="E28" s="2" t="s">
        <v>536</v>
      </c>
    </row>
    <row r="29" spans="1:5" x14ac:dyDescent="0.25">
      <c r="A29" s="2" t="s">
        <v>523</v>
      </c>
      <c r="B29" s="2" t="s">
        <v>524</v>
      </c>
      <c r="C29" s="2" t="s">
        <v>525</v>
      </c>
      <c r="D29" s="30">
        <v>44262.816550925927</v>
      </c>
      <c r="E29" s="2" t="s">
        <v>534</v>
      </c>
    </row>
    <row r="30" spans="1:5" x14ac:dyDescent="0.25">
      <c r="A30" s="2" t="s">
        <v>523</v>
      </c>
      <c r="B30" s="2" t="s">
        <v>524</v>
      </c>
      <c r="C30" s="2" t="s">
        <v>525</v>
      </c>
      <c r="D30" s="30">
        <v>44262.820439814815</v>
      </c>
      <c r="E30" s="2" t="s">
        <v>534</v>
      </c>
    </row>
    <row r="31" spans="1:5" x14ac:dyDescent="0.25">
      <c r="A31" s="2" t="s">
        <v>523</v>
      </c>
      <c r="B31" s="2" t="s">
        <v>527</v>
      </c>
      <c r="C31" s="2" t="s">
        <v>521</v>
      </c>
      <c r="D31" s="30">
        <v>44262.820439814815</v>
      </c>
      <c r="E31" s="2" t="s">
        <v>535</v>
      </c>
    </row>
    <row r="32" spans="1:5" x14ac:dyDescent="0.25">
      <c r="A32" s="2" t="s">
        <v>523</v>
      </c>
      <c r="B32" s="2" t="s">
        <v>524</v>
      </c>
      <c r="C32" s="2" t="s">
        <v>525</v>
      </c>
      <c r="D32" s="30">
        <v>44262.821435185186</v>
      </c>
      <c r="E32" s="2" t="s">
        <v>534</v>
      </c>
    </row>
    <row r="33" spans="1:5" x14ac:dyDescent="0.25">
      <c r="A33" s="2" t="s">
        <v>523</v>
      </c>
      <c r="B33" s="2" t="s">
        <v>527</v>
      </c>
      <c r="C33" s="2" t="s">
        <v>521</v>
      </c>
      <c r="D33" s="30">
        <v>44262.821435185186</v>
      </c>
      <c r="E33" s="2" t="s">
        <v>535</v>
      </c>
    </row>
    <row r="34" spans="1:5" x14ac:dyDescent="0.25">
      <c r="A34" s="2" t="s">
        <v>523</v>
      </c>
      <c r="B34" s="2" t="s">
        <v>524</v>
      </c>
      <c r="C34" s="2" t="s">
        <v>525</v>
      </c>
      <c r="D34" s="30">
        <v>44262.821643518517</v>
      </c>
      <c r="E34" s="2" t="s">
        <v>534</v>
      </c>
    </row>
    <row r="35" spans="1:5" x14ac:dyDescent="0.25">
      <c r="A35" s="2" t="s">
        <v>523</v>
      </c>
      <c r="B35" s="2" t="s">
        <v>527</v>
      </c>
      <c r="C35" s="2" t="s">
        <v>521</v>
      </c>
      <c r="D35" s="30">
        <v>44262.821643518517</v>
      </c>
      <c r="E35" s="2" t="s">
        <v>535</v>
      </c>
    </row>
    <row r="36" spans="1:5" x14ac:dyDescent="0.25">
      <c r="A36" s="2" t="s">
        <v>523</v>
      </c>
      <c r="B36" s="2" t="s">
        <v>524</v>
      </c>
      <c r="C36" s="2" t="s">
        <v>525</v>
      </c>
      <c r="D36" s="30">
        <v>44262.822534722225</v>
      </c>
      <c r="E36" s="2" t="s">
        <v>534</v>
      </c>
    </row>
    <row r="37" spans="1:5" x14ac:dyDescent="0.25">
      <c r="A37" s="2" t="s">
        <v>495</v>
      </c>
      <c r="B37" s="2" t="s">
        <v>113</v>
      </c>
      <c r="C37" s="2" t="s">
        <v>521</v>
      </c>
      <c r="D37" s="30">
        <v>44262.827407407407</v>
      </c>
      <c r="E37" s="2" t="s">
        <v>522</v>
      </c>
    </row>
    <row r="38" spans="1:5" x14ac:dyDescent="0.25">
      <c r="A38" s="2" t="s">
        <v>523</v>
      </c>
      <c r="B38" s="2" t="s">
        <v>524</v>
      </c>
      <c r="C38" s="2" t="s">
        <v>525</v>
      </c>
      <c r="D38" s="30">
        <v>44262.827523148146</v>
      </c>
      <c r="E38" s="2" t="s">
        <v>534</v>
      </c>
    </row>
    <row r="39" spans="1:5" x14ac:dyDescent="0.25">
      <c r="A39" s="2" t="s">
        <v>523</v>
      </c>
      <c r="B39" s="2" t="s">
        <v>524</v>
      </c>
      <c r="C39" s="2" t="s">
        <v>525</v>
      </c>
      <c r="D39" s="30">
        <v>44262.827708333331</v>
      </c>
      <c r="E39" s="2" t="s">
        <v>534</v>
      </c>
    </row>
    <row r="40" spans="1:5" x14ac:dyDescent="0.25">
      <c r="A40" s="2" t="s">
        <v>495</v>
      </c>
      <c r="B40" s="2" t="s">
        <v>113</v>
      </c>
      <c r="C40" s="2" t="s">
        <v>521</v>
      </c>
      <c r="D40" s="30">
        <v>44262.8280787037</v>
      </c>
      <c r="E40" s="2" t="s">
        <v>537</v>
      </c>
    </row>
    <row r="41" spans="1:5" x14ac:dyDescent="0.25">
      <c r="A41" s="2" t="s">
        <v>523</v>
      </c>
      <c r="B41" s="2" t="s">
        <v>524</v>
      </c>
      <c r="C41" s="2" t="s">
        <v>525</v>
      </c>
      <c r="D41" s="30">
        <v>44262.828159722223</v>
      </c>
      <c r="E41" s="2" t="s">
        <v>534</v>
      </c>
    </row>
    <row r="42" spans="1:5" x14ac:dyDescent="0.25">
      <c r="A42" s="2" t="s">
        <v>523</v>
      </c>
      <c r="B42" s="2" t="s">
        <v>527</v>
      </c>
      <c r="C42" s="2" t="s">
        <v>521</v>
      </c>
      <c r="D42" s="30">
        <v>44262.828206018516</v>
      </c>
      <c r="E42" s="2" t="s">
        <v>538</v>
      </c>
    </row>
    <row r="43" spans="1:5" x14ac:dyDescent="0.25">
      <c r="A43" s="2" t="s">
        <v>663</v>
      </c>
      <c r="B43" s="2" t="s">
        <v>664</v>
      </c>
      <c r="C43" s="2" t="s">
        <v>521</v>
      </c>
      <c r="D43" s="30">
        <v>44265.385289351849</v>
      </c>
      <c r="E43" s="2" t="s">
        <v>665</v>
      </c>
    </row>
    <row r="44" spans="1:5" x14ac:dyDescent="0.25">
      <c r="A44" s="2" t="s">
        <v>666</v>
      </c>
      <c r="B44" s="2" t="s">
        <v>667</v>
      </c>
      <c r="C44" s="2" t="s">
        <v>521</v>
      </c>
      <c r="D44" s="30">
        <v>44265.387361111112</v>
      </c>
      <c r="E44" s="2" t="s">
        <v>668</v>
      </c>
    </row>
    <row r="45" spans="1:5" x14ac:dyDescent="0.25">
      <c r="A45" s="2" t="s">
        <v>495</v>
      </c>
      <c r="B45" s="2" t="s">
        <v>113</v>
      </c>
      <c r="C45" s="2" t="s">
        <v>521</v>
      </c>
      <c r="D45" s="30">
        <v>44265.406875000001</v>
      </c>
      <c r="E45" s="2" t="s">
        <v>669</v>
      </c>
    </row>
    <row r="46" spans="1:5" x14ac:dyDescent="0.25">
      <c r="A46" s="2" t="s">
        <v>529</v>
      </c>
      <c r="B46" s="2" t="s">
        <v>530</v>
      </c>
      <c r="C46" s="2" t="s">
        <v>521</v>
      </c>
      <c r="D46" s="30">
        <v>44265.406990740739</v>
      </c>
      <c r="E46" s="2" t="s">
        <v>670</v>
      </c>
    </row>
    <row r="47" spans="1:5" x14ac:dyDescent="0.25">
      <c r="A47" s="2" t="s">
        <v>529</v>
      </c>
      <c r="B47" s="2" t="s">
        <v>530</v>
      </c>
      <c r="C47" s="2" t="s">
        <v>521</v>
      </c>
      <c r="D47" s="30">
        <v>44265.407569444447</v>
      </c>
      <c r="E47" s="2" t="s">
        <v>671</v>
      </c>
    </row>
    <row r="48" spans="1:5" x14ac:dyDescent="0.25">
      <c r="A48" s="2" t="s">
        <v>672</v>
      </c>
      <c r="B48" s="2" t="s">
        <v>673</v>
      </c>
      <c r="C48" s="2" t="s">
        <v>521</v>
      </c>
      <c r="D48" s="30">
        <v>44265.407592592594</v>
      </c>
      <c r="E48" s="2" t="s">
        <v>674</v>
      </c>
    </row>
    <row r="49" spans="1:5" x14ac:dyDescent="0.25">
      <c r="A49" s="2" t="s">
        <v>523</v>
      </c>
      <c r="B49" s="2" t="s">
        <v>675</v>
      </c>
      <c r="C49" s="2" t="s">
        <v>525</v>
      </c>
      <c r="D49" s="30">
        <v>44265.40834490741</v>
      </c>
      <c r="E49" s="2" t="s">
        <v>676</v>
      </c>
    </row>
    <row r="50" spans="1:5" x14ac:dyDescent="0.25">
      <c r="A50" s="2" t="s">
        <v>523</v>
      </c>
      <c r="B50" s="2" t="s">
        <v>677</v>
      </c>
      <c r="C50" s="2" t="s">
        <v>521</v>
      </c>
      <c r="D50" s="30">
        <v>44265.408379629633</v>
      </c>
      <c r="E50" s="2" t="s">
        <v>678</v>
      </c>
    </row>
    <row r="51" spans="1:5" x14ac:dyDescent="0.25">
      <c r="A51" s="2" t="s">
        <v>495</v>
      </c>
      <c r="B51" s="2" t="s">
        <v>113</v>
      </c>
      <c r="C51" s="2" t="s">
        <v>521</v>
      </c>
      <c r="D51" s="30">
        <v>44269.923182870371</v>
      </c>
      <c r="E51" s="2" t="s">
        <v>669</v>
      </c>
    </row>
    <row r="52" spans="1:5" x14ac:dyDescent="0.25">
      <c r="A52" s="2" t="s">
        <v>495</v>
      </c>
      <c r="B52" s="2" t="s">
        <v>113</v>
      </c>
      <c r="C52" s="2" t="s">
        <v>521</v>
      </c>
      <c r="D52" s="30">
        <v>44269.923657407409</v>
      </c>
      <c r="E52" s="2" t="s">
        <v>669</v>
      </c>
    </row>
    <row r="53" spans="1:5" x14ac:dyDescent="0.25">
      <c r="A53" s="2" t="s">
        <v>495</v>
      </c>
      <c r="B53" s="2" t="s">
        <v>113</v>
      </c>
      <c r="C53" s="2" t="s">
        <v>521</v>
      </c>
      <c r="D53" s="30">
        <v>44269.924108796295</v>
      </c>
      <c r="E53" s="2" t="s">
        <v>669</v>
      </c>
    </row>
    <row r="54" spans="1:5" x14ac:dyDescent="0.25">
      <c r="A54" s="2" t="s">
        <v>694</v>
      </c>
      <c r="B54" s="2" t="s">
        <v>695</v>
      </c>
      <c r="C54" s="2" t="s">
        <v>521</v>
      </c>
      <c r="D54" s="30">
        <v>44269.924768518518</v>
      </c>
      <c r="E54" s="2" t="s">
        <v>696</v>
      </c>
    </row>
    <row r="55" spans="1:5" x14ac:dyDescent="0.25">
      <c r="A55" s="2" t="s">
        <v>495</v>
      </c>
      <c r="B55" s="2" t="s">
        <v>113</v>
      </c>
      <c r="C55" s="2" t="s">
        <v>521</v>
      </c>
      <c r="D55" s="30">
        <v>44269.929699074077</v>
      </c>
      <c r="E55" s="2" t="s">
        <v>669</v>
      </c>
    </row>
    <row r="56" spans="1:5" x14ac:dyDescent="0.25">
      <c r="A56" s="2" t="s">
        <v>694</v>
      </c>
      <c r="B56" s="2" t="s">
        <v>695</v>
      </c>
      <c r="C56" s="2" t="s">
        <v>521</v>
      </c>
      <c r="D56" s="30">
        <v>44269.929780092592</v>
      </c>
      <c r="E56" s="2" t="s">
        <v>696</v>
      </c>
    </row>
    <row r="57" spans="1:5" x14ac:dyDescent="0.25">
      <c r="A57" s="2" t="s">
        <v>495</v>
      </c>
      <c r="B57" s="2" t="s">
        <v>113</v>
      </c>
      <c r="C57" s="2" t="s">
        <v>521</v>
      </c>
      <c r="D57" s="30">
        <v>44269.930613425924</v>
      </c>
      <c r="E57" s="2" t="s">
        <v>669</v>
      </c>
    </row>
    <row r="58" spans="1:5" x14ac:dyDescent="0.25">
      <c r="A58" s="2" t="s">
        <v>694</v>
      </c>
      <c r="B58" s="2" t="s">
        <v>695</v>
      </c>
      <c r="C58" s="2" t="s">
        <v>521</v>
      </c>
      <c r="D58" s="30">
        <v>44269.931574074071</v>
      </c>
      <c r="E58" s="2" t="s">
        <v>696</v>
      </c>
    </row>
    <row r="59" spans="1:5" x14ac:dyDescent="0.25">
      <c r="A59" s="2" t="s">
        <v>697</v>
      </c>
      <c r="B59" s="2" t="s">
        <v>698</v>
      </c>
      <c r="C59" s="2" t="s">
        <v>521</v>
      </c>
      <c r="D59" s="30">
        <v>44269.93204861111</v>
      </c>
      <c r="E59" s="2" t="s">
        <v>699</v>
      </c>
    </row>
    <row r="60" spans="1:5" x14ac:dyDescent="0.25">
      <c r="A60" s="2" t="s">
        <v>700</v>
      </c>
      <c r="B60" s="2" t="s">
        <v>368</v>
      </c>
      <c r="C60" s="2" t="s">
        <v>521</v>
      </c>
      <c r="D60" s="30">
        <v>44269.93240740741</v>
      </c>
      <c r="E60" s="2" t="s">
        <v>701</v>
      </c>
    </row>
    <row r="61" spans="1:5" x14ac:dyDescent="0.25">
      <c r="A61" s="2" t="s">
        <v>702</v>
      </c>
      <c r="B61" s="2" t="s">
        <v>703</v>
      </c>
      <c r="C61" s="2" t="s">
        <v>521</v>
      </c>
      <c r="D61" s="30">
        <v>44269.932581018518</v>
      </c>
      <c r="E61" s="2" t="s">
        <v>699</v>
      </c>
    </row>
    <row r="62" spans="1:5" x14ac:dyDescent="0.25">
      <c r="A62" s="2" t="s">
        <v>704</v>
      </c>
      <c r="B62" s="2" t="s">
        <v>369</v>
      </c>
      <c r="C62" s="2" t="s">
        <v>521</v>
      </c>
      <c r="D62" s="30">
        <v>44269.932708333334</v>
      </c>
      <c r="E62" s="2" t="s">
        <v>699</v>
      </c>
    </row>
    <row r="63" spans="1:5" x14ac:dyDescent="0.25">
      <c r="A63" s="2" t="s">
        <v>705</v>
      </c>
      <c r="B63" s="2" t="s">
        <v>370</v>
      </c>
      <c r="C63" s="2" t="s">
        <v>521</v>
      </c>
      <c r="D63" s="30">
        <v>44269.932847222219</v>
      </c>
      <c r="E63" s="2" t="s">
        <v>699</v>
      </c>
    </row>
    <row r="64" spans="1:5" x14ac:dyDescent="0.25">
      <c r="A64" s="2" t="s">
        <v>706</v>
      </c>
      <c r="B64" s="2" t="s">
        <v>707</v>
      </c>
      <c r="C64" s="2" t="s">
        <v>521</v>
      </c>
      <c r="D64" s="30">
        <v>44269.932881944442</v>
      </c>
      <c r="E64" s="2" t="s">
        <v>699</v>
      </c>
    </row>
    <row r="65" spans="1:5" x14ac:dyDescent="0.25">
      <c r="A65" s="2" t="s">
        <v>495</v>
      </c>
      <c r="B65" s="2" t="s">
        <v>113</v>
      </c>
      <c r="C65" s="2" t="s">
        <v>521</v>
      </c>
      <c r="D65" s="30">
        <v>44269.935983796298</v>
      </c>
      <c r="E65" s="2" t="s">
        <v>669</v>
      </c>
    </row>
    <row r="66" spans="1:5" x14ac:dyDescent="0.25">
      <c r="A66" s="2" t="s">
        <v>694</v>
      </c>
      <c r="B66" s="2" t="s">
        <v>695</v>
      </c>
      <c r="C66" s="2" t="s">
        <v>521</v>
      </c>
      <c r="D66" s="30">
        <v>44269.936284722222</v>
      </c>
      <c r="E66" s="2" t="s">
        <v>696</v>
      </c>
    </row>
    <row r="67" spans="1:5" x14ac:dyDescent="0.25">
      <c r="A67" s="2" t="s">
        <v>697</v>
      </c>
      <c r="B67" s="2" t="s">
        <v>698</v>
      </c>
      <c r="C67" s="2" t="s">
        <v>521</v>
      </c>
      <c r="D67" s="30">
        <v>44269.936319444445</v>
      </c>
      <c r="E67" s="2" t="s">
        <v>699</v>
      </c>
    </row>
    <row r="68" spans="1:5" x14ac:dyDescent="0.25">
      <c r="A68" s="2" t="s">
        <v>700</v>
      </c>
      <c r="B68" s="2" t="s">
        <v>368</v>
      </c>
      <c r="C68" s="2" t="s">
        <v>521</v>
      </c>
      <c r="D68" s="30">
        <v>44269.936354166668</v>
      </c>
      <c r="E68" s="2" t="s">
        <v>701</v>
      </c>
    </row>
    <row r="69" spans="1:5" x14ac:dyDescent="0.25">
      <c r="A69" s="2" t="s">
        <v>702</v>
      </c>
      <c r="B69" s="2" t="s">
        <v>703</v>
      </c>
      <c r="C69" s="2" t="s">
        <v>521</v>
      </c>
      <c r="D69" s="30">
        <v>44269.936354166668</v>
      </c>
      <c r="E69" s="2" t="s">
        <v>699</v>
      </c>
    </row>
    <row r="70" spans="1:5" x14ac:dyDescent="0.25">
      <c r="A70" s="2" t="s">
        <v>704</v>
      </c>
      <c r="B70" s="2" t="s">
        <v>369</v>
      </c>
      <c r="C70" s="2" t="s">
        <v>521</v>
      </c>
      <c r="D70" s="30">
        <v>44269.936388888891</v>
      </c>
      <c r="E70" s="2" t="s">
        <v>699</v>
      </c>
    </row>
    <row r="71" spans="1:5" x14ac:dyDescent="0.25">
      <c r="A71" s="2" t="s">
        <v>705</v>
      </c>
      <c r="B71" s="2" t="s">
        <v>370</v>
      </c>
      <c r="C71" s="2" t="s">
        <v>521</v>
      </c>
      <c r="D71" s="30">
        <v>44269.936400462961</v>
      </c>
      <c r="E71" s="2" t="s">
        <v>699</v>
      </c>
    </row>
    <row r="72" spans="1:5" x14ac:dyDescent="0.25">
      <c r="A72" s="2" t="s">
        <v>706</v>
      </c>
      <c r="B72" s="2" t="s">
        <v>707</v>
      </c>
      <c r="C72" s="2" t="s">
        <v>521</v>
      </c>
      <c r="D72" s="30">
        <v>44269.936400462961</v>
      </c>
      <c r="E72" s="2" t="s">
        <v>699</v>
      </c>
    </row>
    <row r="73" spans="1:5" x14ac:dyDescent="0.25">
      <c r="A73" s="2" t="s">
        <v>708</v>
      </c>
      <c r="B73" s="2" t="s">
        <v>371</v>
      </c>
      <c r="C73" s="2" t="s">
        <v>521</v>
      </c>
      <c r="D73" s="30">
        <v>44269.936435185184</v>
      </c>
      <c r="E73" s="2" t="s">
        <v>699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L76"/>
  <sheetViews>
    <sheetView topLeftCell="A9" zoomScaleNormal="100" workbookViewId="0">
      <selection activeCell="L39" sqref="L39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2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</row>
    <row r="18" spans="1:12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</row>
    <row r="19" spans="1:12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</row>
    <row r="20" spans="1:12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</row>
    <row r="21" spans="1:12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</row>
    <row r="22" spans="1:12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</row>
    <row r="23" spans="1:12" x14ac:dyDescent="0.25">
      <c r="B23" t="s">
        <v>86</v>
      </c>
      <c r="D23">
        <v>0.25</v>
      </c>
    </row>
    <row r="24" spans="1:12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</row>
    <row r="25" spans="1:12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</row>
    <row r="26" spans="1:12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</row>
    <row r="27" spans="1:12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</row>
    <row r="28" spans="1:12" x14ac:dyDescent="0.25">
      <c r="B28" t="s">
        <v>176</v>
      </c>
      <c r="D28">
        <v>0.25</v>
      </c>
    </row>
    <row r="29" spans="1:12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</row>
    <row r="30" spans="1:12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</row>
    <row r="31" spans="1:12" x14ac:dyDescent="0.25">
      <c r="B31" t="s">
        <v>144</v>
      </c>
      <c r="D31">
        <v>0.25</v>
      </c>
    </row>
    <row r="32" spans="1:12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</row>
    <row r="33" spans="2:12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</row>
    <row r="34" spans="2:12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</row>
    <row r="35" spans="2:12" x14ac:dyDescent="0.25">
      <c r="B35" t="s">
        <v>145</v>
      </c>
      <c r="D35">
        <v>0.5</v>
      </c>
    </row>
    <row r="36" spans="2:12" x14ac:dyDescent="0.25">
      <c r="B36" t="s">
        <v>241</v>
      </c>
      <c r="I36">
        <v>0.5</v>
      </c>
      <c r="J36">
        <v>0.5</v>
      </c>
      <c r="K36">
        <v>0.5</v>
      </c>
      <c r="L36">
        <v>0.5</v>
      </c>
    </row>
    <row r="37" spans="2:12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</row>
    <row r="38" spans="2:12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</row>
    <row r="39" spans="2:12" x14ac:dyDescent="0.25">
      <c r="B39" t="s">
        <v>30</v>
      </c>
      <c r="C39">
        <v>0.25</v>
      </c>
    </row>
    <row r="40" spans="2:12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</row>
    <row r="41" spans="2:12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</row>
    <row r="42" spans="2:12" x14ac:dyDescent="0.25">
      <c r="B42" t="s">
        <v>35</v>
      </c>
      <c r="D42">
        <v>0.5</v>
      </c>
    </row>
    <row r="43" spans="2:12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</row>
    <row r="44" spans="2:12" x14ac:dyDescent="0.25">
      <c r="B44" t="s">
        <v>32</v>
      </c>
      <c r="C44">
        <v>0.25</v>
      </c>
    </row>
    <row r="45" spans="2:12" x14ac:dyDescent="0.25">
      <c r="B45" t="s">
        <v>41</v>
      </c>
    </row>
    <row r="46" spans="2:12" x14ac:dyDescent="0.25">
      <c r="B46" t="s">
        <v>33</v>
      </c>
      <c r="C46">
        <v>0.25</v>
      </c>
    </row>
    <row r="47" spans="2:12" x14ac:dyDescent="0.25">
      <c r="B47" t="s">
        <v>42</v>
      </c>
      <c r="C47">
        <v>0.25</v>
      </c>
    </row>
    <row r="48" spans="2:12" x14ac:dyDescent="0.25">
      <c r="B48" t="s">
        <v>43</v>
      </c>
      <c r="D48">
        <v>0.5</v>
      </c>
    </row>
    <row r="49" spans="2:12" x14ac:dyDescent="0.25">
      <c r="B49" t="s">
        <v>44</v>
      </c>
      <c r="C49">
        <v>0.25</v>
      </c>
    </row>
    <row r="50" spans="2:12" x14ac:dyDescent="0.25">
      <c r="B50" t="s">
        <v>45</v>
      </c>
      <c r="C50">
        <v>0.25</v>
      </c>
    </row>
    <row r="51" spans="2:12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</row>
    <row r="52" spans="2:12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</row>
    <row r="53" spans="2:12" hidden="1" x14ac:dyDescent="0.25">
      <c r="B53" t="s">
        <v>511</v>
      </c>
      <c r="J53" t="s">
        <v>138</v>
      </c>
      <c r="K53" t="s">
        <v>138</v>
      </c>
      <c r="L53" t="s">
        <v>138</v>
      </c>
    </row>
    <row r="54" spans="2:12" x14ac:dyDescent="0.25">
      <c r="B54" t="s">
        <v>602</v>
      </c>
      <c r="K54">
        <v>0.3</v>
      </c>
      <c r="L54" t="s">
        <v>138</v>
      </c>
    </row>
    <row r="55" spans="2:12" hidden="1" x14ac:dyDescent="0.25">
      <c r="B55" t="s">
        <v>518</v>
      </c>
      <c r="J55">
        <v>0.25</v>
      </c>
      <c r="K55" t="s">
        <v>138</v>
      </c>
      <c r="L55" t="s">
        <v>138</v>
      </c>
    </row>
    <row r="56" spans="2:12" hidden="1" x14ac:dyDescent="0.25">
      <c r="B56" t="s">
        <v>544</v>
      </c>
      <c r="K56" t="s">
        <v>138</v>
      </c>
      <c r="L56" t="s">
        <v>138</v>
      </c>
    </row>
    <row r="57" spans="2:12" hidden="1" x14ac:dyDescent="0.25">
      <c r="B57" t="s">
        <v>519</v>
      </c>
      <c r="J57">
        <v>0.25</v>
      </c>
      <c r="K57" t="s">
        <v>138</v>
      </c>
      <c r="L57" t="s">
        <v>138</v>
      </c>
    </row>
    <row r="58" spans="2:12" hidden="1" x14ac:dyDescent="0.25">
      <c r="B58" t="s">
        <v>542</v>
      </c>
      <c r="K58" t="s">
        <v>138</v>
      </c>
      <c r="L58" t="s">
        <v>138</v>
      </c>
    </row>
    <row r="59" spans="2:12" hidden="1" x14ac:dyDescent="0.25">
      <c r="B59" t="s">
        <v>543</v>
      </c>
      <c r="K59" t="s">
        <v>138</v>
      </c>
      <c r="L59" t="s">
        <v>138</v>
      </c>
    </row>
    <row r="60" spans="2:12" x14ac:dyDescent="0.25">
      <c r="B60" t="s">
        <v>512</v>
      </c>
      <c r="J60">
        <v>0.25</v>
      </c>
      <c r="K60">
        <v>0.2</v>
      </c>
      <c r="L60">
        <v>0.2</v>
      </c>
    </row>
    <row r="61" spans="2:12" x14ac:dyDescent="0.25">
      <c r="B61" t="s">
        <v>517</v>
      </c>
      <c r="J61">
        <v>0.25</v>
      </c>
      <c r="K61">
        <v>0.2</v>
      </c>
      <c r="L61">
        <v>0.2</v>
      </c>
    </row>
    <row r="62" spans="2:12" x14ac:dyDescent="0.25">
      <c r="B62" t="s">
        <v>662</v>
      </c>
      <c r="K62">
        <v>0.2</v>
      </c>
      <c r="L62">
        <v>0.2</v>
      </c>
    </row>
    <row r="63" spans="2:12" x14ac:dyDescent="0.25">
      <c r="B63" t="s">
        <v>515</v>
      </c>
      <c r="J63">
        <v>0.5</v>
      </c>
      <c r="K63">
        <v>0.3</v>
      </c>
      <c r="L63">
        <v>0.3</v>
      </c>
    </row>
    <row r="64" spans="2:12" x14ac:dyDescent="0.25">
      <c r="B64" t="s">
        <v>692</v>
      </c>
      <c r="L64">
        <v>0.2</v>
      </c>
    </row>
    <row r="65" spans="2:12" x14ac:dyDescent="0.25">
      <c r="B65" t="s">
        <v>510</v>
      </c>
      <c r="J65">
        <v>0.25</v>
      </c>
      <c r="K65">
        <v>0.1</v>
      </c>
      <c r="L65">
        <v>0.1</v>
      </c>
    </row>
    <row r="66" spans="2:12" x14ac:dyDescent="0.25">
      <c r="B66" t="s">
        <v>514</v>
      </c>
      <c r="J66">
        <v>0.25</v>
      </c>
      <c r="K66">
        <v>0.25</v>
      </c>
      <c r="L66">
        <v>0.25</v>
      </c>
    </row>
    <row r="67" spans="2:12" x14ac:dyDescent="0.25">
      <c r="B67" t="s">
        <v>513</v>
      </c>
      <c r="J67">
        <v>0.5</v>
      </c>
      <c r="K67">
        <v>0.5</v>
      </c>
      <c r="L67">
        <v>0.5</v>
      </c>
    </row>
    <row r="68" spans="2:12" x14ac:dyDescent="0.25">
      <c r="B68" t="s">
        <v>509</v>
      </c>
      <c r="J68">
        <v>1</v>
      </c>
      <c r="K68">
        <v>1</v>
      </c>
      <c r="L68">
        <v>1</v>
      </c>
    </row>
    <row r="69" spans="2:12" x14ac:dyDescent="0.25">
      <c r="B69" t="s">
        <v>551</v>
      </c>
      <c r="K69">
        <v>0.2</v>
      </c>
      <c r="L69">
        <v>0.2</v>
      </c>
    </row>
    <row r="70" spans="2:12" x14ac:dyDescent="0.25">
      <c r="B70" t="s">
        <v>508</v>
      </c>
      <c r="J70">
        <v>0.5</v>
      </c>
      <c r="K70">
        <v>0.5</v>
      </c>
      <c r="L70">
        <v>0.5</v>
      </c>
    </row>
    <row r="71" spans="2:12" x14ac:dyDescent="0.25">
      <c r="B71" t="s">
        <v>72</v>
      </c>
      <c r="C71">
        <v>3</v>
      </c>
      <c r="D71">
        <v>3</v>
      </c>
      <c r="J71">
        <v>2</v>
      </c>
      <c r="K71">
        <v>2</v>
      </c>
      <c r="L71">
        <v>2</v>
      </c>
    </row>
    <row r="73" spans="2:12" x14ac:dyDescent="0.25">
      <c r="B73" s="27">
        <f>0+C73+D73</f>
        <v>26</v>
      </c>
      <c r="C73" s="28">
        <f>SUM(C18:C71)</f>
        <v>11.5</v>
      </c>
      <c r="D73" s="29">
        <f>SUM(D18:D71)</f>
        <v>14.5</v>
      </c>
      <c r="F73" s="17">
        <f t="shared" ref="F73:L73" si="0">SUMIF(F18:F72,"",$C18:$C72)+SUMIF(F18:F72,"",$D18:$D72)+SUBTOTAL(109,F18:F72)</f>
        <v>24.5</v>
      </c>
      <c r="G73" s="17">
        <f t="shared" si="0"/>
        <v>23.75</v>
      </c>
      <c r="H73" s="17">
        <f t="shared" si="0"/>
        <v>24</v>
      </c>
      <c r="I73" s="17">
        <f t="shared" si="0"/>
        <v>19</v>
      </c>
      <c r="J73" s="17">
        <f t="shared" si="0"/>
        <v>10.5</v>
      </c>
      <c r="K73" s="17">
        <f t="shared" ref="K73" si="1">SUMIF(K18:K72,"",$C18:$C72)+SUMIF(K18:K72,"",$D18:$D72)+SUBTOTAL(109,K18:K72)</f>
        <v>10.75</v>
      </c>
      <c r="L73" s="17">
        <f t="shared" si="0"/>
        <v>10.65</v>
      </c>
    </row>
    <row r="76" spans="2:12" x14ac:dyDescent="0.25">
      <c r="B76" t="s">
        <v>46</v>
      </c>
    </row>
  </sheetData>
  <autoFilter ref="F17:L73" xr:uid="{00379212-E3CF-4218-9FEE-9E59D27F5740}">
    <filterColumn colId="6">
      <filters blank="1">
        <filter val="0,1"/>
        <filter val="0,2"/>
        <filter val="0,25"/>
        <filter val="0,3"/>
        <filter val="0,5"/>
        <filter val="1"/>
        <filter val="10,75"/>
        <filter val="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507</v>
      </c>
    </row>
    <row r="8" spans="1:3" outlineLevel="1" x14ac:dyDescent="0.25"/>
    <row r="11" spans="1:3" x14ac:dyDescent="0.25">
      <c r="A11" t="s">
        <v>539</v>
      </c>
      <c r="B11" t="s">
        <v>540</v>
      </c>
      <c r="C11" t="s">
        <v>541</v>
      </c>
    </row>
    <row r="12" spans="1:3" outlineLevel="1" x14ac:dyDescent="0.25">
      <c r="B12" t="s">
        <v>496</v>
      </c>
    </row>
    <row r="13" spans="1:3" outlineLevel="1" x14ac:dyDescent="0.25">
      <c r="B13" t="s">
        <v>497</v>
      </c>
    </row>
    <row r="14" spans="1:3" outlineLevel="1" x14ac:dyDescent="0.25">
      <c r="B14" t="s">
        <v>498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496</v>
      </c>
    </row>
    <row r="21" spans="1:3" hidden="1" outlineLevel="1" x14ac:dyDescent="0.25">
      <c r="B21" t="s">
        <v>497</v>
      </c>
    </row>
    <row r="22" spans="1:3" hidden="1" outlineLevel="1" x14ac:dyDescent="0.25">
      <c r="B22" t="s">
        <v>498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E35" sqref="E35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493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6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6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6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6" t="s">
        <v>180</v>
      </c>
      <c r="B33" s="2"/>
      <c r="C33" s="2"/>
      <c r="D33" s="2"/>
      <c r="E33" s="2"/>
      <c r="F33" s="2"/>
      <c r="G33" s="2" t="s">
        <v>600</v>
      </c>
      <c r="H33" s="2" t="s">
        <v>601</v>
      </c>
    </row>
    <row r="34" spans="1:8" x14ac:dyDescent="0.25">
      <c r="A34" s="26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6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6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6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6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6" t="s">
        <v>372</v>
      </c>
      <c r="B40" s="2"/>
      <c r="C40" s="2"/>
      <c r="D40" s="2"/>
      <c r="E40" s="2"/>
      <c r="F40" s="2"/>
      <c r="G40" s="2" t="s">
        <v>470</v>
      </c>
      <c r="H40" s="2" t="s">
        <v>17</v>
      </c>
    </row>
    <row r="41" spans="1:8" x14ac:dyDescent="0.25">
      <c r="A41" s="36" t="s">
        <v>373</v>
      </c>
      <c r="B41" s="2"/>
      <c r="C41" s="2"/>
      <c r="D41" s="2"/>
      <c r="E41" s="2"/>
      <c r="F41" s="2"/>
      <c r="G41" s="2" t="s">
        <v>471</v>
      </c>
      <c r="H41" s="2" t="s">
        <v>472</v>
      </c>
    </row>
    <row r="42" spans="1:8" x14ac:dyDescent="0.25">
      <c r="A42" s="35" t="s">
        <v>323</v>
      </c>
      <c r="B42" s="2"/>
      <c r="C42" s="2"/>
      <c r="D42" s="2"/>
      <c r="E42" s="2"/>
      <c r="F42" s="2"/>
      <c r="G42" s="2" t="s">
        <v>473</v>
      </c>
      <c r="H42" s="2" t="s">
        <v>474</v>
      </c>
    </row>
    <row r="43" spans="1:8" x14ac:dyDescent="0.25">
      <c r="A43" s="36" t="s">
        <v>450</v>
      </c>
      <c r="B43" s="2"/>
      <c r="C43" s="2"/>
      <c r="D43" s="2"/>
      <c r="E43" s="2"/>
      <c r="F43" s="2"/>
      <c r="G43" s="2" t="s">
        <v>475</v>
      </c>
      <c r="H43" s="38" t="s">
        <v>483</v>
      </c>
    </row>
    <row r="44" spans="1:8" x14ac:dyDescent="0.25">
      <c r="A44" s="36" t="s">
        <v>451</v>
      </c>
      <c r="B44" s="2"/>
      <c r="C44" s="2"/>
      <c r="D44" s="2"/>
      <c r="E44" s="2"/>
      <c r="F44" s="2"/>
      <c r="G44" s="2" t="s">
        <v>479</v>
      </c>
      <c r="H44" s="2" t="s">
        <v>481</v>
      </c>
    </row>
    <row r="45" spans="1:8" x14ac:dyDescent="0.25">
      <c r="A45" s="36" t="s">
        <v>452</v>
      </c>
      <c r="B45" s="2"/>
      <c r="C45" s="2"/>
      <c r="D45" s="2"/>
      <c r="E45" s="2"/>
      <c r="F45" s="2"/>
      <c r="G45" s="2" t="s">
        <v>476</v>
      </c>
      <c r="H45" s="38" t="s">
        <v>484</v>
      </c>
    </row>
    <row r="46" spans="1:8" x14ac:dyDescent="0.25">
      <c r="A46" s="36" t="s">
        <v>453</v>
      </c>
      <c r="B46" s="2"/>
      <c r="C46" s="2"/>
      <c r="D46" s="2"/>
      <c r="E46" s="2"/>
      <c r="F46" s="2"/>
      <c r="G46" s="2" t="s">
        <v>480</v>
      </c>
      <c r="H46" s="2" t="s">
        <v>482</v>
      </c>
    </row>
    <row r="47" spans="1:8" x14ac:dyDescent="0.25">
      <c r="A47" s="36" t="s">
        <v>454</v>
      </c>
      <c r="B47" s="2"/>
      <c r="C47" s="2"/>
      <c r="D47" s="2"/>
      <c r="E47" s="2"/>
      <c r="F47" s="2"/>
      <c r="G47" s="2" t="s">
        <v>485</v>
      </c>
      <c r="H47" s="2" t="s">
        <v>486</v>
      </c>
    </row>
    <row r="48" spans="1:8" x14ac:dyDescent="0.25">
      <c r="A48" s="36" t="s">
        <v>455</v>
      </c>
      <c r="B48" s="2"/>
      <c r="C48" s="2"/>
      <c r="D48" s="2"/>
      <c r="E48" s="2"/>
      <c r="F48" s="2"/>
      <c r="G48" s="2" t="s">
        <v>487</v>
      </c>
      <c r="H48" s="2" t="s">
        <v>488</v>
      </c>
    </row>
    <row r="49" spans="1:8" x14ac:dyDescent="0.25">
      <c r="A49" s="36" t="s">
        <v>456</v>
      </c>
      <c r="B49" s="2"/>
      <c r="C49" s="2"/>
      <c r="D49" s="2"/>
      <c r="E49" s="2"/>
      <c r="F49" s="2"/>
      <c r="G49" s="2" t="s">
        <v>477</v>
      </c>
      <c r="H49" s="2" t="s">
        <v>489</v>
      </c>
    </row>
    <row r="50" spans="1:8" x14ac:dyDescent="0.25">
      <c r="A50" s="36" t="s">
        <v>457</v>
      </c>
      <c r="B50" s="2"/>
      <c r="C50" s="2"/>
      <c r="D50" s="2"/>
      <c r="E50" s="2"/>
      <c r="F50" s="2"/>
      <c r="G50" s="2" t="s">
        <v>490</v>
      </c>
      <c r="H50" s="2" t="s">
        <v>491</v>
      </c>
    </row>
    <row r="51" spans="1:8" x14ac:dyDescent="0.25">
      <c r="A51" s="36" t="s">
        <v>458</v>
      </c>
      <c r="B51" s="2"/>
      <c r="C51" s="2"/>
      <c r="D51" s="2"/>
      <c r="E51" s="2"/>
      <c r="F51" s="2"/>
      <c r="G51" s="2" t="s">
        <v>478</v>
      </c>
      <c r="H51" s="2" t="s">
        <v>492</v>
      </c>
    </row>
    <row r="52" spans="1:8" x14ac:dyDescent="0.25">
      <c r="A52" s="36" t="s">
        <v>459</v>
      </c>
      <c r="B52" s="2"/>
      <c r="C52" s="2"/>
      <c r="D52" s="2"/>
      <c r="E52" s="2"/>
      <c r="F52" s="2"/>
      <c r="G52" s="36" t="s">
        <v>545</v>
      </c>
      <c r="H52" s="36" t="s">
        <v>546</v>
      </c>
    </row>
    <row r="53" spans="1:8" x14ac:dyDescent="0.25">
      <c r="A53" s="36" t="s">
        <v>460</v>
      </c>
      <c r="B53" s="2"/>
      <c r="C53" s="2"/>
      <c r="D53" s="2"/>
      <c r="E53" s="2"/>
      <c r="F53" s="2"/>
      <c r="G53" s="36" t="s">
        <v>548</v>
      </c>
      <c r="H53" s="36" t="s">
        <v>547</v>
      </c>
    </row>
    <row r="54" spans="1:8" x14ac:dyDescent="0.25">
      <c r="A54" s="36" t="s">
        <v>461</v>
      </c>
      <c r="B54" s="2"/>
      <c r="C54" s="2"/>
      <c r="D54" s="2"/>
      <c r="E54" s="2"/>
      <c r="F54" s="2"/>
      <c r="G54" s="36" t="s">
        <v>549</v>
      </c>
      <c r="H54" s="36" t="s">
        <v>550</v>
      </c>
    </row>
    <row r="55" spans="1:8" x14ac:dyDescent="0.25">
      <c r="A55" s="36" t="s">
        <v>462</v>
      </c>
      <c r="B55" s="2"/>
      <c r="C55" s="2"/>
      <c r="D55" s="2"/>
      <c r="E55" s="2"/>
      <c r="F55" s="2"/>
      <c r="G55" s="36" t="s">
        <v>552</v>
      </c>
      <c r="H55" s="36" t="s">
        <v>553</v>
      </c>
    </row>
    <row r="56" spans="1:8" x14ac:dyDescent="0.25">
      <c r="A56" s="36" t="s">
        <v>463</v>
      </c>
      <c r="B56" s="2"/>
      <c r="C56" s="2"/>
      <c r="D56" s="2"/>
      <c r="E56" s="2"/>
      <c r="F56" s="2"/>
      <c r="G56" s="36" t="s">
        <v>554</v>
      </c>
      <c r="H56" s="36" t="s">
        <v>556</v>
      </c>
    </row>
    <row r="57" spans="1:8" x14ac:dyDescent="0.25">
      <c r="A57" s="36" t="s">
        <v>464</v>
      </c>
      <c r="B57" s="2"/>
      <c r="C57" s="2"/>
      <c r="D57" s="2"/>
      <c r="E57" s="2"/>
      <c r="F57" s="2"/>
      <c r="G57" s="36" t="s">
        <v>555</v>
      </c>
      <c r="H57" s="36" t="s">
        <v>557</v>
      </c>
    </row>
    <row r="58" spans="1:8" x14ac:dyDescent="0.25">
      <c r="A58" s="36" t="s">
        <v>465</v>
      </c>
      <c r="B58" s="2"/>
      <c r="C58" s="2"/>
      <c r="D58" s="2"/>
      <c r="E58" s="2"/>
      <c r="F58" s="2"/>
      <c r="G58" s="36" t="s">
        <v>558</v>
      </c>
      <c r="H58" s="36" t="s">
        <v>559</v>
      </c>
    </row>
    <row r="59" spans="1:8" x14ac:dyDescent="0.25">
      <c r="A59" s="36" t="s">
        <v>466</v>
      </c>
      <c r="B59" s="2"/>
      <c r="C59" s="2"/>
      <c r="D59" s="2"/>
      <c r="E59" s="2"/>
      <c r="F59" s="2"/>
      <c r="G59" s="36" t="s">
        <v>560</v>
      </c>
      <c r="H59" s="36" t="s">
        <v>561</v>
      </c>
    </row>
    <row r="60" spans="1:8" x14ac:dyDescent="0.25">
      <c r="A60" s="36" t="s">
        <v>467</v>
      </c>
      <c r="B60" s="2"/>
      <c r="C60" s="2"/>
      <c r="D60" s="2"/>
      <c r="E60" s="2"/>
      <c r="F60" s="2"/>
      <c r="G60" s="36" t="s">
        <v>562</v>
      </c>
      <c r="H60" s="36" t="s">
        <v>563</v>
      </c>
    </row>
    <row r="61" spans="1:8" x14ac:dyDescent="0.25">
      <c r="A61" s="36" t="s">
        <v>468</v>
      </c>
      <c r="B61" s="2"/>
      <c r="C61" s="2"/>
      <c r="D61" s="2"/>
      <c r="E61" s="2"/>
      <c r="F61" s="2"/>
      <c r="G61" s="36" t="s">
        <v>564</v>
      </c>
      <c r="H61" s="36" t="s">
        <v>565</v>
      </c>
    </row>
    <row r="62" spans="1:8" x14ac:dyDescent="0.25">
      <c r="A62" s="36" t="s">
        <v>469</v>
      </c>
      <c r="B62" s="2"/>
      <c r="C62" s="2"/>
      <c r="D62" s="2"/>
      <c r="E62" s="2"/>
      <c r="F62" s="2"/>
      <c r="G62" s="36" t="s">
        <v>566</v>
      </c>
      <c r="H62" s="36" t="s">
        <v>567</v>
      </c>
    </row>
    <row r="63" spans="1:8" x14ac:dyDescent="0.25">
      <c r="A63" s="35" t="s">
        <v>324</v>
      </c>
      <c r="B63" s="2"/>
      <c r="C63" s="2"/>
      <c r="D63" s="2"/>
      <c r="E63" s="2"/>
      <c r="F63" s="2"/>
      <c r="G63" s="35" t="s">
        <v>34</v>
      </c>
      <c r="H63" s="35" t="s">
        <v>202</v>
      </c>
    </row>
    <row r="64" spans="1:8" x14ac:dyDescent="0.25">
      <c r="A64" s="35" t="s">
        <v>325</v>
      </c>
      <c r="B64" s="2"/>
      <c r="C64" s="2"/>
      <c r="D64" s="2"/>
      <c r="E64" s="2"/>
      <c r="F64" s="2"/>
      <c r="G64" s="35" t="s">
        <v>568</v>
      </c>
      <c r="H64" s="35" t="s">
        <v>569</v>
      </c>
    </row>
    <row r="65" spans="1:8" x14ac:dyDescent="0.25">
      <c r="A65" s="36" t="s">
        <v>407</v>
      </c>
      <c r="B65" s="2"/>
      <c r="C65" s="2"/>
      <c r="D65" s="2"/>
      <c r="E65" s="2"/>
      <c r="F65" s="2"/>
      <c r="G65" s="36" t="s">
        <v>570</v>
      </c>
      <c r="H65" s="36" t="s">
        <v>571</v>
      </c>
    </row>
    <row r="66" spans="1:8" x14ac:dyDescent="0.25">
      <c r="A66" s="36" t="s">
        <v>408</v>
      </c>
      <c r="B66" s="2"/>
      <c r="C66" s="2"/>
      <c r="D66" s="2"/>
      <c r="E66" s="2"/>
      <c r="F66" s="2"/>
      <c r="G66" s="36" t="s">
        <v>572</v>
      </c>
      <c r="H66" s="36" t="s">
        <v>573</v>
      </c>
    </row>
    <row r="67" spans="1:8" x14ac:dyDescent="0.25">
      <c r="A67" s="36" t="s">
        <v>409</v>
      </c>
      <c r="B67" s="2"/>
      <c r="C67" s="2"/>
      <c r="D67" s="2"/>
      <c r="E67" s="2"/>
      <c r="F67" s="2"/>
      <c r="G67" s="36" t="s">
        <v>574</v>
      </c>
      <c r="H67" s="36" t="s">
        <v>575</v>
      </c>
    </row>
    <row r="68" spans="1:8" x14ac:dyDescent="0.25">
      <c r="A68" s="36" t="s">
        <v>410</v>
      </c>
      <c r="B68" s="2"/>
      <c r="C68" s="2"/>
      <c r="D68" s="2"/>
      <c r="E68" s="2"/>
      <c r="F68" s="2"/>
      <c r="G68" s="36" t="s">
        <v>576</v>
      </c>
      <c r="H68" s="36" t="s">
        <v>577</v>
      </c>
    </row>
    <row r="69" spans="1:8" x14ac:dyDescent="0.25">
      <c r="A69" s="35" t="s">
        <v>326</v>
      </c>
      <c r="B69" s="2"/>
      <c r="C69" s="2"/>
      <c r="D69" s="2"/>
      <c r="E69" s="2"/>
      <c r="F69" s="2"/>
      <c r="G69" s="35" t="s">
        <v>578</v>
      </c>
      <c r="H69" s="35" t="s">
        <v>579</v>
      </c>
    </row>
    <row r="70" spans="1:8" x14ac:dyDescent="0.25">
      <c r="A70" s="36" t="s">
        <v>411</v>
      </c>
      <c r="B70" s="2"/>
      <c r="C70" s="2"/>
      <c r="D70" s="2"/>
      <c r="E70" s="2"/>
      <c r="F70" s="2"/>
      <c r="G70" s="36" t="s">
        <v>580</v>
      </c>
      <c r="H70" s="36" t="s">
        <v>586</v>
      </c>
    </row>
    <row r="71" spans="1:8" x14ac:dyDescent="0.25">
      <c r="A71" s="36" t="s">
        <v>412</v>
      </c>
      <c r="B71" s="2"/>
      <c r="C71" s="2"/>
      <c r="D71" s="2"/>
      <c r="E71" s="2"/>
      <c r="F71" s="2"/>
      <c r="G71" s="36" t="s">
        <v>583</v>
      </c>
      <c r="H71" s="36" t="s">
        <v>587</v>
      </c>
    </row>
    <row r="72" spans="1:8" x14ac:dyDescent="0.25">
      <c r="A72" s="36" t="s">
        <v>413</v>
      </c>
      <c r="B72" s="2"/>
      <c r="C72" s="2"/>
      <c r="D72" s="2"/>
      <c r="E72" s="2"/>
      <c r="F72" s="2"/>
      <c r="G72" s="36" t="s">
        <v>584</v>
      </c>
      <c r="H72" s="36" t="s">
        <v>588</v>
      </c>
    </row>
    <row r="73" spans="1:8" x14ac:dyDescent="0.25">
      <c r="A73" s="36" t="s">
        <v>414</v>
      </c>
      <c r="B73" s="2"/>
      <c r="C73" s="2"/>
      <c r="D73" s="2"/>
      <c r="E73" s="2"/>
      <c r="F73" s="2"/>
      <c r="G73" s="36" t="s">
        <v>585</v>
      </c>
      <c r="H73" s="36" t="s">
        <v>589</v>
      </c>
    </row>
    <row r="74" spans="1:8" x14ac:dyDescent="0.25">
      <c r="A74" s="35" t="s">
        <v>327</v>
      </c>
      <c r="B74" s="2"/>
      <c r="C74" s="2"/>
      <c r="D74" s="2"/>
      <c r="E74" s="2"/>
      <c r="F74" s="2"/>
      <c r="G74" s="35" t="s">
        <v>581</v>
      </c>
      <c r="H74" s="35" t="s">
        <v>582</v>
      </c>
    </row>
    <row r="75" spans="1:8" x14ac:dyDescent="0.25">
      <c r="A75" s="36" t="s">
        <v>251</v>
      </c>
      <c r="B75" s="2"/>
      <c r="C75" s="2"/>
      <c r="D75" s="2"/>
      <c r="E75" s="2"/>
      <c r="F75" s="2"/>
      <c r="G75" s="36" t="s">
        <v>251</v>
      </c>
      <c r="H75" s="36" t="s">
        <v>251</v>
      </c>
    </row>
    <row r="76" spans="1:8" x14ac:dyDescent="0.25">
      <c r="A76" s="36" t="s">
        <v>415</v>
      </c>
      <c r="B76" s="2"/>
      <c r="C76" s="2"/>
      <c r="D76" s="2"/>
      <c r="E76" s="2"/>
      <c r="F76" s="2"/>
      <c r="G76" s="36" t="s">
        <v>590</v>
      </c>
      <c r="H76" s="36" t="s">
        <v>591</v>
      </c>
    </row>
    <row r="77" spans="1:8" x14ac:dyDescent="0.25">
      <c r="A77" s="36" t="s">
        <v>416</v>
      </c>
      <c r="B77" s="2"/>
      <c r="C77" s="2"/>
      <c r="D77" s="2"/>
      <c r="E77" s="2"/>
      <c r="F77" s="2"/>
      <c r="G77" s="36" t="s">
        <v>592</v>
      </c>
      <c r="H77" s="36" t="s">
        <v>593</v>
      </c>
    </row>
    <row r="78" spans="1:8" x14ac:dyDescent="0.25">
      <c r="A78" s="35" t="s">
        <v>364</v>
      </c>
      <c r="B78" s="2"/>
      <c r="C78" s="2"/>
      <c r="D78" s="2"/>
      <c r="E78" s="2"/>
      <c r="F78" s="2"/>
      <c r="G78" s="35" t="s">
        <v>473</v>
      </c>
      <c r="H78" s="35" t="s">
        <v>474</v>
      </c>
    </row>
    <row r="79" spans="1:8" x14ac:dyDescent="0.25">
      <c r="A79" s="36" t="s">
        <v>417</v>
      </c>
      <c r="B79" s="2"/>
      <c r="C79" s="2"/>
      <c r="D79" s="2"/>
      <c r="E79" s="2"/>
      <c r="F79" s="2"/>
      <c r="G79" s="2" t="s">
        <v>475</v>
      </c>
      <c r="H79" s="38" t="s">
        <v>483</v>
      </c>
    </row>
    <row r="80" spans="1:8" x14ac:dyDescent="0.25">
      <c r="A80" s="36" t="s">
        <v>436</v>
      </c>
      <c r="B80" s="2"/>
      <c r="C80" s="2"/>
      <c r="D80" s="2"/>
      <c r="E80" s="2"/>
      <c r="F80" s="2"/>
      <c r="G80" s="2" t="s">
        <v>479</v>
      </c>
      <c r="H80" s="2" t="s">
        <v>481</v>
      </c>
    </row>
    <row r="81" spans="1:8" x14ac:dyDescent="0.25">
      <c r="A81" s="36" t="s">
        <v>418</v>
      </c>
      <c r="B81" s="2"/>
      <c r="C81" s="2"/>
      <c r="D81" s="2"/>
      <c r="E81" s="2"/>
      <c r="F81" s="2"/>
      <c r="G81" s="2" t="s">
        <v>476</v>
      </c>
      <c r="H81" s="38" t="s">
        <v>484</v>
      </c>
    </row>
    <row r="82" spans="1:8" x14ac:dyDescent="0.25">
      <c r="A82" s="36" t="s">
        <v>449</v>
      </c>
      <c r="B82" s="2"/>
      <c r="C82" s="2"/>
      <c r="D82" s="2"/>
      <c r="E82" s="2"/>
      <c r="F82" s="2"/>
      <c r="G82" s="2" t="s">
        <v>480</v>
      </c>
      <c r="H82" s="2" t="s">
        <v>482</v>
      </c>
    </row>
    <row r="83" spans="1:8" x14ac:dyDescent="0.25">
      <c r="A83" s="36" t="s">
        <v>419</v>
      </c>
      <c r="B83" s="2"/>
      <c r="C83" s="2"/>
      <c r="D83" s="2"/>
      <c r="E83" s="2"/>
      <c r="F83" s="2"/>
      <c r="G83" s="2" t="s">
        <v>485</v>
      </c>
      <c r="H83" s="2" t="s">
        <v>486</v>
      </c>
    </row>
    <row r="84" spans="1:8" x14ac:dyDescent="0.25">
      <c r="A84" s="36" t="s">
        <v>437</v>
      </c>
      <c r="B84" s="2"/>
      <c r="C84" s="2"/>
      <c r="D84" s="2"/>
      <c r="E84" s="2"/>
      <c r="F84" s="2"/>
      <c r="G84" s="2" t="s">
        <v>487</v>
      </c>
      <c r="H84" s="2" t="s">
        <v>488</v>
      </c>
    </row>
    <row r="85" spans="1:8" x14ac:dyDescent="0.25">
      <c r="A85" s="36" t="s">
        <v>420</v>
      </c>
      <c r="B85" s="2"/>
      <c r="C85" s="2"/>
      <c r="D85" s="2"/>
      <c r="E85" s="2"/>
      <c r="F85" s="2"/>
      <c r="G85" s="2" t="s">
        <v>477</v>
      </c>
      <c r="H85" s="2" t="s">
        <v>489</v>
      </c>
    </row>
    <row r="86" spans="1:8" x14ac:dyDescent="0.25">
      <c r="A86" s="36" t="s">
        <v>421</v>
      </c>
      <c r="B86" s="2"/>
      <c r="C86" s="2"/>
      <c r="D86" s="2"/>
      <c r="E86" s="2"/>
      <c r="F86" s="2"/>
      <c r="G86" s="2" t="s">
        <v>490</v>
      </c>
      <c r="H86" s="2" t="s">
        <v>491</v>
      </c>
    </row>
    <row r="87" spans="1:8" x14ac:dyDescent="0.25">
      <c r="A87" s="36" t="s">
        <v>422</v>
      </c>
      <c r="B87" s="2"/>
      <c r="C87" s="2"/>
      <c r="D87" s="2"/>
      <c r="E87" s="2"/>
      <c r="F87" s="2"/>
      <c r="G87" s="2" t="s">
        <v>478</v>
      </c>
      <c r="H87" s="2" t="s">
        <v>492</v>
      </c>
    </row>
    <row r="88" spans="1:8" x14ac:dyDescent="0.25">
      <c r="A88" s="36" t="s">
        <v>423</v>
      </c>
      <c r="B88" s="2"/>
      <c r="C88" s="2"/>
      <c r="D88" s="2"/>
      <c r="E88" s="2"/>
      <c r="F88" s="2"/>
      <c r="G88" s="36" t="s">
        <v>545</v>
      </c>
      <c r="H88" s="36" t="s">
        <v>546</v>
      </c>
    </row>
    <row r="89" spans="1:8" x14ac:dyDescent="0.25">
      <c r="A89" s="36" t="s">
        <v>438</v>
      </c>
      <c r="B89" s="2"/>
      <c r="C89" s="2"/>
      <c r="D89" s="2"/>
      <c r="E89" s="2"/>
      <c r="F89" s="2"/>
      <c r="G89" s="36" t="s">
        <v>548</v>
      </c>
      <c r="H89" s="36" t="s">
        <v>547</v>
      </c>
    </row>
    <row r="90" spans="1:8" x14ac:dyDescent="0.25">
      <c r="A90" s="36" t="s">
        <v>424</v>
      </c>
      <c r="B90" s="2"/>
      <c r="C90" s="2"/>
      <c r="D90" s="2"/>
      <c r="E90" s="2"/>
      <c r="F90" s="2"/>
      <c r="G90" s="36" t="s">
        <v>549</v>
      </c>
      <c r="H90" s="36" t="s">
        <v>550</v>
      </c>
    </row>
    <row r="91" spans="1:8" x14ac:dyDescent="0.25">
      <c r="A91" s="36" t="s">
        <v>439</v>
      </c>
      <c r="B91" s="2"/>
      <c r="C91" s="2"/>
      <c r="D91" s="2"/>
      <c r="E91" s="2"/>
      <c r="F91" s="2"/>
      <c r="G91" s="36" t="s">
        <v>552</v>
      </c>
      <c r="H91" s="36" t="s">
        <v>553</v>
      </c>
    </row>
    <row r="92" spans="1:8" x14ac:dyDescent="0.25">
      <c r="A92" s="36" t="s">
        <v>425</v>
      </c>
      <c r="B92" s="2"/>
      <c r="C92" s="2"/>
      <c r="D92" s="2"/>
      <c r="E92" s="2"/>
      <c r="F92" s="2"/>
      <c r="G92" s="36" t="s">
        <v>554</v>
      </c>
      <c r="H92" s="36" t="s">
        <v>556</v>
      </c>
    </row>
    <row r="93" spans="1:8" x14ac:dyDescent="0.25">
      <c r="A93" s="36" t="s">
        <v>426</v>
      </c>
      <c r="B93" s="2"/>
      <c r="C93" s="2"/>
      <c r="D93" s="2"/>
      <c r="E93" s="2"/>
      <c r="F93" s="2"/>
      <c r="G93" s="36" t="s">
        <v>555</v>
      </c>
      <c r="H93" s="36" t="s">
        <v>557</v>
      </c>
    </row>
    <row r="94" spans="1:8" x14ac:dyDescent="0.25">
      <c r="A94" s="36" t="s">
        <v>440</v>
      </c>
      <c r="B94" s="2"/>
      <c r="C94" s="2"/>
      <c r="D94" s="2"/>
      <c r="E94" s="2"/>
      <c r="F94" s="2"/>
      <c r="G94" s="36" t="s">
        <v>558</v>
      </c>
      <c r="H94" s="36" t="s">
        <v>559</v>
      </c>
    </row>
    <row r="95" spans="1:8" x14ac:dyDescent="0.25">
      <c r="A95" s="36" t="s">
        <v>427</v>
      </c>
      <c r="B95" s="2"/>
      <c r="C95" s="2"/>
      <c r="D95" s="2"/>
      <c r="E95" s="2"/>
      <c r="F95" s="2"/>
      <c r="G95" s="36" t="s">
        <v>560</v>
      </c>
      <c r="H95" s="36" t="s">
        <v>561</v>
      </c>
    </row>
    <row r="96" spans="1:8" x14ac:dyDescent="0.25">
      <c r="A96" s="36" t="s">
        <v>428</v>
      </c>
      <c r="B96" s="2"/>
      <c r="C96" s="2"/>
      <c r="D96" s="2"/>
      <c r="E96" s="2"/>
      <c r="F96" s="2"/>
      <c r="G96" s="36" t="s">
        <v>562</v>
      </c>
      <c r="H96" s="36" t="s">
        <v>563</v>
      </c>
    </row>
    <row r="97" spans="1:8" x14ac:dyDescent="0.25">
      <c r="A97" s="36" t="s">
        <v>429</v>
      </c>
      <c r="B97" s="2"/>
      <c r="C97" s="2"/>
      <c r="D97" s="2"/>
      <c r="E97" s="2"/>
      <c r="F97" s="2"/>
      <c r="G97" s="36" t="s">
        <v>564</v>
      </c>
      <c r="H97" s="36" t="s">
        <v>565</v>
      </c>
    </row>
    <row r="98" spans="1:8" x14ac:dyDescent="0.25">
      <c r="A98" s="36" t="s">
        <v>430</v>
      </c>
      <c r="B98" s="2"/>
      <c r="C98" s="2"/>
      <c r="D98" s="2"/>
      <c r="E98" s="2"/>
      <c r="F98" s="2"/>
      <c r="G98" s="36" t="s">
        <v>566</v>
      </c>
      <c r="H98" s="36" t="s">
        <v>567</v>
      </c>
    </row>
    <row r="99" spans="1:8" x14ac:dyDescent="0.25">
      <c r="A99" s="35" t="s">
        <v>365</v>
      </c>
      <c r="B99" s="2"/>
      <c r="C99" s="2"/>
      <c r="D99" s="2"/>
      <c r="E99" s="2"/>
      <c r="F99" s="2"/>
      <c r="G99" s="35" t="s">
        <v>34</v>
      </c>
      <c r="H99" s="35" t="s">
        <v>202</v>
      </c>
    </row>
    <row r="100" spans="1:8" x14ac:dyDescent="0.25">
      <c r="A100" s="36" t="s">
        <v>431</v>
      </c>
      <c r="B100" s="2"/>
      <c r="C100" s="2"/>
      <c r="D100" s="2"/>
      <c r="E100" s="2"/>
      <c r="F100" s="2"/>
      <c r="G100" s="35" t="s">
        <v>598</v>
      </c>
      <c r="H100" s="35" t="s">
        <v>599</v>
      </c>
    </row>
    <row r="101" spans="1:8" x14ac:dyDescent="0.25">
      <c r="A101" s="36" t="s">
        <v>432</v>
      </c>
      <c r="B101" s="2"/>
      <c r="C101" s="2"/>
      <c r="D101" s="2"/>
      <c r="E101" s="2"/>
      <c r="F101" s="2"/>
      <c r="G101" s="36" t="s">
        <v>184</v>
      </c>
      <c r="H101" s="36" t="s">
        <v>185</v>
      </c>
    </row>
    <row r="102" spans="1:8" x14ac:dyDescent="0.25">
      <c r="A102" s="36" t="s">
        <v>433</v>
      </c>
      <c r="B102" s="2"/>
      <c r="C102" s="2"/>
      <c r="D102" s="2"/>
      <c r="E102" s="2"/>
      <c r="F102" s="2"/>
      <c r="G102" s="36" t="s">
        <v>600</v>
      </c>
      <c r="H102" s="36" t="s">
        <v>601</v>
      </c>
    </row>
    <row r="103" spans="1:8" x14ac:dyDescent="0.25">
      <c r="A103" s="35" t="s">
        <v>366</v>
      </c>
      <c r="B103" s="2"/>
      <c r="C103" s="2"/>
      <c r="D103" s="2"/>
      <c r="E103" s="2"/>
      <c r="F103" s="2"/>
      <c r="G103" s="35" t="s">
        <v>568</v>
      </c>
      <c r="H103" s="35" t="s">
        <v>569</v>
      </c>
    </row>
    <row r="104" spans="1:8" x14ac:dyDescent="0.25">
      <c r="A104" s="36" t="s">
        <v>434</v>
      </c>
      <c r="B104" s="2"/>
      <c r="C104" s="2"/>
      <c r="D104" s="2"/>
      <c r="E104" s="2"/>
      <c r="F104" s="2"/>
      <c r="G104" s="35" t="s">
        <v>596</v>
      </c>
      <c r="H104" s="35" t="s">
        <v>597</v>
      </c>
    </row>
    <row r="105" spans="1:8" x14ac:dyDescent="0.25">
      <c r="A105" s="36" t="s">
        <v>441</v>
      </c>
      <c r="B105" s="2"/>
      <c r="C105" s="2"/>
      <c r="D105" s="2"/>
      <c r="E105" s="2"/>
      <c r="F105" s="2"/>
      <c r="G105" s="36" t="s">
        <v>570</v>
      </c>
      <c r="H105" s="36" t="s">
        <v>571</v>
      </c>
    </row>
    <row r="106" spans="1:8" x14ac:dyDescent="0.25">
      <c r="A106" s="36" t="s">
        <v>447</v>
      </c>
      <c r="B106" s="2"/>
      <c r="C106" s="2"/>
      <c r="D106" s="2"/>
      <c r="E106" s="2"/>
      <c r="F106" s="2"/>
      <c r="G106" s="36" t="s">
        <v>572</v>
      </c>
      <c r="H106" s="36" t="s">
        <v>573</v>
      </c>
    </row>
    <row r="107" spans="1:8" x14ac:dyDescent="0.25">
      <c r="A107" s="36" t="s">
        <v>448</v>
      </c>
      <c r="B107" s="2"/>
      <c r="C107" s="2"/>
      <c r="D107" s="2"/>
      <c r="E107" s="2"/>
      <c r="F107" s="2"/>
      <c r="G107" s="36" t="s">
        <v>574</v>
      </c>
      <c r="H107" s="36" t="s">
        <v>575</v>
      </c>
    </row>
    <row r="108" spans="1:8" x14ac:dyDescent="0.25">
      <c r="A108" s="36" t="s">
        <v>442</v>
      </c>
      <c r="B108" s="2"/>
      <c r="C108" s="2"/>
      <c r="D108" s="2"/>
      <c r="E108" s="2"/>
      <c r="F108" s="2"/>
      <c r="G108" s="36" t="s">
        <v>576</v>
      </c>
      <c r="H108" s="36" t="s">
        <v>577</v>
      </c>
    </row>
    <row r="109" spans="1:8" x14ac:dyDescent="0.25">
      <c r="A109" s="35" t="s">
        <v>367</v>
      </c>
      <c r="B109" s="2"/>
      <c r="C109" s="2"/>
      <c r="D109" s="2"/>
      <c r="E109" s="2"/>
      <c r="F109" s="2"/>
      <c r="G109" s="35" t="s">
        <v>578</v>
      </c>
      <c r="H109" s="35" t="s">
        <v>579</v>
      </c>
    </row>
    <row r="110" spans="1:8" x14ac:dyDescent="0.25">
      <c r="A110" s="36" t="s">
        <v>435</v>
      </c>
      <c r="B110" s="2"/>
      <c r="C110" s="2"/>
      <c r="D110" s="2"/>
      <c r="E110" s="2"/>
      <c r="F110" s="2"/>
      <c r="G110" s="35" t="s">
        <v>594</v>
      </c>
      <c r="H110" s="35" t="s">
        <v>595</v>
      </c>
    </row>
    <row r="111" spans="1:8" x14ac:dyDescent="0.25">
      <c r="A111" s="36" t="s">
        <v>443</v>
      </c>
      <c r="B111" s="2"/>
      <c r="C111" s="2"/>
      <c r="D111" s="2"/>
      <c r="E111" s="2"/>
      <c r="F111" s="2"/>
      <c r="G111" s="36" t="s">
        <v>580</v>
      </c>
      <c r="H111" s="36" t="s">
        <v>586</v>
      </c>
    </row>
    <row r="112" spans="1:8" x14ac:dyDescent="0.25">
      <c r="A112" s="36" t="s">
        <v>444</v>
      </c>
      <c r="B112" s="2"/>
      <c r="C112" s="2"/>
      <c r="D112" s="2"/>
      <c r="E112" s="2"/>
      <c r="F112" s="2"/>
      <c r="G112" s="36" t="s">
        <v>583</v>
      </c>
      <c r="H112" s="36" t="s">
        <v>587</v>
      </c>
    </row>
    <row r="113" spans="1:8" x14ac:dyDescent="0.25">
      <c r="A113" s="36" t="s">
        <v>445</v>
      </c>
      <c r="B113" s="2"/>
      <c r="C113" s="2"/>
      <c r="D113" s="2"/>
      <c r="E113" s="2"/>
      <c r="F113" s="2"/>
      <c r="G113" s="36" t="s">
        <v>584</v>
      </c>
      <c r="H113" s="36" t="s">
        <v>588</v>
      </c>
    </row>
    <row r="114" spans="1:8" x14ac:dyDescent="0.25">
      <c r="A114" s="36" t="s">
        <v>446</v>
      </c>
      <c r="B114" s="2"/>
      <c r="C114" s="2"/>
      <c r="D114" s="2"/>
      <c r="E114" s="2"/>
      <c r="F114" s="2"/>
      <c r="G114" s="36" t="s">
        <v>585</v>
      </c>
      <c r="H114" s="36" t="s">
        <v>589</v>
      </c>
    </row>
  </sheetData>
  <phoneticPr fontId="1" type="noConversion"/>
  <dataValidations count="1">
    <dataValidation type="list" showInputMessage="1" promptTitle="Langue" prompt="Choisir une langue" sqref="J1" xr:uid="{7866BFFE-9EC1-456C-9D50-F3380C1077EE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22" zoomScale="82" zoomScaleNormal="82" workbookViewId="0">
      <selection activeCell="K57" sqref="K57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  <c r="P1" s="44" t="s">
        <v>682</v>
      </c>
      <c r="Q1" s="9" t="s">
        <v>693</v>
      </c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603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605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495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494</v>
      </c>
      <c r="C9" s="14" t="s">
        <v>239</v>
      </c>
      <c r="D9" s="14" t="s">
        <v>94</v>
      </c>
      <c r="E9" s="15" t="s">
        <v>516</v>
      </c>
      <c r="F9" s="15" t="s">
        <v>94</v>
      </c>
      <c r="G9" s="14" t="s">
        <v>604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520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683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679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684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374</v>
      </c>
      <c r="H13" s="33" t="s">
        <v>99</v>
      </c>
      <c r="I13" s="33" t="s">
        <v>94</v>
      </c>
      <c r="J13" s="33" t="s">
        <v>372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375</v>
      </c>
      <c r="H14" s="33" t="s">
        <v>99</v>
      </c>
      <c r="I14" s="33" t="s">
        <v>94</v>
      </c>
      <c r="J14" s="33" t="s">
        <v>373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376</v>
      </c>
      <c r="H17" s="33" t="s">
        <v>149</v>
      </c>
      <c r="I17" s="33" t="s">
        <v>96</v>
      </c>
      <c r="J17" s="33" t="s">
        <v>450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377</v>
      </c>
      <c r="H18" s="33" t="s">
        <v>101</v>
      </c>
      <c r="I18" s="33" t="s">
        <v>96</v>
      </c>
      <c r="J18" s="33" t="s">
        <v>451</v>
      </c>
      <c r="K18" s="33" t="s">
        <v>368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378</v>
      </c>
      <c r="H19" s="33" t="s">
        <v>149</v>
      </c>
      <c r="I19" s="33" t="s">
        <v>96</v>
      </c>
      <c r="J19" s="33" t="s">
        <v>452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379</v>
      </c>
      <c r="H20" s="33" t="s">
        <v>101</v>
      </c>
      <c r="I20" s="33" t="s">
        <v>96</v>
      </c>
      <c r="J20" s="33" t="s">
        <v>453</v>
      </c>
      <c r="K20" s="33" t="s">
        <v>368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380</v>
      </c>
      <c r="H21" s="33" t="s">
        <v>149</v>
      </c>
      <c r="I21" s="33" t="s">
        <v>96</v>
      </c>
      <c r="J21" s="33" t="s">
        <v>454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381</v>
      </c>
      <c r="H22" s="33" t="s">
        <v>101</v>
      </c>
      <c r="I22" s="33" t="s">
        <v>96</v>
      </c>
      <c r="J22" s="33" t="s">
        <v>455</v>
      </c>
      <c r="K22" s="33" t="s">
        <v>690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382</v>
      </c>
      <c r="H23" s="33" t="s">
        <v>149</v>
      </c>
      <c r="I23" s="33" t="s">
        <v>96</v>
      </c>
      <c r="J23" s="33" t="s">
        <v>456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383</v>
      </c>
      <c r="H24" s="33" t="s">
        <v>98</v>
      </c>
      <c r="I24" s="33" t="s">
        <v>96</v>
      </c>
      <c r="J24" s="33" t="s">
        <v>457</v>
      </c>
      <c r="K24" s="33" t="s">
        <v>691</v>
      </c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384</v>
      </c>
      <c r="H25" s="33" t="s">
        <v>149</v>
      </c>
      <c r="I25" s="33" t="s">
        <v>96</v>
      </c>
      <c r="J25" s="33" t="s">
        <v>458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385</v>
      </c>
      <c r="H26" s="33" t="s">
        <v>149</v>
      </c>
      <c r="I26" s="33" t="s">
        <v>96</v>
      </c>
      <c r="J26" s="33" t="s">
        <v>459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386</v>
      </c>
      <c r="H27" s="33" t="s">
        <v>98</v>
      </c>
      <c r="I27" s="33" t="s">
        <v>96</v>
      </c>
      <c r="J27" s="33" t="s">
        <v>460</v>
      </c>
      <c r="K27" s="33" t="s">
        <v>369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387</v>
      </c>
      <c r="H28" s="33" t="s">
        <v>149</v>
      </c>
      <c r="I28" s="33" t="s">
        <v>96</v>
      </c>
      <c r="J28" s="33" t="s">
        <v>461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388</v>
      </c>
      <c r="H29" s="33" t="s">
        <v>101</v>
      </c>
      <c r="I29" s="33" t="s">
        <v>96</v>
      </c>
      <c r="J29" s="33" t="s">
        <v>462</v>
      </c>
      <c r="K29" s="33" t="s">
        <v>370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389</v>
      </c>
      <c r="H30" s="33" t="s">
        <v>149</v>
      </c>
      <c r="I30" s="33" t="s">
        <v>96</v>
      </c>
      <c r="J30" s="33" t="s">
        <v>463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390</v>
      </c>
      <c r="H31" s="33" t="s">
        <v>149</v>
      </c>
      <c r="I31" s="33" t="s">
        <v>96</v>
      </c>
      <c r="J31" s="33" t="s">
        <v>464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391</v>
      </c>
      <c r="H32" s="33" t="s">
        <v>101</v>
      </c>
      <c r="I32" s="33" t="s">
        <v>96</v>
      </c>
      <c r="J32" s="33" t="s">
        <v>465</v>
      </c>
      <c r="K32" s="33" t="s">
        <v>685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392</v>
      </c>
      <c r="H33" s="33" t="s">
        <v>101</v>
      </c>
      <c r="I33" s="33" t="s">
        <v>96</v>
      </c>
      <c r="J33" s="33" t="s">
        <v>466</v>
      </c>
      <c r="K33" s="33" t="s">
        <v>686</v>
      </c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393</v>
      </c>
      <c r="H34" s="33" t="s">
        <v>101</v>
      </c>
      <c r="I34" s="33" t="s">
        <v>96</v>
      </c>
      <c r="J34" s="33" t="s">
        <v>467</v>
      </c>
      <c r="K34" s="33" t="s">
        <v>687</v>
      </c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394</v>
      </c>
      <c r="H35" s="33" t="s">
        <v>101</v>
      </c>
      <c r="I35" s="33" t="s">
        <v>96</v>
      </c>
      <c r="J35" s="33" t="s">
        <v>468</v>
      </c>
      <c r="K35" s="33" t="s">
        <v>688</v>
      </c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395</v>
      </c>
      <c r="H36" s="33" t="s">
        <v>101</v>
      </c>
      <c r="I36" s="33" t="s">
        <v>96</v>
      </c>
      <c r="J36" s="33" t="s">
        <v>469</v>
      </c>
      <c r="K36" s="33" t="s">
        <v>689</v>
      </c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604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396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397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398</v>
      </c>
      <c r="H41" s="33" t="s">
        <v>149</v>
      </c>
      <c r="I41" s="33" t="s">
        <v>96</v>
      </c>
      <c r="J41" s="33" t="s">
        <v>407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399</v>
      </c>
      <c r="H42" s="33" t="s">
        <v>149</v>
      </c>
      <c r="I42" s="33" t="s">
        <v>96</v>
      </c>
      <c r="J42" s="33" t="s">
        <v>408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400</v>
      </c>
      <c r="H43" s="33" t="s">
        <v>149</v>
      </c>
      <c r="I43" s="33" t="s">
        <v>96</v>
      </c>
      <c r="J43" s="33" t="s">
        <v>409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401</v>
      </c>
      <c r="H44" s="33" t="s">
        <v>98</v>
      </c>
      <c r="I44" s="33" t="s">
        <v>96</v>
      </c>
      <c r="J44" s="33" t="s">
        <v>410</v>
      </c>
      <c r="K44" s="33" t="s">
        <v>691</v>
      </c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402</v>
      </c>
      <c r="H46" s="33" t="s">
        <v>149</v>
      </c>
      <c r="I46" s="33" t="s">
        <v>96</v>
      </c>
      <c r="J46" s="33" t="s">
        <v>411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403</v>
      </c>
      <c r="H47" s="33" t="s">
        <v>149</v>
      </c>
      <c r="I47" s="33" t="s">
        <v>96</v>
      </c>
      <c r="J47" s="33" t="s">
        <v>412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404</v>
      </c>
      <c r="H48" s="33" t="s">
        <v>149</v>
      </c>
      <c r="I48" s="33" t="s">
        <v>96</v>
      </c>
      <c r="J48" s="33" t="s">
        <v>413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405</v>
      </c>
      <c r="H49" s="33" t="s">
        <v>98</v>
      </c>
      <c r="I49" s="33" t="s">
        <v>96</v>
      </c>
      <c r="J49" s="33" t="s">
        <v>414</v>
      </c>
      <c r="K49" s="33" t="s">
        <v>691</v>
      </c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604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681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680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415</v>
      </c>
      <c r="K53" s="33" t="s">
        <v>371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416</v>
      </c>
      <c r="K54" s="33" t="s">
        <v>371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417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436</v>
      </c>
      <c r="K57" s="33" t="s">
        <v>368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418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449</v>
      </c>
      <c r="K59" s="33" t="s">
        <v>368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419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437</v>
      </c>
      <c r="K61" s="33" t="s">
        <v>690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420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421</v>
      </c>
      <c r="K63" s="33" t="s">
        <v>691</v>
      </c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422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423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438</v>
      </c>
      <c r="K66" s="33" t="s">
        <v>369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424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439</v>
      </c>
      <c r="K68" s="33" t="s">
        <v>370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425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426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440</v>
      </c>
      <c r="K71" s="33" t="s">
        <v>685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427</v>
      </c>
      <c r="K72" s="33" t="s">
        <v>686</v>
      </c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428</v>
      </c>
      <c r="K73" s="33" t="s">
        <v>687</v>
      </c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429</v>
      </c>
      <c r="K74" s="33" t="s">
        <v>688</v>
      </c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430</v>
      </c>
      <c r="K75" s="33" t="s">
        <v>689</v>
      </c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604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431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432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433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434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441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447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448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442</v>
      </c>
      <c r="K85" s="33" t="s">
        <v>691</v>
      </c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435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443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444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445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446</v>
      </c>
      <c r="K91" s="33" t="s">
        <v>691</v>
      </c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406</v>
      </c>
      <c r="G7" s="33" t="s">
        <v>101</v>
      </c>
      <c r="H7" s="33" t="s">
        <v>96</v>
      </c>
      <c r="I7" s="33" t="s">
        <v>506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9</vt:i4>
      </vt:variant>
    </vt:vector>
  </HeadingPairs>
  <TitlesOfParts>
    <vt:vector size="16" baseType="lpstr">
      <vt:lpstr>Liste des reportings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lCategory</vt:lpstr>
      <vt:lpstr>lCategoryVersion</vt:lpstr>
      <vt:lpstr>lFolders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2021-03-14T21:30:19Z</dcterms:modified>
</cp:coreProperties>
</file>