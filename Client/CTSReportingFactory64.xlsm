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13586AB7-E2E6-4E10-8856-B0BB6D7DFD72}" xr6:coauthVersionLast="46" xr6:coauthVersionMax="46" xr10:uidLastSave="{00000000-0000-0000-0000-000000000000}"/>
  <bookViews>
    <workbookView xWindow="-120" yWindow="-120" windowWidth="29040" windowHeight="17640" tabRatio="723" activeTab="2" xr2:uid="{00000000-000D-0000-FFFF-FFFF00000000}"/>
  </bookViews>
  <sheets>
    <sheet name="Reporting List" sheetId="6" r:id="rId1"/>
    <sheet name="A - 2000.12" sheetId="15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Planning!$A$17:$J$64</definedName>
    <definedName name="_xlnm._FilterDatabase" localSheetId="0" hidden="1">'Reporting List'!$C$10:$E$14</definedName>
    <definedName name="cell_JSON_Param" localSheetId="7">'JSON (2)'!$I$1</definedName>
    <definedName name="cell_JSON_Param">JSON!$I$1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6" l="1"/>
  <c r="CF3" i="15"/>
  <c r="J66" i="4"/>
  <c r="I41" i="6"/>
  <c r="I37" i="6"/>
  <c r="I33" i="6"/>
  <c r="I29" i="6"/>
  <c r="I25" i="6"/>
  <c r="I21" i="6"/>
  <c r="I17" i="6"/>
  <c r="I36" i="6"/>
  <c r="I32" i="6"/>
  <c r="I24" i="6"/>
  <c r="I35" i="6"/>
  <c r="I23" i="6"/>
  <c r="H31" i="6"/>
  <c r="H19" i="6"/>
  <c r="I30" i="6"/>
  <c r="H41" i="6"/>
  <c r="H37" i="6"/>
  <c r="H33" i="6"/>
  <c r="H29" i="6"/>
  <c r="H25" i="6"/>
  <c r="H21" i="6"/>
  <c r="H17" i="6"/>
  <c r="I40" i="6"/>
  <c r="I28" i="6"/>
  <c r="I20" i="6"/>
  <c r="I39" i="6"/>
  <c r="I19" i="6"/>
  <c r="H35" i="6"/>
  <c r="H15" i="6"/>
  <c r="I26" i="6"/>
  <c r="H40" i="6"/>
  <c r="H36" i="6"/>
  <c r="H32" i="6"/>
  <c r="H28" i="6"/>
  <c r="H24" i="6"/>
  <c r="H20" i="6"/>
  <c r="H16" i="6"/>
  <c r="I31" i="6"/>
  <c r="I15" i="6"/>
  <c r="H23" i="6"/>
  <c r="I38" i="6"/>
  <c r="I22" i="6"/>
  <c r="H38" i="6"/>
  <c r="H34" i="6"/>
  <c r="H30" i="6"/>
  <c r="H26" i="6"/>
  <c r="H22" i="6"/>
  <c r="H18" i="6"/>
  <c r="I16" i="6"/>
  <c r="I27" i="6"/>
  <c r="H39" i="6"/>
  <c r="H27" i="6"/>
  <c r="I34" i="6"/>
  <c r="I18" i="6"/>
  <c r="I14" i="6"/>
  <c r="H14" i="6"/>
  <c r="F12" i="6"/>
  <c r="E12" i="6"/>
  <c r="D12" i="6"/>
  <c r="C12" i="6"/>
  <c r="D10" i="6"/>
  <c r="CF4" i="15"/>
  <c r="CE4" i="15"/>
  <c r="CD4" i="15"/>
  <c r="CC4" i="15"/>
  <c r="CB4" i="15"/>
  <c r="CA4" i="15"/>
  <c r="BZ4" i="15"/>
  <c r="BY4" i="15"/>
  <c r="BX4" i="15"/>
  <c r="BW4" i="15"/>
  <c r="BV4" i="15"/>
  <c r="BU4" i="15"/>
  <c r="BT4" i="15"/>
  <c r="BS4" i="15"/>
  <c r="BR4" i="15"/>
  <c r="BQ4" i="15"/>
  <c r="BP4" i="15"/>
  <c r="BO4" i="15"/>
  <c r="BN4" i="15"/>
  <c r="BM4" i="15"/>
  <c r="BL4" i="15"/>
  <c r="BK4" i="15"/>
  <c r="BJ4" i="15"/>
  <c r="BI4" i="15"/>
  <c r="BH4" i="15"/>
  <c r="BG4" i="15"/>
  <c r="BF4" i="15"/>
  <c r="BE4" i="15"/>
  <c r="BD4" i="15"/>
  <c r="BC4" i="15"/>
  <c r="BB4" i="15"/>
  <c r="BA4" i="15"/>
  <c r="AZ4" i="15"/>
  <c r="AY4" i="15"/>
  <c r="AX4" i="15"/>
  <c r="AW4" i="15"/>
  <c r="AV4" i="15"/>
  <c r="AU4" i="15"/>
  <c r="AT4" i="15"/>
  <c r="AS4" i="15"/>
  <c r="AR4" i="15"/>
  <c r="AQ4" i="15"/>
  <c r="AP4" i="15"/>
  <c r="AO4" i="15"/>
  <c r="AN4" i="15"/>
  <c r="AM4" i="15"/>
  <c r="AL4" i="15"/>
  <c r="AK4" i="15"/>
  <c r="AJ4" i="15"/>
  <c r="AI4" i="15"/>
  <c r="AH4" i="15"/>
  <c r="AG4" i="15"/>
  <c r="AF4" i="15"/>
  <c r="AE4" i="15"/>
  <c r="AD4" i="15"/>
  <c r="AC4" i="15"/>
  <c r="AB4" i="15"/>
  <c r="AA4" i="15"/>
  <c r="Z4" i="15"/>
  <c r="Y4" i="15"/>
  <c r="X4" i="15"/>
  <c r="W4" i="15"/>
  <c r="V4" i="15"/>
  <c r="U4" i="15"/>
  <c r="T4" i="15"/>
  <c r="S4" i="15"/>
  <c r="R4" i="15"/>
  <c r="Q4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B2" i="15"/>
  <c r="I66" i="4" l="1"/>
  <c r="H66" i="4"/>
  <c r="F66" i="4" l="1"/>
  <c r="G66" i="4"/>
  <c r="D66" i="4"/>
  <c r="C66" i="4"/>
  <c r="I4" i="6" a="1"/>
  <c r="B66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<sst xmlns="http://schemas.openxmlformats.org/spreadsheetml/2006/main" count="1431" uniqueCount="688">
  <si>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</si>
  <si>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</si>
  <si>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</si>
  <si>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</si>
  <si>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</si>
  <si>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</si>
  <si>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</si>
  <si>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</si>
  <si>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</si>
  <si>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</si>
  <si>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</si>
  <si>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</si>
  <si>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</si>
  <si>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</si>
  <si>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</si>
  <si>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</si>
  <si>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</si>
  <si>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</si>
  <si>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</si>
  <si>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</si>
  <si>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</si>
  <si>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</si>
  <si>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</si>
  <si>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</si>
  <si>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</si>
  <si>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</si>
  <si>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</si>
  <si>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</si>
  <si>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</si>
  <si>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</si>
  <si>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</si>
  <si>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</si>
  <si>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</si>
  <si>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</si>
  <si>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</si>
  <si>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</si>
  <si>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</si>
  <si>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</si>
  <si>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</si>
  <si>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</si>
  <si>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</si>
  <si>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</si>
  <si>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</si>
  <si>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</si>
  <si>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</si>
  <si>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</si>
  <si>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</si>
  <si>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</si>
  <si>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</si>
  <si>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</si>
  <si>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</si>
  <si>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</si>
  <si>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</si>
  <si>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</si>
  <si>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</si>
  <si>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</si>
  <si>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</si>
  <si>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</si>
  <si>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</si>
  <si>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</si>
  <si>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</si>
  <si>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</si>
  <si>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</si>
  <si>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</si>
  <si>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</si>
  <si>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</si>
  <si>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</si>
  <si>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</si>
  <si>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</si>
  <si>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</si>
  <si>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</si>
  <si>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</si>
  <si>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</si>
  <si>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</si>
  <si>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</si>
  <si>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</si>
  <si>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</si>
  <si>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</si>
  <si>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</si>
  <si>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</si>
  <si>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</si>
  <si>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</si>
  <si>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</si>
  <si>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</si>
  <si>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</si>
  <si>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</si>
  <si>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</si>
  <si>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</si>
  <si>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</si>
  <si>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</si>
  <si>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</si>
  <si>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</si>
  <si>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</si>
  <si>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</si>
  <si>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</si>
  <si>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</si>
  <si>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</si>
  <si>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</si>
  <si>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</si>
  <si>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</si>
  <si>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</si>
  <si>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</si>
  <si>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</si>
  <si>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</si>
  <si>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</si>
  <si>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</si>
  <si>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</si>
  <si>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</si>
  <si>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</si>
  <si>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</si>
  <si>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</si>
  <si>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</si>
  <si>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</si>
  <si>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</si>
  <si>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</si>
  <si>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</si>
  <si>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</si>
  <si>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</si>
  <si>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</si>
  <si>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</si>
  <si>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</si>
  <si>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</si>
  <si>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</si>
  <si>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</si>
  <si>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</si>
  <si>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</si>
  <si>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</si>
  <si>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</si>
  <si>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</si>
  <si>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</si>
  <si>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</si>
  <si>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</si>
  <si>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</si>
  <si>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</si>
  <si>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</si>
  <si>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</si>
  <si>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</si>
  <si>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</si>
  <si>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</si>
  <si>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</si>
  <si>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</si>
  <si>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</si>
  <si>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</si>
  <si>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</si>
  <si>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</si>
  <si>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</si>
  <si>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</si>
  <si>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</si>
  <si>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</si>
  <si>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</si>
  <si>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</si>
  <si>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</si>
  <si>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</si>
  <si>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</si>
  <si>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</si>
  <si>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</si>
  <si>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</si>
  <si>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</si>
  <si>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</si>
  <si>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</si>
  <si>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</si>
  <si>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</si>
  <si>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</si>
  <si>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</si>
  <si>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</si>
  <si>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</si>
  <si>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</si>
  <si>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</si>
  <si>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</si>
  <si>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</si>
  <si>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</si>
  <si>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</si>
  <si>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</si>
  <si>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</si>
  <si>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</si>
  <si>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</si>
  <si>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</si>
  <si>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</si>
  <si>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</si>
  <si>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</si>
  <si>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</si>
  <si>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</si>
  <si>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</si>
  <si>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</si>
  <si>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</si>
  <si>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</si>
  <si>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Early publishing</t>
  </si>
  <si>
    <t>Publication anticipée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</si>
  <si>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</si>
  <si>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</si>
  <si>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</si>
  <si>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</si>
  <si>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</si>
  <si>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</si>
  <si>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</si>
  <si>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</si>
  <si>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</si>
  <si>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</si>
  <si>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</si>
  <si>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</si>
  <si>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</si>
  <si>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</si>
  <si>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</si>
  <si>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</si>
  <si>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</si>
  <si>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</si>
  <si>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</si>
  <si>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</si>
  <si>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</si>
  <si>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</si>
  <si>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</si>
  <si>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</si>
  <si>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</si>
  <si>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</si>
  <si>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</si>
  <si>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</si>
  <si>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</si>
  <si>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</si>
  <si>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</si>
  <si>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</si>
  <si>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</si>
  <si>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</si>
  <si>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</si>
  <si>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</si>
  <si>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</si>
  <si>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</si>
  <si>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</si>
  <si>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</si>
  <si>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</si>
  <si>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</si>
  <si>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</si>
  <si>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</si>
  <si>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</si>
  <si>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</si>
  <si>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</si>
  <si>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</si>
  <si>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</si>
  <si>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</si>
  <si>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</si>
  <si>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</si>
  <si>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</si>
  <si>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</si>
  <si>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</si>
  <si>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</si>
  <si>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</si>
  <si>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</si>
  <si>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</si>
  <si>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</si>
  <si>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</si>
  <si>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</si>
  <si>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</si>
  <si>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</si>
  <si>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</si>
  <si>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</si>
  <si>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</si>
  <si>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</si>
  <si>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</si>
  <si>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</si>
  <si>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</si>
  <si>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</si>
  <si>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</si>
  <si>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</si>
  <si>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</si>
  <si>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</si>
  <si>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</si>
  <si>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</si>
  <si>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</si>
  <si>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</si>
  <si>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</si>
  <si>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</si>
  <si>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</si>
  <si>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</si>
  <si>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</si>
  <si>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</si>
  <si>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</si>
  <si>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</si>
  <si>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</si>
  <si>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</si>
  <si>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</si>
  <si>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</si>
  <si>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</si>
  <si>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</si>
  <si>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</si>
  <si>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</si>
  <si>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</si>
  <si>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</si>
  <si>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</si>
  <si>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</si>
  <si>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</si>
  <si>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</si>
  <si>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</si>
  <si>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</si>
  <si>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</si>
  <si>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</si>
  <si>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</si>
  <si>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</si>
  <si>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</si>
  <si>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</si>
  <si>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</si>
  <si>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</si>
  <si>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</si>
  <si>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</si>
  <si>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</si>
  <si>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</si>
  <si>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</si>
  <si>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</si>
  <si>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</si>
  <si>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</si>
  <si>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</si>
  <si>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</si>
  <si>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</si>
  <si>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</si>
  <si>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</si>
  <si>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</si>
  <si>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</si>
  <si>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</si>
  <si>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</si>
  <si>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</si>
  <si>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</si>
  <si>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</si>
  <si>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</si>
  <si>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</si>
  <si>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</si>
  <si>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</si>
  <si>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</si>
  <si>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</si>
  <si>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</si>
  <si>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</si>
  <si>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</si>
  <si>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</si>
  <si>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</si>
  <si>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</si>
  <si>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</si>
  <si>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</si>
  <si>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</si>
  <si>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</si>
  <si>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</si>
  <si>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</si>
  <si>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</si>
  <si>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</si>
  <si>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</si>
  <si>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</si>
  <si>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</si>
  <si>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</si>
  <si>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</si>
  <si>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</si>
  <si>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</si>
  <si>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</si>
  <si>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</si>
  <si>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</si>
  <si>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</si>
  <si>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</si>
  <si>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</si>
  <si>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</si>
  <si>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</si>
  <si>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</si>
  <si>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</si>
  <si>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</si>
  <si>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</si>
  <si>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</si>
  <si>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</si>
  <si>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</si>
  <si>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</si>
  <si>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</si>
  <si>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</si>
  <si>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</si>
  <si>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</si>
  <si>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</si>
  <si>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</si>
  <si>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</si>
  <si>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</si>
  <si>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</si>
  <si>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</si>
  <si>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</si>
  <si>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</si>
  <si>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</si>
  <si>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</si>
  <si>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</si>
  <si>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</si>
  <si>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</si>
  <si>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</si>
  <si>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</si>
  <si>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</si>
  <si>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</si>
  <si>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</si>
  <si>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</si>
  <si>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</si>
  <si>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</si>
  <si>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</si>
  <si>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</si>
  <si>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</si>
  <si>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</si>
  <si>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</si>
  <si>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</si>
  <si>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</si>
  <si>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</si>
  <si>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</si>
  <si>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</si>
  <si>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</si>
  <si>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</si>
  <si>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</si>
  <si>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</si>
  <si>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</si>
  <si>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</si>
  <si>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</si>
  <si>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</si>
  <si>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</si>
  <si>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</si>
  <si>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</si>
  <si>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</si>
  <si>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</si>
  <si>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</si>
  <si>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</si>
  <si>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</si>
  <si>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</si>
  <si>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</si>
  <si>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</si>
  <si>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</si>
  <si>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</si>
  <si>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</si>
  <si>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</si>
  <si>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</si>
  <si>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</si>
  <si>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</si>
  <si>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</si>
  <si>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</si>
  <si>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</si>
  <si>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</si>
  <si>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</si>
  <si>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</si>
  <si>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</si>
  <si>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</si>
  <si>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</si>
  <si>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</si>
  <si>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</si>
  <si>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</si>
  <si>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</si>
  <si>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</si>
  <si>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</si>
  <si>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</si>
  <si>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</si>
  <si>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</si>
  <si>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</si>
  <si>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</si>
  <si>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</si>
  <si>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</si>
  <si>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</si>
  <si>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</si>
  <si>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</si>
  <si>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</si>
  <si>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</si>
  <si>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</si>
  <si>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</si>
  <si>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</si>
  <si>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</si>
  <si>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</si>
  <si>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</si>
  <si>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</si>
  <si>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</si>
  <si>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</si>
  <si>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</si>
  <si>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</si>
  <si>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</si>
  <si>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</si>
  <si>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</si>
  <si>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</si>
  <si>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</si>
  <si>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</si>
  <si>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</si>
  <si>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</si>
  <si>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</si>
  <si>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</si>
  <si>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</si>
  <si>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</si>
  <si>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</si>
  <si>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</si>
  <si>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</si>
  <si>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</si>
  <si>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</si>
  <si>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</si>
  <si>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</si>
  <si>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</si>
  <si>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</si>
  <si>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</si>
  <si>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</si>
  <si>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</si>
  <si>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</si>
  <si>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</si>
  <si>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</si>
  <si>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</si>
  <si>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</si>
  <si>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</si>
  <si>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</si>
  <si>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</si>
  <si>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</si>
  <si>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</si>
  <si>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</si>
  <si>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</si>
  <si>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</si>
  <si>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</si>
  <si>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</si>
  <si>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</si>
  <si>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</si>
  <si>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</si>
  <si>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</si>
  <si>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</si>
  <si>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</si>
  <si>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</si>
  <si>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</si>
  <si>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</si>
  <si>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</si>
  <si>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</si>
  <si>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</si>
  <si>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</si>
  <si>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</si>
  <si>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</si>
  <si>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2000.12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</si>
  <si>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</si>
  <si>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</si>
  <si>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</si>
  <si>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</si>
  <si>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</si>
  <si>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</si>
  <si>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</si>
  <si>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</si>
  <si>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</si>
  <si>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</si>
  <si>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</si>
  <si>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</si>
  <si>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</si>
  <si>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</si>
  <si>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</si>
  <si>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</si>
  <si>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</si>
  <si>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</si>
  <si>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</si>
  <si>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</si>
  <si>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</si>
  <si>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</si>
  <si>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</si>
  <si>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</si>
  <si>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</si>
  <si>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</si>
  <si>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</si>
  <si>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</si>
  <si>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</si>
  <si>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</si>
  <si>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</si>
  <si>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</si>
  <si>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</si>
  <si>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</si>
  <si>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</si>
  <si>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</si>
  <si>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</si>
  <si>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</si>
  <si>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</si>
  <si>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</si>
  <si>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</si>
  <si>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</si>
  <si>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</si>
  <si>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</si>
  <si>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</si>
  <si>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</si>
  <si>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</si>
  <si>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</si>
  <si>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</si>
  <si>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</si>
  <si>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</si>
  <si>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</si>
  <si>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</si>
  <si>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</si>
  <si>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</si>
  <si>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</si>
  <si>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</si>
  <si>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</si>
  <si>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</si>
  <si>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</si>
  <si>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</si>
  <si>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</si>
  <si>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</si>
  <si>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</si>
  <si>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</si>
  <si>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</si>
  <si>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</si>
  <si>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</si>
  <si>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</si>
  <si>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</si>
  <si>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</si>
  <si>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</si>
  <si>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</si>
  <si>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</si>
  <si>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</si>
  <si>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</si>
  <si>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</si>
  <si>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</si>
  <si>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</si>
  <si>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</si>
  <si>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</si>
  <si>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</si>
  <si>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</si>
  <si>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</si>
  <si>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</si>
  <si>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</si>
  <si>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</si>
  <si>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</si>
  <si>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S001</t>
  </si>
  <si>
    <t>EUR</t>
  </si>
  <si>
    <t>0000.TOP</t>
  </si>
  <si>
    <t>Commande Add description</t>
  </si>
  <si>
    <t>Protéger la query de liste des reportings</t>
  </si>
  <si>
    <t>Largeur des cols</t>
  </si>
  <si>
    <t>2/24/2021  11:02:00 AM</t>
  </si>
  <si>
    <t>2/27/2021  11:02:00 AM</t>
  </si>
  <si>
    <t>2/26/2021  11:02:00 AM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</si>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</sst>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wrapText="1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</cellXfs>
  <cellStyles count="2">
    <cellStyle name="Lien hypertexte" xfId="1" builtinId="8"/>
    <cellStyle name="Normal" xfId="0" builtinId="0"/>
  </cellStyles>
  <dxfs count="135">
    <dxf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  <protection locked="0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66675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123824</xdr:colOff>
      <xdr:row>6</xdr:row>
      <xdr:rowOff>147638</xdr:rowOff>
    </xdr:from>
    <xdr:to>
      <xdr:col>12</xdr:col>
      <xdr:colOff>142874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0.92 - 03/05/21</a:t>
          </a:fld>
          <a:endParaRPr lang="en-US" sz="1100"/>
        </a:p>
      </xdr:txBody>
    </xdr:sp>
    <xdr:clientData/>
  </xdr:twoCellAnchor>
  <xdr:twoCellAnchor editAs="absolute">
    <xdr:from>
      <xdr:col>11</xdr:col>
      <xdr:colOff>504824</xdr:colOff>
      <xdr:row>6</xdr:row>
      <xdr:rowOff>156037</xdr:rowOff>
    </xdr:from>
    <xdr:to>
      <xdr:col>11</xdr:col>
      <xdr:colOff>792824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161924</xdr:colOff>
      <xdr:row>6</xdr:row>
      <xdr:rowOff>156037</xdr:rowOff>
    </xdr:from>
    <xdr:to>
      <xdr:col>11</xdr:col>
      <xdr:colOff>449924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36" name="tReportings_2">
          <a:extLst>
            <a:ext uri="{FF2B5EF4-FFF2-40B4-BE49-F238E27FC236}">
              <a16:creationId xmlns:a16="http://schemas.microsoft.com/office/drawing/2014/main" id="{98CFF7FF-EE2C-4D7D-A02F-1E0F881EE48B}"/>
            </a:ext>
          </a:extLst>
        </xdr:cNvPr>
        <xdr:cNvSpPr/>
      </xdr:nvSpPr>
      <xdr:spPr>
        <a:xfrm>
          <a:off x="24669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86A864-4E32-4F1F-9C17-177F4777E94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37" name="tReportings_3">
          <a:extLst>
            <a:ext uri="{FF2B5EF4-FFF2-40B4-BE49-F238E27FC236}">
              <a16:creationId xmlns:a16="http://schemas.microsoft.com/office/drawing/2014/main" id="{302A1430-9BD2-46D8-9BA5-C2A96BCE9094}"/>
            </a:ext>
          </a:extLst>
        </xdr:cNvPr>
        <xdr:cNvSpPr/>
      </xdr:nvSpPr>
      <xdr:spPr>
        <a:xfrm>
          <a:off x="3952875" y="2095500"/>
          <a:ext cx="148590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00F904-6895-4731-AB67-EB1C8BA822E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38" name="tReportings_4">
          <a:extLst>
            <a:ext uri="{FF2B5EF4-FFF2-40B4-BE49-F238E27FC236}">
              <a16:creationId xmlns:a16="http://schemas.microsoft.com/office/drawing/2014/main" id="{8E327D50-E377-41B0-BAC6-8E30B15C1F65}"/>
            </a:ext>
          </a:extLst>
        </xdr:cNvPr>
        <xdr:cNvSpPr/>
      </xdr:nvSpPr>
      <xdr:spPr>
        <a:xfrm>
          <a:off x="5438775" y="2095500"/>
          <a:ext cx="1809750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F4A25C-D535-4C6A-BDED-54A45EC429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2DED33BF-88E5-4413-B4A7-FFC8E95A04A9}"/>
            </a:ext>
          </a:extLst>
        </xdr:cNvPr>
        <xdr:cNvSpPr/>
      </xdr:nvSpPr>
      <xdr:spPr>
        <a:xfrm>
          <a:off x="1114425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BE04B0F-3517-4F6F-B7FC-A2F47860D3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5D6EAB4E-8191-4D40-986C-BA39BAA45A63}"/>
            </a:ext>
          </a:extLst>
        </xdr:cNvPr>
        <xdr:cNvSpPr/>
      </xdr:nvSpPr>
      <xdr:spPr>
        <a:xfrm>
          <a:off x="1562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D39638-731F-4453-92A3-6661CC5584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BFBDB9E7-446D-4CAE-AE40-4471B512C629}"/>
            </a:ext>
          </a:extLst>
        </xdr:cNvPr>
        <xdr:cNvSpPr/>
      </xdr:nvSpPr>
      <xdr:spPr>
        <a:xfrm>
          <a:off x="2676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C05DCD4-89FE-4842-9B82-E6ABEC84EF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1CD8B317-18AC-40E7-A638-5F069F0C14A5}"/>
            </a:ext>
          </a:extLst>
        </xdr:cNvPr>
        <xdr:cNvSpPr/>
      </xdr:nvSpPr>
      <xdr:spPr>
        <a:xfrm>
          <a:off x="3790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8A14E9-E7D7-431E-8180-67C76A3EC79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A1E21AF8-EB94-45D5-A12C-A795ACE369C2}"/>
            </a:ext>
          </a:extLst>
        </xdr:cNvPr>
        <xdr:cNvSpPr/>
      </xdr:nvSpPr>
      <xdr:spPr>
        <a:xfrm>
          <a:off x="4905375" y="571500"/>
          <a:ext cx="142875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AB6B68-CD76-48E3-8A4A-FFE1A782CC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7E2C3357-3EAD-4C90-8292-2D09DDEFE44C}"/>
            </a:ext>
          </a:extLst>
        </xdr:cNvPr>
        <xdr:cNvSpPr/>
      </xdr:nvSpPr>
      <xdr:spPr>
        <a:xfrm>
          <a:off x="6334125" y="571500"/>
          <a:ext cx="142875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7EC6681-EDB9-4BBF-AACA-855710CBBCD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E4D9D525-A771-4F54-A6CF-E7D299B27843}"/>
            </a:ext>
          </a:extLst>
        </xdr:cNvPr>
        <xdr:cNvSpPr/>
      </xdr:nvSpPr>
      <xdr:spPr>
        <a:xfrm>
          <a:off x="7762875" y="444500"/>
          <a:ext cx="78105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FCE545F-DD4D-456A-B1BF-4B14EAE05D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RF_RepDesc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0D0726F0-1D06-4E9B-83F2-79426A470DCC}"/>
            </a:ext>
          </a:extLst>
        </xdr:cNvPr>
        <xdr:cNvSpPr/>
      </xdr:nvSpPr>
      <xdr:spPr>
        <a:xfrm>
          <a:off x="8543925" y="444500"/>
          <a:ext cx="6477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DA54E39-8625-46DF-8AF6-3A4A9D7B1E4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8B6ED160-3CF5-4AF7-91E0-7CE964566B49}"/>
            </a:ext>
          </a:extLst>
        </xdr:cNvPr>
        <xdr:cNvSpPr/>
      </xdr:nvSpPr>
      <xdr:spPr>
        <a:xfrm>
          <a:off x="9191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84EAAF-1864-4CEA-9033-2487B084F8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BDCC0A8C-A010-4558-8D67-34771AD3AE0B}"/>
            </a:ext>
          </a:extLst>
        </xdr:cNvPr>
        <xdr:cNvSpPr/>
      </xdr:nvSpPr>
      <xdr:spPr>
        <a:xfrm>
          <a:off x="10306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CD0D1C4-5BBE-44C6-9C90-D4F4BD9868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20A63389-B9FB-45A2-B02B-BFD0830D013D}"/>
            </a:ext>
          </a:extLst>
        </xdr:cNvPr>
        <xdr:cNvSpPr/>
      </xdr:nvSpPr>
      <xdr:spPr>
        <a:xfrm>
          <a:off x="114204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24CE09-ACEC-4647-928D-210EDAF205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0A9FCED2-3678-46B0-90E1-A83A94CE4F5A}"/>
            </a:ext>
          </a:extLst>
        </xdr:cNvPr>
        <xdr:cNvSpPr/>
      </xdr:nvSpPr>
      <xdr:spPr>
        <a:xfrm>
          <a:off x="12534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8BD1D1-0CD1-4337-9C40-7BCB52C424D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61A836B9-C528-4B1A-B21D-66C5C6800DEC}"/>
            </a:ext>
          </a:extLst>
        </xdr:cNvPr>
        <xdr:cNvSpPr/>
      </xdr:nvSpPr>
      <xdr:spPr>
        <a:xfrm>
          <a:off x="13649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88E3A8-5492-470A-B558-B83C139110E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A4214A49-04E4-40DB-9A88-C784DF1A1FE1}"/>
            </a:ext>
          </a:extLst>
        </xdr:cNvPr>
        <xdr:cNvSpPr/>
      </xdr:nvSpPr>
      <xdr:spPr>
        <a:xfrm>
          <a:off x="147637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82067E-3E1E-4E9C-BC4F-F1245B65EA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07590393-E9E5-41CC-9E11-0E15FEE4EF14}"/>
            </a:ext>
          </a:extLst>
        </xdr:cNvPr>
        <xdr:cNvSpPr/>
      </xdr:nvSpPr>
      <xdr:spPr>
        <a:xfrm>
          <a:off x="15878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B0013C-F3A0-4B4D-B1CC-8325B3D31E3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07680D28-0CD9-49F7-B393-317527412BC1}"/>
            </a:ext>
          </a:extLst>
        </xdr:cNvPr>
        <xdr:cNvSpPr/>
      </xdr:nvSpPr>
      <xdr:spPr>
        <a:xfrm>
          <a:off x="16992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7B1223-1647-49B2-890E-226F042AD8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268870B0-2DFC-4FC5-9CFE-799BAD1CC4D5}"/>
            </a:ext>
          </a:extLst>
        </xdr:cNvPr>
        <xdr:cNvSpPr/>
      </xdr:nvSpPr>
      <xdr:spPr>
        <a:xfrm>
          <a:off x="181070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B543EF-13B5-44DA-957F-9D041719CA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5F69F174-6196-4A85-A421-0B974701D4CE}"/>
            </a:ext>
          </a:extLst>
        </xdr:cNvPr>
        <xdr:cNvSpPr/>
      </xdr:nvSpPr>
      <xdr:spPr>
        <a:xfrm>
          <a:off x="19221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86D5665-951E-4C42-A864-A90BA4F1D32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RF_UseDefaultLock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A014AA49-0395-4F77-B32C-C50EBC7077FC}"/>
            </a:ext>
          </a:extLst>
        </xdr:cNvPr>
        <xdr:cNvSpPr/>
      </xdr:nvSpPr>
      <xdr:spPr>
        <a:xfrm>
          <a:off x="203358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7FC12F-236E-413F-A240-8329D53435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RF_LockOnPublication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06A3FAF6-099D-4479-AA57-78A454C09C31}"/>
            </a:ext>
          </a:extLst>
        </xdr:cNvPr>
        <xdr:cNvSpPr/>
      </xdr:nvSpPr>
      <xdr:spPr>
        <a:xfrm>
          <a:off x="214503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FA8E00-8A9E-44A5-B303-63ECC47DAE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RF_UseDefaultRuleSet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A5F0B2F7-3854-4F3A-9206-33C8D3569B6E}"/>
            </a:ext>
          </a:extLst>
        </xdr:cNvPr>
        <xdr:cNvSpPr/>
      </xdr:nvSpPr>
      <xdr:spPr>
        <a:xfrm>
          <a:off x="22564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ADFA10-740D-466C-8B1A-A0E84DA711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RF_RuleSet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7A35D1CE-7441-4834-8CC1-B81CA7D13DCF}"/>
            </a:ext>
          </a:extLst>
        </xdr:cNvPr>
        <xdr:cNvSpPr/>
      </xdr:nvSpPr>
      <xdr:spPr>
        <a:xfrm>
          <a:off x="23679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78B9AC-03BD-4986-B5DA-8E61717919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RF_UseDefaultOpbal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954A1861-30AB-47C9-A326-7EE310DA1C91}"/>
            </a:ext>
          </a:extLst>
        </xdr:cNvPr>
        <xdr:cNvSpPr/>
      </xdr:nvSpPr>
      <xdr:spPr>
        <a:xfrm>
          <a:off x="24793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446BFF4-1854-46D2-A410-39CACD05FB3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RF_HasOpBal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CC662C5C-282D-412A-8DDD-A7B24DE8F33A}"/>
            </a:ext>
          </a:extLst>
        </xdr:cNvPr>
        <xdr:cNvSpPr/>
      </xdr:nvSpPr>
      <xdr:spPr>
        <a:xfrm>
          <a:off x="259080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EB8E7F-D26A-405E-931A-7F549D044DF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RF_OpbPhase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8B0907DB-C3B9-4853-A409-D73C7F98D1BF}"/>
            </a:ext>
          </a:extLst>
        </xdr:cNvPr>
        <xdr:cNvSpPr/>
      </xdr:nvSpPr>
      <xdr:spPr>
        <a:xfrm>
          <a:off x="270224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0BE080B-5D2B-4002-9E99-922643A789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RF_OpbUpdatePeriod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D359FE8E-CA04-44AC-92F9-05AB9B82F48D}"/>
            </a:ext>
          </a:extLst>
        </xdr:cNvPr>
        <xdr:cNvSpPr/>
      </xdr:nvSpPr>
      <xdr:spPr>
        <a:xfrm>
          <a:off x="28136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6BD4AF-EB4C-4BDC-AF71-DEF09017A65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00092C16-E69C-4616-A781-39FBD3BFB2A8}"/>
            </a:ext>
          </a:extLst>
        </xdr:cNvPr>
        <xdr:cNvSpPr/>
      </xdr:nvSpPr>
      <xdr:spPr>
        <a:xfrm>
          <a:off x="29251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5D7950-23DE-4152-A3F6-C4CDA46DF9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A542C43F-CF89-4063-8318-52F351BE2BC3}"/>
            </a:ext>
          </a:extLst>
        </xdr:cNvPr>
        <xdr:cNvSpPr/>
      </xdr:nvSpPr>
      <xdr:spPr>
        <a:xfrm>
          <a:off x="30365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90F2BB2-6150-4D83-B150-81D8CAEC11C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RF_OpbConsCurrency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2057327D-9863-4204-BF25-6FC019975632}"/>
            </a:ext>
          </a:extLst>
        </xdr:cNvPr>
        <xdr:cNvSpPr/>
      </xdr:nvSpPr>
      <xdr:spPr>
        <a:xfrm>
          <a:off x="314801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7B56D4E-0EFB-4A10-974A-090365D5B7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9E2A5B41-C759-4FAD-9628-E57FF98E525C}"/>
            </a:ext>
          </a:extLst>
        </xdr:cNvPr>
        <xdr:cNvSpPr/>
      </xdr:nvSpPr>
      <xdr:spPr>
        <a:xfrm>
          <a:off x="325945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670B83E-77B1-4AC0-9BC1-C3E145CCFAE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52428888_31">
          <a:extLst>
            <a:ext uri="{FF2B5EF4-FFF2-40B4-BE49-F238E27FC236}">
              <a16:creationId xmlns:a16="http://schemas.microsoft.com/office/drawing/2014/main" id="{BA5413E3-F192-4D55-B155-5A9F447C0583}"/>
            </a:ext>
          </a:extLst>
        </xdr:cNvPr>
        <xdr:cNvSpPr/>
      </xdr:nvSpPr>
      <xdr:spPr>
        <a:xfrm>
          <a:off x="33708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7810557-5D86-45D8-8951-3E72BB0F8B7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52428888_32">
          <a:extLst>
            <a:ext uri="{FF2B5EF4-FFF2-40B4-BE49-F238E27FC236}">
              <a16:creationId xmlns:a16="http://schemas.microsoft.com/office/drawing/2014/main" id="{9AE00CE6-C702-4974-933F-FE9167EAB66E}"/>
            </a:ext>
          </a:extLst>
        </xdr:cNvPr>
        <xdr:cNvSpPr/>
      </xdr:nvSpPr>
      <xdr:spPr>
        <a:xfrm>
          <a:off x="348234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ADAE133-FF19-47F7-9E04-DCA3BDE1C50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52428888_33">
          <a:extLst>
            <a:ext uri="{FF2B5EF4-FFF2-40B4-BE49-F238E27FC236}">
              <a16:creationId xmlns:a16="http://schemas.microsoft.com/office/drawing/2014/main" id="{6874F65D-CA88-4F7B-8152-6825BC8DB25A}"/>
            </a:ext>
          </a:extLst>
        </xdr:cNvPr>
        <xdr:cNvSpPr/>
      </xdr:nvSpPr>
      <xdr:spPr>
        <a:xfrm>
          <a:off x="35937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EB78AC7-632C-4185-95EB-5F1D62A3A2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RF_RepOpAftPubStd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52428888_34">
          <a:extLst>
            <a:ext uri="{FF2B5EF4-FFF2-40B4-BE49-F238E27FC236}">
              <a16:creationId xmlns:a16="http://schemas.microsoft.com/office/drawing/2014/main" id="{8FD4A8F0-3620-44A5-AFF5-558E4CBE70A9}"/>
            </a:ext>
          </a:extLst>
        </xdr:cNvPr>
        <xdr:cNvSpPr/>
      </xdr:nvSpPr>
      <xdr:spPr>
        <a:xfrm>
          <a:off x="37052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BD062F-38D2-409B-92BA-07FA25C6CD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RF_RepOpAftPubSpe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52428888_35">
          <a:extLst>
            <a:ext uri="{FF2B5EF4-FFF2-40B4-BE49-F238E27FC236}">
              <a16:creationId xmlns:a16="http://schemas.microsoft.com/office/drawing/2014/main" id="{B10B215B-3946-429C-93A8-E6981C50A8F4}"/>
            </a:ext>
          </a:extLst>
        </xdr:cNvPr>
        <xdr:cNvSpPr/>
      </xdr:nvSpPr>
      <xdr:spPr>
        <a:xfrm>
          <a:off x="38166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4ABF47-0912-41D5-A327-C54519158C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RF_RepOpAftPubAdv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52428888_36">
          <a:extLst>
            <a:ext uri="{FF2B5EF4-FFF2-40B4-BE49-F238E27FC236}">
              <a16:creationId xmlns:a16="http://schemas.microsoft.com/office/drawing/2014/main" id="{B83BC2DE-22F4-430C-9841-DE624417DE3E}"/>
            </a:ext>
          </a:extLst>
        </xdr:cNvPr>
        <xdr:cNvSpPr/>
      </xdr:nvSpPr>
      <xdr:spPr>
        <a:xfrm>
          <a:off x="39281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0FBF99-2F43-4A1B-8C5B-92D62EEA48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RF_RepOpAftPubLvl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52428888_37">
          <a:extLst>
            <a:ext uri="{FF2B5EF4-FFF2-40B4-BE49-F238E27FC236}">
              <a16:creationId xmlns:a16="http://schemas.microsoft.com/office/drawing/2014/main" id="{6824A4B8-8C07-4229-A011-97FC7C2DEBAA}"/>
            </a:ext>
          </a:extLst>
        </xdr:cNvPr>
        <xdr:cNvSpPr/>
      </xdr:nvSpPr>
      <xdr:spPr>
        <a:xfrm>
          <a:off x="403955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A8AF00B-B655-4600-A52A-AAD5A1B3B1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52428888_38">
          <a:extLst>
            <a:ext uri="{FF2B5EF4-FFF2-40B4-BE49-F238E27FC236}">
              <a16:creationId xmlns:a16="http://schemas.microsoft.com/office/drawing/2014/main" id="{6BC0D414-6CB3-409A-B5A6-2AEF447CA7C9}"/>
            </a:ext>
          </a:extLst>
        </xdr:cNvPr>
        <xdr:cNvSpPr/>
      </xdr:nvSpPr>
      <xdr:spPr>
        <a:xfrm>
          <a:off x="415099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827FCF0-5ACA-4539-8F0C-A01578D6E6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RF_RepOpAftTranStd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52428888_39">
          <a:extLst>
            <a:ext uri="{FF2B5EF4-FFF2-40B4-BE49-F238E27FC236}">
              <a16:creationId xmlns:a16="http://schemas.microsoft.com/office/drawing/2014/main" id="{644A5B93-06C8-452A-A416-20BBE4F4949D}"/>
            </a:ext>
          </a:extLst>
        </xdr:cNvPr>
        <xdr:cNvSpPr/>
      </xdr:nvSpPr>
      <xdr:spPr>
        <a:xfrm>
          <a:off x="42624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DC816A0-5B70-4AD1-B908-B34B6CEC21F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RF_RepOpAftTranSpe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52428888_40">
          <a:extLst>
            <a:ext uri="{FF2B5EF4-FFF2-40B4-BE49-F238E27FC236}">
              <a16:creationId xmlns:a16="http://schemas.microsoft.com/office/drawing/2014/main" id="{0F655283-D501-4E8D-BC27-6C715F90D895}"/>
            </a:ext>
          </a:extLst>
        </xdr:cNvPr>
        <xdr:cNvSpPr/>
      </xdr:nvSpPr>
      <xdr:spPr>
        <a:xfrm>
          <a:off x="43738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7F4F3A8-EB05-44DA-B818-85B26D7B854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RF_RepOpAftTranAdv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52428888_41">
          <a:extLst>
            <a:ext uri="{FF2B5EF4-FFF2-40B4-BE49-F238E27FC236}">
              <a16:creationId xmlns:a16="http://schemas.microsoft.com/office/drawing/2014/main" id="{051E13F2-08F6-40C1-BA90-ABB1816E5D0A}"/>
            </a:ext>
          </a:extLst>
        </xdr:cNvPr>
        <xdr:cNvSpPr/>
      </xdr:nvSpPr>
      <xdr:spPr>
        <a:xfrm>
          <a:off x="44853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03EC6F2-322F-44A5-914B-1A458D72D0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RF_RepOpAftTranLvl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52428888_42">
          <a:extLst>
            <a:ext uri="{FF2B5EF4-FFF2-40B4-BE49-F238E27FC236}">
              <a16:creationId xmlns:a16="http://schemas.microsoft.com/office/drawing/2014/main" id="{3E091FF7-0702-4B88-9E40-193C042A693C}"/>
            </a:ext>
          </a:extLst>
        </xdr:cNvPr>
        <xdr:cNvSpPr/>
      </xdr:nvSpPr>
      <xdr:spPr>
        <a:xfrm>
          <a:off x="45967650" y="444500"/>
          <a:ext cx="44767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5FEB043-BA2B-4B82-ABA1-B84C929217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52428888_43">
          <a:extLst>
            <a:ext uri="{FF2B5EF4-FFF2-40B4-BE49-F238E27FC236}">
              <a16:creationId xmlns:a16="http://schemas.microsoft.com/office/drawing/2014/main" id="{3F82FC47-4F38-48ED-94AF-A638140CFD45}"/>
            </a:ext>
          </a:extLst>
        </xdr:cNvPr>
        <xdr:cNvSpPr/>
      </xdr:nvSpPr>
      <xdr:spPr>
        <a:xfrm>
          <a:off x="46415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6BDCD37-44C4-4228-9363-26346FB7813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52428888_44">
          <a:extLst>
            <a:ext uri="{FF2B5EF4-FFF2-40B4-BE49-F238E27FC236}">
              <a16:creationId xmlns:a16="http://schemas.microsoft.com/office/drawing/2014/main" id="{A5AEA69A-B58A-490A-A47A-92326EAD1994}"/>
            </a:ext>
          </a:extLst>
        </xdr:cNvPr>
        <xdr:cNvSpPr/>
      </xdr:nvSpPr>
      <xdr:spPr>
        <a:xfrm>
          <a:off x="475297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3EF928-FE36-435A-896C-8F0208F1ADA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52428888_45">
          <a:extLst>
            <a:ext uri="{FF2B5EF4-FFF2-40B4-BE49-F238E27FC236}">
              <a16:creationId xmlns:a16="http://schemas.microsoft.com/office/drawing/2014/main" id="{2D994BA4-493F-41EB-AAD0-69F94688E0D0}"/>
            </a:ext>
          </a:extLst>
        </xdr:cNvPr>
        <xdr:cNvSpPr/>
      </xdr:nvSpPr>
      <xdr:spPr>
        <a:xfrm>
          <a:off x="486441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AB22D2-927D-4E67-918D-B328A6FC6B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RF_InputSite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52428888_46">
          <a:extLst>
            <a:ext uri="{FF2B5EF4-FFF2-40B4-BE49-F238E27FC236}">
              <a16:creationId xmlns:a16="http://schemas.microsoft.com/office/drawing/2014/main" id="{B0B7BAD7-D006-40C8-81DA-267493DAAFB6}"/>
            </a:ext>
          </a:extLst>
        </xdr:cNvPr>
        <xdr:cNvSpPr/>
      </xdr:nvSpPr>
      <xdr:spPr>
        <a:xfrm>
          <a:off x="497586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B0E8DB-33B9-4C90-992B-1CAC1CDB94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RF_PublicationSite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52428888_47">
          <a:extLst>
            <a:ext uri="{FF2B5EF4-FFF2-40B4-BE49-F238E27FC236}">
              <a16:creationId xmlns:a16="http://schemas.microsoft.com/office/drawing/2014/main" id="{F7CC1616-CD63-47DE-A8E8-23F7B044E4F9}"/>
            </a:ext>
          </a:extLst>
        </xdr:cNvPr>
        <xdr:cNvSpPr/>
      </xdr:nvSpPr>
      <xdr:spPr>
        <a:xfrm>
          <a:off x="50873025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F9120AE-4EE3-4052-9BA4-323758B0E90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52428888_48">
          <a:extLst>
            <a:ext uri="{FF2B5EF4-FFF2-40B4-BE49-F238E27FC236}">
              <a16:creationId xmlns:a16="http://schemas.microsoft.com/office/drawing/2014/main" id="{D260B527-0A82-4B63-841C-1FCB831F6128}"/>
            </a:ext>
          </a:extLst>
        </xdr:cNvPr>
        <xdr:cNvSpPr/>
      </xdr:nvSpPr>
      <xdr:spPr>
        <a:xfrm>
          <a:off x="519874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9BE233-C1C3-446F-98F7-52C825AFA0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RF_EntUseDefaultWindowsFolder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52428888_49">
          <a:extLst>
            <a:ext uri="{FF2B5EF4-FFF2-40B4-BE49-F238E27FC236}">
              <a16:creationId xmlns:a16="http://schemas.microsoft.com/office/drawing/2014/main" id="{FE8EDB26-FAEE-46E6-B45D-7DF1E6EA7F5C}"/>
            </a:ext>
          </a:extLst>
        </xdr:cNvPr>
        <xdr:cNvSpPr/>
      </xdr:nvSpPr>
      <xdr:spPr>
        <a:xfrm>
          <a:off x="531018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54156F-59B8-420A-8B62-5A06038639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RF_EntWindowsFolder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52428888_50">
          <a:extLst>
            <a:ext uri="{FF2B5EF4-FFF2-40B4-BE49-F238E27FC236}">
              <a16:creationId xmlns:a16="http://schemas.microsoft.com/office/drawing/2014/main" id="{1E3A2EDD-A990-4212-BBC1-F6532DFB1775}"/>
            </a:ext>
          </a:extLst>
        </xdr:cNvPr>
        <xdr:cNvSpPr/>
      </xdr:nvSpPr>
      <xdr:spPr>
        <a:xfrm>
          <a:off x="542163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15E8031-48D1-47DA-9A04-4320564CF66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RF_EntUseDefaultInternetFolder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52428888_51">
          <a:extLst>
            <a:ext uri="{FF2B5EF4-FFF2-40B4-BE49-F238E27FC236}">
              <a16:creationId xmlns:a16="http://schemas.microsoft.com/office/drawing/2014/main" id="{4C22B152-E025-431D-B685-02E07D75B4BE}"/>
            </a:ext>
          </a:extLst>
        </xdr:cNvPr>
        <xdr:cNvSpPr/>
      </xdr:nvSpPr>
      <xdr:spPr>
        <a:xfrm>
          <a:off x="553307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762010-B005-408D-9BFE-93894C07C1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RF_EntInternetFolder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52428888_52">
          <a:extLst>
            <a:ext uri="{FF2B5EF4-FFF2-40B4-BE49-F238E27FC236}">
              <a16:creationId xmlns:a16="http://schemas.microsoft.com/office/drawing/2014/main" id="{C0457A36-D4B7-4545-A3CF-BDC2D8797517}"/>
            </a:ext>
          </a:extLst>
        </xdr:cNvPr>
        <xdr:cNvSpPr/>
      </xdr:nvSpPr>
      <xdr:spPr>
        <a:xfrm>
          <a:off x="564451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D3C085-9831-4D25-86A2-EA47D0812F3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RF_EntUseDefaultSetOfControls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52428888_53">
          <a:extLst>
            <a:ext uri="{FF2B5EF4-FFF2-40B4-BE49-F238E27FC236}">
              <a16:creationId xmlns:a16="http://schemas.microsoft.com/office/drawing/2014/main" id="{7533B1D5-D35E-4EF1-B21A-B835AA969AE0}"/>
            </a:ext>
          </a:extLst>
        </xdr:cNvPr>
        <xdr:cNvSpPr/>
      </xdr:nvSpPr>
      <xdr:spPr>
        <a:xfrm>
          <a:off x="575595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1D4E837-3CB0-4AE3-A6FF-82B3D4EA56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RF_EntSetOfControls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52428888_54">
          <a:extLst>
            <a:ext uri="{FF2B5EF4-FFF2-40B4-BE49-F238E27FC236}">
              <a16:creationId xmlns:a16="http://schemas.microsoft.com/office/drawing/2014/main" id="{9E240972-A3AF-4A33-BAD2-E69B74DA8BCC}"/>
            </a:ext>
          </a:extLst>
        </xdr:cNvPr>
        <xdr:cNvSpPr/>
      </xdr:nvSpPr>
      <xdr:spPr>
        <a:xfrm>
          <a:off x="586740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AB5FF9E-025A-4067-A6AA-2685A7409F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RF_EntUseDefaultLevel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52428888_55">
          <a:extLst>
            <a:ext uri="{FF2B5EF4-FFF2-40B4-BE49-F238E27FC236}">
              <a16:creationId xmlns:a16="http://schemas.microsoft.com/office/drawing/2014/main" id="{D138DF75-1234-4B25-A82C-8ED825778DA9}"/>
            </a:ext>
          </a:extLst>
        </xdr:cNvPr>
        <xdr:cNvSpPr/>
      </xdr:nvSpPr>
      <xdr:spPr>
        <a:xfrm>
          <a:off x="597884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EA85D8-59A1-47D2-BB2A-71FFDA46B6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RF_EntLevelToReach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52428888_56">
          <a:extLst>
            <a:ext uri="{FF2B5EF4-FFF2-40B4-BE49-F238E27FC236}">
              <a16:creationId xmlns:a16="http://schemas.microsoft.com/office/drawing/2014/main" id="{72F34688-8AE2-4CE9-8668-FA2A81024916}"/>
            </a:ext>
          </a:extLst>
        </xdr:cNvPr>
        <xdr:cNvSpPr/>
      </xdr:nvSpPr>
      <xdr:spPr>
        <a:xfrm>
          <a:off x="609028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67D4928-E1D0-4BDA-B517-3E349977492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RF_EntBlocking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52428888_57">
          <a:extLst>
            <a:ext uri="{FF2B5EF4-FFF2-40B4-BE49-F238E27FC236}">
              <a16:creationId xmlns:a16="http://schemas.microsoft.com/office/drawing/2014/main" id="{4A53498A-CB73-4A3F-B53C-249CE27E5CAE}"/>
            </a:ext>
          </a:extLst>
        </xdr:cNvPr>
        <xdr:cNvSpPr/>
      </xdr:nvSpPr>
      <xdr:spPr>
        <a:xfrm>
          <a:off x="620172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B3B0BA-FF30-4BEE-95A3-BBC53279E7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RF_EntUseDefaultLock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52428888_58">
          <a:extLst>
            <a:ext uri="{FF2B5EF4-FFF2-40B4-BE49-F238E27FC236}">
              <a16:creationId xmlns:a16="http://schemas.microsoft.com/office/drawing/2014/main" id="{40BFBB93-7655-4E07-9F10-DBAFC201F443}"/>
            </a:ext>
          </a:extLst>
        </xdr:cNvPr>
        <xdr:cNvSpPr/>
      </xdr:nvSpPr>
      <xdr:spPr>
        <a:xfrm>
          <a:off x="631317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53A4B8-0810-4482-938C-ADD3D908CB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RF_EntLockOnPublication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52428888_59">
          <a:extLst>
            <a:ext uri="{FF2B5EF4-FFF2-40B4-BE49-F238E27FC236}">
              <a16:creationId xmlns:a16="http://schemas.microsoft.com/office/drawing/2014/main" id="{C63D2CFA-C6DD-44AB-8654-5EC6AFC73962}"/>
            </a:ext>
          </a:extLst>
        </xdr:cNvPr>
        <xdr:cNvSpPr/>
      </xdr:nvSpPr>
      <xdr:spPr>
        <a:xfrm>
          <a:off x="642461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BDC2F7-21B8-48AD-8CC2-3B69522BE5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RF_EntUseDefaultRuleSet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52428888_60">
          <a:extLst>
            <a:ext uri="{FF2B5EF4-FFF2-40B4-BE49-F238E27FC236}">
              <a16:creationId xmlns:a16="http://schemas.microsoft.com/office/drawing/2014/main" id="{20FD39E1-7AF8-46B8-95BB-E7B565EC98AA}"/>
            </a:ext>
          </a:extLst>
        </xdr:cNvPr>
        <xdr:cNvSpPr/>
      </xdr:nvSpPr>
      <xdr:spPr>
        <a:xfrm>
          <a:off x="653605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AC9407-79AD-4909-B6E0-60E97685394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RF_EntRuleSet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52428888_61">
          <a:extLst>
            <a:ext uri="{FF2B5EF4-FFF2-40B4-BE49-F238E27FC236}">
              <a16:creationId xmlns:a16="http://schemas.microsoft.com/office/drawing/2014/main" id="{D0A0E00F-5218-4152-8F66-C6BF93EE19BC}"/>
            </a:ext>
          </a:extLst>
        </xdr:cNvPr>
        <xdr:cNvSpPr/>
      </xdr:nvSpPr>
      <xdr:spPr>
        <a:xfrm>
          <a:off x="664749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D3B118-20DA-49D0-AEEB-721DBF1E09A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RF_EntUseDefaultOpbal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52428888_62">
          <a:extLst>
            <a:ext uri="{FF2B5EF4-FFF2-40B4-BE49-F238E27FC236}">
              <a16:creationId xmlns:a16="http://schemas.microsoft.com/office/drawing/2014/main" id="{BC76D28C-662E-44D2-9F70-B98B7369E7C6}"/>
            </a:ext>
          </a:extLst>
        </xdr:cNvPr>
        <xdr:cNvSpPr/>
      </xdr:nvSpPr>
      <xdr:spPr>
        <a:xfrm>
          <a:off x="675894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BA40BB-6D4D-4266-9039-5CA936F28C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RF_EntHasOpBal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448" name="tReporting52428888_63">
          <a:extLst>
            <a:ext uri="{FF2B5EF4-FFF2-40B4-BE49-F238E27FC236}">
              <a16:creationId xmlns:a16="http://schemas.microsoft.com/office/drawing/2014/main" id="{E9EE1A34-6EC6-468A-AD5F-C7AB8434EF76}"/>
            </a:ext>
          </a:extLst>
        </xdr:cNvPr>
        <xdr:cNvSpPr/>
      </xdr:nvSpPr>
      <xdr:spPr>
        <a:xfrm>
          <a:off x="687038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340880-DD87-4784-88FE-9A8CE21A0C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449" name="tReporting52428888_64">
          <a:extLst>
            <a:ext uri="{FF2B5EF4-FFF2-40B4-BE49-F238E27FC236}">
              <a16:creationId xmlns:a16="http://schemas.microsoft.com/office/drawing/2014/main" id="{9275F598-6C10-4F6B-9BCA-8144ED11EFD0}"/>
            </a:ext>
          </a:extLst>
        </xdr:cNvPr>
        <xdr:cNvSpPr/>
      </xdr:nvSpPr>
      <xdr:spPr>
        <a:xfrm>
          <a:off x="698182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9D1668-8D0B-4E90-B762-A445B32BCB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RF_EntOpbUpdatePeriod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450" name="tReporting52428888_65">
          <a:extLst>
            <a:ext uri="{FF2B5EF4-FFF2-40B4-BE49-F238E27FC236}">
              <a16:creationId xmlns:a16="http://schemas.microsoft.com/office/drawing/2014/main" id="{8DC1C918-D786-408D-BEF9-133538852F12}"/>
            </a:ext>
          </a:extLst>
        </xdr:cNvPr>
        <xdr:cNvSpPr/>
      </xdr:nvSpPr>
      <xdr:spPr>
        <a:xfrm>
          <a:off x="709326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E21888-27A0-4A8B-ABE4-03B1D1A8C2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451" name="tReporting52428888_66">
          <a:extLst>
            <a:ext uri="{FF2B5EF4-FFF2-40B4-BE49-F238E27FC236}">
              <a16:creationId xmlns:a16="http://schemas.microsoft.com/office/drawing/2014/main" id="{D59CCEBB-48E9-4DC6-A3A5-B5392F3FCF48}"/>
            </a:ext>
          </a:extLst>
        </xdr:cNvPr>
        <xdr:cNvSpPr/>
      </xdr:nvSpPr>
      <xdr:spPr>
        <a:xfrm>
          <a:off x="720471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FD8E9C-6612-4466-B1EB-7CFCA30D8F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452" name="tReporting52428888_67">
          <a:extLst>
            <a:ext uri="{FF2B5EF4-FFF2-40B4-BE49-F238E27FC236}">
              <a16:creationId xmlns:a16="http://schemas.microsoft.com/office/drawing/2014/main" id="{A1468403-1036-44F4-89DA-088334C5F355}"/>
            </a:ext>
          </a:extLst>
        </xdr:cNvPr>
        <xdr:cNvSpPr/>
      </xdr:nvSpPr>
      <xdr:spPr>
        <a:xfrm>
          <a:off x="731615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8103DB0-CC95-4F1F-A407-145F201DD9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RF_EntOpbConsCurrency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453" name="tReporting52428888_68">
          <a:extLst>
            <a:ext uri="{FF2B5EF4-FFF2-40B4-BE49-F238E27FC236}">
              <a16:creationId xmlns:a16="http://schemas.microsoft.com/office/drawing/2014/main" id="{8327AEF4-B647-4B17-919C-790FA260FEC9}"/>
            </a:ext>
          </a:extLst>
        </xdr:cNvPr>
        <xdr:cNvSpPr/>
      </xdr:nvSpPr>
      <xdr:spPr>
        <a:xfrm>
          <a:off x="742759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811FEF4-8E42-4741-BA8C-1C96E1B7B6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454" name="tReporting52428888_69">
          <a:extLst>
            <a:ext uri="{FF2B5EF4-FFF2-40B4-BE49-F238E27FC236}">
              <a16:creationId xmlns:a16="http://schemas.microsoft.com/office/drawing/2014/main" id="{46502AD2-D235-4F8E-BEB5-C57559BC006D}"/>
            </a:ext>
          </a:extLst>
        </xdr:cNvPr>
        <xdr:cNvSpPr/>
      </xdr:nvSpPr>
      <xdr:spPr>
        <a:xfrm>
          <a:off x="753903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7AB7D28-1DBF-40AA-82FC-1CB56A7EE4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RF_EntUseDefaultPublish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455" name="tReporting52428888_70">
          <a:extLst>
            <a:ext uri="{FF2B5EF4-FFF2-40B4-BE49-F238E27FC236}">
              <a16:creationId xmlns:a16="http://schemas.microsoft.com/office/drawing/2014/main" id="{DE2663F2-F67D-4217-A2A0-AB03E2BCB64F}"/>
            </a:ext>
          </a:extLst>
        </xdr:cNvPr>
        <xdr:cNvSpPr/>
      </xdr:nvSpPr>
      <xdr:spPr>
        <a:xfrm>
          <a:off x="765048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1F7D00-31A7-4C57-BE39-8E5CDDCBD3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RF_EntPackPublishingCutOffDate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456" name="tReporting52428888_71">
          <a:extLst>
            <a:ext uri="{FF2B5EF4-FFF2-40B4-BE49-F238E27FC236}">
              <a16:creationId xmlns:a16="http://schemas.microsoft.com/office/drawing/2014/main" id="{7F9900EB-6479-45A9-9EA2-58B890E6B2EB}"/>
            </a:ext>
          </a:extLst>
        </xdr:cNvPr>
        <xdr:cNvSpPr/>
      </xdr:nvSpPr>
      <xdr:spPr>
        <a:xfrm>
          <a:off x="776192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A5045E-577A-4968-A158-47BCF775C3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RF_EntAllowEarlyPublishing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457" name="tReporting52428888_72">
          <a:extLst>
            <a:ext uri="{FF2B5EF4-FFF2-40B4-BE49-F238E27FC236}">
              <a16:creationId xmlns:a16="http://schemas.microsoft.com/office/drawing/2014/main" id="{B80C91A2-3ED7-4666-8EE7-D9FE5692543A}"/>
            </a:ext>
          </a:extLst>
        </xdr:cNvPr>
        <xdr:cNvSpPr/>
      </xdr:nvSpPr>
      <xdr:spPr>
        <a:xfrm>
          <a:off x="7873365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F20FA04-ABF9-4541-8F43-96A72B3504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RF_EntOpAftPub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458" name="tReporting52428888_73">
          <a:extLst>
            <a:ext uri="{FF2B5EF4-FFF2-40B4-BE49-F238E27FC236}">
              <a16:creationId xmlns:a16="http://schemas.microsoft.com/office/drawing/2014/main" id="{73B94362-E375-4DC8-8556-5F9E932FAF77}"/>
            </a:ext>
          </a:extLst>
        </xdr:cNvPr>
        <xdr:cNvSpPr/>
      </xdr:nvSpPr>
      <xdr:spPr>
        <a:xfrm>
          <a:off x="798480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D391423-0EC1-4C7C-B909-75730D9C3F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RF_EntUseDefaultAfterPub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459" name="tReporting52428888_74">
          <a:extLst>
            <a:ext uri="{FF2B5EF4-FFF2-40B4-BE49-F238E27FC236}">
              <a16:creationId xmlns:a16="http://schemas.microsoft.com/office/drawing/2014/main" id="{FFA0CA29-6E4C-4045-9808-D8013A106D89}"/>
            </a:ext>
          </a:extLst>
        </xdr:cNvPr>
        <xdr:cNvSpPr/>
      </xdr:nvSpPr>
      <xdr:spPr>
        <a:xfrm>
          <a:off x="809625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D4EF8C-683A-4D3F-81A8-A5ACBBC68D6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460" name="tReporting52428888_75">
          <a:extLst>
            <a:ext uri="{FF2B5EF4-FFF2-40B4-BE49-F238E27FC236}">
              <a16:creationId xmlns:a16="http://schemas.microsoft.com/office/drawing/2014/main" id="{63A58C5B-2CD1-4438-800D-88B4A2589E6D}"/>
            </a:ext>
          </a:extLst>
        </xdr:cNvPr>
        <xdr:cNvSpPr/>
      </xdr:nvSpPr>
      <xdr:spPr>
        <a:xfrm>
          <a:off x="820769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B754F55-22F8-4FE1-BA22-4C0C6DF403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RF_EntAftPubSpecial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461" name="tReporting52428888_76">
          <a:extLst>
            <a:ext uri="{FF2B5EF4-FFF2-40B4-BE49-F238E27FC236}">
              <a16:creationId xmlns:a16="http://schemas.microsoft.com/office/drawing/2014/main" id="{71D5CA0A-304F-4CCB-8B9C-6AACC1F2F498}"/>
            </a:ext>
          </a:extLst>
        </xdr:cNvPr>
        <xdr:cNvSpPr/>
      </xdr:nvSpPr>
      <xdr:spPr>
        <a:xfrm>
          <a:off x="831913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5EE4CE-D3E5-41D9-8D7C-480AFB8217E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RF_EntAftPubAdvanced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462" name="tReporting52428888_77">
          <a:extLst>
            <a:ext uri="{FF2B5EF4-FFF2-40B4-BE49-F238E27FC236}">
              <a16:creationId xmlns:a16="http://schemas.microsoft.com/office/drawing/2014/main" id="{3806A94C-730E-46B5-991F-C22D528A140C}"/>
            </a:ext>
          </a:extLst>
        </xdr:cNvPr>
        <xdr:cNvSpPr/>
      </xdr:nvSpPr>
      <xdr:spPr>
        <a:xfrm>
          <a:off x="843057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B2D390-1E66-486A-8396-CC32587EEE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RF_EntAftPubLevel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463" name="tReporting52428888_78">
          <a:extLst>
            <a:ext uri="{FF2B5EF4-FFF2-40B4-BE49-F238E27FC236}">
              <a16:creationId xmlns:a16="http://schemas.microsoft.com/office/drawing/2014/main" id="{D99C0B43-7220-4C86-A777-DC241A30DA07}"/>
            </a:ext>
          </a:extLst>
        </xdr:cNvPr>
        <xdr:cNvSpPr/>
      </xdr:nvSpPr>
      <xdr:spPr>
        <a:xfrm>
          <a:off x="85420200" y="444500"/>
          <a:ext cx="1114425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0F2E85B-AC2B-48B7-B5AB-CB668364741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RF_EntOpAftTran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464" name="tReporting52428888_79">
          <a:extLst>
            <a:ext uri="{FF2B5EF4-FFF2-40B4-BE49-F238E27FC236}">
              <a16:creationId xmlns:a16="http://schemas.microsoft.com/office/drawing/2014/main" id="{BB4305E4-404E-4B67-8252-6050459B06D8}"/>
            </a:ext>
          </a:extLst>
        </xdr:cNvPr>
        <xdr:cNvSpPr/>
      </xdr:nvSpPr>
      <xdr:spPr>
        <a:xfrm>
          <a:off x="865346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23E02CF-BE9B-49E8-82B9-E4F272C4061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RF_EntUseDefaultAfterTran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465" name="tReporting52428888_80">
          <a:extLst>
            <a:ext uri="{FF2B5EF4-FFF2-40B4-BE49-F238E27FC236}">
              <a16:creationId xmlns:a16="http://schemas.microsoft.com/office/drawing/2014/main" id="{133D1323-8E98-4543-8161-14623A4A8A92}"/>
            </a:ext>
          </a:extLst>
        </xdr:cNvPr>
        <xdr:cNvSpPr/>
      </xdr:nvSpPr>
      <xdr:spPr>
        <a:xfrm>
          <a:off x="8764905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7E1B62-95B0-4F4C-A2ED-5ADE3E65B3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466" name="tReporting52428888_81">
          <a:extLst>
            <a:ext uri="{FF2B5EF4-FFF2-40B4-BE49-F238E27FC236}">
              <a16:creationId xmlns:a16="http://schemas.microsoft.com/office/drawing/2014/main" id="{8030BCF7-4C14-49A8-B0B4-D2EFD4A08AEE}"/>
            </a:ext>
          </a:extLst>
        </xdr:cNvPr>
        <xdr:cNvSpPr/>
      </xdr:nvSpPr>
      <xdr:spPr>
        <a:xfrm>
          <a:off x="8876347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B878B8-0A59-402A-966C-9E19E650DD0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RF_EntAftTranSpecial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467" name="tReporting52428888_82">
          <a:extLst>
            <a:ext uri="{FF2B5EF4-FFF2-40B4-BE49-F238E27FC236}">
              <a16:creationId xmlns:a16="http://schemas.microsoft.com/office/drawing/2014/main" id="{332CF3B7-F167-4A31-8825-5762212FC923}"/>
            </a:ext>
          </a:extLst>
        </xdr:cNvPr>
        <xdr:cNvSpPr/>
      </xdr:nvSpPr>
      <xdr:spPr>
        <a:xfrm>
          <a:off x="89877900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628192A-C81F-479A-9D25-F20ACD9B93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RF_EntAftTranAdvanced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468" name="tReporting52428888_83">
          <a:extLst>
            <a:ext uri="{FF2B5EF4-FFF2-40B4-BE49-F238E27FC236}">
              <a16:creationId xmlns:a16="http://schemas.microsoft.com/office/drawing/2014/main" id="{F2089682-C438-46C6-87DF-83EEF38CC66D}"/>
            </a:ext>
          </a:extLst>
        </xdr:cNvPr>
        <xdr:cNvSpPr/>
      </xdr:nvSpPr>
      <xdr:spPr>
        <a:xfrm>
          <a:off x="90992325" y="571500"/>
          <a:ext cx="111442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808B7E-7DAC-4ED3-A181-CB5A11025E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RF_EntAftTranLevel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8CA039-D6F8-4E1E-B44C-35984FCE5C1C}" name="tReportings" displayName="tReportings" ref="C13:F41" totalsRowShown="0" headerRowDxfId="5" dataDxfId="0">
  <autoFilter ref="C13:F41" xr:uid="{8AE64D34-FAE0-41FD-8AB3-A721780E6EF7}"/>
  <tableColumns count="4">
    <tableColumn id="1" xr3:uid="{3EB7DDC0-D1D6-4D61-931F-5C48A59A04E2}" name=" 1" dataDxfId="4"/>
    <tableColumn id="2" xr3:uid="{707867AA-160D-411F-AF43-E2BC8DC53E29}" name=" 2" dataDxfId="3"/>
    <tableColumn id="3" xr3:uid="{49DE8548-7004-4585-8C22-9EA2D658F225}" name=" 3" dataDxfId="2"/>
    <tableColumn id="4" xr3:uid="{CFCA82BF-99F5-4D68-AFF9-7116C3F52586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00D6A6B-9529-46A2-8301-35F024D9A0E7}" name="tReporting52428888" displayName="tReporting52428888" ref="B5:CF6" totalsRowShown="0" headerRowDxfId="90" dataDxfId="7" tableBorderDxfId="91">
  <autoFilter ref="B5:CF6" xr:uid="{2A0CD756-3302-49D3-BB85-725843DE36B7}"/>
  <tableColumns count="83">
    <tableColumn id="1" xr3:uid="{3669B383-71EB-4B56-8A47-DE7211A651B4}" name=" 1" dataDxfId="89"/>
    <tableColumn id="2" xr3:uid="{D9C1DCE4-DC6A-4E5D-AE11-C9008251CD51}" name=" 2" dataDxfId="88"/>
    <tableColumn id="3" xr3:uid="{0FD52B7F-7F34-4911-96BB-6214242260BA}" name=" 3" dataDxfId="87"/>
    <tableColumn id="4" xr3:uid="{BFB637BB-496F-49F4-944A-59B4140E5878}" name=" 4" dataDxfId="86"/>
    <tableColumn id="5" xr3:uid="{1B4A0E4D-C066-4CEB-8C1D-3BF19086B012}" name=" 5" dataDxfId="85"/>
    <tableColumn id="6" xr3:uid="{62D83C08-0DD7-4FED-93B1-B29AF0909B75}" name=" 6" dataDxfId="84"/>
    <tableColumn id="7" xr3:uid="{38939930-7B68-41A3-85A9-21E869738BAA}" name=" 7" dataDxfId="83"/>
    <tableColumn id="8" xr3:uid="{B8C3E6FD-B60C-4AB5-8482-BC1862A4BA8A}" name=" 8" dataDxfId="82"/>
    <tableColumn id="9" xr3:uid="{DD8EDA19-6563-419D-80F8-A1557AC5405C}" name=" 9" dataDxfId="81"/>
    <tableColumn id="10" xr3:uid="{E10189A1-D3EF-4104-9B5A-6523295D73FF}" name=" 10" dataDxfId="80"/>
    <tableColumn id="11" xr3:uid="{6A8AC096-91E7-4B02-A312-20CDFACD1958}" name=" 11" dataDxfId="79"/>
    <tableColumn id="12" xr3:uid="{949DB8F9-50F4-4761-B5B9-3B6B1EFF941B}" name=" 12" dataDxfId="78"/>
    <tableColumn id="13" xr3:uid="{7FD2206F-B391-4D0A-B28D-7D720188D2A3}" name=" 13" dataDxfId="77"/>
    <tableColumn id="14" xr3:uid="{5E0A08C1-8E66-4D06-BEA0-089DE111380C}" name=" 14" dataDxfId="76"/>
    <tableColumn id="15" xr3:uid="{C8BF7F53-DCCE-4E86-B413-6FC8A2E0EB8B}" name=" 15" dataDxfId="75"/>
    <tableColumn id="16" xr3:uid="{ADF13939-0622-4D35-B155-6CC5092F5B4F}" name=" 16" dataDxfId="74"/>
    <tableColumn id="17" xr3:uid="{6954C863-3C2C-47AC-8826-12E55B7E7E0A}" name=" 17" dataDxfId="73"/>
    <tableColumn id="18" xr3:uid="{AC550C82-6AC4-46BD-A003-6292270F8A91}" name=" 18" dataDxfId="72"/>
    <tableColumn id="19" xr3:uid="{8B7D0A4B-0F64-4CAC-BD2A-B84A6FC5252F}" name=" 19" dataDxfId="71"/>
    <tableColumn id="20" xr3:uid="{D0F6AAA6-E264-46CB-9081-AA4E7A640F12}" name=" 20" dataDxfId="70"/>
    <tableColumn id="21" xr3:uid="{2201365D-8896-4FAF-96B3-0F940DBFE37A}" name=" 21" dataDxfId="69"/>
    <tableColumn id="22" xr3:uid="{F8772F31-379D-4169-8EF5-6A27937E6256}" name=" 22" dataDxfId="68"/>
    <tableColumn id="23" xr3:uid="{F68CDBC6-6C0C-4EEF-BEBF-4F11ED750605}" name=" 23" dataDxfId="67"/>
    <tableColumn id="24" xr3:uid="{1169B4B2-4A4C-4C8A-8BB1-191349D49F96}" name=" 24" dataDxfId="66"/>
    <tableColumn id="25" xr3:uid="{DE7B1BE9-ECA5-44CD-8BB7-0496E4509E85}" name=" 25" dataDxfId="65"/>
    <tableColumn id="26" xr3:uid="{46241FCC-EBE5-4DAB-A46F-28A40B41B4DF}" name=" 26" dataDxfId="64"/>
    <tableColumn id="27" xr3:uid="{C1A675A4-5A01-4007-BA7C-DC381B919DFC}" name=" 27" dataDxfId="63"/>
    <tableColumn id="28" xr3:uid="{8D530ACA-713F-4202-91F0-9E7143DE3911}" name=" 28" dataDxfId="62"/>
    <tableColumn id="29" xr3:uid="{C9C21323-91B4-48EA-8B2C-9F5015E1715A}" name=" 29" dataDxfId="61"/>
    <tableColumn id="30" xr3:uid="{53872F2C-3009-4787-8049-6614C4C74050}" name=" 30" dataDxfId="60"/>
    <tableColumn id="31" xr3:uid="{4B305E7E-3FDD-4069-9CBC-552FB44EE5A4}" name=" 31" dataDxfId="59"/>
    <tableColumn id="32" xr3:uid="{D79034FA-2C9C-4BF0-95D8-43D4EE98725C}" name=" 32" dataDxfId="58"/>
    <tableColumn id="33" xr3:uid="{EC29D8EB-6C1D-40C4-AE1A-D80526AECE3E}" name=" 33" dataDxfId="57"/>
    <tableColumn id="34" xr3:uid="{E61E8B5A-9438-4C80-A379-7E6CAFED4A05}" name=" 34" dataDxfId="56"/>
    <tableColumn id="35" xr3:uid="{9EBD0A59-EFB6-4AC3-B589-7EA7F703A10D}" name=" 35" dataDxfId="55"/>
    <tableColumn id="36" xr3:uid="{A4C603AA-A905-4F28-8E45-5273C2B22C8F}" name=" 36" dataDxfId="54"/>
    <tableColumn id="37" xr3:uid="{F32EC476-59D8-4D3E-8207-B6250374A9D9}" name=" 37" dataDxfId="53"/>
    <tableColumn id="38" xr3:uid="{BB2D7E13-4EFB-4790-8A54-7FF23436A31D}" name=" 38" dataDxfId="52"/>
    <tableColumn id="39" xr3:uid="{38BE55E1-8879-4F6E-818B-D2F42E03F9E7}" name=" 39" dataDxfId="51"/>
    <tableColumn id="40" xr3:uid="{05171B32-FE94-4213-972B-2050D65BBF20}" name=" 40" dataDxfId="50"/>
    <tableColumn id="41" xr3:uid="{7B05C25B-2FBF-4657-ADC1-F5DC703ECA1E}" name=" 41" dataDxfId="49"/>
    <tableColumn id="42" xr3:uid="{29A93470-6770-4F9A-8776-DA4C96D12129}" name=" 42" dataDxfId="48"/>
    <tableColumn id="43" xr3:uid="{EA3963D2-DB93-4AB3-93F0-A8A4241C4FA7}" name=" 43" dataDxfId="47"/>
    <tableColumn id="44" xr3:uid="{C1DF1E30-01F2-4714-9F66-E00F1DBF6344}" name=" 44" dataDxfId="46"/>
    <tableColumn id="45" xr3:uid="{AB0CC280-809D-4F0E-B81E-6E6E4BEDFB78}" name=" 45" dataDxfId="45"/>
    <tableColumn id="46" xr3:uid="{7E0D781E-C2F7-41F5-89AD-D8E8988394A0}" name=" 46" dataDxfId="44"/>
    <tableColumn id="47" xr3:uid="{A2F5E201-7B86-4080-AF6A-4E89591DD1F1}" name=" 47" dataDxfId="43"/>
    <tableColumn id="48" xr3:uid="{90E990A5-CD6B-4A77-9690-4E6C592BAE99}" name=" 48" dataDxfId="42"/>
    <tableColumn id="49" xr3:uid="{D69D3B26-8BC7-40FE-B589-DB125B79855E}" name=" 49" dataDxfId="41"/>
    <tableColumn id="50" xr3:uid="{873DE6A4-D1C0-4840-AB61-C6BE947AB6BA}" name=" 50" dataDxfId="40"/>
    <tableColumn id="51" xr3:uid="{5AF624A0-A699-48B7-9B91-AE4513351821}" name=" 51" dataDxfId="39"/>
    <tableColumn id="52" xr3:uid="{A10EE6B4-F6E6-4747-A443-CBD7EC837BAA}" name=" 52" dataDxfId="38"/>
    <tableColumn id="53" xr3:uid="{719FDEE7-27F5-4237-BA5D-4A5BC45EC7F6}" name=" 53" dataDxfId="37"/>
    <tableColumn id="54" xr3:uid="{82F2081B-5165-4580-9E81-96B74E5ACFF9}" name=" 54" dataDxfId="36"/>
    <tableColumn id="55" xr3:uid="{AF43D154-47BD-4D38-A5D9-15C713C9EECC}" name=" 55" dataDxfId="35"/>
    <tableColumn id="56" xr3:uid="{76DBC040-BE04-4608-B73E-F24C345942A0}" name=" 56" dataDxfId="34"/>
    <tableColumn id="57" xr3:uid="{3D77AB10-3CC4-4AD5-8C3F-7AA5CCA38D63}" name=" 57" dataDxfId="33"/>
    <tableColumn id="58" xr3:uid="{3F13D0E1-0B4E-43A7-B382-6F66951A96D6}" name=" 58" dataDxfId="32"/>
    <tableColumn id="59" xr3:uid="{B3F6DBD1-B6EA-476B-B339-01521295F6A7}" name=" 59" dataDxfId="31"/>
    <tableColumn id="60" xr3:uid="{B6F2767E-1F0C-4CB7-893E-185129E0194D}" name=" 60" dataDxfId="30"/>
    <tableColumn id="61" xr3:uid="{14D89563-C992-4BDA-A0B1-C1B87263DACC}" name=" 61" dataDxfId="29"/>
    <tableColumn id="62" xr3:uid="{460FF40C-C106-49C6-B518-11481F11A036}" name=" 62" dataDxfId="28"/>
    <tableColumn id="63" xr3:uid="{625ADF91-921B-4DA1-ADA5-34AB6568EFCD}" name=" 63" dataDxfId="27"/>
    <tableColumn id="64" xr3:uid="{556FADB5-67AD-4B68-95ED-AE4DFB069A43}" name=" 64" dataDxfId="26"/>
    <tableColumn id="65" xr3:uid="{E8D10283-7F89-4A2A-9832-BAB5272362C0}" name=" 65" dataDxfId="25"/>
    <tableColumn id="66" xr3:uid="{19C7F66F-0723-4C04-B20D-39ADA781CA85}" name=" 66" dataDxfId="24"/>
    <tableColumn id="67" xr3:uid="{6C2B2BF2-DB37-48F2-86D3-73585ACEDAF0}" name=" 67" dataDxfId="23"/>
    <tableColumn id="68" xr3:uid="{045E9968-EF50-4227-AA92-4A1211FD66B4}" name=" 68" dataDxfId="22"/>
    <tableColumn id="69" xr3:uid="{6AB80970-181E-455A-91ED-C1279547413E}" name=" 69" dataDxfId="21"/>
    <tableColumn id="70" xr3:uid="{0A91647E-105B-43A5-8D21-FD49FB272C4A}" name=" 70" dataDxfId="6"/>
    <tableColumn id="71" xr3:uid="{F12046B9-3DDD-48AB-8CBF-5F68BFD5AE5C}" name=" 71" dataDxfId="20"/>
    <tableColumn id="72" xr3:uid="{956D3A29-C689-4E28-9BD0-8593722AC0FF}" name=" 72" dataDxfId="19"/>
    <tableColumn id="73" xr3:uid="{80377364-9310-4B66-B709-0F5AFE8CD846}" name=" 73" dataDxfId="18"/>
    <tableColumn id="74" xr3:uid="{D620B1EA-F810-411C-A16A-E25C9A01EB85}" name=" 74" dataDxfId="17"/>
    <tableColumn id="75" xr3:uid="{522B8222-78BF-47BD-B7C5-F8C3C16C8C54}" name=" 75" dataDxfId="16"/>
    <tableColumn id="76" xr3:uid="{704757FB-F6A8-4454-9FE0-6E5E5A87398C}" name=" 76" dataDxfId="15"/>
    <tableColumn id="77" xr3:uid="{5C88C72C-3F53-41B3-97FA-1AD18CDF5A99}" name=" 77" dataDxfId="14"/>
    <tableColumn id="78" xr3:uid="{BF520BFB-4999-46E5-AD07-C9B36E49F4DB}" name=" 78" dataDxfId="13"/>
    <tableColumn id="79" xr3:uid="{38C0216F-7D35-4B4F-8000-960416E89DBB}" name=" 79" dataDxfId="12"/>
    <tableColumn id="80" xr3:uid="{C30BE658-87BB-4352-AE70-3F1D2416DBEC}" name=" 80" dataDxfId="11"/>
    <tableColumn id="81" xr3:uid="{C7E2CEF4-2EA8-4AA0-AA8C-2220E4831245}" name=" 81" dataDxfId="10"/>
    <tableColumn id="82" xr3:uid="{9E323F1A-78AE-45E2-AB8E-24D585672C87}" name=" 82" dataDxfId="9"/>
    <tableColumn id="83" xr3:uid="{F96CB97B-DAD2-44BF-BDB6-BF4C6A905554}" name=" 83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92">
  <autoFilter ref="A3:H114" xr:uid="{20495ABC-A0D8-40BE-8188-61D0FEE75739}"/>
  <tableColumns count="8">
    <tableColumn id="1" xr3:uid="{73903A16-45BE-4CB3-B71C-3468798E69E6}" name="ID" dataDxfId="100"/>
    <tableColumn id="3" xr3:uid="{02ADB156-C3E9-44A8-BC1B-FB2018DC836B}" name="Param1" dataDxfId="99"/>
    <tableColumn id="4" xr3:uid="{CF8C7CB6-4B86-4085-ACCC-19CBFD4C59FE}" name="Param2" dataDxfId="98"/>
    <tableColumn id="5" xr3:uid="{1227E0CB-DF13-4AEB-9B7C-A5B66DBC0C3F}" name="Param3" dataDxfId="97"/>
    <tableColumn id="6" xr3:uid="{2E60890B-30E9-4D21-92C9-7B06D14BAF00}" name="Param4" dataDxfId="96"/>
    <tableColumn id="7" xr3:uid="{03AC2232-F9FA-428A-BCAB-A8039123FBB5}" name="Param5" dataDxfId="95"/>
    <tableColumn id="9" xr3:uid="{5D6B89C0-1432-4927-AC0D-CC962FDD7705}" name="en_US" dataDxfId="94"/>
    <tableColumn id="8" xr3:uid="{8F5786B6-467E-46BD-A85E-B24EA01C31DC}" name="fr_FR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Q91" totalsRowShown="0" dataDxfId="134">
  <autoFilter ref="B3:Q91" xr:uid="{D9E8808B-D9E1-4272-8694-E8D5F2C45F29}"/>
  <tableColumns count="16">
    <tableColumn id="1" xr3:uid="{3A646773-BE89-4522-98D7-B786E44BE0DC}" name="Query" dataDxfId="133"/>
    <tableColumn id="9" xr3:uid="{C4EB6F9D-3EAD-42F0-84FF-9BBD170B0DE5}" name="Table" dataDxfId="132"/>
    <tableColumn id="8" xr3:uid="{70E4004F-52ED-4A60-A759-27AFE028F894}" name="I18N" dataDxfId="131"/>
    <tableColumn id="13" xr3:uid="{A78438C4-24D6-4E6E-A29B-E72CABDED5AB}" name="JSON Row Array" dataDxfId="130"/>
    <tableColumn id="2" xr3:uid="{DFC5B263-91CC-4653-8ADC-74A0368CD202}" name="JSON Column" dataDxfId="129"/>
    <tableColumn id="3" xr3:uid="{D5540814-CF2F-4ACB-B92D-22093C535E0C}" name="JSON Type" dataDxfId="128"/>
    <tableColumn id="11" xr3:uid="{EDC8EA7C-C33C-4E55-9909-B09F730AE94B}" name="Required" dataDxfId="127"/>
    <tableColumn id="4" xr3:uid="{8D0A36EB-752B-47BA-B4F5-009678ACFDD0}" name="Title" dataDxfId="126"/>
    <tableColumn id="12" xr3:uid="{B7222461-457D-4B90-9925-68BAF8D1E421}" name="Editor" dataDxfId="125"/>
    <tableColumn id="14" xr3:uid="{C8DD975C-C222-4560-AD83-9B3E4EF275CD}" name="Format" dataDxfId="124"/>
    <tableColumn id="15" xr3:uid="{30CC9560-5D67-406A-B687-D2883B19A560}" name="Level" dataDxfId="123"/>
    <tableColumn id="5" xr3:uid="{3613A1E0-361B-4D77-AB85-A190D3D733FC}" name="Hidden" dataDxfId="122"/>
    <tableColumn id="6" xr3:uid="{4FC768DF-246E-41E4-8A37-38EE7A822849}" name="Command" dataDxfId="121"/>
    <tableColumn id="10" xr3:uid="{08F0F3AA-70C9-46BE-9E8F-F9089FF43A15}" name="Params" dataDxfId="120"/>
    <tableColumn id="7" xr3:uid="{C3148FB9-B4AC-439B-977D-F7DC6FE2F875}" name="Position" dataDxfId="119"/>
    <tableColumn id="17" xr3:uid="{AAA7A96E-0AF3-43EB-9CAA-11C66E543F5D}" name="ReturnCol" dataDxfId="1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7">
  <autoFilter ref="B3:Q4" xr:uid="{D9E8808B-D9E1-4272-8694-E8D5F2C45F29}"/>
  <tableColumns count="16">
    <tableColumn id="1" xr3:uid="{848A5172-BE10-4671-A96C-19CB95280C30}" name="Query" dataDxfId="116"/>
    <tableColumn id="9" xr3:uid="{D4503C74-5BC6-42E3-9059-14AE6DF0435F}" name="Table" dataDxfId="115"/>
    <tableColumn id="8" xr3:uid="{6B1E570F-3015-4379-A06B-47DE792E9FF7}" name="I18N" dataDxfId="114"/>
    <tableColumn id="13" xr3:uid="{1F3DA983-C15A-44A1-9F86-08FE41BABCC4}" name="JSON Row Array" dataDxfId="113"/>
    <tableColumn id="2" xr3:uid="{2146287D-FA7C-4DC4-A184-861C99FB53FA}" name="JSON Column" dataDxfId="112"/>
    <tableColumn id="3" xr3:uid="{41F1B5AB-7B7D-4E20-9599-A4A18E607AC2}" name="JSON Type" dataDxfId="111"/>
    <tableColumn id="11" xr3:uid="{6B6D5F65-9066-427A-9E8E-83BC24FDA24E}" name="Required" dataDxfId="110"/>
    <tableColumn id="4" xr3:uid="{5632F87F-624C-41CA-9F02-FC8191282D24}" name="Title" dataDxfId="109"/>
    <tableColumn id="12" xr3:uid="{42F4ED45-AB09-422F-A7F0-D0219F6C21FB}" name="Editor" dataDxfId="108"/>
    <tableColumn id="14" xr3:uid="{2AA5569E-51E1-495E-B26C-0E3F01504CAF}" name="Format" dataDxfId="107"/>
    <tableColumn id="15" xr3:uid="{9FF31EFB-98A5-441C-AEEE-A8D70F766993}" name="Level" dataDxfId="106"/>
    <tableColumn id="5" xr3:uid="{AAEEF1F0-17A9-4995-BF9B-AB4346088E71}" name="Hidden" dataDxfId="105"/>
    <tableColumn id="6" xr3:uid="{7BDF45C7-3CB9-461B-82E3-465AF4328F16}" name="Command" dataDxfId="104"/>
    <tableColumn id="10" xr3:uid="{CC86848F-2654-487A-90EA-707ECEAFF905}" name="Params" dataDxfId="103"/>
    <tableColumn id="7" xr3:uid="{EB4FA941-2795-46FC-8CA9-7D002B610299}" name="Position" dataDxfId="102"/>
    <tableColumn id="17" xr3:uid="{CA1F3260-0D6C-4F7F-B7AE-4DFA8A856532}" name="ReturnCol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zoomScaleNormal="100" workbookViewId="0">
      <selection activeCell="C14" sqref="C14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22.28515625" style="4" customWidth="1" collapsed="1"/>
    <col min="5" max="5" width="22.28515625" style="4" customWidth="1"/>
    <col min="6" max="6" width="27.140625" style="4" bestFit="1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CTS Reporting Factory</v>
      </c>
      <c r="F4" s="12"/>
      <c r="I4" s="5" t="str" cm="1">
        <f t="array" ref="I4">I18N_Version(cellLanguage)</f>
        <v>Version 0.92 - 03/05/21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/>
      <c r="E11"/>
      <c r="F11" s="25">
        <f>SUBTOTAL(103, $D$14:$D$41)</f>
        <v>28</v>
      </c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Category</v>
      </c>
      <c r="E12" s="22" t="str">
        <f>I18N_T(cellLanguage, "RF_UpdatePeriod")</f>
        <v>Update Period</v>
      </c>
      <c r="F12" s="23" t="str">
        <f>I18N_T(cellLanguage, "RF_CreationDate")</f>
        <v>Created</v>
      </c>
      <c r="G12"/>
      <c r="H12" s="17"/>
      <c r="I12" s="13"/>
      <c r="J12" s="13"/>
    </row>
    <row r="13" spans="2:12" ht="15" customHeight="1" x14ac:dyDescent="0.25">
      <c r="C13" s="24" t="s">
        <v>206</v>
      </c>
      <c r="D13" s="24" t="s">
        <v>207</v>
      </c>
      <c r="E13" s="24" t="s">
        <v>208</v>
      </c>
      <c r="F13" s="24" t="s">
        <v>209</v>
      </c>
      <c r="H13" s="17"/>
      <c r="I13" s="13"/>
      <c r="J13" s="13"/>
    </row>
    <row r="14" spans="2:12" x14ac:dyDescent="0.25">
      <c r="C14" s="45">
        <v>52428888</v>
      </c>
      <c r="D14" s="45" t="s">
        <v>21</v>
      </c>
      <c r="E14" s="45" t="s">
        <v>516</v>
      </c>
      <c r="F14" s="45" t="s">
        <v>614</v>
      </c>
      <c r="H14" s="11" t="str">
        <f>I18N_T(cellLanguage, "RF_Modify")</f>
        <v>Modify</v>
      </c>
      <c r="I14" s="11" t="str">
        <f>I18N_T(cellLanguage, "RF_Duplicate")</f>
        <v>Duplicate</v>
      </c>
      <c r="J14" s="13"/>
      <c r="L14" s="8"/>
    </row>
    <row r="15" spans="2:12" x14ac:dyDescent="0.25">
      <c r="C15" s="45">
        <v>52428859</v>
      </c>
      <c r="D15" s="45" t="s">
        <v>21</v>
      </c>
      <c r="E15" s="45" t="s">
        <v>615</v>
      </c>
      <c r="F15" s="45" t="s">
        <v>616</v>
      </c>
      <c r="H15" s="11" t="str">
        <f>I18N_T(cellLanguage, "RF_Modify")</f>
        <v>Modify</v>
      </c>
      <c r="I15" s="11" t="str">
        <f>I18N_T(cellLanguage, "RF_Duplicate")</f>
        <v>Duplicate</v>
      </c>
      <c r="J15" s="13"/>
    </row>
    <row r="16" spans="2:12" x14ac:dyDescent="0.25">
      <c r="C16" s="45">
        <v>52428858</v>
      </c>
      <c r="D16" s="45" t="s">
        <v>21</v>
      </c>
      <c r="E16" s="45" t="s">
        <v>617</v>
      </c>
      <c r="F16" s="45" t="s">
        <v>618</v>
      </c>
      <c r="H16" s="11" t="str">
        <f>I18N_T(cellLanguage, "RF_Modify")</f>
        <v>Modify</v>
      </c>
      <c r="I16" s="11" t="str">
        <f>I18N_T(cellLanguage, "RF_Duplicate")</f>
        <v>Duplicate</v>
      </c>
      <c r="J16" s="13"/>
    </row>
    <row r="17" spans="3:10" x14ac:dyDescent="0.25">
      <c r="C17" s="45">
        <v>52428847</v>
      </c>
      <c r="D17" s="45" t="s">
        <v>21</v>
      </c>
      <c r="E17" s="45" t="s">
        <v>619</v>
      </c>
      <c r="F17" s="45" t="s">
        <v>620</v>
      </c>
      <c r="H17" s="11" t="str">
        <f>I18N_T(cellLanguage, "RF_Modify")</f>
        <v>Modify</v>
      </c>
      <c r="I17" s="11" t="str">
        <f>I18N_T(cellLanguage, "RF_Duplicate")</f>
        <v>Duplicate</v>
      </c>
      <c r="J17" s="13"/>
    </row>
    <row r="18" spans="3:10" x14ac:dyDescent="0.25">
      <c r="C18" s="45">
        <v>52428855</v>
      </c>
      <c r="D18" s="45" t="s">
        <v>21</v>
      </c>
      <c r="E18" s="45" t="s">
        <v>621</v>
      </c>
      <c r="F18" s="45" t="s">
        <v>622</v>
      </c>
      <c r="H18" s="11" t="str">
        <f>I18N_T(cellLanguage, "RF_Modify")</f>
        <v>Modify</v>
      </c>
      <c r="I18" s="11" t="str">
        <f>I18N_T(cellLanguage, "RF_Duplicate")</f>
        <v>Duplicate</v>
      </c>
      <c r="J18" s="13"/>
    </row>
    <row r="19" spans="3:10" x14ac:dyDescent="0.25">
      <c r="C19" s="45">
        <v>52428853</v>
      </c>
      <c r="D19" s="45" t="s">
        <v>21</v>
      </c>
      <c r="E19" s="45" t="s">
        <v>623</v>
      </c>
      <c r="F19" s="45" t="s">
        <v>624</v>
      </c>
      <c r="H19" s="11" t="str">
        <f>I18N_T(cellLanguage, "RF_Modify")</f>
        <v>Modify</v>
      </c>
      <c r="I19" s="11" t="str">
        <f>I18N_T(cellLanguage, "RF_Duplicate")</f>
        <v>Duplicate</v>
      </c>
      <c r="J19" s="13"/>
    </row>
    <row r="20" spans="3:10" x14ac:dyDescent="0.25">
      <c r="C20" s="45">
        <v>52428851</v>
      </c>
      <c r="D20" s="45" t="s">
        <v>21</v>
      </c>
      <c r="E20" s="45" t="s">
        <v>625</v>
      </c>
      <c r="F20" s="45" t="s">
        <v>626</v>
      </c>
      <c r="H20" s="11" t="str">
        <f>I18N_T(cellLanguage, "RF_Modify")</f>
        <v>Modify</v>
      </c>
      <c r="I20" s="11" t="str">
        <f>I18N_T(cellLanguage, "RF_Duplicate")</f>
        <v>Duplicate</v>
      </c>
      <c r="J20" s="13"/>
    </row>
    <row r="21" spans="3:10" x14ac:dyDescent="0.25">
      <c r="C21" s="45">
        <v>52428848</v>
      </c>
      <c r="D21" s="45" t="s">
        <v>21</v>
      </c>
      <c r="E21" s="45" t="s">
        <v>627</v>
      </c>
      <c r="F21" s="45" t="s">
        <v>628</v>
      </c>
      <c r="H21" s="11" t="str">
        <f>I18N_T(cellLanguage, "RF_Modify")</f>
        <v>Modify</v>
      </c>
      <c r="I21" s="11" t="str">
        <f>I18N_T(cellLanguage, "RF_Duplicate")</f>
        <v>Duplicate</v>
      </c>
      <c r="J21" s="13"/>
    </row>
    <row r="22" spans="3:10" x14ac:dyDescent="0.25">
      <c r="C22" s="45">
        <v>52428841</v>
      </c>
      <c r="D22" s="45" t="s">
        <v>21</v>
      </c>
      <c r="E22" s="45" t="s">
        <v>629</v>
      </c>
      <c r="F22" s="45" t="s">
        <v>630</v>
      </c>
      <c r="H22" s="11" t="str">
        <f>I18N_T(cellLanguage, "RF_Modify")</f>
        <v>Modify</v>
      </c>
      <c r="I22" s="11" t="str">
        <f>I18N_T(cellLanguage, "RF_Duplicate")</f>
        <v>Duplicate</v>
      </c>
      <c r="J22" s="13"/>
    </row>
    <row r="23" spans="3:10" x14ac:dyDescent="0.25">
      <c r="C23" s="45">
        <v>52428840</v>
      </c>
      <c r="D23" s="45" t="s">
        <v>21</v>
      </c>
      <c r="E23" s="45" t="s">
        <v>631</v>
      </c>
      <c r="F23" s="45" t="s">
        <v>632</v>
      </c>
      <c r="H23" s="11" t="str">
        <f>I18N_T(cellLanguage, "RF_Modify")</f>
        <v>Modify</v>
      </c>
      <c r="I23" s="11" t="str">
        <f>I18N_T(cellLanguage, "RF_Duplicate")</f>
        <v>Duplicate</v>
      </c>
      <c r="J23" s="13"/>
    </row>
    <row r="24" spans="3:10" x14ac:dyDescent="0.25">
      <c r="C24" s="45">
        <v>52428838</v>
      </c>
      <c r="D24" s="45" t="s">
        <v>21</v>
      </c>
      <c r="E24" s="45" t="s">
        <v>633</v>
      </c>
      <c r="F24" s="45" t="s">
        <v>634</v>
      </c>
      <c r="H24" s="11" t="str">
        <f>I18N_T(cellLanguage, "RF_Modify")</f>
        <v>Modify</v>
      </c>
      <c r="I24" s="11" t="str">
        <f>I18N_T(cellLanguage, "RF_Duplicate")</f>
        <v>Duplicate</v>
      </c>
      <c r="J24" s="13"/>
    </row>
    <row r="25" spans="3:10" x14ac:dyDescent="0.25">
      <c r="C25" s="45">
        <v>52428832</v>
      </c>
      <c r="D25" s="45" t="s">
        <v>21</v>
      </c>
      <c r="E25" s="45" t="s">
        <v>635</v>
      </c>
      <c r="F25" s="45" t="s">
        <v>636</v>
      </c>
      <c r="H25" s="11" t="str">
        <f>I18N_T(cellLanguage, "RF_Modify")</f>
        <v>Modify</v>
      </c>
      <c r="I25" s="11" t="str">
        <f>I18N_T(cellLanguage, "RF_Duplicate")</f>
        <v>Duplicate</v>
      </c>
      <c r="J25" s="13"/>
    </row>
    <row r="26" spans="3:10" x14ac:dyDescent="0.25">
      <c r="C26" s="45">
        <v>52428830</v>
      </c>
      <c r="D26" s="45" t="s">
        <v>21</v>
      </c>
      <c r="E26" s="45" t="s">
        <v>637</v>
      </c>
      <c r="F26" s="45" t="s">
        <v>638</v>
      </c>
      <c r="H26" s="11" t="str">
        <f>I18N_T(cellLanguage, "RF_Modify")</f>
        <v>Modify</v>
      </c>
      <c r="I26" s="11" t="str">
        <f>I18N_T(cellLanguage, "RF_Duplicate")</f>
        <v>Duplicate</v>
      </c>
      <c r="J26" s="13"/>
    </row>
    <row r="27" spans="3:10" x14ac:dyDescent="0.25">
      <c r="C27" s="45">
        <v>52428829</v>
      </c>
      <c r="D27" s="45" t="s">
        <v>21</v>
      </c>
      <c r="E27" s="45" t="s">
        <v>639</v>
      </c>
      <c r="F27" s="45" t="s">
        <v>640</v>
      </c>
      <c r="H27" s="11" t="str">
        <f>I18N_T(cellLanguage, "RF_Modify")</f>
        <v>Modify</v>
      </c>
      <c r="I27" s="11" t="str">
        <f>I18N_T(cellLanguage, "RF_Duplicate")</f>
        <v>Duplicate</v>
      </c>
      <c r="J27" s="13"/>
    </row>
    <row r="28" spans="3:10" x14ac:dyDescent="0.25">
      <c r="C28" s="45">
        <v>52428827</v>
      </c>
      <c r="D28" s="45" t="s">
        <v>21</v>
      </c>
      <c r="E28" s="45" t="s">
        <v>641</v>
      </c>
      <c r="F28" s="45" t="s">
        <v>642</v>
      </c>
      <c r="H28" s="11" t="str">
        <f>I18N_T(cellLanguage, "RF_Modify")</f>
        <v>Modify</v>
      </c>
      <c r="I28" s="11" t="str">
        <f>I18N_T(cellLanguage, "RF_Duplicate")</f>
        <v>Duplicate</v>
      </c>
      <c r="J28" s="13"/>
    </row>
    <row r="29" spans="3:10" x14ac:dyDescent="0.25">
      <c r="C29" s="45">
        <v>79</v>
      </c>
      <c r="D29" s="45" t="s">
        <v>21</v>
      </c>
      <c r="E29" s="45" t="s">
        <v>643</v>
      </c>
      <c r="F29" s="45" t="s">
        <v>644</v>
      </c>
      <c r="H29" s="11" t="str">
        <f>I18N_T(cellLanguage, "RF_Modify")</f>
        <v>Modify</v>
      </c>
      <c r="I29" s="11" t="str">
        <f>I18N_T(cellLanguage, "RF_Duplicate")</f>
        <v>Duplicate</v>
      </c>
      <c r="J29" s="13"/>
    </row>
    <row r="30" spans="3:10" x14ac:dyDescent="0.25">
      <c r="C30" s="45">
        <v>77</v>
      </c>
      <c r="D30" s="45" t="s">
        <v>21</v>
      </c>
      <c r="E30" s="45" t="s">
        <v>645</v>
      </c>
      <c r="F30" s="45" t="s">
        <v>646</v>
      </c>
      <c r="H30" s="11" t="str">
        <f>I18N_T(cellLanguage, "RF_Modify")</f>
        <v>Modify</v>
      </c>
      <c r="I30" s="11" t="str">
        <f>I18N_T(cellLanguage, "RF_Duplicate")</f>
        <v>Duplicate</v>
      </c>
      <c r="J30" s="13"/>
    </row>
    <row r="31" spans="3:10" x14ac:dyDescent="0.25">
      <c r="C31" s="45">
        <v>55</v>
      </c>
      <c r="D31" s="45" t="s">
        <v>21</v>
      </c>
      <c r="E31" s="45" t="s">
        <v>647</v>
      </c>
      <c r="F31" s="45" t="s">
        <v>648</v>
      </c>
      <c r="H31" s="11" t="str">
        <f>I18N_T(cellLanguage, "RF_Modify")</f>
        <v>Modify</v>
      </c>
      <c r="I31" s="11" t="str">
        <f>I18N_T(cellLanguage, "RF_Duplicate")</f>
        <v>Duplicate</v>
      </c>
      <c r="J31" s="13"/>
    </row>
    <row r="32" spans="3:10" x14ac:dyDescent="0.25">
      <c r="C32" s="45">
        <v>67</v>
      </c>
      <c r="D32" s="45" t="s">
        <v>21</v>
      </c>
      <c r="E32" s="45" t="s">
        <v>649</v>
      </c>
      <c r="F32" s="45" t="s">
        <v>650</v>
      </c>
      <c r="H32" s="11" t="str">
        <f>I18N_T(cellLanguage, "RF_Modify")</f>
        <v>Modify</v>
      </c>
      <c r="I32" s="11" t="str">
        <f>I18N_T(cellLanguage, "RF_Duplicate")</f>
        <v>Duplicate</v>
      </c>
      <c r="J32" s="13"/>
    </row>
    <row r="33" spans="3:10" x14ac:dyDescent="0.25">
      <c r="C33" s="45">
        <v>68</v>
      </c>
      <c r="D33" s="45" t="s">
        <v>21</v>
      </c>
      <c r="E33" s="45" t="s">
        <v>651</v>
      </c>
      <c r="F33" s="45" t="s">
        <v>652</v>
      </c>
      <c r="H33" s="11" t="str">
        <f>I18N_T(cellLanguage, "RF_Modify")</f>
        <v>Modify</v>
      </c>
      <c r="I33" s="11" t="str">
        <f>I18N_T(cellLanguage, "RF_Duplicate")</f>
        <v>Duplicate</v>
      </c>
      <c r="J33" s="13"/>
    </row>
    <row r="34" spans="3:10" x14ac:dyDescent="0.25">
      <c r="C34" s="45">
        <v>69</v>
      </c>
      <c r="D34" s="45" t="s">
        <v>21</v>
      </c>
      <c r="E34" s="45" t="s">
        <v>653</v>
      </c>
      <c r="F34" s="45" t="s">
        <v>654</v>
      </c>
      <c r="H34" s="11" t="str">
        <f>I18N_T(cellLanguage, "RF_Modify")</f>
        <v>Modify</v>
      </c>
      <c r="I34" s="11" t="str">
        <f>I18N_T(cellLanguage, "RF_Duplicate")</f>
        <v>Duplicate</v>
      </c>
      <c r="J34" s="13"/>
    </row>
    <row r="35" spans="3:10" x14ac:dyDescent="0.25">
      <c r="C35" s="45">
        <v>56</v>
      </c>
      <c r="D35" s="45" t="s">
        <v>21</v>
      </c>
      <c r="E35" s="45" t="s">
        <v>655</v>
      </c>
      <c r="F35" s="45" t="s">
        <v>656</v>
      </c>
      <c r="H35" s="11" t="str">
        <f>I18N_T(cellLanguage, "RF_Modify")</f>
        <v>Modify</v>
      </c>
      <c r="I35" s="11" t="str">
        <f>I18N_T(cellLanguage, "RF_Duplicate")</f>
        <v>Duplicate</v>
      </c>
      <c r="J35" s="13"/>
    </row>
    <row r="36" spans="3:10" x14ac:dyDescent="0.25">
      <c r="C36" s="45">
        <v>52428802</v>
      </c>
      <c r="D36" s="45" t="s">
        <v>21</v>
      </c>
      <c r="E36" s="45" t="s">
        <v>657</v>
      </c>
      <c r="F36" s="45" t="s">
        <v>658</v>
      </c>
      <c r="H36" s="11" t="str">
        <f>I18N_T(cellLanguage, "RF_Modify")</f>
        <v>Modify</v>
      </c>
      <c r="I36" s="11" t="str">
        <f>I18N_T(cellLanguage, "RF_Duplicate")</f>
        <v>Duplicate</v>
      </c>
      <c r="J36" s="13"/>
    </row>
    <row r="37" spans="3:10" x14ac:dyDescent="0.25">
      <c r="C37" s="45">
        <v>71</v>
      </c>
      <c r="D37" s="45" t="s">
        <v>21</v>
      </c>
      <c r="E37" s="45" t="s">
        <v>659</v>
      </c>
      <c r="F37" s="45" t="s">
        <v>660</v>
      </c>
      <c r="H37" s="11" t="str">
        <f>I18N_T(cellLanguage, "RF_Modify")</f>
        <v>Modify</v>
      </c>
      <c r="I37" s="11" t="str">
        <f>I18N_T(cellLanguage, "RF_Duplicate")</f>
        <v>Duplicate</v>
      </c>
      <c r="J37" s="13"/>
    </row>
    <row r="38" spans="3:10" x14ac:dyDescent="0.25">
      <c r="C38" s="45">
        <v>73</v>
      </c>
      <c r="D38" s="45" t="s">
        <v>21</v>
      </c>
      <c r="E38" s="45" t="s">
        <v>661</v>
      </c>
      <c r="F38" s="45" t="s">
        <v>662</v>
      </c>
      <c r="H38" s="11" t="str">
        <f>I18N_T(cellLanguage, "RF_Modify")</f>
        <v>Modify</v>
      </c>
      <c r="I38" s="11" t="str">
        <f>I18N_T(cellLanguage, "RF_Duplicate")</f>
        <v>Duplicate</v>
      </c>
      <c r="J38" s="13"/>
    </row>
    <row r="39" spans="3:10" x14ac:dyDescent="0.25">
      <c r="C39" s="45">
        <v>61</v>
      </c>
      <c r="D39" s="45" t="s">
        <v>21</v>
      </c>
      <c r="E39" s="45" t="s">
        <v>663</v>
      </c>
      <c r="F39" s="45" t="s">
        <v>664</v>
      </c>
      <c r="H39" s="11" t="str">
        <f>I18N_T(cellLanguage, "RF_Modify")</f>
        <v>Modify</v>
      </c>
      <c r="I39" s="11" t="str">
        <f>I18N_T(cellLanguage, "RF_Duplicate")</f>
        <v>Duplicate</v>
      </c>
      <c r="J39" s="13"/>
    </row>
    <row r="40" spans="3:10" x14ac:dyDescent="0.25">
      <c r="C40" s="45">
        <v>59</v>
      </c>
      <c r="D40" s="45" t="s">
        <v>21</v>
      </c>
      <c r="E40" s="45" t="s">
        <v>665</v>
      </c>
      <c r="F40" s="45" t="s">
        <v>666</v>
      </c>
      <c r="H40" s="11" t="str">
        <f>I18N_T(cellLanguage, "RF_Modify")</f>
        <v>Modify</v>
      </c>
      <c r="I40" s="11" t="str">
        <f>I18N_T(cellLanguage, "RF_Duplicate")</f>
        <v>Duplicate</v>
      </c>
      <c r="J40" s="13"/>
    </row>
    <row r="41" spans="3:10" x14ac:dyDescent="0.25">
      <c r="C41" s="45">
        <v>60</v>
      </c>
      <c r="D41" s="45" t="s">
        <v>21</v>
      </c>
      <c r="E41" s="45" t="s">
        <v>667</v>
      </c>
      <c r="F41" s="45" t="s">
        <v>668</v>
      </c>
      <c r="H41" s="11" t="str">
        <f>I18N_T(cellLanguage, "RF_Modify")</f>
        <v>Modify</v>
      </c>
      <c r="I41" s="11" t="str">
        <f>I18N_T(cellLanguage, "RF_Duplicate")</f>
        <v>Duplicate</v>
      </c>
      <c r="J41" s="13"/>
    </row>
    <row r="42" spans="3:10" x14ac:dyDescent="0.25">
      <c r="C42"/>
      <c r="D42"/>
      <c r="E42"/>
      <c r="F42"/>
      <c r="H42"/>
      <c r="I42"/>
      <c r="J42" s="13"/>
    </row>
    <row r="43" spans="3:10" x14ac:dyDescent="0.25">
      <c r="C43"/>
      <c r="D43"/>
      <c r="E43"/>
      <c r="F43"/>
      <c r="H43"/>
      <c r="I43"/>
      <c r="J43" s="13"/>
    </row>
    <row r="44" spans="3:10" x14ac:dyDescent="0.25">
      <c r="C44"/>
      <c r="D44"/>
      <c r="E44"/>
      <c r="F44"/>
      <c r="H44"/>
      <c r="I44"/>
      <c r="J44" s="13"/>
    </row>
    <row r="45" spans="3:10" x14ac:dyDescent="0.25">
      <c r="C45"/>
      <c r="D45"/>
      <c r="E45"/>
      <c r="F45"/>
      <c r="H45"/>
      <c r="I45"/>
      <c r="J45" s="13"/>
    </row>
    <row r="46" spans="3:10" x14ac:dyDescent="0.25">
      <c r="C46"/>
      <c r="D46"/>
      <c r="E46"/>
      <c r="F46"/>
      <c r="H46"/>
      <c r="I46"/>
      <c r="J46" s="13"/>
    </row>
    <row r="47" spans="3:10" x14ac:dyDescent="0.25">
      <c r="C47"/>
      <c r="D47"/>
      <c r="E47"/>
      <c r="F47"/>
      <c r="H47"/>
      <c r="I47"/>
      <c r="J47" s="13"/>
    </row>
  </sheetData>
  <sheetProtection sheet="1" objects="1" scenarios="1" formatCells="0" formatColumns="0" formatRows="0" insertRows="0" sort="0" autoFilter="0"/>
  <hyperlinks>
    <hyperlink ref="D10" location="C3" tooltip=" " display="C3" xr:uid="{4F9B6D36-7DC1-4354-9DAC-CA93E62B9B0A}"/>
    <hyperlink ref="H14" location="C3" tooltip=" " display="C3" xr:uid="{FBB3076E-72C0-489E-A0D8-5A8E5FC61F1D}"/>
    <hyperlink ref="I14" location="C3" tooltip=" " display="C3" xr:uid="{380A337E-FC9A-47AC-9C3E-5B32430BA6A7}"/>
    <hyperlink ref="H15" location="C3" tooltip=" " display="C3" xr:uid="{508D57B0-74BC-468D-9ACF-2661346BA67A}"/>
    <hyperlink ref="H16" location="C3" tooltip=" " display="C3" xr:uid="{A27D8002-681D-4512-894B-A9B3D502334E}"/>
    <hyperlink ref="H17" location="C3" tooltip=" " display="C3" xr:uid="{C74C4D77-9D72-43F5-9BFD-B8F5B42FE02B}"/>
    <hyperlink ref="H18" location="C3" tooltip=" " display="C3" xr:uid="{B5289AF0-61A3-47D6-87D8-56E7B8254AFD}"/>
    <hyperlink ref="H19" location="C3" tooltip=" " display="C3" xr:uid="{3CB01355-3632-4A58-83B9-FBC136F1E37D}"/>
    <hyperlink ref="H20" location="C3" tooltip=" " display="C3" xr:uid="{A8CB7DFA-D71D-49E3-A3A6-3EA3CC750EB1}"/>
    <hyperlink ref="H21" location="C3" tooltip=" " display="C3" xr:uid="{856BF43E-7AE7-4267-9025-7E52521F7473}"/>
    <hyperlink ref="H22" location="C3" tooltip=" " display="C3" xr:uid="{59E5E31F-EFB7-4E46-9D4E-BED1E81B963E}"/>
    <hyperlink ref="H23" location="C3" tooltip=" " display="C3" xr:uid="{BD461044-71D0-4D28-BF08-B0D66E3875BE}"/>
    <hyperlink ref="H24" location="C3" tooltip=" " display="C3" xr:uid="{80E8F299-F0CA-44EC-81C7-B4A063DC40EB}"/>
    <hyperlink ref="H25" location="C3" tooltip=" " display="C3" xr:uid="{E07F8055-4A2C-4FBE-B421-E7AD237F963A}"/>
    <hyperlink ref="H26" location="C3" tooltip=" " display="C3" xr:uid="{3272B268-5920-4D34-B464-BAF559BBF785}"/>
    <hyperlink ref="H27" location="C3" tooltip=" " display="C3" xr:uid="{770E3592-D5EE-403B-83DB-26702F118E48}"/>
    <hyperlink ref="H28" location="C3" tooltip=" " display="C3" xr:uid="{6D992978-A383-435C-A9DF-1464C6A11408}"/>
    <hyperlink ref="H29" location="C3" tooltip=" " display="C3" xr:uid="{53F5E4AB-08A0-489C-AEE7-195967A12133}"/>
    <hyperlink ref="H30" location="C3" tooltip=" " display="C3" xr:uid="{90263898-888C-4F5C-8CB1-DF7555B9E0C1}"/>
    <hyperlink ref="H31" location="C3" tooltip=" " display="C3" xr:uid="{377AAEAB-8339-423D-8D4A-841711ED927F}"/>
    <hyperlink ref="H32" location="C3" tooltip=" " display="C3" xr:uid="{07C0A357-A3E2-44C1-84D8-DDBF4AC881EF}"/>
    <hyperlink ref="H33" location="C3" tooltip=" " display="C3" xr:uid="{3081534B-A1C4-489B-8459-44F8DE5D0478}"/>
    <hyperlink ref="H34" location="C3" tooltip=" " display="C3" xr:uid="{5F889676-9907-49C7-AF31-AD1338C028EB}"/>
    <hyperlink ref="H35" location="C3" tooltip=" " display="C3" xr:uid="{BE006EE5-1C1C-478E-8901-5D716EC0602C}"/>
    <hyperlink ref="H36" location="C3" tooltip=" " display="C3" xr:uid="{2E5B95F0-6E91-4D91-B24C-D8258CCC7C97}"/>
    <hyperlink ref="H37" location="C3" tooltip=" " display="C3" xr:uid="{E5D2ECCE-5B93-4E58-B5BC-4CA3AF07503A}"/>
    <hyperlink ref="H38" location="C3" tooltip=" " display="C3" xr:uid="{8BE53E65-2E2A-44AB-BD2D-07B0DF684FAB}"/>
    <hyperlink ref="H39" location="C3" tooltip=" " display="C3" xr:uid="{AAA6C6B1-E19F-4328-A4BA-49763FC1D4A4}"/>
    <hyperlink ref="H40" location="C3" tooltip=" " display="C3" xr:uid="{8676D4FF-D660-4E50-9FE7-866B8AFDCA82}"/>
    <hyperlink ref="H41" location="C3" tooltip=" " display="C3" xr:uid="{A6CF2A14-28D3-43AE-ABB2-852B9ADE8E25}"/>
    <hyperlink ref="I15" location="C3" tooltip=" " display="C3" xr:uid="{248B82BF-AFAF-4145-AE74-535FB4A53337}"/>
    <hyperlink ref="I16" location="C3" tooltip=" " display="C3" xr:uid="{FF7ECFBA-372D-4B9E-A7CB-E74FBADC7F0A}"/>
    <hyperlink ref="I17" location="C3" tooltip=" " display="C3" xr:uid="{3E7838DD-976C-4F36-89F1-DE11795FDC83}"/>
    <hyperlink ref="I18" location="C3" tooltip=" " display="C3" xr:uid="{CDE6FB8A-9F93-46BF-8580-27B0B157012B}"/>
    <hyperlink ref="I19" location="C3" tooltip=" " display="C3" xr:uid="{67FA7957-7CC8-455D-B353-85A0BD8A8510}"/>
    <hyperlink ref="I20" location="C3" tooltip=" " display="C3" xr:uid="{52BA3945-6CCB-489A-8A82-40EC3A5E19BD}"/>
    <hyperlink ref="I21" location="C3" tooltip=" " display="C3" xr:uid="{078F38CB-6358-4623-9F77-157CCAD117E7}"/>
    <hyperlink ref="I22" location="C3" tooltip=" " display="C3" xr:uid="{BAD3235B-63EC-4ACB-893E-F39A581AAFE0}"/>
    <hyperlink ref="I23" location="C3" tooltip=" " display="C3" xr:uid="{B8F7F8BD-FDDC-4FB7-9E1A-CBC0ABA1FCAB}"/>
    <hyperlink ref="I24" location="C3" tooltip=" " display="C3" xr:uid="{18E4F296-20B3-4BC3-9801-4E2F7751A304}"/>
    <hyperlink ref="I25" location="C3" tooltip=" " display="C3" xr:uid="{04FF71A8-C2F7-4317-96E5-DF530CC0093C}"/>
    <hyperlink ref="I26" location="C3" tooltip=" " display="C3" xr:uid="{13C6E2BA-D56E-4592-B099-1F68B048C389}"/>
    <hyperlink ref="I27" location="C3" tooltip=" " display="C3" xr:uid="{63B33F85-EE29-4647-94C1-7876C39C87C1}"/>
    <hyperlink ref="I28" location="C3" tooltip=" " display="C3" xr:uid="{20DEB530-BA9F-43DE-931F-09FAEA10485B}"/>
    <hyperlink ref="I29" location="C3" tooltip=" " display="C3" xr:uid="{28271152-FB24-4B0C-87E1-419C3A0BC4E2}"/>
    <hyperlink ref="I30" location="C3" tooltip=" " display="C3" xr:uid="{6427DBE9-9DB9-4281-A60C-AA531AD1C514}"/>
    <hyperlink ref="I31" location="C3" tooltip=" " display="C3" xr:uid="{135632BE-84ED-4F11-A648-9ECD415D2155}"/>
    <hyperlink ref="I32" location="C3" tooltip=" " display="C3" xr:uid="{848DEB83-FDC2-47FD-91E8-31CCC659EABD}"/>
    <hyperlink ref="I33" location="C3" tooltip=" " display="C3" xr:uid="{0DE5B516-37A2-4748-8B07-D6DB2147D274}"/>
    <hyperlink ref="I34" location="C3" tooltip=" " display="C3" xr:uid="{77EC07DB-D459-4237-8D62-E85190B8F119}"/>
    <hyperlink ref="I35" location="C3" tooltip=" " display="C3" xr:uid="{62A0A939-9F1A-41A4-8C2F-0E716F706B41}"/>
    <hyperlink ref="I36" location="C3" tooltip=" " display="C3" xr:uid="{63077210-00C3-4383-BE15-EF23F190D610}"/>
    <hyperlink ref="I37" location="C3" tooltip=" " display="C3" xr:uid="{71782E6C-9320-455F-AF3D-B2BE9E087110}"/>
    <hyperlink ref="I38" location="C3" tooltip=" " display="C3" xr:uid="{2FC65362-537F-43D1-9143-3372B1EDC6F1}"/>
    <hyperlink ref="I39" location="C3" tooltip=" " display="C3" xr:uid="{9D59D83C-28D1-44F7-9FE3-2149C5031109}"/>
    <hyperlink ref="I40" location="C3" tooltip=" " display="C3" xr:uid="{E6F1FCAB-6F08-40A8-B353-F157AEBCF1C4}"/>
    <hyperlink ref="I41" location="C3" tooltip=" " display="C3" xr:uid="{48B93C37-7020-4AFA-8451-3A7BE2CFD279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E9367-2B92-4236-85BD-999E040CA7C0}">
  <sheetPr codeName="Feuil1">
    <outlinePr summaryRight="0"/>
  </sheetPr>
  <dimension ref="B2:CF6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8"/>
    <col min="2" max="2" width="6.7109375" style="18" customWidth="1"/>
    <col min="3" max="5" width="16.7109375" style="18" outlineLevel="3"/>
    <col min="6" max="7" width="21.42578125" style="18" bestFit="1" customWidth="1" outlineLevel="3"/>
    <col min="8" max="8" width="11.7109375" style="18" bestFit="1" customWidth="1" outlineLevel="1"/>
    <col min="9" max="9" width="9.7109375" style="18" bestFit="1" customWidth="1" outlineLevel="1"/>
    <col min="10" max="29" width="16.7109375" style="18" customWidth="1" outlineLevel="3"/>
    <col min="30" max="30" width="16.7109375" style="18" outlineLevel="1"/>
    <col min="31" max="32" width="16.7109375" style="18" customWidth="1" outlineLevel="3"/>
    <col min="33" max="33" width="16.7109375" style="18" customWidth="1" outlineLevel="2"/>
    <col min="34" max="37" width="16.7109375" style="18" customWidth="1" outlineLevel="3"/>
    <col min="38" max="38" width="16.7109375" style="18" customWidth="1" outlineLevel="2"/>
    <col min="39" max="42" width="16.7109375" style="18" customWidth="1" outlineLevel="3"/>
    <col min="43" max="43" width="6.7109375" style="18" customWidth="1"/>
    <col min="44" max="47" width="16.7109375" style="18" outlineLevel="3"/>
    <col min="48" max="48" width="16.7109375" style="18" outlineLevel="1"/>
    <col min="49" max="68" width="16.7109375" style="18" outlineLevel="3"/>
    <col min="69" max="69" width="16.7109375" style="18" outlineLevel="1"/>
    <col min="70" max="72" width="16.7109375" style="18" outlineLevel="3"/>
    <col min="73" max="73" width="16.7109375" style="18" outlineLevel="2"/>
    <col min="74" max="78" width="16.7109375" style="18" outlineLevel="3"/>
    <col min="79" max="79" width="16.7109375" style="18" outlineLevel="2"/>
    <col min="80" max="84" width="16.7109375" style="18" outlineLevel="3"/>
    <col min="85" max="16384" width="16.7109375" style="18"/>
  </cols>
  <sheetData>
    <row r="2" spans="2:84" x14ac:dyDescent="0.25">
      <c r="B2" s="11" t="str">
        <f>I18N_T(cellLanguage, "RF_Save")</f>
        <v>Save changes</v>
      </c>
    </row>
    <row r="3" spans="2:84" x14ac:dyDescent="0.25">
      <c r="CF3" s="25">
        <f>SUBTOTAL(103, $C$6)</f>
        <v>1</v>
      </c>
    </row>
    <row r="4" spans="2:84" ht="19.5" hidden="1" customHeight="1" x14ac:dyDescent="0.25">
      <c r="B4" s="39" t="str">
        <f>I18N_T(cellLanguage, "RF_Reporting")</f>
        <v>Reporting</v>
      </c>
      <c r="C4" s="40" t="str">
        <f>I18N_T(cellLanguage, "RF_Phase")</f>
        <v>Category</v>
      </c>
      <c r="D4" s="40" t="str">
        <f>I18N_T(cellLanguage, "RF_UpdatePeriod")</f>
        <v>Update Period</v>
      </c>
      <c r="E4" s="40" t="str">
        <f>I18N_T(cellLanguage, "RF_FrameworkVersion")</f>
        <v>Category version</v>
      </c>
      <c r="F4" s="40" t="str">
        <f>I18N_T(cellLanguage, "RF_Start")</f>
        <v>Start date</v>
      </c>
      <c r="G4" s="40" t="str">
        <f>I18N_T(cellLanguage, "RF_End")</f>
        <v>End date</v>
      </c>
      <c r="H4" s="40" t="str">
        <f>I18N_T(cellLanguage, "RF_RepDesc")</f>
        <v>RF_RepDesc</v>
      </c>
      <c r="I4" s="40" t="str">
        <f>I18N_T(cellLanguage, "RF_RepPack")</f>
        <v>Package</v>
      </c>
      <c r="J4" s="40" t="str">
        <f>I18N_T(cellLanguage, "RF_UseDefaultWindowsFolder")</f>
        <v>Default Windows Folder?</v>
      </c>
      <c r="K4" s="40" t="str">
        <f>I18N_T(cellLanguage, "RF_WindowsFolder")</f>
        <v>Windows folder</v>
      </c>
      <c r="L4" s="40" t="str">
        <f>I18N_T(cellLanguage, "RF_UseDefaultInternetFolder")</f>
        <v>Default Internet Folder?</v>
      </c>
      <c r="M4" s="40" t="str">
        <f>I18N_T(cellLanguage, "RF_InternetFolder")</f>
        <v>Internet folder</v>
      </c>
      <c r="N4" s="40" t="str">
        <f>I18N_T(cellLanguage, "RF_UseDefaultSetOfControls")</f>
        <v>Control Set: default?</v>
      </c>
      <c r="O4" s="40" t="str">
        <f>I18N_T(cellLanguage, "RF_SetOfControls")</f>
        <v>Control Set</v>
      </c>
      <c r="P4" s="40" t="str">
        <f>I18N_T(cellLanguage, "RF_UseDefaultLevel")</f>
        <v>Default Level?</v>
      </c>
      <c r="Q4" s="40" t="str">
        <f>I18N_T(cellLanguage, "RF_LevelToReach")</f>
        <v>Control Level</v>
      </c>
      <c r="R4" s="40" t="str">
        <f>I18N_T(cellLanguage, "RF_Blocking")</f>
        <v>Blocking?</v>
      </c>
      <c r="S4" s="40" t="str">
        <f>I18N_T(cellLanguage, "RF_UseDefaultLock")</f>
        <v>RF_UseDefaultLock</v>
      </c>
      <c r="T4" s="40" t="str">
        <f>I18N_T(cellLanguage, "RF_LockOnPublication")</f>
        <v>RF_LockOnPublication</v>
      </c>
      <c r="U4" s="40" t="str">
        <f>I18N_T(cellLanguage, "RF_UseDefaultRuleSet")</f>
        <v>RF_UseDefaultRuleSet</v>
      </c>
      <c r="V4" s="40" t="str">
        <f>I18N_T(cellLanguage, "RF_RuleSet")</f>
        <v>RF_RuleSet</v>
      </c>
      <c r="W4" s="40" t="str">
        <f>I18N_T(cellLanguage, "RF_UseDefaultOpbal")</f>
        <v>RF_UseDefaultOpbal</v>
      </c>
      <c r="X4" s="40" t="str">
        <f>I18N_T(cellLanguage, "RF_HasOpBal")</f>
        <v>RF_HasOpBal</v>
      </c>
      <c r="Y4" s="40" t="str">
        <f>I18N_T(cellLanguage, "RF_OpbPhase")</f>
        <v>RF_OpbPhase</v>
      </c>
      <c r="Z4" s="40" t="str">
        <f>I18N_T(cellLanguage, "RF_OpbUpdatePeriod")</f>
        <v>RF_OpbUpdatePeriod</v>
      </c>
      <c r="AA4" s="40" t="str">
        <f>I18N_T(cellLanguage, "RF_OpbScope")</f>
        <v>RF_OpbScope</v>
      </c>
      <c r="AB4" s="40" t="str">
        <f>I18N_T(cellLanguage, "RF_OpbVariant")</f>
        <v>RF_OpbVariant</v>
      </c>
      <c r="AC4" s="40" t="str">
        <f>I18N_T(cellLanguage, "RF_OpbConsCurrency")</f>
        <v>RF_OpbConsCurrency</v>
      </c>
      <c r="AD4" s="40" t="str">
        <f>I18N_T(cellLanguage, "RF_RepOp")</f>
        <v>RF_RepOp</v>
      </c>
      <c r="AE4" s="40" t="str">
        <f>I18N_T(cellLanguage, "RF_CutoffDate")</f>
        <v>Cutoff Date</v>
      </c>
      <c r="AF4" s="40" t="str">
        <f>I18N_T(cellLanguage, "RF_EarlyPublishing")</f>
        <v>Early publishing</v>
      </c>
      <c r="AG4" s="40" t="str">
        <f>I18N_T(cellLanguage, "RF_RepOpAftPub")</f>
        <v>RF_RepOpAftPub</v>
      </c>
      <c r="AH4" s="40" t="str">
        <f>I18N_T(cellLanguage, "RF_RepOpAftPubStd")</f>
        <v>RF_RepOpAftPubStd</v>
      </c>
      <c r="AI4" s="40" t="str">
        <f>I18N_T(cellLanguage, "RF_RepOpAftPubSpe")</f>
        <v>RF_RepOpAftPubSpe</v>
      </c>
      <c r="AJ4" s="40" t="str">
        <f>I18N_T(cellLanguage, "RF_RepOpAftPubAdv")</f>
        <v>RF_RepOpAftPubAdv</v>
      </c>
      <c r="AK4" s="40" t="str">
        <f>I18N_T(cellLanguage, "RF_RepOpAftPubLvl")</f>
        <v>RF_RepOpAftPubLvl</v>
      </c>
      <c r="AL4" s="40" t="str">
        <f>I18N_T(cellLanguage, "RF_RepOpAftTran")</f>
        <v>RF_RepOpAftTran</v>
      </c>
      <c r="AM4" s="40" t="str">
        <f>I18N_T(cellLanguage, "RF_RepOpAftTranStd")</f>
        <v>RF_RepOpAftTranStd</v>
      </c>
      <c r="AN4" s="40" t="str">
        <f>I18N_T(cellLanguage, "RF_RepOpAftTranSpe")</f>
        <v>RF_RepOpAftTranSpe</v>
      </c>
      <c r="AO4" s="40" t="str">
        <f>I18N_T(cellLanguage, "RF_RepOpAftTranAdv")</f>
        <v>RF_RepOpAftTranAdv</v>
      </c>
      <c r="AP4" s="40" t="str">
        <f>I18N_T(cellLanguage, "RF_RepOpAftTranLvl")</f>
        <v>RF_RepOpAftTranLvl</v>
      </c>
      <c r="AQ4" s="40" t="str">
        <f>I18N_T(cellLanguage, "RF_Entity")</f>
        <v>Entity</v>
      </c>
      <c r="AR4" s="40" t="str">
        <f>I18N_T(cellLanguage, "RF_Entity2")</f>
        <v>Name</v>
      </c>
      <c r="AS4" s="40" t="str">
        <f>I18N_T(cellLanguage, "RF_InputCurrency")</f>
        <v>Currency</v>
      </c>
      <c r="AT4" s="40" t="str">
        <f>I18N_T(cellLanguage, "RF_InputSite")</f>
        <v>RF_InputSite</v>
      </c>
      <c r="AU4" s="40" t="str">
        <f>I18N_T(cellLanguage, "RF_PublicationSite")</f>
        <v>RF_PublicationSite</v>
      </c>
      <c r="AV4" s="40" t="str">
        <f>I18N_T(cellLanguage, "RF_EntPack")</f>
        <v>RF_EntPack</v>
      </c>
      <c r="AW4" s="40" t="str">
        <f>I18N_T(cellLanguage, "RF_EntUseDefaultWindowsFolder")</f>
        <v>RF_EntUseDefaultWindowsFolder</v>
      </c>
      <c r="AX4" s="40" t="str">
        <f>I18N_T(cellLanguage, "RF_EntWindowsFolder")</f>
        <v>RF_EntWindowsFolder</v>
      </c>
      <c r="AY4" s="40" t="str">
        <f>I18N_T(cellLanguage, "RF_EntUseDefaultInternetFolder")</f>
        <v>RF_EntUseDefaultInternetFolder</v>
      </c>
      <c r="AZ4" s="40" t="str">
        <f>I18N_T(cellLanguage, "RF_EntInternetFolder")</f>
        <v>RF_EntInternetFolder</v>
      </c>
      <c r="BA4" s="40" t="str">
        <f>I18N_T(cellLanguage, "RF_EntUseDefaultSetOfControls")</f>
        <v>RF_EntUseDefaultSetOfControls</v>
      </c>
      <c r="BB4" s="40" t="str">
        <f>I18N_T(cellLanguage, "RF_EntSetOfControls")</f>
        <v>RF_EntSetOfControls</v>
      </c>
      <c r="BC4" s="40" t="str">
        <f>I18N_T(cellLanguage, "RF_EntUseDefaultLevel")</f>
        <v>RF_EntUseDefaultLevel</v>
      </c>
      <c r="BD4" s="40" t="str">
        <f>I18N_T(cellLanguage, "RF_EntLevelToReach")</f>
        <v>RF_EntLevelToReach</v>
      </c>
      <c r="BE4" s="40" t="str">
        <f>I18N_T(cellLanguage, "RF_EntBlocking")</f>
        <v>RF_EntBlocking</v>
      </c>
      <c r="BF4" s="40" t="str">
        <f>I18N_T(cellLanguage, "RF_EntUseDefaultLock")</f>
        <v>RF_EntUseDefaultLock</v>
      </c>
      <c r="BG4" s="40" t="str">
        <f>I18N_T(cellLanguage, "RF_EntLockOnPublication")</f>
        <v>RF_EntLockOnPublication</v>
      </c>
      <c r="BH4" s="40" t="str">
        <f>I18N_T(cellLanguage, "RF_EntUseDefaultRuleSet")</f>
        <v>RF_EntUseDefaultRuleSet</v>
      </c>
      <c r="BI4" s="40" t="str">
        <f>I18N_T(cellLanguage, "RF_EntRuleSet")</f>
        <v>RF_EntRuleSet</v>
      </c>
      <c r="BJ4" s="40" t="str">
        <f>I18N_T(cellLanguage, "RF_EntUseDefaultOpbal")</f>
        <v>RF_EntUseDefaultOpbal</v>
      </c>
      <c r="BK4" s="40" t="str">
        <f>I18N_T(cellLanguage, "RF_EntHasOpBal")</f>
        <v>RF_EntHasOpBal</v>
      </c>
      <c r="BL4" s="40" t="str">
        <f>I18N_T(cellLanguage, "RF_EntOpbPhase")</f>
        <v>RF_EntOpbPhase</v>
      </c>
      <c r="BM4" s="40" t="str">
        <f>I18N_T(cellLanguage, "RF_EntOpbUpdatePeriod")</f>
        <v>RF_EntOpbUpdatePeriod</v>
      </c>
      <c r="BN4" s="40" t="str">
        <f>I18N_T(cellLanguage, "RF_EntOpbScope")</f>
        <v>RF_EntOpbScope</v>
      </c>
      <c r="BO4" s="40" t="str">
        <f>I18N_T(cellLanguage, "RF_EntOpbVariant")</f>
        <v>RF_EntOpbVariant</v>
      </c>
      <c r="BP4" s="40" t="str">
        <f>I18N_T(cellLanguage, "RF_EntOpbConsCurrency")</f>
        <v>RF_EntOpbConsCurrency</v>
      </c>
      <c r="BQ4" s="40" t="str">
        <f>I18N_T(cellLanguage, "RF_EntOp")</f>
        <v>RF_EntOp</v>
      </c>
      <c r="BR4" s="40" t="str">
        <f>I18N_T(cellLanguage, "RF_EntUseDefaultPublish")</f>
        <v>RF_EntUseDefaultPublish</v>
      </c>
      <c r="BS4" s="40" t="str">
        <f>I18N_T(cellLanguage, "RF_EntPackPublishingCutOffDate")</f>
        <v>RF_EntPackPublishingCutOffDate</v>
      </c>
      <c r="BT4" s="40" t="str">
        <f>I18N_T(cellLanguage, "RF_EntAllowEarlyPublishing")</f>
        <v>RF_EntAllowEarlyPublishing</v>
      </c>
      <c r="BU4" s="40" t="str">
        <f>I18N_T(cellLanguage, "RF_EntOpAftPub")</f>
        <v>RF_EntOpAftPub</v>
      </c>
      <c r="BV4" s="40" t="str">
        <f>I18N_T(cellLanguage, "RF_EntUseDefaultAfterPub")</f>
        <v>RF_EntUseDefaultAfterPub</v>
      </c>
      <c r="BW4" s="40" t="str">
        <f>I18N_T(cellLanguage, "RF_EntAftPubStandard")</f>
        <v>RF_EntAftPubStandard</v>
      </c>
      <c r="BX4" s="40" t="str">
        <f>I18N_T(cellLanguage, "RF_EntAftPubSpecial")</f>
        <v>RF_EntAftPubSpecial</v>
      </c>
      <c r="BY4" s="40" t="str">
        <f>I18N_T(cellLanguage, "RF_EntAftPubAdvanced")</f>
        <v>RF_EntAftPubAdvanced</v>
      </c>
      <c r="BZ4" s="40" t="str">
        <f>I18N_T(cellLanguage, "RF_EntAftPubLevel")</f>
        <v>RF_EntAftPubLevel</v>
      </c>
      <c r="CA4" s="40" t="str">
        <f>I18N_T(cellLanguage, "RF_EntOpAftTran")</f>
        <v>RF_EntOpAftTran</v>
      </c>
      <c r="CB4" s="40" t="str">
        <f>I18N_T(cellLanguage, "RF_EntUseDefaultAfterTran")</f>
        <v>RF_EntUseDefaultAfterTran</v>
      </c>
      <c r="CC4" s="40" t="str">
        <f>I18N_T(cellLanguage, "RF_EntAftTranStandard")</f>
        <v>RF_EntAftTranStandard</v>
      </c>
      <c r="CD4" s="40" t="str">
        <f>I18N_T(cellLanguage, "RF_EntAftTranSpecial")</f>
        <v>RF_EntAftTranSpecial</v>
      </c>
      <c r="CE4" s="40" t="str">
        <f>I18N_T(cellLanguage, "RF_EntAftTranAdvanced")</f>
        <v>RF_EntAftTranAdvanced</v>
      </c>
      <c r="CF4" s="41" t="str">
        <f>I18N_T(cellLanguage, "RF_EntAftTranLevel")</f>
        <v>RF_EntAftTranLevel</v>
      </c>
    </row>
    <row r="5" spans="2:84" ht="66" customHeight="1" x14ac:dyDescent="0.25">
      <c r="B5" s="38" t="s">
        <v>206</v>
      </c>
      <c r="C5" s="38" t="s">
        <v>207</v>
      </c>
      <c r="D5" s="38" t="s">
        <v>208</v>
      </c>
      <c r="E5" s="38" t="s">
        <v>209</v>
      </c>
      <c r="F5" s="38" t="s">
        <v>517</v>
      </c>
      <c r="G5" s="38" t="s">
        <v>518</v>
      </c>
      <c r="H5" s="38" t="s">
        <v>519</v>
      </c>
      <c r="I5" s="38" t="s">
        <v>520</v>
      </c>
      <c r="J5" s="38" t="s">
        <v>521</v>
      </c>
      <c r="K5" s="38" t="s">
        <v>522</v>
      </c>
      <c r="L5" s="38" t="s">
        <v>523</v>
      </c>
      <c r="M5" s="38" t="s">
        <v>524</v>
      </c>
      <c r="N5" s="38" t="s">
        <v>525</v>
      </c>
      <c r="O5" s="38" t="s">
        <v>526</v>
      </c>
      <c r="P5" s="38" t="s">
        <v>527</v>
      </c>
      <c r="Q5" s="38" t="s">
        <v>528</v>
      </c>
      <c r="R5" s="38" t="s">
        <v>529</v>
      </c>
      <c r="S5" s="38" t="s">
        <v>530</v>
      </c>
      <c r="T5" s="38" t="s">
        <v>531</v>
      </c>
      <c r="U5" s="38" t="s">
        <v>532</v>
      </c>
      <c r="V5" s="38" t="s">
        <v>533</v>
      </c>
      <c r="W5" s="38" t="s">
        <v>534</v>
      </c>
      <c r="X5" s="38" t="s">
        <v>535</v>
      </c>
      <c r="Y5" s="38" t="s">
        <v>536</v>
      </c>
      <c r="Z5" s="38" t="s">
        <v>537</v>
      </c>
      <c r="AA5" s="38" t="s">
        <v>538</v>
      </c>
      <c r="AB5" s="38" t="s">
        <v>539</v>
      </c>
      <c r="AC5" s="38" t="s">
        <v>540</v>
      </c>
      <c r="AD5" s="38" t="s">
        <v>541</v>
      </c>
      <c r="AE5" s="38" t="s">
        <v>542</v>
      </c>
      <c r="AF5" s="38" t="s">
        <v>543</v>
      </c>
      <c r="AG5" s="38" t="s">
        <v>544</v>
      </c>
      <c r="AH5" s="38" t="s">
        <v>545</v>
      </c>
      <c r="AI5" s="38" t="s">
        <v>546</v>
      </c>
      <c r="AJ5" s="38" t="s">
        <v>547</v>
      </c>
      <c r="AK5" s="38" t="s">
        <v>548</v>
      </c>
      <c r="AL5" s="38" t="s">
        <v>549</v>
      </c>
      <c r="AM5" s="38" t="s">
        <v>550</v>
      </c>
      <c r="AN5" s="38" t="s">
        <v>551</v>
      </c>
      <c r="AO5" s="38" t="s">
        <v>552</v>
      </c>
      <c r="AP5" s="38" t="s">
        <v>553</v>
      </c>
      <c r="AQ5" s="38" t="s">
        <v>554</v>
      </c>
      <c r="AR5" s="38" t="s">
        <v>555</v>
      </c>
      <c r="AS5" s="38" t="s">
        <v>556</v>
      </c>
      <c r="AT5" s="38" t="s">
        <v>557</v>
      </c>
      <c r="AU5" s="38" t="s">
        <v>558</v>
      </c>
      <c r="AV5" s="38" t="s">
        <v>559</v>
      </c>
      <c r="AW5" s="38" t="s">
        <v>560</v>
      </c>
      <c r="AX5" s="38" t="s">
        <v>561</v>
      </c>
      <c r="AY5" s="38" t="s">
        <v>562</v>
      </c>
      <c r="AZ5" s="38" t="s">
        <v>563</v>
      </c>
      <c r="BA5" s="38" t="s">
        <v>564</v>
      </c>
      <c r="BB5" s="38" t="s">
        <v>565</v>
      </c>
      <c r="BC5" s="38" t="s">
        <v>566</v>
      </c>
      <c r="BD5" s="38" t="s">
        <v>567</v>
      </c>
      <c r="BE5" s="38" t="s">
        <v>568</v>
      </c>
      <c r="BF5" s="38" t="s">
        <v>569</v>
      </c>
      <c r="BG5" s="38" t="s">
        <v>570</v>
      </c>
      <c r="BH5" s="38" t="s">
        <v>571</v>
      </c>
      <c r="BI5" s="38" t="s">
        <v>572</v>
      </c>
      <c r="BJ5" s="38" t="s">
        <v>573</v>
      </c>
      <c r="BK5" s="38" t="s">
        <v>574</v>
      </c>
      <c r="BL5" s="38" t="s">
        <v>575</v>
      </c>
      <c r="BM5" s="38" t="s">
        <v>576</v>
      </c>
      <c r="BN5" s="38" t="s">
        <v>577</v>
      </c>
      <c r="BO5" s="38" t="s">
        <v>578</v>
      </c>
      <c r="BP5" s="38" t="s">
        <v>579</v>
      </c>
      <c r="BQ5" s="38" t="s">
        <v>580</v>
      </c>
      <c r="BR5" s="38" t="s">
        <v>581</v>
      </c>
      <c r="BS5" s="38" t="s">
        <v>582</v>
      </c>
      <c r="BT5" s="38" t="s">
        <v>583</v>
      </c>
      <c r="BU5" s="38" t="s">
        <v>584</v>
      </c>
      <c r="BV5" s="38" t="s">
        <v>585</v>
      </c>
      <c r="BW5" s="38" t="s">
        <v>586</v>
      </c>
      <c r="BX5" s="38" t="s">
        <v>587</v>
      </c>
      <c r="BY5" s="38" t="s">
        <v>588</v>
      </c>
      <c r="BZ5" s="38" t="s">
        <v>589</v>
      </c>
      <c r="CA5" s="38" t="s">
        <v>590</v>
      </c>
      <c r="CB5" s="38" t="s">
        <v>591</v>
      </c>
      <c r="CC5" s="38" t="s">
        <v>592</v>
      </c>
      <c r="CD5" s="38" t="s">
        <v>593</v>
      </c>
      <c r="CE5" s="38" t="s">
        <v>594</v>
      </c>
      <c r="CF5" s="38" t="s">
        <v>595</v>
      </c>
    </row>
    <row r="6" spans="2:84" x14ac:dyDescent="0.25">
      <c r="B6" s="44"/>
      <c r="C6" s="44" t="s">
        <v>21</v>
      </c>
      <c r="D6" s="44" t="s">
        <v>516</v>
      </c>
      <c r="E6" s="44" t="s">
        <v>22</v>
      </c>
      <c r="F6" s="44" t="s">
        <v>611</v>
      </c>
      <c r="G6" s="44" t="s">
        <v>612</v>
      </c>
      <c r="H6" s="44"/>
      <c r="I6" s="44"/>
      <c r="J6" s="44" t="b">
        <v>1</v>
      </c>
      <c r="K6" s="44"/>
      <c r="L6" s="44" t="b">
        <v>1</v>
      </c>
      <c r="M6" s="44"/>
      <c r="N6" s="44" t="b">
        <v>1</v>
      </c>
      <c r="O6" s="44"/>
      <c r="P6" s="44" t="b">
        <v>1</v>
      </c>
      <c r="Q6" s="44"/>
      <c r="R6" s="44" t="b">
        <v>0</v>
      </c>
      <c r="S6" s="44" t="b">
        <v>1</v>
      </c>
      <c r="T6" s="44">
        <v>0</v>
      </c>
      <c r="U6" s="44" t="b">
        <v>1</v>
      </c>
      <c r="V6" s="44"/>
      <c r="W6" s="44" t="b">
        <v>1</v>
      </c>
      <c r="X6" s="44" t="b">
        <v>0</v>
      </c>
      <c r="Y6" s="44"/>
      <c r="Z6" s="44"/>
      <c r="AA6" s="44"/>
      <c r="AB6" s="44"/>
      <c r="AC6" s="44"/>
      <c r="AD6" s="44"/>
      <c r="AE6" s="44" t="s">
        <v>613</v>
      </c>
      <c r="AF6" s="44" t="b">
        <v>1</v>
      </c>
      <c r="AG6" s="44"/>
      <c r="AH6" s="44" t="b">
        <v>1</v>
      </c>
      <c r="AI6" s="44" t="b">
        <v>1</v>
      </c>
      <c r="AJ6" s="44" t="b">
        <v>1</v>
      </c>
      <c r="AK6" s="44">
        <v>2</v>
      </c>
      <c r="AL6" s="44"/>
      <c r="AM6" s="44" t="b">
        <v>0</v>
      </c>
      <c r="AN6" s="44" t="b">
        <v>1</v>
      </c>
      <c r="AO6" s="44" t="b">
        <v>0</v>
      </c>
      <c r="AP6" s="44"/>
      <c r="AQ6" s="44"/>
      <c r="AR6" s="44" t="s">
        <v>605</v>
      </c>
      <c r="AS6" s="44" t="s">
        <v>606</v>
      </c>
      <c r="AT6" s="44" t="s">
        <v>607</v>
      </c>
      <c r="AU6" s="44" t="s">
        <v>607</v>
      </c>
      <c r="AV6" s="44"/>
      <c r="AW6" s="44" t="b">
        <v>1</v>
      </c>
      <c r="AX6" s="44"/>
      <c r="AY6" s="44" t="b">
        <v>1</v>
      </c>
      <c r="AZ6" s="44"/>
      <c r="BA6" s="44" t="b">
        <v>1</v>
      </c>
      <c r="BB6" s="44"/>
      <c r="BC6" s="44" t="b">
        <v>1</v>
      </c>
      <c r="BD6" s="44"/>
      <c r="BE6" s="44" t="b">
        <v>0</v>
      </c>
      <c r="BF6" s="44" t="b">
        <v>1</v>
      </c>
      <c r="BG6" s="44">
        <v>0</v>
      </c>
      <c r="BH6" s="44" t="b">
        <v>1</v>
      </c>
      <c r="BI6" s="44"/>
      <c r="BJ6" s="44" t="b">
        <v>1</v>
      </c>
      <c r="BK6" s="44" t="b">
        <v>0</v>
      </c>
      <c r="BL6" s="44"/>
      <c r="BM6" s="44"/>
      <c r="BN6" s="44"/>
      <c r="BO6" s="44"/>
      <c r="BP6" s="44"/>
      <c r="BQ6" s="44"/>
      <c r="BR6" s="44" t="b">
        <v>1</v>
      </c>
      <c r="BS6" s="44" t="s">
        <v>613</v>
      </c>
      <c r="BT6" s="44" t="b">
        <v>0</v>
      </c>
      <c r="BU6" s="44"/>
      <c r="BV6" s="44" t="b">
        <v>1</v>
      </c>
      <c r="BW6" s="44" t="b">
        <v>0</v>
      </c>
      <c r="BX6" s="44" t="b">
        <v>0</v>
      </c>
      <c r="BY6" s="44" t="b">
        <v>0</v>
      </c>
      <c r="BZ6" s="44"/>
      <c r="CA6" s="44"/>
      <c r="CB6" s="44" t="b">
        <v>1</v>
      </c>
      <c r="CC6" s="44" t="b">
        <v>0</v>
      </c>
      <c r="CD6" s="44" t="b">
        <v>0</v>
      </c>
      <c r="CE6" s="44" t="b">
        <v>0</v>
      </c>
      <c r="CF6" s="44"/>
    </row>
  </sheetData>
  <sheetProtection sheet="1" objects="1" scenarios="1" formatCells="0" formatColumns="0" formatRows="0" insertRows="0" sort="0" autoFilter="0"/>
  <hyperlinks>
    <hyperlink ref="B2" location="C3" tooltip=" " display="C3" xr:uid="{60E102C2-CB55-4CB8-96BC-A24BF1D790A3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42"/>
  <sheetViews>
    <sheetView tabSelected="1" topLeftCell="A22" workbookViewId="0">
      <selection activeCell="E42" sqref="E42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1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233</v>
      </c>
      <c r="C1" s="32">
        <v>1</v>
      </c>
      <c r="F1" s="42" t="s">
        <v>507</v>
      </c>
      <c r="G1" s="42" t="s">
        <v>508</v>
      </c>
      <c r="H1" s="42" t="s">
        <v>509</v>
      </c>
      <c r="I1" s="42" t="s">
        <v>510</v>
      </c>
      <c r="J1" s="42" t="s">
        <v>511</v>
      </c>
      <c r="K1" s="42" t="s">
        <v>512</v>
      </c>
    </row>
    <row r="3" spans="1:11" x14ac:dyDescent="0.25">
      <c r="A3" s="2" t="s">
        <v>232</v>
      </c>
      <c r="B3" s="2" t="s">
        <v>240</v>
      </c>
      <c r="C3" s="2" t="s">
        <v>237</v>
      </c>
      <c r="D3" s="31" t="s">
        <v>238</v>
      </c>
      <c r="E3" s="2" t="s">
        <v>231</v>
      </c>
    </row>
    <row r="4" spans="1:11" x14ac:dyDescent="0.25">
      <c r="A4" s="2" t="s">
        <v>503</v>
      </c>
      <c r="B4" s="2" t="s">
        <v>113</v>
      </c>
      <c r="C4" s="2" t="s">
        <v>670</v>
      </c>
      <c r="D4" s="31">
        <v>44262.77579861111</v>
      </c>
      <c r="E4" s="2" t="s">
        <v>671</v>
      </c>
    </row>
    <row r="5" spans="1:11" x14ac:dyDescent="0.25">
      <c r="A5" s="2" t="s">
        <v>672</v>
      </c>
      <c r="B5" s="2" t="s">
        <v>673</v>
      </c>
      <c r="C5" s="2" t="s">
        <v>674</v>
      </c>
      <c r="D5" s="31">
        <v>44262.775925925926</v>
      </c>
      <c r="E5" s="2" t="s">
        <v>675</v>
      </c>
    </row>
    <row r="6" spans="1:11" x14ac:dyDescent="0.25">
      <c r="A6" s="2" t="s">
        <v>672</v>
      </c>
      <c r="B6" s="2" t="s">
        <v>673</v>
      </c>
      <c r="C6" s="2" t="s">
        <v>674</v>
      </c>
      <c r="D6" s="31">
        <v>44262.77615740741</v>
      </c>
      <c r="E6" s="2" t="s">
        <v>675</v>
      </c>
    </row>
    <row r="7" spans="1:11" x14ac:dyDescent="0.25">
      <c r="A7" s="2" t="s">
        <v>672</v>
      </c>
      <c r="B7" s="2" t="s">
        <v>676</v>
      </c>
      <c r="C7" s="2" t="s">
        <v>670</v>
      </c>
      <c r="D7" s="31">
        <v>44262.776192129626</v>
      </c>
      <c r="E7" s="2" t="s">
        <v>677</v>
      </c>
    </row>
    <row r="8" spans="1:11" x14ac:dyDescent="0.25">
      <c r="A8" s="2" t="s">
        <v>503</v>
      </c>
      <c r="B8" s="2" t="s">
        <v>113</v>
      </c>
      <c r="C8" s="2" t="s">
        <v>670</v>
      </c>
      <c r="D8" s="31">
        <v>44262.792280092595</v>
      </c>
      <c r="E8" s="2" t="s">
        <v>671</v>
      </c>
    </row>
    <row r="9" spans="1:11" x14ac:dyDescent="0.25">
      <c r="A9" s="2" t="s">
        <v>678</v>
      </c>
      <c r="B9" s="2" t="s">
        <v>679</v>
      </c>
      <c r="C9" s="2" t="s">
        <v>670</v>
      </c>
      <c r="D9" s="31">
        <v>44262.792395833334</v>
      </c>
      <c r="E9" s="2" t="s">
        <v>680</v>
      </c>
    </row>
    <row r="10" spans="1:11" x14ac:dyDescent="0.25">
      <c r="A10" s="2" t="s">
        <v>672</v>
      </c>
      <c r="B10" s="2" t="s">
        <v>673</v>
      </c>
      <c r="C10" s="2" t="s">
        <v>674</v>
      </c>
      <c r="D10" s="31">
        <v>44262.792453703703</v>
      </c>
      <c r="E10" s="2" t="s">
        <v>681</v>
      </c>
    </row>
    <row r="11" spans="1:11" x14ac:dyDescent="0.25">
      <c r="A11" s="2" t="s">
        <v>672</v>
      </c>
      <c r="B11" s="2" t="s">
        <v>676</v>
      </c>
      <c r="C11" s="2" t="s">
        <v>670</v>
      </c>
      <c r="D11" s="31">
        <v>44262.792488425926</v>
      </c>
      <c r="E11" s="2" t="s">
        <v>682</v>
      </c>
    </row>
    <row r="12" spans="1:11" x14ac:dyDescent="0.25">
      <c r="A12" s="2" t="s">
        <v>672</v>
      </c>
      <c r="B12" s="2" t="s">
        <v>673</v>
      </c>
      <c r="C12" s="2" t="s">
        <v>674</v>
      </c>
      <c r="D12" s="31">
        <v>44262.793749999997</v>
      </c>
      <c r="E12" s="2" t="s">
        <v>683</v>
      </c>
    </row>
    <row r="13" spans="1:11" x14ac:dyDescent="0.25">
      <c r="A13" s="2" t="s">
        <v>672</v>
      </c>
      <c r="B13" s="2" t="s">
        <v>673</v>
      </c>
      <c r="C13" s="2" t="s">
        <v>674</v>
      </c>
      <c r="D13" s="31">
        <v>44262.79614583333</v>
      </c>
      <c r="E13" s="2" t="s">
        <v>683</v>
      </c>
    </row>
    <row r="14" spans="1:11" x14ac:dyDescent="0.25">
      <c r="A14" s="2" t="s">
        <v>672</v>
      </c>
      <c r="B14" s="2" t="s">
        <v>673</v>
      </c>
      <c r="C14" s="2" t="s">
        <v>674</v>
      </c>
      <c r="D14" s="31">
        <v>44262.796886574077</v>
      </c>
      <c r="E14" s="2" t="s">
        <v>683</v>
      </c>
    </row>
    <row r="15" spans="1:11" x14ac:dyDescent="0.25">
      <c r="A15" s="2" t="s">
        <v>672</v>
      </c>
      <c r="B15" s="2" t="s">
        <v>673</v>
      </c>
      <c r="C15" s="2" t="s">
        <v>674</v>
      </c>
      <c r="D15" s="31">
        <v>44262.798067129632</v>
      </c>
      <c r="E15" s="2" t="s">
        <v>683</v>
      </c>
    </row>
    <row r="16" spans="1:11" x14ac:dyDescent="0.25">
      <c r="A16" s="2" t="s">
        <v>672</v>
      </c>
      <c r="B16" s="2" t="s">
        <v>673</v>
      </c>
      <c r="C16" s="2" t="s">
        <v>674</v>
      </c>
      <c r="D16" s="31">
        <v>44262.799444444441</v>
      </c>
      <c r="E16" s="2" t="s">
        <v>683</v>
      </c>
    </row>
    <row r="17" spans="1:5" x14ac:dyDescent="0.25">
      <c r="A17" s="2" t="s">
        <v>672</v>
      </c>
      <c r="B17" s="2" t="s">
        <v>673</v>
      </c>
      <c r="C17" s="2" t="s">
        <v>674</v>
      </c>
      <c r="D17" s="31">
        <v>44262.801377314812</v>
      </c>
      <c r="E17" s="2" t="s">
        <v>683</v>
      </c>
    </row>
    <row r="18" spans="1:5" x14ac:dyDescent="0.25">
      <c r="A18" s="2" t="s">
        <v>503</v>
      </c>
      <c r="B18" s="2" t="s">
        <v>113</v>
      </c>
      <c r="C18" s="2" t="s">
        <v>670</v>
      </c>
      <c r="D18" s="31">
        <v>44262.802071759259</v>
      </c>
      <c r="E18" s="2" t="s">
        <v>671</v>
      </c>
    </row>
    <row r="19" spans="1:5" x14ac:dyDescent="0.25">
      <c r="A19" s="2" t="s">
        <v>672</v>
      </c>
      <c r="B19" s="2" t="s">
        <v>673</v>
      </c>
      <c r="C19" s="2" t="s">
        <v>674</v>
      </c>
      <c r="D19" s="31">
        <v>44262.802222222221</v>
      </c>
      <c r="E19" s="2" t="s">
        <v>683</v>
      </c>
    </row>
    <row r="20" spans="1:5" x14ac:dyDescent="0.25">
      <c r="A20" s="2" t="s">
        <v>672</v>
      </c>
      <c r="B20" s="2" t="s">
        <v>673</v>
      </c>
      <c r="C20" s="2" t="s">
        <v>674</v>
      </c>
      <c r="D20" s="31">
        <v>44262.804849537039</v>
      </c>
      <c r="E20" s="2" t="s">
        <v>683</v>
      </c>
    </row>
    <row r="21" spans="1:5" x14ac:dyDescent="0.25">
      <c r="A21" s="2" t="s">
        <v>503</v>
      </c>
      <c r="B21" s="2" t="s">
        <v>113</v>
      </c>
      <c r="C21" s="2" t="s">
        <v>670</v>
      </c>
      <c r="D21" s="31">
        <v>44262.805937500001</v>
      </c>
      <c r="E21" s="2" t="s">
        <v>671</v>
      </c>
    </row>
    <row r="22" spans="1:5" x14ac:dyDescent="0.25">
      <c r="A22" s="2" t="s">
        <v>672</v>
      </c>
      <c r="B22" s="2" t="s">
        <v>673</v>
      </c>
      <c r="C22" s="2" t="s">
        <v>674</v>
      </c>
      <c r="D22" s="31">
        <v>44262.806064814817</v>
      </c>
      <c r="E22" s="2" t="s">
        <v>683</v>
      </c>
    </row>
    <row r="23" spans="1:5" x14ac:dyDescent="0.25">
      <c r="A23" s="2" t="s">
        <v>672</v>
      </c>
      <c r="B23" s="2" t="s">
        <v>676</v>
      </c>
      <c r="C23" s="2" t="s">
        <v>670</v>
      </c>
      <c r="D23" s="31">
        <v>44262.80609953704</v>
      </c>
      <c r="E23" s="2" t="s">
        <v>684</v>
      </c>
    </row>
    <row r="24" spans="1:5" x14ac:dyDescent="0.25">
      <c r="A24" s="2" t="s">
        <v>503</v>
      </c>
      <c r="B24" s="2" t="s">
        <v>113</v>
      </c>
      <c r="C24" s="2" t="s">
        <v>670</v>
      </c>
      <c r="D24" s="31">
        <v>44262.813148148147</v>
      </c>
      <c r="E24" s="2" t="s">
        <v>685</v>
      </c>
    </row>
    <row r="25" spans="1:5" x14ac:dyDescent="0.25">
      <c r="A25" s="2" t="s">
        <v>672</v>
      </c>
      <c r="B25" s="2" t="s">
        <v>673</v>
      </c>
      <c r="C25" s="2" t="s">
        <v>674</v>
      </c>
      <c r="D25" s="31">
        <v>44262.813275462962</v>
      </c>
      <c r="E25" s="2" t="s">
        <v>683</v>
      </c>
    </row>
    <row r="26" spans="1:5" x14ac:dyDescent="0.25">
      <c r="A26" s="2" t="s">
        <v>503</v>
      </c>
      <c r="B26" s="2" t="s">
        <v>113</v>
      </c>
      <c r="C26" s="2" t="s">
        <v>670</v>
      </c>
      <c r="D26" s="31">
        <v>44262.813773148147</v>
      </c>
      <c r="E26" s="2" t="s">
        <v>671</v>
      </c>
    </row>
    <row r="27" spans="1:5" x14ac:dyDescent="0.25">
      <c r="A27" s="2" t="s">
        <v>672</v>
      </c>
      <c r="B27" s="2" t="s">
        <v>673</v>
      </c>
      <c r="C27" s="2" t="s">
        <v>674</v>
      </c>
      <c r="D27" s="31">
        <v>44262.813877314817</v>
      </c>
      <c r="E27" s="2" t="s">
        <v>683</v>
      </c>
    </row>
    <row r="28" spans="1:5" x14ac:dyDescent="0.25">
      <c r="A28" s="2" t="s">
        <v>503</v>
      </c>
      <c r="B28" s="2" t="s">
        <v>113</v>
      </c>
      <c r="C28" s="2" t="s">
        <v>670</v>
      </c>
      <c r="D28" s="31">
        <v>44262.816469907404</v>
      </c>
      <c r="E28" s="2" t="s">
        <v>685</v>
      </c>
    </row>
    <row r="29" spans="1:5" x14ac:dyDescent="0.25">
      <c r="A29" s="2" t="s">
        <v>672</v>
      </c>
      <c r="B29" s="2" t="s">
        <v>673</v>
      </c>
      <c r="C29" s="2" t="s">
        <v>674</v>
      </c>
      <c r="D29" s="31">
        <v>44262.816550925927</v>
      </c>
      <c r="E29" s="2" t="s">
        <v>683</v>
      </c>
    </row>
    <row r="30" spans="1:5" x14ac:dyDescent="0.25">
      <c r="A30" s="2" t="s">
        <v>672</v>
      </c>
      <c r="B30" s="2" t="s">
        <v>673</v>
      </c>
      <c r="C30" s="2" t="s">
        <v>674</v>
      </c>
      <c r="D30" s="31">
        <v>44262.820439814815</v>
      </c>
      <c r="E30" s="2" t="s">
        <v>683</v>
      </c>
    </row>
    <row r="31" spans="1:5" x14ac:dyDescent="0.25">
      <c r="A31" s="2" t="s">
        <v>672</v>
      </c>
      <c r="B31" s="2" t="s">
        <v>676</v>
      </c>
      <c r="C31" s="2" t="s">
        <v>670</v>
      </c>
      <c r="D31" s="31">
        <v>44262.820439814815</v>
      </c>
      <c r="E31" s="2" t="s">
        <v>684</v>
      </c>
    </row>
    <row r="32" spans="1:5" x14ac:dyDescent="0.25">
      <c r="A32" s="2" t="s">
        <v>672</v>
      </c>
      <c r="B32" s="2" t="s">
        <v>673</v>
      </c>
      <c r="C32" s="2" t="s">
        <v>674</v>
      </c>
      <c r="D32" s="31">
        <v>44262.821435185186</v>
      </c>
      <c r="E32" s="2" t="s">
        <v>683</v>
      </c>
    </row>
    <row r="33" spans="1:5" x14ac:dyDescent="0.25">
      <c r="A33" s="2" t="s">
        <v>672</v>
      </c>
      <c r="B33" s="2" t="s">
        <v>676</v>
      </c>
      <c r="C33" s="2" t="s">
        <v>670</v>
      </c>
      <c r="D33" s="31">
        <v>44262.821435185186</v>
      </c>
      <c r="E33" s="2" t="s">
        <v>684</v>
      </c>
    </row>
    <row r="34" spans="1:5" x14ac:dyDescent="0.25">
      <c r="A34" s="2" t="s">
        <v>672</v>
      </c>
      <c r="B34" s="2" t="s">
        <v>673</v>
      </c>
      <c r="C34" s="2" t="s">
        <v>674</v>
      </c>
      <c r="D34" s="31">
        <v>44262.821643518517</v>
      </c>
      <c r="E34" s="2" t="s">
        <v>683</v>
      </c>
    </row>
    <row r="35" spans="1:5" x14ac:dyDescent="0.25">
      <c r="A35" s="2" t="s">
        <v>672</v>
      </c>
      <c r="B35" s="2" t="s">
        <v>676</v>
      </c>
      <c r="C35" s="2" t="s">
        <v>670</v>
      </c>
      <c r="D35" s="31">
        <v>44262.821643518517</v>
      </c>
      <c r="E35" s="2" t="s">
        <v>684</v>
      </c>
    </row>
    <row r="36" spans="1:5" x14ac:dyDescent="0.25">
      <c r="A36" s="2" t="s">
        <v>672</v>
      </c>
      <c r="B36" s="2" t="s">
        <v>673</v>
      </c>
      <c r="C36" s="2" t="s">
        <v>674</v>
      </c>
      <c r="D36" s="31">
        <v>44262.822534722225</v>
      </c>
      <c r="E36" s="2" t="s">
        <v>683</v>
      </c>
    </row>
    <row r="37" spans="1:5" x14ac:dyDescent="0.25">
      <c r="A37" s="2" t="s">
        <v>503</v>
      </c>
      <c r="B37" s="2" t="s">
        <v>113</v>
      </c>
      <c r="C37" s="2" t="s">
        <v>670</v>
      </c>
      <c r="D37" s="31">
        <v>44262.827407407407</v>
      </c>
      <c r="E37" s="2" t="s">
        <v>671</v>
      </c>
    </row>
    <row r="38" spans="1:5" x14ac:dyDescent="0.25">
      <c r="A38" s="2" t="s">
        <v>672</v>
      </c>
      <c r="B38" s="2" t="s">
        <v>673</v>
      </c>
      <c r="C38" s="2" t="s">
        <v>674</v>
      </c>
      <c r="D38" s="31">
        <v>44262.827523148146</v>
      </c>
      <c r="E38" s="2" t="s">
        <v>683</v>
      </c>
    </row>
    <row r="39" spans="1:5" x14ac:dyDescent="0.25">
      <c r="A39" s="2" t="s">
        <v>672</v>
      </c>
      <c r="B39" s="2" t="s">
        <v>673</v>
      </c>
      <c r="C39" s="2" t="s">
        <v>674</v>
      </c>
      <c r="D39" s="31">
        <v>44262.827708333331</v>
      </c>
      <c r="E39" s="2" t="s">
        <v>683</v>
      </c>
    </row>
    <row r="40" spans="1:5" x14ac:dyDescent="0.25">
      <c r="A40" s="2" t="s">
        <v>503</v>
      </c>
      <c r="B40" s="2" t="s">
        <v>113</v>
      </c>
      <c r="C40" s="2" t="s">
        <v>670</v>
      </c>
      <c r="D40" s="31">
        <v>44262.8280787037</v>
      </c>
      <c r="E40" s="2" t="s">
        <v>686</v>
      </c>
    </row>
    <row r="41" spans="1:5" x14ac:dyDescent="0.25">
      <c r="A41" s="2" t="s">
        <v>672</v>
      </c>
      <c r="B41" s="2" t="s">
        <v>673</v>
      </c>
      <c r="C41" s="2" t="s">
        <v>674</v>
      </c>
      <c r="D41" s="31">
        <v>44262.828159722223</v>
      </c>
      <c r="E41" s="2" t="s">
        <v>683</v>
      </c>
    </row>
    <row r="42" spans="1:5" x14ac:dyDescent="0.25">
      <c r="A42" s="2" t="s">
        <v>672</v>
      </c>
      <c r="B42" s="2" t="s">
        <v>676</v>
      </c>
      <c r="C42" s="2" t="s">
        <v>670</v>
      </c>
      <c r="D42" s="31">
        <v>44262.828206018516</v>
      </c>
      <c r="E42" s="2" t="s">
        <v>687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J69"/>
  <sheetViews>
    <sheetView topLeftCell="A36" zoomScaleNormal="100" workbookViewId="0">
      <selection activeCell="J55" sqref="J55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0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</row>
    <row r="18" spans="1:10" hidden="1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</row>
    <row r="19" spans="1:10" hidden="1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</row>
    <row r="20" spans="1:10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</row>
    <row r="21" spans="1:10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</row>
    <row r="22" spans="1:10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</row>
    <row r="23" spans="1:10" x14ac:dyDescent="0.25">
      <c r="B23" t="s">
        <v>86</v>
      </c>
      <c r="D23">
        <v>0.25</v>
      </c>
    </row>
    <row r="24" spans="1:10" hidden="1" x14ac:dyDescent="0.25">
      <c r="B24" t="s">
        <v>220</v>
      </c>
      <c r="H24">
        <v>0.25</v>
      </c>
      <c r="I24" t="s">
        <v>138</v>
      </c>
      <c r="J24" t="s">
        <v>138</v>
      </c>
    </row>
    <row r="25" spans="1:10" x14ac:dyDescent="0.25">
      <c r="B25" t="s">
        <v>210</v>
      </c>
      <c r="H25">
        <v>0.25</v>
      </c>
      <c r="I25">
        <v>0.25</v>
      </c>
      <c r="J25">
        <v>0.25</v>
      </c>
    </row>
    <row r="26" spans="1:10" hidden="1" x14ac:dyDescent="0.25">
      <c r="B26" t="s">
        <v>221</v>
      </c>
      <c r="H26">
        <v>0.25</v>
      </c>
      <c r="I26">
        <v>0.25</v>
      </c>
      <c r="J26" t="s">
        <v>138</v>
      </c>
    </row>
    <row r="27" spans="1:10" hidden="1" x14ac:dyDescent="0.25">
      <c r="B27" t="s">
        <v>230</v>
      </c>
      <c r="I27">
        <v>0.25</v>
      </c>
      <c r="J27" t="s">
        <v>138</v>
      </c>
    </row>
    <row r="28" spans="1:10" x14ac:dyDescent="0.25">
      <c r="B28" t="s">
        <v>143</v>
      </c>
      <c r="I28">
        <v>0.25</v>
      </c>
      <c r="J28">
        <v>0.25</v>
      </c>
    </row>
    <row r="29" spans="1:10" hidden="1" x14ac:dyDescent="0.25">
      <c r="B29" t="s">
        <v>141</v>
      </c>
      <c r="D29">
        <v>0.25</v>
      </c>
      <c r="G29" t="s">
        <v>138</v>
      </c>
      <c r="H29" t="s">
        <v>138</v>
      </c>
      <c r="I29" t="s">
        <v>138</v>
      </c>
      <c r="J29" t="s">
        <v>138</v>
      </c>
    </row>
    <row r="30" spans="1:10" x14ac:dyDescent="0.25">
      <c r="B30" t="s">
        <v>144</v>
      </c>
      <c r="D30">
        <v>0.25</v>
      </c>
    </row>
    <row r="31" spans="1:10" hidden="1" x14ac:dyDescent="0.25">
      <c r="B31" t="s">
        <v>142</v>
      </c>
      <c r="D31">
        <v>0.25</v>
      </c>
      <c r="G31" t="s">
        <v>138</v>
      </c>
      <c r="H31" t="s">
        <v>138</v>
      </c>
      <c r="I31" t="s">
        <v>138</v>
      </c>
      <c r="J31" t="s">
        <v>138</v>
      </c>
    </row>
    <row r="32" spans="1:10" x14ac:dyDescent="0.25">
      <c r="B32" t="s">
        <v>176</v>
      </c>
      <c r="D32">
        <v>0.25</v>
      </c>
    </row>
    <row r="33" spans="2:10" hidden="1" x14ac:dyDescent="0.25">
      <c r="B33" t="s">
        <v>179</v>
      </c>
      <c r="H33">
        <v>0.25</v>
      </c>
      <c r="I33" t="s">
        <v>138</v>
      </c>
      <c r="J33" t="s">
        <v>138</v>
      </c>
    </row>
    <row r="34" spans="2:10" hidden="1" x14ac:dyDescent="0.25">
      <c r="B34" t="s">
        <v>205</v>
      </c>
      <c r="H34">
        <v>0.25</v>
      </c>
      <c r="I34" t="s">
        <v>138</v>
      </c>
      <c r="J34" t="s">
        <v>138</v>
      </c>
    </row>
    <row r="35" spans="2:10" x14ac:dyDescent="0.25">
      <c r="B35" t="s">
        <v>145</v>
      </c>
      <c r="D35">
        <v>0.5</v>
      </c>
    </row>
    <row r="36" spans="2:10" x14ac:dyDescent="0.25">
      <c r="B36" t="s">
        <v>243</v>
      </c>
      <c r="I36">
        <v>0.5</v>
      </c>
      <c r="J36">
        <v>0.5</v>
      </c>
    </row>
    <row r="37" spans="2:10" x14ac:dyDescent="0.25">
      <c r="B37" t="s">
        <v>67</v>
      </c>
      <c r="C37">
        <v>0.5</v>
      </c>
      <c r="D37">
        <v>1</v>
      </c>
      <c r="I37">
        <v>0.5</v>
      </c>
      <c r="J37">
        <v>0.5</v>
      </c>
    </row>
    <row r="38" spans="2:10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</row>
    <row r="39" spans="2:10" x14ac:dyDescent="0.25">
      <c r="B39" t="s">
        <v>30</v>
      </c>
      <c r="C39">
        <v>0.25</v>
      </c>
    </row>
    <row r="40" spans="2:10" hidden="1" x14ac:dyDescent="0.25">
      <c r="B40" t="s">
        <v>38</v>
      </c>
      <c r="D40">
        <v>0.5</v>
      </c>
      <c r="I40" t="s">
        <v>138</v>
      </c>
      <c r="J40" t="s">
        <v>138</v>
      </c>
    </row>
    <row r="41" spans="2:10" hidden="1" x14ac:dyDescent="0.25">
      <c r="B41" t="s">
        <v>39</v>
      </c>
      <c r="D41">
        <v>0.5</v>
      </c>
      <c r="I41" t="s">
        <v>138</v>
      </c>
      <c r="J41" t="s">
        <v>138</v>
      </c>
    </row>
    <row r="42" spans="2:10" x14ac:dyDescent="0.25">
      <c r="B42" t="s">
        <v>35</v>
      </c>
      <c r="D42">
        <v>0.5</v>
      </c>
    </row>
    <row r="43" spans="2:10" hidden="1" x14ac:dyDescent="0.25">
      <c r="B43" t="s">
        <v>40</v>
      </c>
      <c r="D43">
        <v>0.5</v>
      </c>
      <c r="I43" t="s">
        <v>138</v>
      </c>
      <c r="J43" t="s">
        <v>138</v>
      </c>
    </row>
    <row r="44" spans="2:10" x14ac:dyDescent="0.25">
      <c r="B44" t="s">
        <v>32</v>
      </c>
      <c r="C44">
        <v>0.25</v>
      </c>
    </row>
    <row r="45" spans="2:10" x14ac:dyDescent="0.25">
      <c r="B45" t="s">
        <v>41</v>
      </c>
    </row>
    <row r="46" spans="2:10" x14ac:dyDescent="0.25">
      <c r="B46" t="s">
        <v>33</v>
      </c>
      <c r="C46">
        <v>0.25</v>
      </c>
    </row>
    <row r="47" spans="2:10" x14ac:dyDescent="0.25">
      <c r="B47" t="s">
        <v>42</v>
      </c>
      <c r="C47">
        <v>0.25</v>
      </c>
    </row>
    <row r="48" spans="2:10" x14ac:dyDescent="0.25">
      <c r="B48" t="s">
        <v>43</v>
      </c>
      <c r="D48">
        <v>0.5</v>
      </c>
    </row>
    <row r="49" spans="2:10" x14ac:dyDescent="0.25">
      <c r="B49" t="s">
        <v>44</v>
      </c>
      <c r="C49">
        <v>0.25</v>
      </c>
    </row>
    <row r="50" spans="2:10" x14ac:dyDescent="0.25">
      <c r="B50" t="s">
        <v>45</v>
      </c>
      <c r="C50">
        <v>0.25</v>
      </c>
    </row>
    <row r="51" spans="2:10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</row>
    <row r="52" spans="2:10" hidden="1" x14ac:dyDescent="0.25">
      <c r="B52" t="s">
        <v>71</v>
      </c>
      <c r="C52">
        <v>4</v>
      </c>
      <c r="D52">
        <v>4</v>
      </c>
      <c r="J52" t="s">
        <v>138</v>
      </c>
    </row>
    <row r="53" spans="2:10" x14ac:dyDescent="0.25">
      <c r="B53" t="s">
        <v>599</v>
      </c>
      <c r="J53" t="s">
        <v>138</v>
      </c>
    </row>
    <row r="54" spans="2:10" x14ac:dyDescent="0.25">
      <c r="B54" t="s">
        <v>610</v>
      </c>
      <c r="J54">
        <v>0.25</v>
      </c>
    </row>
    <row r="55" spans="2:10" x14ac:dyDescent="0.25">
      <c r="B55" t="s">
        <v>600</v>
      </c>
      <c r="J55">
        <v>0.25</v>
      </c>
    </row>
    <row r="56" spans="2:10" x14ac:dyDescent="0.25">
      <c r="B56" t="s">
        <v>608</v>
      </c>
      <c r="J56">
        <v>0.25</v>
      </c>
    </row>
    <row r="57" spans="2:10" x14ac:dyDescent="0.25">
      <c r="B57" t="s">
        <v>609</v>
      </c>
      <c r="J57">
        <v>0.25</v>
      </c>
    </row>
    <row r="58" spans="2:10" x14ac:dyDescent="0.25">
      <c r="B58" t="s">
        <v>603</v>
      </c>
      <c r="J58">
        <v>0.5</v>
      </c>
    </row>
    <row r="59" spans="2:10" x14ac:dyDescent="0.25">
      <c r="B59" t="s">
        <v>598</v>
      </c>
      <c r="J59">
        <v>0.25</v>
      </c>
    </row>
    <row r="60" spans="2:10" x14ac:dyDescent="0.25">
      <c r="B60" t="s">
        <v>602</v>
      </c>
      <c r="J60">
        <v>0.25</v>
      </c>
    </row>
    <row r="61" spans="2:10" x14ac:dyDescent="0.25">
      <c r="B61" t="s">
        <v>601</v>
      </c>
      <c r="J61">
        <v>0.5</v>
      </c>
    </row>
    <row r="62" spans="2:10" x14ac:dyDescent="0.25">
      <c r="B62" t="s">
        <v>597</v>
      </c>
      <c r="J62">
        <v>1</v>
      </c>
    </row>
    <row r="63" spans="2:10" x14ac:dyDescent="0.25">
      <c r="B63" t="s">
        <v>596</v>
      </c>
      <c r="J63">
        <v>0.5</v>
      </c>
    </row>
    <row r="64" spans="2:10" x14ac:dyDescent="0.25">
      <c r="B64" t="s">
        <v>72</v>
      </c>
      <c r="C64">
        <v>3</v>
      </c>
      <c r="D64">
        <v>3</v>
      </c>
      <c r="J64">
        <v>2</v>
      </c>
    </row>
    <row r="66" spans="2:10" x14ac:dyDescent="0.25">
      <c r="B66" s="28">
        <f>0+C66+D66</f>
        <v>26</v>
      </c>
      <c r="C66" s="29">
        <f>SUM(C18:C64)</f>
        <v>11.5</v>
      </c>
      <c r="D66" s="30">
        <f>SUM(D18:D64)</f>
        <v>14.5</v>
      </c>
      <c r="F66" s="18">
        <f>SUMIF(F18:F65,"",$C18:$C65)+SUMIF(F18:F65,"",$D18:$D65)+SUBTOTAL(109,F18:F65)</f>
        <v>24.5</v>
      </c>
      <c r="G66" s="18">
        <f>SUMIF(G18:G65,"",$C18:$C65)+SUMIF(G18:G65,"",$D18:$D65)+SUBTOTAL(109,G18:G65)</f>
        <v>23.75</v>
      </c>
      <c r="H66" s="18">
        <f>SUMIF(H18:H65,"",$C18:$C65)+SUMIF(H18:H65,"",$D18:$D65)+SUBTOTAL(109,H18:H65)</f>
        <v>24</v>
      </c>
      <c r="I66" s="18">
        <f>SUMIF(I18:I65,"",$C18:$C65)+SUMIF(I18:I65,"",$D18:$D65)+SUBTOTAL(109,I18:I65)</f>
        <v>19.25</v>
      </c>
      <c r="J66" s="18">
        <f>SUMIF(J18:J65,"",$C18:$C65)+SUMIF(J18:J65,"",$D18:$D65)+SUBTOTAL(109,J18:J65)</f>
        <v>11.25</v>
      </c>
    </row>
    <row r="69" spans="2:10" x14ac:dyDescent="0.25">
      <c r="B69" t="s">
        <v>46</v>
      </c>
    </row>
  </sheetData>
  <autoFilter ref="A17:J64" xr:uid="{BB647366-35C4-492E-B035-621946E0AEBD}">
    <filterColumn colId="9">
      <filters blank="1">
        <filter val="0,25"/>
        <filter val="0,5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73"/>
  <sheetViews>
    <sheetView workbookViewId="0">
      <selection activeCell="B8" sqref="B8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222</v>
      </c>
    </row>
    <row r="5" spans="1:3" outlineLevel="1" x14ac:dyDescent="0.25">
      <c r="B5" t="s">
        <v>223</v>
      </c>
    </row>
    <row r="6" spans="1:3" outlineLevel="1" x14ac:dyDescent="0.25">
      <c r="B6" t="s">
        <v>224</v>
      </c>
    </row>
    <row r="7" spans="1:3" outlineLevel="1" x14ac:dyDescent="0.25">
      <c r="B7" t="s">
        <v>515</v>
      </c>
    </row>
    <row r="8" spans="1:3" outlineLevel="1" x14ac:dyDescent="0.25"/>
    <row r="12" spans="1:3" collapsed="1" x14ac:dyDescent="0.25">
      <c r="A12" t="s">
        <v>249</v>
      </c>
      <c r="B12" t="s">
        <v>250</v>
      </c>
      <c r="C12" t="s">
        <v>251</v>
      </c>
    </row>
    <row r="13" spans="1:3" hidden="1" outlineLevel="1" x14ac:dyDescent="0.25">
      <c r="B13" t="s">
        <v>504</v>
      </c>
    </row>
    <row r="14" spans="1:3" hidden="1" outlineLevel="1" x14ac:dyDescent="0.25">
      <c r="B14" t="s">
        <v>505</v>
      </c>
    </row>
    <row r="15" spans="1:3" hidden="1" outlineLevel="1" x14ac:dyDescent="0.25">
      <c r="B15" t="s">
        <v>506</v>
      </c>
    </row>
    <row r="16" spans="1:3" hidden="1" outlineLevel="1" x14ac:dyDescent="0.25"/>
    <row r="18" spans="1:3" collapsed="1" x14ac:dyDescent="0.25">
      <c r="A18" t="s">
        <v>248</v>
      </c>
      <c r="B18" t="s">
        <v>229</v>
      </c>
      <c r="C18" t="s">
        <v>245</v>
      </c>
    </row>
    <row r="19" spans="1:3" hidden="1" outlineLevel="1" x14ac:dyDescent="0.25"/>
    <row r="20" spans="1:3" hidden="1" outlineLevel="1" x14ac:dyDescent="0.25"/>
    <row r="21" spans="1:3" hidden="1" outlineLevel="1" x14ac:dyDescent="0.25"/>
    <row r="23" spans="1:3" collapsed="1" x14ac:dyDescent="0.25">
      <c r="A23" t="s">
        <v>244</v>
      </c>
      <c r="B23" t="s">
        <v>229</v>
      </c>
      <c r="C23" t="s">
        <v>245</v>
      </c>
    </row>
    <row r="24" spans="1:3" hidden="1" outlineLevel="1" x14ac:dyDescent="0.25">
      <c r="B24" t="s">
        <v>246</v>
      </c>
    </row>
    <row r="25" spans="1:3" hidden="1" outlineLevel="1" x14ac:dyDescent="0.25">
      <c r="B25" t="s">
        <v>247</v>
      </c>
    </row>
    <row r="26" spans="1:3" hidden="1" outlineLevel="1" x14ac:dyDescent="0.25"/>
    <row r="28" spans="1:3" collapsed="1" x14ac:dyDescent="0.25">
      <c r="A28" t="s">
        <v>228</v>
      </c>
      <c r="B28" t="s">
        <v>229</v>
      </c>
      <c r="C28" t="s">
        <v>80</v>
      </c>
    </row>
    <row r="29" spans="1:3" hidden="1" outlineLevel="1" x14ac:dyDescent="0.25">
      <c r="B29" t="s">
        <v>234</v>
      </c>
    </row>
    <row r="30" spans="1:3" hidden="1" outlineLevel="1" x14ac:dyDescent="0.25">
      <c r="B30" t="s">
        <v>235</v>
      </c>
    </row>
    <row r="31" spans="1:3" hidden="1" outlineLevel="1" x14ac:dyDescent="0.25">
      <c r="B31" t="s">
        <v>236</v>
      </c>
    </row>
    <row r="32" spans="1:3" hidden="1" outlineLevel="1" x14ac:dyDescent="0.25">
      <c r="B32" t="s">
        <v>242</v>
      </c>
    </row>
    <row r="33" spans="1:3" hidden="1" outlineLevel="1" x14ac:dyDescent="0.25"/>
    <row r="35" spans="1:3" collapsed="1" x14ac:dyDescent="0.25">
      <c r="A35" t="s">
        <v>212</v>
      </c>
      <c r="B35" t="s">
        <v>213</v>
      </c>
      <c r="C35" t="s">
        <v>226</v>
      </c>
    </row>
    <row r="36" spans="1:3" hidden="1" outlineLevel="1" x14ac:dyDescent="0.25">
      <c r="B36" t="s">
        <v>216</v>
      </c>
    </row>
    <row r="37" spans="1:3" hidden="1" outlineLevel="1" x14ac:dyDescent="0.25">
      <c r="B37" t="s">
        <v>214</v>
      </c>
    </row>
    <row r="38" spans="1:3" hidden="1" outlineLevel="1" x14ac:dyDescent="0.25">
      <c r="B38" t="s">
        <v>215</v>
      </c>
    </row>
    <row r="39" spans="1:3" hidden="1" outlineLevel="1" x14ac:dyDescent="0.25"/>
    <row r="41" spans="1:3" collapsed="1" x14ac:dyDescent="0.25">
      <c r="A41" t="s">
        <v>217</v>
      </c>
      <c r="B41" t="s">
        <v>218</v>
      </c>
      <c r="C41" t="s">
        <v>227</v>
      </c>
    </row>
    <row r="42" spans="1:3" hidden="1" outlineLevel="1" x14ac:dyDescent="0.25">
      <c r="B42" t="s">
        <v>219</v>
      </c>
    </row>
    <row r="43" spans="1:3" hidden="1" outlineLevel="1" x14ac:dyDescent="0.25"/>
    <row r="44" spans="1:3" hidden="1" outlineLevel="1" x14ac:dyDescent="0.25"/>
    <row r="45" spans="1:3" hidden="1" outlineLevel="1" x14ac:dyDescent="0.25"/>
    <row r="48" spans="1:3" collapsed="1" x14ac:dyDescent="0.25">
      <c r="A48" t="s">
        <v>139</v>
      </c>
    </row>
    <row r="49" spans="2:2" hidden="1" outlineLevel="1" collapsed="1" x14ac:dyDescent="0.25">
      <c r="B49" t="s">
        <v>225</v>
      </c>
    </row>
    <row r="50" spans="2:2" hidden="1" outlineLevel="2" x14ac:dyDescent="0.25">
      <c r="B50" t="s">
        <v>117</v>
      </c>
    </row>
    <row r="51" spans="2:2" hidden="1" outlineLevel="2" x14ac:dyDescent="0.25"/>
    <row r="52" spans="2:2" hidden="1" outlineLevel="2" x14ac:dyDescent="0.25">
      <c r="B52" t="s">
        <v>118</v>
      </c>
    </row>
    <row r="53" spans="2:2" hidden="1" outlineLevel="2" x14ac:dyDescent="0.25"/>
    <row r="54" spans="2:2" hidden="1" outlineLevel="2" x14ac:dyDescent="0.25">
      <c r="B54" t="s">
        <v>119</v>
      </c>
    </row>
    <row r="55" spans="2:2" hidden="1" outlineLevel="2" x14ac:dyDescent="0.25">
      <c r="B55" t="s">
        <v>120</v>
      </c>
    </row>
    <row r="56" spans="2:2" hidden="1" outlineLevel="2" x14ac:dyDescent="0.25">
      <c r="B56" t="s">
        <v>121</v>
      </c>
    </row>
    <row r="57" spans="2:2" hidden="1" outlineLevel="2" x14ac:dyDescent="0.25">
      <c r="B57" t="s">
        <v>122</v>
      </c>
    </row>
    <row r="58" spans="2:2" hidden="1" outlineLevel="2" x14ac:dyDescent="0.25">
      <c r="B58" t="s">
        <v>123</v>
      </c>
    </row>
    <row r="59" spans="2:2" hidden="1" outlineLevel="2" x14ac:dyDescent="0.25">
      <c r="B59" t="s">
        <v>124</v>
      </c>
    </row>
    <row r="60" spans="2:2" hidden="1" outlineLevel="2" x14ac:dyDescent="0.25"/>
    <row r="61" spans="2:2" hidden="1" outlineLevel="2" x14ac:dyDescent="0.25">
      <c r="B61" t="s">
        <v>125</v>
      </c>
    </row>
    <row r="62" spans="2:2" hidden="1" outlineLevel="2" x14ac:dyDescent="0.25">
      <c r="B62" t="s">
        <v>126</v>
      </c>
    </row>
    <row r="63" spans="2:2" hidden="1" outlineLevel="2" x14ac:dyDescent="0.25"/>
    <row r="64" spans="2:2" hidden="1" outlineLevel="2" x14ac:dyDescent="0.25">
      <c r="B64" t="s">
        <v>127</v>
      </c>
    </row>
    <row r="65" spans="2:3" hidden="1" outlineLevel="2" x14ac:dyDescent="0.25">
      <c r="B65" t="s">
        <v>128</v>
      </c>
    </row>
    <row r="66" spans="2:3" hidden="1" outlineLevel="2" x14ac:dyDescent="0.25">
      <c r="B66" t="s">
        <v>129</v>
      </c>
    </row>
    <row r="67" spans="2:3" hidden="1" outlineLevel="2" x14ac:dyDescent="0.25">
      <c r="B67" t="s">
        <v>130</v>
      </c>
    </row>
    <row r="68" spans="2:3" hidden="1" outlineLevel="2" x14ac:dyDescent="0.25">
      <c r="B68" t="s">
        <v>131</v>
      </c>
    </row>
    <row r="69" spans="2:3" hidden="1" outlineLevel="2" x14ac:dyDescent="0.25">
      <c r="B69" t="s">
        <v>132</v>
      </c>
    </row>
    <row r="70" spans="2:3" hidden="1" outlineLevel="2" x14ac:dyDescent="0.25">
      <c r="B70" t="s">
        <v>133</v>
      </c>
    </row>
    <row r="71" spans="2:3" hidden="1" outlineLevel="1" x14ac:dyDescent="0.25"/>
    <row r="72" spans="2:3" hidden="1" outlineLevel="1" collapsed="1" x14ac:dyDescent="0.25">
      <c r="B72" t="s">
        <v>140</v>
      </c>
    </row>
    <row r="73" spans="2:3" hidden="1" outlineLevel="2" x14ac:dyDescent="0.25">
      <c r="C73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workbookViewId="0">
      <selection activeCell="G70" sqref="G70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501</v>
      </c>
      <c r="H18" s="2" t="s">
        <v>239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186</v>
      </c>
      <c r="H33" s="2" t="s">
        <v>187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188</v>
      </c>
      <c r="H34" s="2" t="s">
        <v>190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189</v>
      </c>
      <c r="H35" s="2" t="s">
        <v>191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211</v>
      </c>
      <c r="H36" s="2" t="s">
        <v>192</v>
      </c>
    </row>
    <row r="37" spans="1:8" x14ac:dyDescent="0.25">
      <c r="A37" s="27" t="s">
        <v>201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199</v>
      </c>
      <c r="B38" s="2"/>
      <c r="C38" s="2"/>
      <c r="D38" s="2"/>
      <c r="E38" s="2"/>
      <c r="F38" s="2"/>
      <c r="G38" s="2" t="s">
        <v>203</v>
      </c>
      <c r="H38" s="2" t="s">
        <v>202</v>
      </c>
    </row>
    <row r="39" spans="1:8" x14ac:dyDescent="0.25">
      <c r="A39" s="27" t="s">
        <v>200</v>
      </c>
      <c r="B39" s="2"/>
      <c r="C39" s="2"/>
      <c r="D39" s="2"/>
      <c r="E39" s="2"/>
      <c r="F39" s="2"/>
      <c r="G39" s="2" t="s">
        <v>34</v>
      </c>
      <c r="H39" s="2" t="s">
        <v>204</v>
      </c>
    </row>
    <row r="40" spans="1:8" x14ac:dyDescent="0.25">
      <c r="A40" s="37" t="s">
        <v>380</v>
      </c>
      <c r="B40" s="2"/>
      <c r="C40" s="2"/>
      <c r="D40" s="2"/>
      <c r="E40" s="2"/>
      <c r="F40" s="2"/>
      <c r="G40" s="2" t="s">
        <v>478</v>
      </c>
      <c r="H40" s="2" t="s">
        <v>17</v>
      </c>
    </row>
    <row r="41" spans="1:8" x14ac:dyDescent="0.25">
      <c r="A41" s="37" t="s">
        <v>381</v>
      </c>
      <c r="B41" s="2"/>
      <c r="C41" s="2"/>
      <c r="D41" s="2"/>
      <c r="E41" s="2"/>
      <c r="F41" s="2"/>
      <c r="G41" s="2" t="s">
        <v>479</v>
      </c>
      <c r="H41" s="2" t="s">
        <v>480</v>
      </c>
    </row>
    <row r="42" spans="1:8" x14ac:dyDescent="0.25">
      <c r="A42" s="36" t="s">
        <v>325</v>
      </c>
      <c r="B42" s="2"/>
      <c r="C42" s="2"/>
      <c r="D42" s="2"/>
      <c r="E42" s="2"/>
      <c r="F42" s="2"/>
      <c r="G42" s="2" t="s">
        <v>481</v>
      </c>
      <c r="H42" s="2" t="s">
        <v>482</v>
      </c>
    </row>
    <row r="43" spans="1:8" x14ac:dyDescent="0.25">
      <c r="A43" s="37" t="s">
        <v>458</v>
      </c>
      <c r="B43" s="2"/>
      <c r="C43" s="2"/>
      <c r="D43" s="2"/>
      <c r="E43" s="2"/>
      <c r="F43" s="2"/>
      <c r="G43" s="2" t="s">
        <v>483</v>
      </c>
      <c r="H43" s="43" t="s">
        <v>491</v>
      </c>
    </row>
    <row r="44" spans="1:8" x14ac:dyDescent="0.25">
      <c r="A44" s="37" t="s">
        <v>459</v>
      </c>
      <c r="B44" s="2"/>
      <c r="C44" s="2"/>
      <c r="D44" s="2"/>
      <c r="E44" s="2"/>
      <c r="F44" s="2"/>
      <c r="G44" s="2" t="s">
        <v>487</v>
      </c>
      <c r="H44" s="2" t="s">
        <v>489</v>
      </c>
    </row>
    <row r="45" spans="1:8" x14ac:dyDescent="0.25">
      <c r="A45" s="37" t="s">
        <v>460</v>
      </c>
      <c r="B45" s="2"/>
      <c r="C45" s="2"/>
      <c r="D45" s="2"/>
      <c r="E45" s="2"/>
      <c r="F45" s="2"/>
      <c r="G45" s="2" t="s">
        <v>484</v>
      </c>
      <c r="H45" s="43" t="s">
        <v>492</v>
      </c>
    </row>
    <row r="46" spans="1:8" x14ac:dyDescent="0.25">
      <c r="A46" s="37" t="s">
        <v>461</v>
      </c>
      <c r="B46" s="2"/>
      <c r="C46" s="2"/>
      <c r="D46" s="2"/>
      <c r="E46" s="2"/>
      <c r="F46" s="2"/>
      <c r="G46" s="2" t="s">
        <v>488</v>
      </c>
      <c r="H46" s="2" t="s">
        <v>490</v>
      </c>
    </row>
    <row r="47" spans="1:8" x14ac:dyDescent="0.25">
      <c r="A47" s="37" t="s">
        <v>462</v>
      </c>
      <c r="B47" s="2"/>
      <c r="C47" s="2"/>
      <c r="D47" s="2"/>
      <c r="E47" s="2"/>
      <c r="F47" s="2"/>
      <c r="G47" s="2" t="s">
        <v>493</v>
      </c>
      <c r="H47" s="2" t="s">
        <v>494</v>
      </c>
    </row>
    <row r="48" spans="1:8" x14ac:dyDescent="0.25">
      <c r="A48" s="37" t="s">
        <v>463</v>
      </c>
      <c r="B48" s="2"/>
      <c r="C48" s="2"/>
      <c r="D48" s="2"/>
      <c r="E48" s="2"/>
      <c r="F48" s="2"/>
      <c r="G48" s="2" t="s">
        <v>495</v>
      </c>
      <c r="H48" s="2" t="s">
        <v>496</v>
      </c>
    </row>
    <row r="49" spans="1:8" x14ac:dyDescent="0.25">
      <c r="A49" s="37" t="s">
        <v>464</v>
      </c>
      <c r="B49" s="2"/>
      <c r="C49" s="2"/>
      <c r="D49" s="2"/>
      <c r="E49" s="2"/>
      <c r="F49" s="2"/>
      <c r="G49" s="2" t="s">
        <v>485</v>
      </c>
      <c r="H49" s="2" t="s">
        <v>497</v>
      </c>
    </row>
    <row r="50" spans="1:8" x14ac:dyDescent="0.25">
      <c r="A50" s="37" t="s">
        <v>465</v>
      </c>
      <c r="B50" s="2"/>
      <c r="C50" s="2"/>
      <c r="D50" s="2"/>
      <c r="E50" s="2"/>
      <c r="F50" s="2"/>
      <c r="G50" s="2" t="s">
        <v>498</v>
      </c>
      <c r="H50" s="2" t="s">
        <v>499</v>
      </c>
    </row>
    <row r="51" spans="1:8" x14ac:dyDescent="0.25">
      <c r="A51" s="37" t="s">
        <v>466</v>
      </c>
      <c r="B51" s="2"/>
      <c r="C51" s="2"/>
      <c r="D51" s="2"/>
      <c r="E51" s="2"/>
      <c r="F51" s="2"/>
      <c r="G51" s="2" t="s">
        <v>486</v>
      </c>
      <c r="H51" s="2" t="s">
        <v>500</v>
      </c>
    </row>
    <row r="52" spans="1:8" x14ac:dyDescent="0.25">
      <c r="A52" s="37" t="s">
        <v>467</v>
      </c>
      <c r="B52" s="2"/>
      <c r="C52" s="2"/>
      <c r="D52" s="2"/>
      <c r="E52" s="2"/>
      <c r="F52" s="2"/>
      <c r="G52" s="37" t="s">
        <v>467</v>
      </c>
      <c r="H52" s="37" t="s">
        <v>467</v>
      </c>
    </row>
    <row r="53" spans="1:8" x14ac:dyDescent="0.25">
      <c r="A53" s="37" t="s">
        <v>468</v>
      </c>
      <c r="B53" s="2"/>
      <c r="C53" s="2"/>
      <c r="D53" s="2"/>
      <c r="E53" s="2"/>
      <c r="F53" s="2"/>
      <c r="G53" s="37" t="s">
        <v>468</v>
      </c>
      <c r="H53" s="37" t="s">
        <v>468</v>
      </c>
    </row>
    <row r="54" spans="1:8" x14ac:dyDescent="0.25">
      <c r="A54" s="37" t="s">
        <v>469</v>
      </c>
      <c r="B54" s="2"/>
      <c r="C54" s="2"/>
      <c r="D54" s="2"/>
      <c r="E54" s="2"/>
      <c r="F54" s="2"/>
      <c r="G54" s="37" t="s">
        <v>469</v>
      </c>
      <c r="H54" s="37" t="s">
        <v>469</v>
      </c>
    </row>
    <row r="55" spans="1:8" x14ac:dyDescent="0.25">
      <c r="A55" s="37" t="s">
        <v>470</v>
      </c>
      <c r="B55" s="2"/>
      <c r="C55" s="2"/>
      <c r="D55" s="2"/>
      <c r="E55" s="2"/>
      <c r="F55" s="2"/>
      <c r="G55" s="37" t="s">
        <v>470</v>
      </c>
      <c r="H55" s="37" t="s">
        <v>470</v>
      </c>
    </row>
    <row r="56" spans="1:8" x14ac:dyDescent="0.25">
      <c r="A56" s="37" t="s">
        <v>471</v>
      </c>
      <c r="B56" s="2"/>
      <c r="C56" s="2"/>
      <c r="D56" s="2"/>
      <c r="E56" s="2"/>
      <c r="F56" s="2"/>
      <c r="G56" s="37" t="s">
        <v>471</v>
      </c>
      <c r="H56" s="37" t="s">
        <v>471</v>
      </c>
    </row>
    <row r="57" spans="1:8" x14ac:dyDescent="0.25">
      <c r="A57" s="37" t="s">
        <v>472</v>
      </c>
      <c r="B57" s="2"/>
      <c r="C57" s="2"/>
      <c r="D57" s="2"/>
      <c r="E57" s="2"/>
      <c r="F57" s="2"/>
      <c r="G57" s="37" t="s">
        <v>472</v>
      </c>
      <c r="H57" s="37" t="s">
        <v>472</v>
      </c>
    </row>
    <row r="58" spans="1:8" x14ac:dyDescent="0.25">
      <c r="A58" s="37" t="s">
        <v>473</v>
      </c>
      <c r="B58" s="2"/>
      <c r="C58" s="2"/>
      <c r="D58" s="2"/>
      <c r="E58" s="2"/>
      <c r="F58" s="2"/>
      <c r="G58" s="37" t="s">
        <v>473</v>
      </c>
      <c r="H58" s="37" t="s">
        <v>473</v>
      </c>
    </row>
    <row r="59" spans="1:8" x14ac:dyDescent="0.25">
      <c r="A59" s="37" t="s">
        <v>474</v>
      </c>
      <c r="B59" s="2"/>
      <c r="C59" s="2"/>
      <c r="D59" s="2"/>
      <c r="E59" s="2"/>
      <c r="F59" s="2"/>
      <c r="G59" s="37" t="s">
        <v>474</v>
      </c>
      <c r="H59" s="37" t="s">
        <v>474</v>
      </c>
    </row>
    <row r="60" spans="1:8" x14ac:dyDescent="0.25">
      <c r="A60" s="37" t="s">
        <v>475</v>
      </c>
      <c r="B60" s="2"/>
      <c r="C60" s="2"/>
      <c r="D60" s="2"/>
      <c r="E60" s="2"/>
      <c r="F60" s="2"/>
      <c r="G60" s="37" t="s">
        <v>475</v>
      </c>
      <c r="H60" s="37" t="s">
        <v>475</v>
      </c>
    </row>
    <row r="61" spans="1:8" x14ac:dyDescent="0.25">
      <c r="A61" s="37" t="s">
        <v>476</v>
      </c>
      <c r="B61" s="2"/>
      <c r="C61" s="2"/>
      <c r="D61" s="2"/>
      <c r="E61" s="2"/>
      <c r="F61" s="2"/>
      <c r="G61" s="37" t="s">
        <v>476</v>
      </c>
      <c r="H61" s="37" t="s">
        <v>476</v>
      </c>
    </row>
    <row r="62" spans="1:8" x14ac:dyDescent="0.25">
      <c r="A62" s="37" t="s">
        <v>477</v>
      </c>
      <c r="B62" s="2"/>
      <c r="C62" s="2"/>
      <c r="D62" s="2"/>
      <c r="E62" s="2"/>
      <c r="F62" s="2"/>
      <c r="G62" s="37" t="s">
        <v>477</v>
      </c>
      <c r="H62" s="37" t="s">
        <v>477</v>
      </c>
    </row>
    <row r="63" spans="1:8" x14ac:dyDescent="0.25">
      <c r="A63" s="36" t="s">
        <v>326</v>
      </c>
      <c r="B63" s="2"/>
      <c r="C63" s="2"/>
      <c r="D63" s="2"/>
      <c r="E63" s="2"/>
      <c r="F63" s="2"/>
      <c r="G63" s="36" t="s">
        <v>326</v>
      </c>
      <c r="H63" s="36" t="s">
        <v>326</v>
      </c>
    </row>
    <row r="64" spans="1:8" x14ac:dyDescent="0.25">
      <c r="A64" s="36" t="s">
        <v>327</v>
      </c>
      <c r="B64" s="2"/>
      <c r="C64" s="2"/>
      <c r="D64" s="2"/>
      <c r="E64" s="2"/>
      <c r="F64" s="2"/>
      <c r="G64" s="36" t="s">
        <v>327</v>
      </c>
      <c r="H64" s="36" t="s">
        <v>327</v>
      </c>
    </row>
    <row r="65" spans="1:8" x14ac:dyDescent="0.25">
      <c r="A65" s="37" t="s">
        <v>415</v>
      </c>
      <c r="B65" s="2"/>
      <c r="C65" s="2"/>
      <c r="D65" s="2"/>
      <c r="E65" s="2"/>
      <c r="F65" s="2"/>
      <c r="G65" s="37" t="s">
        <v>415</v>
      </c>
      <c r="H65" s="37" t="s">
        <v>415</v>
      </c>
    </row>
    <row r="66" spans="1:8" x14ac:dyDescent="0.25">
      <c r="A66" s="37" t="s">
        <v>416</v>
      </c>
      <c r="B66" s="2"/>
      <c r="C66" s="2"/>
      <c r="D66" s="2"/>
      <c r="E66" s="2"/>
      <c r="F66" s="2"/>
      <c r="G66" s="37" t="s">
        <v>416</v>
      </c>
      <c r="H66" s="37" t="s">
        <v>416</v>
      </c>
    </row>
    <row r="67" spans="1:8" x14ac:dyDescent="0.25">
      <c r="A67" s="37" t="s">
        <v>417</v>
      </c>
      <c r="B67" s="2"/>
      <c r="C67" s="2"/>
      <c r="D67" s="2"/>
      <c r="E67" s="2"/>
      <c r="F67" s="2"/>
      <c r="G67" s="37" t="s">
        <v>417</v>
      </c>
      <c r="H67" s="37" t="s">
        <v>417</v>
      </c>
    </row>
    <row r="68" spans="1:8" x14ac:dyDescent="0.25">
      <c r="A68" s="37" t="s">
        <v>418</v>
      </c>
      <c r="B68" s="2"/>
      <c r="C68" s="2"/>
      <c r="D68" s="2"/>
      <c r="E68" s="2"/>
      <c r="F68" s="2"/>
      <c r="G68" s="37" t="s">
        <v>418</v>
      </c>
      <c r="H68" s="37" t="s">
        <v>418</v>
      </c>
    </row>
    <row r="69" spans="1:8" x14ac:dyDescent="0.25">
      <c r="A69" s="36" t="s">
        <v>328</v>
      </c>
      <c r="B69" s="2"/>
      <c r="C69" s="2"/>
      <c r="D69" s="2"/>
      <c r="E69" s="2"/>
      <c r="F69" s="2"/>
      <c r="G69" s="36" t="s">
        <v>328</v>
      </c>
      <c r="H69" s="36" t="s">
        <v>328</v>
      </c>
    </row>
    <row r="70" spans="1:8" x14ac:dyDescent="0.25">
      <c r="A70" s="37" t="s">
        <v>419</v>
      </c>
      <c r="B70" s="2"/>
      <c r="C70" s="2"/>
      <c r="D70" s="2"/>
      <c r="E70" s="2"/>
      <c r="F70" s="2"/>
      <c r="G70" s="37" t="s">
        <v>419</v>
      </c>
      <c r="H70" s="37" t="s">
        <v>419</v>
      </c>
    </row>
    <row r="71" spans="1:8" x14ac:dyDescent="0.25">
      <c r="A71" s="37" t="s">
        <v>420</v>
      </c>
      <c r="B71" s="2"/>
      <c r="C71" s="2"/>
      <c r="D71" s="2"/>
      <c r="E71" s="2"/>
      <c r="F71" s="2"/>
      <c r="G71" s="37" t="s">
        <v>420</v>
      </c>
      <c r="H71" s="37" t="s">
        <v>420</v>
      </c>
    </row>
    <row r="72" spans="1:8" x14ac:dyDescent="0.25">
      <c r="A72" s="37" t="s">
        <v>421</v>
      </c>
      <c r="B72" s="2"/>
      <c r="C72" s="2"/>
      <c r="D72" s="2"/>
      <c r="E72" s="2"/>
      <c r="F72" s="2"/>
      <c r="G72" s="37" t="s">
        <v>421</v>
      </c>
      <c r="H72" s="37" t="s">
        <v>421</v>
      </c>
    </row>
    <row r="73" spans="1:8" x14ac:dyDescent="0.25">
      <c r="A73" s="37" t="s">
        <v>422</v>
      </c>
      <c r="B73" s="2"/>
      <c r="C73" s="2"/>
      <c r="D73" s="2"/>
      <c r="E73" s="2"/>
      <c r="F73" s="2"/>
      <c r="G73" s="37" t="s">
        <v>422</v>
      </c>
      <c r="H73" s="37" t="s">
        <v>422</v>
      </c>
    </row>
    <row r="74" spans="1:8" x14ac:dyDescent="0.25">
      <c r="A74" s="36" t="s">
        <v>329</v>
      </c>
      <c r="B74" s="2"/>
      <c r="C74" s="2"/>
      <c r="D74" s="2"/>
      <c r="E74" s="2"/>
      <c r="F74" s="2"/>
      <c r="G74" s="36" t="s">
        <v>329</v>
      </c>
      <c r="H74" s="36" t="s">
        <v>329</v>
      </c>
    </row>
    <row r="75" spans="1:8" x14ac:dyDescent="0.25">
      <c r="A75" s="37" t="s">
        <v>253</v>
      </c>
      <c r="B75" s="2"/>
      <c r="C75" s="2"/>
      <c r="D75" s="2"/>
      <c r="E75" s="2"/>
      <c r="F75" s="2"/>
      <c r="G75" s="37" t="s">
        <v>253</v>
      </c>
      <c r="H75" s="37" t="s">
        <v>253</v>
      </c>
    </row>
    <row r="76" spans="1:8" x14ac:dyDescent="0.25">
      <c r="A76" s="37" t="s">
        <v>423</v>
      </c>
      <c r="B76" s="2"/>
      <c r="C76" s="2"/>
      <c r="D76" s="2"/>
      <c r="E76" s="2"/>
      <c r="F76" s="2"/>
      <c r="G76" s="37" t="s">
        <v>423</v>
      </c>
      <c r="H76" s="37" t="s">
        <v>423</v>
      </c>
    </row>
    <row r="77" spans="1:8" x14ac:dyDescent="0.25">
      <c r="A77" s="37" t="s">
        <v>424</v>
      </c>
      <c r="B77" s="2"/>
      <c r="C77" s="2"/>
      <c r="D77" s="2"/>
      <c r="E77" s="2"/>
      <c r="F77" s="2"/>
      <c r="G77" s="37" t="s">
        <v>424</v>
      </c>
      <c r="H77" s="37" t="s">
        <v>424</v>
      </c>
    </row>
    <row r="78" spans="1:8" x14ac:dyDescent="0.25">
      <c r="A78" s="36" t="s">
        <v>366</v>
      </c>
      <c r="B78" s="2"/>
      <c r="C78" s="2"/>
      <c r="D78" s="2"/>
      <c r="E78" s="2"/>
      <c r="F78" s="2"/>
      <c r="G78" s="36" t="s">
        <v>366</v>
      </c>
      <c r="H78" s="36" t="s">
        <v>366</v>
      </c>
    </row>
    <row r="79" spans="1:8" x14ac:dyDescent="0.25">
      <c r="A79" s="37" t="s">
        <v>425</v>
      </c>
      <c r="B79" s="2"/>
      <c r="C79" s="2"/>
      <c r="D79" s="2"/>
      <c r="E79" s="2"/>
      <c r="F79" s="2"/>
      <c r="G79" s="37" t="s">
        <v>425</v>
      </c>
      <c r="H79" s="37" t="s">
        <v>425</v>
      </c>
    </row>
    <row r="80" spans="1:8" x14ac:dyDescent="0.25">
      <c r="A80" s="37" t="s">
        <v>444</v>
      </c>
      <c r="B80" s="2"/>
      <c r="C80" s="2"/>
      <c r="D80" s="2"/>
      <c r="E80" s="2"/>
      <c r="F80" s="2"/>
      <c r="G80" s="37" t="s">
        <v>444</v>
      </c>
      <c r="H80" s="37" t="s">
        <v>444</v>
      </c>
    </row>
    <row r="81" spans="1:8" x14ac:dyDescent="0.25">
      <c r="A81" s="37" t="s">
        <v>426</v>
      </c>
      <c r="B81" s="2"/>
      <c r="C81" s="2"/>
      <c r="D81" s="2"/>
      <c r="E81" s="2"/>
      <c r="F81" s="2"/>
      <c r="G81" s="37" t="s">
        <v>426</v>
      </c>
      <c r="H81" s="37" t="s">
        <v>426</v>
      </c>
    </row>
    <row r="82" spans="1:8" x14ac:dyDescent="0.25">
      <c r="A82" s="37" t="s">
        <v>457</v>
      </c>
      <c r="B82" s="2"/>
      <c r="C82" s="2"/>
      <c r="D82" s="2"/>
      <c r="E82" s="2"/>
      <c r="F82" s="2"/>
      <c r="G82" s="37" t="s">
        <v>457</v>
      </c>
      <c r="H82" s="37" t="s">
        <v>457</v>
      </c>
    </row>
    <row r="83" spans="1:8" x14ac:dyDescent="0.25">
      <c r="A83" s="37" t="s">
        <v>427</v>
      </c>
      <c r="B83" s="2"/>
      <c r="C83" s="2"/>
      <c r="D83" s="2"/>
      <c r="E83" s="2"/>
      <c r="F83" s="2"/>
      <c r="G83" s="37" t="s">
        <v>427</v>
      </c>
      <c r="H83" s="37" t="s">
        <v>427</v>
      </c>
    </row>
    <row r="84" spans="1:8" x14ac:dyDescent="0.25">
      <c r="A84" s="37" t="s">
        <v>445</v>
      </c>
      <c r="B84" s="2"/>
      <c r="C84" s="2"/>
      <c r="D84" s="2"/>
      <c r="E84" s="2"/>
      <c r="F84" s="2"/>
      <c r="G84" s="37" t="s">
        <v>445</v>
      </c>
      <c r="H84" s="37" t="s">
        <v>445</v>
      </c>
    </row>
    <row r="85" spans="1:8" x14ac:dyDescent="0.25">
      <c r="A85" s="37" t="s">
        <v>428</v>
      </c>
      <c r="B85" s="2"/>
      <c r="C85" s="2"/>
      <c r="D85" s="2"/>
      <c r="E85" s="2"/>
      <c r="F85" s="2"/>
      <c r="G85" s="37" t="s">
        <v>428</v>
      </c>
      <c r="H85" s="37" t="s">
        <v>428</v>
      </c>
    </row>
    <row r="86" spans="1:8" x14ac:dyDescent="0.25">
      <c r="A86" s="37" t="s">
        <v>429</v>
      </c>
      <c r="B86" s="2"/>
      <c r="C86" s="2"/>
      <c r="D86" s="2"/>
      <c r="E86" s="2"/>
      <c r="F86" s="2"/>
      <c r="G86" s="37" t="s">
        <v>429</v>
      </c>
      <c r="H86" s="37" t="s">
        <v>429</v>
      </c>
    </row>
    <row r="87" spans="1:8" x14ac:dyDescent="0.25">
      <c r="A87" s="37" t="s">
        <v>430</v>
      </c>
      <c r="B87" s="2"/>
      <c r="C87" s="2"/>
      <c r="D87" s="2"/>
      <c r="E87" s="2"/>
      <c r="F87" s="2"/>
      <c r="G87" s="37" t="s">
        <v>430</v>
      </c>
      <c r="H87" s="37" t="s">
        <v>430</v>
      </c>
    </row>
    <row r="88" spans="1:8" x14ac:dyDescent="0.25">
      <c r="A88" s="37" t="s">
        <v>431</v>
      </c>
      <c r="B88" s="2"/>
      <c r="C88" s="2"/>
      <c r="D88" s="2"/>
      <c r="E88" s="2"/>
      <c r="F88" s="2"/>
      <c r="G88" s="37" t="s">
        <v>431</v>
      </c>
      <c r="H88" s="37" t="s">
        <v>431</v>
      </c>
    </row>
    <row r="89" spans="1:8" x14ac:dyDescent="0.25">
      <c r="A89" s="37" t="s">
        <v>446</v>
      </c>
      <c r="B89" s="2"/>
      <c r="C89" s="2"/>
      <c r="D89" s="2"/>
      <c r="E89" s="2"/>
      <c r="F89" s="2"/>
      <c r="G89" s="37" t="s">
        <v>446</v>
      </c>
      <c r="H89" s="37" t="s">
        <v>446</v>
      </c>
    </row>
    <row r="90" spans="1:8" x14ac:dyDescent="0.25">
      <c r="A90" s="37" t="s">
        <v>432</v>
      </c>
      <c r="B90" s="2"/>
      <c r="C90" s="2"/>
      <c r="D90" s="2"/>
      <c r="E90" s="2"/>
      <c r="F90" s="2"/>
      <c r="G90" s="37" t="s">
        <v>432</v>
      </c>
      <c r="H90" s="37" t="s">
        <v>432</v>
      </c>
    </row>
    <row r="91" spans="1:8" x14ac:dyDescent="0.25">
      <c r="A91" s="37" t="s">
        <v>447</v>
      </c>
      <c r="B91" s="2"/>
      <c r="C91" s="2"/>
      <c r="D91" s="2"/>
      <c r="E91" s="2"/>
      <c r="F91" s="2"/>
      <c r="G91" s="37" t="s">
        <v>447</v>
      </c>
      <c r="H91" s="37" t="s">
        <v>447</v>
      </c>
    </row>
    <row r="92" spans="1:8" x14ac:dyDescent="0.25">
      <c r="A92" s="37" t="s">
        <v>433</v>
      </c>
      <c r="B92" s="2"/>
      <c r="C92" s="2"/>
      <c r="D92" s="2"/>
      <c r="E92" s="2"/>
      <c r="F92" s="2"/>
      <c r="G92" s="37" t="s">
        <v>433</v>
      </c>
      <c r="H92" s="37" t="s">
        <v>433</v>
      </c>
    </row>
    <row r="93" spans="1:8" x14ac:dyDescent="0.25">
      <c r="A93" s="37" t="s">
        <v>434</v>
      </c>
      <c r="B93" s="2"/>
      <c r="C93" s="2"/>
      <c r="D93" s="2"/>
      <c r="E93" s="2"/>
      <c r="F93" s="2"/>
      <c r="G93" s="37" t="s">
        <v>434</v>
      </c>
      <c r="H93" s="37" t="s">
        <v>434</v>
      </c>
    </row>
    <row r="94" spans="1:8" x14ac:dyDescent="0.25">
      <c r="A94" s="37" t="s">
        <v>448</v>
      </c>
      <c r="B94" s="2"/>
      <c r="C94" s="2"/>
      <c r="D94" s="2"/>
      <c r="E94" s="2"/>
      <c r="F94" s="2"/>
      <c r="G94" s="37" t="s">
        <v>448</v>
      </c>
      <c r="H94" s="37" t="s">
        <v>448</v>
      </c>
    </row>
    <row r="95" spans="1:8" x14ac:dyDescent="0.25">
      <c r="A95" s="37" t="s">
        <v>435</v>
      </c>
      <c r="B95" s="2"/>
      <c r="C95" s="2"/>
      <c r="D95" s="2"/>
      <c r="E95" s="2"/>
      <c r="F95" s="2"/>
      <c r="G95" s="37" t="s">
        <v>435</v>
      </c>
      <c r="H95" s="37" t="s">
        <v>435</v>
      </c>
    </row>
    <row r="96" spans="1:8" x14ac:dyDescent="0.25">
      <c r="A96" s="37" t="s">
        <v>436</v>
      </c>
      <c r="B96" s="2"/>
      <c r="C96" s="2"/>
      <c r="D96" s="2"/>
      <c r="E96" s="2"/>
      <c r="F96" s="2"/>
      <c r="G96" s="37" t="s">
        <v>436</v>
      </c>
      <c r="H96" s="37" t="s">
        <v>436</v>
      </c>
    </row>
    <row r="97" spans="1:8" x14ac:dyDescent="0.25">
      <c r="A97" s="37" t="s">
        <v>437</v>
      </c>
      <c r="B97" s="2"/>
      <c r="C97" s="2"/>
      <c r="D97" s="2"/>
      <c r="E97" s="2"/>
      <c r="F97" s="2"/>
      <c r="G97" s="37" t="s">
        <v>437</v>
      </c>
      <c r="H97" s="37" t="s">
        <v>437</v>
      </c>
    </row>
    <row r="98" spans="1:8" x14ac:dyDescent="0.25">
      <c r="A98" s="37" t="s">
        <v>438</v>
      </c>
      <c r="B98" s="2"/>
      <c r="C98" s="2"/>
      <c r="D98" s="2"/>
      <c r="E98" s="2"/>
      <c r="F98" s="2"/>
      <c r="G98" s="37" t="s">
        <v>438</v>
      </c>
      <c r="H98" s="37" t="s">
        <v>438</v>
      </c>
    </row>
    <row r="99" spans="1:8" x14ac:dyDescent="0.25">
      <c r="A99" s="36" t="s">
        <v>367</v>
      </c>
      <c r="B99" s="2"/>
      <c r="C99" s="2"/>
      <c r="D99" s="2"/>
      <c r="E99" s="2"/>
      <c r="F99" s="2"/>
      <c r="G99" s="36" t="s">
        <v>367</v>
      </c>
      <c r="H99" s="36" t="s">
        <v>367</v>
      </c>
    </row>
    <row r="100" spans="1:8" x14ac:dyDescent="0.25">
      <c r="A100" s="37" t="s">
        <v>439</v>
      </c>
      <c r="B100" s="2"/>
      <c r="C100" s="2"/>
      <c r="D100" s="2"/>
      <c r="E100" s="2"/>
      <c r="F100" s="2"/>
      <c r="G100" s="37" t="s">
        <v>439</v>
      </c>
      <c r="H100" s="37" t="s">
        <v>439</v>
      </c>
    </row>
    <row r="101" spans="1:8" x14ac:dyDescent="0.25">
      <c r="A101" s="37" t="s">
        <v>440</v>
      </c>
      <c r="B101" s="2"/>
      <c r="C101" s="2"/>
      <c r="D101" s="2"/>
      <c r="E101" s="2"/>
      <c r="F101" s="2"/>
      <c r="G101" s="37" t="s">
        <v>440</v>
      </c>
      <c r="H101" s="37" t="s">
        <v>440</v>
      </c>
    </row>
    <row r="102" spans="1:8" x14ac:dyDescent="0.25">
      <c r="A102" s="37" t="s">
        <v>441</v>
      </c>
      <c r="B102" s="2"/>
      <c r="C102" s="2"/>
      <c r="D102" s="2"/>
      <c r="E102" s="2"/>
      <c r="F102" s="2"/>
      <c r="G102" s="37" t="s">
        <v>441</v>
      </c>
      <c r="H102" s="37" t="s">
        <v>441</v>
      </c>
    </row>
    <row r="103" spans="1:8" x14ac:dyDescent="0.25">
      <c r="A103" s="36" t="s">
        <v>368</v>
      </c>
      <c r="B103" s="2"/>
      <c r="C103" s="2"/>
      <c r="D103" s="2"/>
      <c r="E103" s="2"/>
      <c r="F103" s="2"/>
      <c r="G103" s="36" t="s">
        <v>368</v>
      </c>
      <c r="H103" s="36" t="s">
        <v>368</v>
      </c>
    </row>
    <row r="104" spans="1:8" x14ac:dyDescent="0.25">
      <c r="A104" s="37" t="s">
        <v>442</v>
      </c>
      <c r="B104" s="2"/>
      <c r="C104" s="2"/>
      <c r="D104" s="2"/>
      <c r="E104" s="2"/>
      <c r="F104" s="2"/>
      <c r="G104" s="37" t="s">
        <v>442</v>
      </c>
      <c r="H104" s="37" t="s">
        <v>442</v>
      </c>
    </row>
    <row r="105" spans="1:8" x14ac:dyDescent="0.25">
      <c r="A105" s="37" t="s">
        <v>449</v>
      </c>
      <c r="B105" s="2"/>
      <c r="C105" s="2"/>
      <c r="D105" s="2"/>
      <c r="E105" s="2"/>
      <c r="F105" s="2"/>
      <c r="G105" s="37" t="s">
        <v>449</v>
      </c>
      <c r="H105" s="37" t="s">
        <v>449</v>
      </c>
    </row>
    <row r="106" spans="1:8" x14ac:dyDescent="0.25">
      <c r="A106" s="37" t="s">
        <v>455</v>
      </c>
      <c r="B106" s="2"/>
      <c r="C106" s="2"/>
      <c r="D106" s="2"/>
      <c r="E106" s="2"/>
      <c r="F106" s="2"/>
      <c r="G106" s="37" t="s">
        <v>455</v>
      </c>
      <c r="H106" s="37" t="s">
        <v>455</v>
      </c>
    </row>
    <row r="107" spans="1:8" x14ac:dyDescent="0.25">
      <c r="A107" s="37" t="s">
        <v>456</v>
      </c>
      <c r="B107" s="2"/>
      <c r="C107" s="2"/>
      <c r="D107" s="2"/>
      <c r="E107" s="2"/>
      <c r="F107" s="2"/>
      <c r="G107" s="37" t="s">
        <v>456</v>
      </c>
      <c r="H107" s="37" t="s">
        <v>456</v>
      </c>
    </row>
    <row r="108" spans="1:8" x14ac:dyDescent="0.25">
      <c r="A108" s="37" t="s">
        <v>450</v>
      </c>
      <c r="B108" s="2"/>
      <c r="C108" s="2"/>
      <c r="D108" s="2"/>
      <c r="E108" s="2"/>
      <c r="F108" s="2"/>
      <c r="G108" s="37" t="s">
        <v>450</v>
      </c>
      <c r="H108" s="37" t="s">
        <v>450</v>
      </c>
    </row>
    <row r="109" spans="1:8" x14ac:dyDescent="0.25">
      <c r="A109" s="36" t="s">
        <v>369</v>
      </c>
      <c r="B109" s="2"/>
      <c r="C109" s="2"/>
      <c r="D109" s="2"/>
      <c r="E109" s="2"/>
      <c r="F109" s="2"/>
      <c r="G109" s="36" t="s">
        <v>369</v>
      </c>
      <c r="H109" s="36" t="s">
        <v>369</v>
      </c>
    </row>
    <row r="110" spans="1:8" x14ac:dyDescent="0.25">
      <c r="A110" s="37" t="s">
        <v>443</v>
      </c>
      <c r="B110" s="2"/>
      <c r="C110" s="2"/>
      <c r="D110" s="2"/>
      <c r="E110" s="2"/>
      <c r="F110" s="2"/>
      <c r="G110" s="37" t="s">
        <v>443</v>
      </c>
      <c r="H110" s="37" t="s">
        <v>443</v>
      </c>
    </row>
    <row r="111" spans="1:8" x14ac:dyDescent="0.25">
      <c r="A111" s="37" t="s">
        <v>451</v>
      </c>
      <c r="B111" s="2"/>
      <c r="C111" s="2"/>
      <c r="D111" s="2"/>
      <c r="E111" s="2"/>
      <c r="F111" s="2"/>
      <c r="G111" s="37" t="s">
        <v>451</v>
      </c>
      <c r="H111" s="37" t="s">
        <v>451</v>
      </c>
    </row>
    <row r="112" spans="1:8" x14ac:dyDescent="0.25">
      <c r="A112" s="37" t="s">
        <v>452</v>
      </c>
      <c r="B112" s="2"/>
      <c r="C112" s="2"/>
      <c r="D112" s="2"/>
      <c r="E112" s="2"/>
      <c r="F112" s="2"/>
      <c r="G112" s="37" t="s">
        <v>452</v>
      </c>
      <c r="H112" s="37" t="s">
        <v>452</v>
      </c>
    </row>
    <row r="113" spans="1:8" x14ac:dyDescent="0.25">
      <c r="A113" s="37" t="s">
        <v>453</v>
      </c>
      <c r="B113" s="2"/>
      <c r="C113" s="2"/>
      <c r="D113" s="2"/>
      <c r="E113" s="2"/>
      <c r="F113" s="2"/>
      <c r="G113" s="37" t="s">
        <v>453</v>
      </c>
      <c r="H113" s="37" t="s">
        <v>453</v>
      </c>
    </row>
    <row r="114" spans="1:8" x14ac:dyDescent="0.25">
      <c r="A114" s="37" t="s">
        <v>454</v>
      </c>
      <c r="B114" s="2"/>
      <c r="C114" s="2"/>
      <c r="D114" s="2"/>
      <c r="E114" s="2"/>
      <c r="F114" s="2"/>
      <c r="G114" s="37" t="s">
        <v>454</v>
      </c>
      <c r="H114" s="37" t="s">
        <v>454</v>
      </c>
    </row>
  </sheetData>
  <phoneticPr fontId="1" type="noConversion"/>
  <dataValidations count="1">
    <dataValidation type="list" showInputMessage="1" promptTitle="Language" prompt="Choose a language" sqref="J1" xr:uid="{CCB1E06A-8CCF-4F7B-9486-14BD9D80E745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Q91"/>
  <sheetViews>
    <sheetView zoomScale="82" zoomScaleNormal="82" workbookViewId="0">
      <selection activeCell="O12" sqref="O1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31.5703125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s="46" t="s">
        <v>116</v>
      </c>
      <c r="P3" t="s">
        <v>108</v>
      </c>
      <c r="Q3" t="s">
        <v>324</v>
      </c>
    </row>
    <row r="4" spans="2:17" ht="45" x14ac:dyDescent="0.25">
      <c r="B4" s="14" t="s">
        <v>503</v>
      </c>
      <c r="C4" s="15" t="s">
        <v>113</v>
      </c>
      <c r="D4" s="15" t="s">
        <v>94</v>
      </c>
      <c r="E4" s="15" t="s">
        <v>137</v>
      </c>
      <c r="F4" s="15" t="s">
        <v>0</v>
      </c>
      <c r="G4" s="15" t="s">
        <v>98</v>
      </c>
      <c r="H4" s="15" t="s">
        <v>94</v>
      </c>
      <c r="I4" s="15" t="s">
        <v>93</v>
      </c>
      <c r="J4" s="15"/>
      <c r="K4" s="15"/>
      <c r="L4" s="15">
        <v>1</v>
      </c>
      <c r="M4" s="15" t="s">
        <v>94</v>
      </c>
      <c r="N4" s="15" t="s">
        <v>87</v>
      </c>
      <c r="O4" s="16" t="s">
        <v>177</v>
      </c>
      <c r="P4" s="15" t="s">
        <v>106</v>
      </c>
      <c r="Q4" s="15"/>
    </row>
    <row r="5" spans="2:17" ht="30" x14ac:dyDescent="0.25">
      <c r="B5" s="15"/>
      <c r="C5" s="15"/>
      <c r="D5" s="15"/>
      <c r="E5" s="15"/>
      <c r="F5" s="15" t="s">
        <v>47</v>
      </c>
      <c r="G5" s="15" t="s">
        <v>101</v>
      </c>
      <c r="H5" s="15" t="s">
        <v>94</v>
      </c>
      <c r="I5" s="15" t="s">
        <v>73</v>
      </c>
      <c r="J5" s="15"/>
      <c r="K5" s="15"/>
      <c r="L5" s="15">
        <v>1</v>
      </c>
      <c r="M5" s="15" t="s">
        <v>96</v>
      </c>
      <c r="N5" s="15" t="s">
        <v>83</v>
      </c>
      <c r="O5" s="16" t="s">
        <v>178</v>
      </c>
      <c r="P5" s="15" t="s">
        <v>109</v>
      </c>
      <c r="Q5" s="15"/>
    </row>
    <row r="6" spans="2:17" ht="30" x14ac:dyDescent="0.25">
      <c r="B6" s="15"/>
      <c r="C6" s="15"/>
      <c r="D6" s="15"/>
      <c r="E6" s="15"/>
      <c r="F6" s="15" t="s">
        <v>102</v>
      </c>
      <c r="G6" s="15" t="s">
        <v>101</v>
      </c>
      <c r="H6" s="15" t="s">
        <v>94</v>
      </c>
      <c r="I6" s="15" t="s">
        <v>103</v>
      </c>
      <c r="J6" s="15"/>
      <c r="K6" s="15"/>
      <c r="L6" s="15">
        <v>1</v>
      </c>
      <c r="M6" s="15" t="s">
        <v>96</v>
      </c>
      <c r="N6" s="15" t="s">
        <v>78</v>
      </c>
      <c r="O6" s="16" t="s">
        <v>178</v>
      </c>
      <c r="P6" s="15" t="s">
        <v>109</v>
      </c>
      <c r="Q6" s="15"/>
    </row>
    <row r="7" spans="2:17" x14ac:dyDescent="0.25">
      <c r="B7" s="15"/>
      <c r="C7" s="15"/>
      <c r="D7" s="15"/>
      <c r="E7" s="15"/>
      <c r="F7" s="15" t="s">
        <v>95</v>
      </c>
      <c r="G7" s="15" t="s">
        <v>99</v>
      </c>
      <c r="H7" s="15" t="s">
        <v>96</v>
      </c>
      <c r="I7" s="15" t="s">
        <v>74</v>
      </c>
      <c r="J7" s="15"/>
      <c r="K7" s="15" t="s">
        <v>156</v>
      </c>
      <c r="L7" s="15">
        <v>1</v>
      </c>
      <c r="M7" s="15" t="s">
        <v>96</v>
      </c>
      <c r="N7" s="15"/>
      <c r="O7" s="16"/>
      <c r="P7" s="15"/>
      <c r="Q7" s="15"/>
    </row>
    <row r="8" spans="2:17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6"/>
      <c r="P8" s="15"/>
      <c r="Q8" s="15"/>
    </row>
    <row r="9" spans="2:17" ht="30" x14ac:dyDescent="0.25">
      <c r="B9" s="14" t="s">
        <v>502</v>
      </c>
      <c r="C9" s="15" t="s">
        <v>241</v>
      </c>
      <c r="D9" s="15" t="s">
        <v>94</v>
      </c>
      <c r="E9" s="16" t="s">
        <v>604</v>
      </c>
      <c r="F9" s="15" t="s">
        <v>197</v>
      </c>
      <c r="G9" s="15"/>
      <c r="H9" s="15"/>
      <c r="I9" s="15" t="s">
        <v>201</v>
      </c>
      <c r="J9" s="15"/>
      <c r="K9" s="15"/>
      <c r="L9" s="15">
        <v>1</v>
      </c>
      <c r="M9" s="15"/>
      <c r="N9" s="15" t="s">
        <v>134</v>
      </c>
      <c r="O9" s="16" t="s">
        <v>669</v>
      </c>
      <c r="P9" s="15" t="s">
        <v>106</v>
      </c>
      <c r="Q9" s="15"/>
    </row>
    <row r="10" spans="2:17" x14ac:dyDescent="0.25">
      <c r="B10" s="15"/>
      <c r="C10" s="15"/>
      <c r="D10" s="15"/>
      <c r="E10" s="15"/>
      <c r="F10" s="34" t="s">
        <v>193</v>
      </c>
      <c r="G10" s="34" t="s">
        <v>101</v>
      </c>
      <c r="H10" s="34" t="s">
        <v>94</v>
      </c>
      <c r="I10" s="33" t="s">
        <v>73</v>
      </c>
      <c r="J10" s="33" t="s">
        <v>370</v>
      </c>
      <c r="K10" s="34"/>
      <c r="L10" s="34">
        <v>4</v>
      </c>
      <c r="M10" s="34" t="s">
        <v>96</v>
      </c>
      <c r="N10" s="35"/>
      <c r="O10" s="47"/>
      <c r="P10" s="35"/>
      <c r="Q10" s="34" t="s">
        <v>252</v>
      </c>
    </row>
    <row r="11" spans="2:17" x14ac:dyDescent="0.25">
      <c r="B11" s="15"/>
      <c r="C11" s="15"/>
      <c r="D11" s="15"/>
      <c r="E11" s="15"/>
      <c r="F11" s="34" t="s">
        <v>194</v>
      </c>
      <c r="G11" s="34" t="s">
        <v>101</v>
      </c>
      <c r="H11" s="34" t="s">
        <v>94</v>
      </c>
      <c r="I11" s="33" t="s">
        <v>103</v>
      </c>
      <c r="J11" s="34" t="s">
        <v>371</v>
      </c>
      <c r="K11" s="34"/>
      <c r="L11" s="34">
        <v>4</v>
      </c>
      <c r="M11" s="34" t="s">
        <v>96</v>
      </c>
      <c r="N11" s="35"/>
      <c r="O11" s="47"/>
      <c r="P11" s="35"/>
      <c r="Q11" s="34" t="s">
        <v>283</v>
      </c>
    </row>
    <row r="12" spans="2:17" x14ac:dyDescent="0.25">
      <c r="B12" s="15"/>
      <c r="C12" s="15"/>
      <c r="D12" s="15"/>
      <c r="E12" s="15"/>
      <c r="F12" s="34" t="s">
        <v>195</v>
      </c>
      <c r="G12" s="34" t="s">
        <v>101</v>
      </c>
      <c r="H12" s="34" t="s">
        <v>94</v>
      </c>
      <c r="I12" s="33" t="s">
        <v>105</v>
      </c>
      <c r="J12" s="34" t="s">
        <v>372</v>
      </c>
      <c r="K12" s="34"/>
      <c r="L12" s="34">
        <v>4</v>
      </c>
      <c r="M12" s="34" t="s">
        <v>96</v>
      </c>
      <c r="N12" s="35"/>
      <c r="O12" s="47"/>
      <c r="P12" s="35"/>
      <c r="Q12" s="34" t="s">
        <v>284</v>
      </c>
    </row>
    <row r="13" spans="2:17" x14ac:dyDescent="0.25">
      <c r="B13" s="15"/>
      <c r="C13" s="15"/>
      <c r="D13" s="15"/>
      <c r="E13" s="15"/>
      <c r="F13" s="34" t="s">
        <v>382</v>
      </c>
      <c r="G13" s="34" t="s">
        <v>99</v>
      </c>
      <c r="H13" s="34" t="s">
        <v>94</v>
      </c>
      <c r="I13" s="34" t="s">
        <v>380</v>
      </c>
      <c r="J13" s="34"/>
      <c r="K13" s="33" t="s">
        <v>196</v>
      </c>
      <c r="L13" s="34">
        <v>4</v>
      </c>
      <c r="M13" s="34" t="s">
        <v>96</v>
      </c>
      <c r="N13" s="35"/>
      <c r="O13" s="47"/>
      <c r="P13" s="35"/>
      <c r="Q13" s="34" t="s">
        <v>285</v>
      </c>
    </row>
    <row r="14" spans="2:17" x14ac:dyDescent="0.25">
      <c r="B14" s="15"/>
      <c r="C14" s="15"/>
      <c r="D14" s="15"/>
      <c r="E14" s="15"/>
      <c r="F14" s="34" t="s">
        <v>383</v>
      </c>
      <c r="G14" s="34" t="s">
        <v>99</v>
      </c>
      <c r="H14" s="34" t="s">
        <v>94</v>
      </c>
      <c r="I14" s="34" t="s">
        <v>381</v>
      </c>
      <c r="J14" s="34"/>
      <c r="K14" s="33" t="s">
        <v>196</v>
      </c>
      <c r="L14" s="34">
        <v>4</v>
      </c>
      <c r="M14" s="34" t="s">
        <v>96</v>
      </c>
      <c r="N14" s="35"/>
      <c r="O14" s="47"/>
      <c r="P14" s="35"/>
      <c r="Q14" s="34" t="s">
        <v>286</v>
      </c>
    </row>
    <row r="15" spans="2:17" x14ac:dyDescent="0.25">
      <c r="B15" s="15"/>
      <c r="C15" s="15"/>
      <c r="D15" s="15"/>
      <c r="E15" s="15"/>
      <c r="F15" s="33" t="s">
        <v>197</v>
      </c>
      <c r="G15" s="33"/>
      <c r="H15" s="34"/>
      <c r="I15" s="33" t="s">
        <v>329</v>
      </c>
      <c r="J15" s="33"/>
      <c r="K15" s="33"/>
      <c r="L15" s="33">
        <v>2</v>
      </c>
      <c r="M15" s="34"/>
      <c r="N15" s="35"/>
      <c r="O15" s="47"/>
      <c r="P15" s="35"/>
      <c r="Q15" s="34"/>
    </row>
    <row r="16" spans="2:17" x14ac:dyDescent="0.25">
      <c r="B16" s="15"/>
      <c r="C16" s="15"/>
      <c r="D16" s="15"/>
      <c r="E16" s="15"/>
      <c r="F16" s="33" t="s">
        <v>197</v>
      </c>
      <c r="G16" s="33"/>
      <c r="H16" s="34"/>
      <c r="I16" s="33" t="s">
        <v>325</v>
      </c>
      <c r="J16" s="33"/>
      <c r="K16" s="33"/>
      <c r="L16" s="33">
        <v>2</v>
      </c>
      <c r="M16" s="34"/>
      <c r="N16" s="35"/>
      <c r="O16" s="47"/>
      <c r="P16" s="35"/>
      <c r="Q16" s="34"/>
    </row>
    <row r="17" spans="2:17" x14ac:dyDescent="0.25">
      <c r="B17" s="15"/>
      <c r="C17" s="15"/>
      <c r="D17" s="15"/>
      <c r="E17" s="15"/>
      <c r="F17" s="34" t="s">
        <v>384</v>
      </c>
      <c r="G17" s="34" t="s">
        <v>149</v>
      </c>
      <c r="H17" s="34" t="s">
        <v>96</v>
      </c>
      <c r="I17" s="34" t="s">
        <v>458</v>
      </c>
      <c r="J17" s="34"/>
      <c r="K17" s="34"/>
      <c r="L17" s="34">
        <v>4</v>
      </c>
      <c r="M17" s="34" t="s">
        <v>96</v>
      </c>
      <c r="N17" s="35"/>
      <c r="O17" s="47"/>
      <c r="P17" s="35"/>
      <c r="Q17" s="34" t="s">
        <v>254</v>
      </c>
    </row>
    <row r="18" spans="2:17" x14ac:dyDescent="0.25">
      <c r="B18" s="15"/>
      <c r="C18" s="15"/>
      <c r="D18" s="15"/>
      <c r="E18" s="15"/>
      <c r="F18" s="34" t="s">
        <v>385</v>
      </c>
      <c r="G18" s="34" t="s">
        <v>101</v>
      </c>
      <c r="H18" s="34" t="s">
        <v>96</v>
      </c>
      <c r="I18" s="34" t="s">
        <v>459</v>
      </c>
      <c r="J18" s="34" t="s">
        <v>373</v>
      </c>
      <c r="K18" s="34"/>
      <c r="L18" s="34">
        <v>4</v>
      </c>
      <c r="M18" s="34" t="s">
        <v>96</v>
      </c>
      <c r="N18" s="35"/>
      <c r="O18" s="47"/>
      <c r="P18" s="35"/>
      <c r="Q18" s="34" t="s">
        <v>255</v>
      </c>
    </row>
    <row r="19" spans="2:17" x14ac:dyDescent="0.25">
      <c r="B19" s="15"/>
      <c r="C19" s="15"/>
      <c r="D19" s="15"/>
      <c r="E19" s="15"/>
      <c r="F19" s="34" t="s">
        <v>386</v>
      </c>
      <c r="G19" s="34" t="s">
        <v>149</v>
      </c>
      <c r="H19" s="34" t="s">
        <v>96</v>
      </c>
      <c r="I19" s="34" t="s">
        <v>460</v>
      </c>
      <c r="J19" s="34"/>
      <c r="K19" s="34"/>
      <c r="L19" s="34">
        <v>4</v>
      </c>
      <c r="M19" s="34" t="s">
        <v>96</v>
      </c>
      <c r="N19" s="35"/>
      <c r="O19" s="47"/>
      <c r="P19" s="35"/>
      <c r="Q19" s="34" t="s">
        <v>256</v>
      </c>
    </row>
    <row r="20" spans="2:17" x14ac:dyDescent="0.25">
      <c r="B20" s="15"/>
      <c r="C20" s="15"/>
      <c r="D20" s="15"/>
      <c r="E20" s="15"/>
      <c r="F20" s="34" t="s">
        <v>387</v>
      </c>
      <c r="G20" s="34" t="s">
        <v>101</v>
      </c>
      <c r="H20" s="34" t="s">
        <v>96</v>
      </c>
      <c r="I20" s="34" t="s">
        <v>461</v>
      </c>
      <c r="J20" s="34" t="s">
        <v>373</v>
      </c>
      <c r="K20" s="34"/>
      <c r="L20" s="34">
        <v>4</v>
      </c>
      <c r="M20" s="34" t="s">
        <v>96</v>
      </c>
      <c r="N20" s="35"/>
      <c r="O20" s="47"/>
      <c r="P20" s="35"/>
      <c r="Q20" s="34" t="s">
        <v>257</v>
      </c>
    </row>
    <row r="21" spans="2:17" x14ac:dyDescent="0.25">
      <c r="B21" s="15"/>
      <c r="C21" s="15"/>
      <c r="D21" s="15"/>
      <c r="E21" s="15"/>
      <c r="F21" s="34" t="s">
        <v>388</v>
      </c>
      <c r="G21" s="34" t="s">
        <v>149</v>
      </c>
      <c r="H21" s="34" t="s">
        <v>96</v>
      </c>
      <c r="I21" s="34" t="s">
        <v>462</v>
      </c>
      <c r="J21" s="34"/>
      <c r="K21" s="34"/>
      <c r="L21" s="34">
        <v>4</v>
      </c>
      <c r="M21" s="34" t="s">
        <v>96</v>
      </c>
      <c r="N21" s="35"/>
      <c r="O21" s="47"/>
      <c r="P21" s="35"/>
      <c r="Q21" s="34" t="s">
        <v>258</v>
      </c>
    </row>
    <row r="22" spans="2:17" x14ac:dyDescent="0.25">
      <c r="B22" s="15"/>
      <c r="C22" s="15"/>
      <c r="D22" s="15"/>
      <c r="E22" s="15"/>
      <c r="F22" s="34" t="s">
        <v>389</v>
      </c>
      <c r="G22" s="34" t="s">
        <v>101</v>
      </c>
      <c r="H22" s="34" t="s">
        <v>96</v>
      </c>
      <c r="I22" s="34" t="s">
        <v>463</v>
      </c>
      <c r="J22" s="34" t="s">
        <v>374</v>
      </c>
      <c r="K22" s="34"/>
      <c r="L22" s="34">
        <v>4</v>
      </c>
      <c r="M22" s="34" t="s">
        <v>96</v>
      </c>
      <c r="N22" s="35"/>
      <c r="O22" s="47"/>
      <c r="P22" s="35"/>
      <c r="Q22" s="34" t="s">
        <v>259</v>
      </c>
    </row>
    <row r="23" spans="2:17" x14ac:dyDescent="0.25">
      <c r="B23" s="15"/>
      <c r="C23" s="15"/>
      <c r="D23" s="15"/>
      <c r="E23" s="15"/>
      <c r="F23" s="34" t="s">
        <v>390</v>
      </c>
      <c r="G23" s="34" t="s">
        <v>149</v>
      </c>
      <c r="H23" s="34" t="s">
        <v>96</v>
      </c>
      <c r="I23" s="34" t="s">
        <v>464</v>
      </c>
      <c r="J23" s="34"/>
      <c r="K23" s="34"/>
      <c r="L23" s="34">
        <v>4</v>
      </c>
      <c r="M23" s="34" t="s">
        <v>96</v>
      </c>
      <c r="N23" s="35"/>
      <c r="O23" s="47"/>
      <c r="P23" s="35"/>
      <c r="Q23" s="34" t="s">
        <v>260</v>
      </c>
    </row>
    <row r="24" spans="2:17" x14ac:dyDescent="0.25">
      <c r="B24" s="15"/>
      <c r="C24" s="15"/>
      <c r="D24" s="15"/>
      <c r="E24" s="15"/>
      <c r="F24" s="34" t="s">
        <v>391</v>
      </c>
      <c r="G24" s="34" t="s">
        <v>98</v>
      </c>
      <c r="H24" s="34" t="s">
        <v>96</v>
      </c>
      <c r="I24" s="34" t="s">
        <v>465</v>
      </c>
      <c r="J24" s="34"/>
      <c r="K24" s="34"/>
      <c r="L24" s="34">
        <v>4</v>
      </c>
      <c r="M24" s="34" t="s">
        <v>96</v>
      </c>
      <c r="N24" s="35"/>
      <c r="O24" s="47"/>
      <c r="P24" s="35"/>
      <c r="Q24" s="34" t="s">
        <v>261</v>
      </c>
    </row>
    <row r="25" spans="2:17" x14ac:dyDescent="0.25">
      <c r="B25" s="15"/>
      <c r="C25" s="15"/>
      <c r="D25" s="15"/>
      <c r="E25" s="15"/>
      <c r="F25" s="34" t="s">
        <v>392</v>
      </c>
      <c r="G25" s="34" t="s">
        <v>149</v>
      </c>
      <c r="H25" s="34" t="s">
        <v>96</v>
      </c>
      <c r="I25" s="34" t="s">
        <v>466</v>
      </c>
      <c r="J25" s="34"/>
      <c r="K25" s="34"/>
      <c r="L25" s="34">
        <v>4</v>
      </c>
      <c r="M25" s="34" t="s">
        <v>96</v>
      </c>
      <c r="N25" s="35"/>
      <c r="O25" s="47"/>
      <c r="P25" s="35"/>
      <c r="Q25" s="34" t="s">
        <v>262</v>
      </c>
    </row>
    <row r="26" spans="2:17" x14ac:dyDescent="0.25">
      <c r="B26" s="15"/>
      <c r="C26" s="15"/>
      <c r="D26" s="15"/>
      <c r="E26" s="15"/>
      <c r="F26" s="34" t="s">
        <v>393</v>
      </c>
      <c r="G26" s="34" t="s">
        <v>149</v>
      </c>
      <c r="H26" s="34" t="s">
        <v>96</v>
      </c>
      <c r="I26" s="34" t="s">
        <v>467</v>
      </c>
      <c r="J26" s="34"/>
      <c r="K26" s="34"/>
      <c r="L26" s="34">
        <v>4</v>
      </c>
      <c r="M26" s="34" t="s">
        <v>96</v>
      </c>
      <c r="N26" s="35"/>
      <c r="O26" s="47"/>
      <c r="P26" s="35"/>
      <c r="Q26" s="34" t="s">
        <v>263</v>
      </c>
    </row>
    <row r="27" spans="2:17" x14ac:dyDescent="0.25">
      <c r="B27" s="15"/>
      <c r="C27" s="15"/>
      <c r="D27" s="15"/>
      <c r="E27" s="15"/>
      <c r="F27" s="34" t="s">
        <v>394</v>
      </c>
      <c r="G27" s="34" t="s">
        <v>98</v>
      </c>
      <c r="H27" s="34" t="s">
        <v>96</v>
      </c>
      <c r="I27" s="34" t="s">
        <v>468</v>
      </c>
      <c r="J27" s="34" t="s">
        <v>375</v>
      </c>
      <c r="K27" s="34"/>
      <c r="L27" s="34">
        <v>4</v>
      </c>
      <c r="M27" s="34" t="s">
        <v>96</v>
      </c>
      <c r="N27" s="35"/>
      <c r="O27" s="47"/>
      <c r="P27" s="35"/>
      <c r="Q27" s="34" t="s">
        <v>264</v>
      </c>
    </row>
    <row r="28" spans="2:17" x14ac:dyDescent="0.25">
      <c r="B28" s="15"/>
      <c r="C28" s="15"/>
      <c r="D28" s="15"/>
      <c r="E28" s="15"/>
      <c r="F28" s="34" t="s">
        <v>395</v>
      </c>
      <c r="G28" s="34" t="s">
        <v>149</v>
      </c>
      <c r="H28" s="34" t="s">
        <v>96</v>
      </c>
      <c r="I28" s="34" t="s">
        <v>469</v>
      </c>
      <c r="J28" s="34"/>
      <c r="K28" s="34"/>
      <c r="L28" s="34">
        <v>4</v>
      </c>
      <c r="M28" s="34" t="s">
        <v>96</v>
      </c>
      <c r="N28" s="35"/>
      <c r="O28" s="47"/>
      <c r="P28" s="35"/>
      <c r="Q28" s="34" t="s">
        <v>265</v>
      </c>
    </row>
    <row r="29" spans="2:17" x14ac:dyDescent="0.25">
      <c r="B29" s="15"/>
      <c r="C29" s="15"/>
      <c r="D29" s="15"/>
      <c r="E29" s="15"/>
      <c r="F29" s="34" t="s">
        <v>396</v>
      </c>
      <c r="G29" s="34" t="s">
        <v>101</v>
      </c>
      <c r="H29" s="34" t="s">
        <v>96</v>
      </c>
      <c r="I29" s="34" t="s">
        <v>470</v>
      </c>
      <c r="J29" s="34" t="s">
        <v>376</v>
      </c>
      <c r="K29" s="34"/>
      <c r="L29" s="34">
        <v>4</v>
      </c>
      <c r="M29" s="34" t="s">
        <v>96</v>
      </c>
      <c r="N29" s="35"/>
      <c r="O29" s="47"/>
      <c r="P29" s="35"/>
      <c r="Q29" s="34" t="s">
        <v>266</v>
      </c>
    </row>
    <row r="30" spans="2:17" x14ac:dyDescent="0.25">
      <c r="B30" s="15"/>
      <c r="C30" s="15"/>
      <c r="D30" s="15"/>
      <c r="E30" s="15"/>
      <c r="F30" s="34" t="s">
        <v>397</v>
      </c>
      <c r="G30" s="34" t="s">
        <v>149</v>
      </c>
      <c r="H30" s="34" t="s">
        <v>96</v>
      </c>
      <c r="I30" s="34" t="s">
        <v>471</v>
      </c>
      <c r="J30" s="34"/>
      <c r="K30" s="34"/>
      <c r="L30" s="34">
        <v>4</v>
      </c>
      <c r="M30" s="34" t="s">
        <v>96</v>
      </c>
      <c r="N30" s="35"/>
      <c r="O30" s="47"/>
      <c r="P30" s="35"/>
      <c r="Q30" s="34" t="s">
        <v>267</v>
      </c>
    </row>
    <row r="31" spans="2:17" x14ac:dyDescent="0.25">
      <c r="B31" s="15"/>
      <c r="C31" s="15"/>
      <c r="D31" s="15"/>
      <c r="E31" s="15"/>
      <c r="F31" s="34" t="s">
        <v>398</v>
      </c>
      <c r="G31" s="34" t="s">
        <v>149</v>
      </c>
      <c r="H31" s="34" t="s">
        <v>96</v>
      </c>
      <c r="I31" s="34" t="s">
        <v>472</v>
      </c>
      <c r="J31" s="34"/>
      <c r="K31" s="34"/>
      <c r="L31" s="34">
        <v>4</v>
      </c>
      <c r="M31" s="34" t="s">
        <v>96</v>
      </c>
      <c r="N31" s="35"/>
      <c r="O31" s="47"/>
      <c r="P31" s="35"/>
      <c r="Q31" s="34" t="s">
        <v>268</v>
      </c>
    </row>
    <row r="32" spans="2:17" x14ac:dyDescent="0.25">
      <c r="B32" s="15"/>
      <c r="C32" s="15"/>
      <c r="D32" s="15"/>
      <c r="E32" s="15"/>
      <c r="F32" s="34" t="s">
        <v>399</v>
      </c>
      <c r="G32" s="34" t="s">
        <v>101</v>
      </c>
      <c r="H32" s="34" t="s">
        <v>96</v>
      </c>
      <c r="I32" s="34" t="s">
        <v>473</v>
      </c>
      <c r="J32" s="34" t="s">
        <v>370</v>
      </c>
      <c r="K32" s="34"/>
      <c r="L32" s="34">
        <v>4</v>
      </c>
      <c r="M32" s="34" t="s">
        <v>96</v>
      </c>
      <c r="N32" s="35"/>
      <c r="O32" s="47"/>
      <c r="P32" s="35"/>
      <c r="Q32" s="34" t="s">
        <v>269</v>
      </c>
    </row>
    <row r="33" spans="2:17" x14ac:dyDescent="0.25">
      <c r="B33" s="15"/>
      <c r="C33" s="15"/>
      <c r="D33" s="15"/>
      <c r="E33" s="15"/>
      <c r="F33" s="34" t="s">
        <v>400</v>
      </c>
      <c r="G33" s="34" t="s">
        <v>101</v>
      </c>
      <c r="H33" s="34" t="s">
        <v>96</v>
      </c>
      <c r="I33" s="34" t="s">
        <v>474</v>
      </c>
      <c r="J33" s="34"/>
      <c r="K33" s="34"/>
      <c r="L33" s="34">
        <v>4</v>
      </c>
      <c r="M33" s="34" t="s">
        <v>96</v>
      </c>
      <c r="N33" s="35"/>
      <c r="O33" s="47"/>
      <c r="P33" s="35"/>
      <c r="Q33" s="34" t="s">
        <v>270</v>
      </c>
    </row>
    <row r="34" spans="2:17" x14ac:dyDescent="0.25">
      <c r="B34" s="15"/>
      <c r="C34" s="15"/>
      <c r="D34" s="15"/>
      <c r="E34" s="15"/>
      <c r="F34" s="34" t="s">
        <v>401</v>
      </c>
      <c r="G34" s="34" t="s">
        <v>101</v>
      </c>
      <c r="H34" s="34" t="s">
        <v>96</v>
      </c>
      <c r="I34" s="34" t="s">
        <v>475</v>
      </c>
      <c r="J34" s="34"/>
      <c r="K34" s="34"/>
      <c r="L34" s="34">
        <v>4</v>
      </c>
      <c r="M34" s="34" t="s">
        <v>96</v>
      </c>
      <c r="N34" s="35"/>
      <c r="O34" s="47"/>
      <c r="P34" s="35"/>
      <c r="Q34" s="34" t="s">
        <v>271</v>
      </c>
    </row>
    <row r="35" spans="2:17" x14ac:dyDescent="0.25">
      <c r="B35" s="15"/>
      <c r="C35" s="15"/>
      <c r="D35" s="15"/>
      <c r="E35" s="15"/>
      <c r="F35" s="34" t="s">
        <v>402</v>
      </c>
      <c r="G35" s="34" t="s">
        <v>101</v>
      </c>
      <c r="H35" s="34" t="s">
        <v>96</v>
      </c>
      <c r="I35" s="34" t="s">
        <v>476</v>
      </c>
      <c r="J35" s="34"/>
      <c r="K35" s="34"/>
      <c r="L35" s="34">
        <v>4</v>
      </c>
      <c r="M35" s="34" t="s">
        <v>96</v>
      </c>
      <c r="N35" s="35"/>
      <c r="O35" s="47"/>
      <c r="P35" s="35"/>
      <c r="Q35" s="34" t="s">
        <v>272</v>
      </c>
    </row>
    <row r="36" spans="2:17" x14ac:dyDescent="0.25">
      <c r="B36" s="15"/>
      <c r="C36" s="15"/>
      <c r="D36" s="15"/>
      <c r="E36" s="15"/>
      <c r="F36" s="34" t="s">
        <v>403</v>
      </c>
      <c r="G36" s="34" t="s">
        <v>101</v>
      </c>
      <c r="H36" s="34" t="s">
        <v>96</v>
      </c>
      <c r="I36" s="34" t="s">
        <v>477</v>
      </c>
      <c r="J36" s="34"/>
      <c r="K36" s="34"/>
      <c r="L36" s="34">
        <v>4</v>
      </c>
      <c r="M36" s="34" t="s">
        <v>96</v>
      </c>
      <c r="N36" s="35"/>
      <c r="O36" s="47"/>
      <c r="P36" s="35"/>
      <c r="Q36" s="34" t="s">
        <v>273</v>
      </c>
    </row>
    <row r="37" spans="2:17" x14ac:dyDescent="0.25">
      <c r="B37" s="15"/>
      <c r="C37" s="15"/>
      <c r="D37" s="15"/>
      <c r="E37" s="15"/>
      <c r="F37" s="33" t="s">
        <v>197</v>
      </c>
      <c r="G37" s="33"/>
      <c r="H37" s="34"/>
      <c r="I37" s="33" t="s">
        <v>326</v>
      </c>
      <c r="J37" s="33"/>
      <c r="K37" s="33"/>
      <c r="L37" s="33">
        <v>2</v>
      </c>
      <c r="M37" s="34"/>
      <c r="N37" s="35"/>
      <c r="O37" s="47"/>
      <c r="P37" s="35"/>
      <c r="Q37" s="34"/>
    </row>
    <row r="38" spans="2:17" x14ac:dyDescent="0.25">
      <c r="B38" s="15"/>
      <c r="C38" s="15"/>
      <c r="D38" s="15"/>
      <c r="E38" s="15"/>
      <c r="F38" s="34" t="s">
        <v>404</v>
      </c>
      <c r="G38" s="34" t="s">
        <v>99</v>
      </c>
      <c r="H38" s="34" t="s">
        <v>96</v>
      </c>
      <c r="I38" s="33" t="s">
        <v>148</v>
      </c>
      <c r="J38" s="34"/>
      <c r="K38" s="33" t="s">
        <v>196</v>
      </c>
      <c r="L38" s="34">
        <v>4</v>
      </c>
      <c r="M38" s="34" t="s">
        <v>96</v>
      </c>
      <c r="N38" s="35"/>
      <c r="O38" s="47"/>
      <c r="P38" s="35"/>
      <c r="Q38" s="34" t="s">
        <v>274</v>
      </c>
    </row>
    <row r="39" spans="2:17" x14ac:dyDescent="0.25">
      <c r="B39" s="15"/>
      <c r="C39" s="15"/>
      <c r="D39" s="15"/>
      <c r="E39" s="15"/>
      <c r="F39" s="34" t="s">
        <v>405</v>
      </c>
      <c r="G39" s="34" t="s">
        <v>149</v>
      </c>
      <c r="H39" s="34" t="s">
        <v>96</v>
      </c>
      <c r="I39" s="33" t="s">
        <v>180</v>
      </c>
      <c r="J39" s="34"/>
      <c r="K39" s="34"/>
      <c r="L39" s="34">
        <v>4</v>
      </c>
      <c r="M39" s="34" t="s">
        <v>96</v>
      </c>
      <c r="N39" s="35"/>
      <c r="O39" s="47"/>
      <c r="P39" s="35"/>
      <c r="Q39" s="34" t="s">
        <v>138</v>
      </c>
    </row>
    <row r="40" spans="2:17" x14ac:dyDescent="0.25">
      <c r="B40" s="15"/>
      <c r="C40" s="15"/>
      <c r="D40" s="15"/>
      <c r="E40" s="15"/>
      <c r="F40" s="33" t="s">
        <v>197</v>
      </c>
      <c r="G40" s="33"/>
      <c r="H40" s="34"/>
      <c r="I40" s="33" t="s">
        <v>327</v>
      </c>
      <c r="J40" s="33"/>
      <c r="K40" s="33"/>
      <c r="L40" s="33">
        <v>3</v>
      </c>
      <c r="M40" s="34"/>
      <c r="N40" s="35"/>
      <c r="O40" s="47"/>
      <c r="P40" s="35"/>
      <c r="Q40" s="34"/>
    </row>
    <row r="41" spans="2:17" x14ac:dyDescent="0.25">
      <c r="B41" s="15"/>
      <c r="C41" s="15"/>
      <c r="D41" s="15"/>
      <c r="E41" s="15"/>
      <c r="F41" s="34" t="s">
        <v>406</v>
      </c>
      <c r="G41" s="34" t="s">
        <v>149</v>
      </c>
      <c r="H41" s="34" t="s">
        <v>96</v>
      </c>
      <c r="I41" s="34" t="s">
        <v>415</v>
      </c>
      <c r="J41" s="34"/>
      <c r="K41" s="34"/>
      <c r="L41" s="34">
        <v>4</v>
      </c>
      <c r="M41" s="34" t="s">
        <v>96</v>
      </c>
      <c r="N41" s="35"/>
      <c r="O41" s="47"/>
      <c r="P41" s="35"/>
      <c r="Q41" s="34" t="s">
        <v>275</v>
      </c>
    </row>
    <row r="42" spans="2:17" x14ac:dyDescent="0.25">
      <c r="B42" s="15"/>
      <c r="C42" s="15"/>
      <c r="D42" s="15"/>
      <c r="E42" s="15"/>
      <c r="F42" s="34" t="s">
        <v>407</v>
      </c>
      <c r="G42" s="34" t="s">
        <v>149</v>
      </c>
      <c r="H42" s="34" t="s">
        <v>96</v>
      </c>
      <c r="I42" s="34" t="s">
        <v>416</v>
      </c>
      <c r="J42" s="34"/>
      <c r="K42" s="34"/>
      <c r="L42" s="34">
        <v>4</v>
      </c>
      <c r="M42" s="34" t="s">
        <v>96</v>
      </c>
      <c r="N42" s="35"/>
      <c r="O42" s="47"/>
      <c r="P42" s="35"/>
      <c r="Q42" s="34" t="s">
        <v>276</v>
      </c>
    </row>
    <row r="43" spans="2:17" x14ac:dyDescent="0.25">
      <c r="B43" s="15"/>
      <c r="C43" s="15"/>
      <c r="D43" s="15"/>
      <c r="E43" s="15"/>
      <c r="F43" s="34" t="s">
        <v>408</v>
      </c>
      <c r="G43" s="34" t="s">
        <v>149</v>
      </c>
      <c r="H43" s="34" t="s">
        <v>96</v>
      </c>
      <c r="I43" s="34" t="s">
        <v>417</v>
      </c>
      <c r="J43" s="34"/>
      <c r="K43" s="34"/>
      <c r="L43" s="34">
        <v>4</v>
      </c>
      <c r="M43" s="34" t="s">
        <v>96</v>
      </c>
      <c r="N43" s="35"/>
      <c r="O43" s="47"/>
      <c r="P43" s="35"/>
      <c r="Q43" s="34" t="s">
        <v>277</v>
      </c>
    </row>
    <row r="44" spans="2:17" x14ac:dyDescent="0.25">
      <c r="B44" s="15"/>
      <c r="C44" s="15"/>
      <c r="D44" s="15"/>
      <c r="E44" s="15"/>
      <c r="F44" s="34" t="s">
        <v>409</v>
      </c>
      <c r="G44" s="34" t="s">
        <v>98</v>
      </c>
      <c r="H44" s="34" t="s">
        <v>96</v>
      </c>
      <c r="I44" s="34" t="s">
        <v>418</v>
      </c>
      <c r="J44" s="34"/>
      <c r="K44" s="34"/>
      <c r="L44" s="34">
        <v>4</v>
      </c>
      <c r="M44" s="34" t="s">
        <v>96</v>
      </c>
      <c r="N44" s="35"/>
      <c r="O44" s="47"/>
      <c r="P44" s="35"/>
      <c r="Q44" s="34" t="s">
        <v>278</v>
      </c>
    </row>
    <row r="45" spans="2:17" x14ac:dyDescent="0.25">
      <c r="B45" s="15"/>
      <c r="C45" s="15"/>
      <c r="D45" s="15"/>
      <c r="E45" s="15"/>
      <c r="F45" s="33" t="s">
        <v>197</v>
      </c>
      <c r="G45" s="33"/>
      <c r="H45" s="34"/>
      <c r="I45" s="33" t="s">
        <v>328</v>
      </c>
      <c r="J45" s="33"/>
      <c r="K45" s="33"/>
      <c r="L45" s="33">
        <v>3</v>
      </c>
      <c r="M45" s="34"/>
      <c r="N45" s="35"/>
      <c r="O45" s="47"/>
      <c r="P45" s="35"/>
      <c r="Q45" s="34"/>
    </row>
    <row r="46" spans="2:17" x14ac:dyDescent="0.25">
      <c r="B46" s="15"/>
      <c r="C46" s="15"/>
      <c r="D46" s="15"/>
      <c r="E46" s="15"/>
      <c r="F46" s="34" t="s">
        <v>410</v>
      </c>
      <c r="G46" s="34" t="s">
        <v>149</v>
      </c>
      <c r="H46" s="34" t="s">
        <v>96</v>
      </c>
      <c r="I46" s="34" t="s">
        <v>419</v>
      </c>
      <c r="J46" s="34"/>
      <c r="K46" s="34"/>
      <c r="L46" s="34">
        <v>4</v>
      </c>
      <c r="M46" s="34" t="s">
        <v>96</v>
      </c>
      <c r="N46" s="35"/>
      <c r="O46" s="47"/>
      <c r="P46" s="35"/>
      <c r="Q46" s="34" t="s">
        <v>279</v>
      </c>
    </row>
    <row r="47" spans="2:17" x14ac:dyDescent="0.25">
      <c r="B47" s="15"/>
      <c r="C47" s="15"/>
      <c r="D47" s="15"/>
      <c r="E47" s="15"/>
      <c r="F47" s="34" t="s">
        <v>411</v>
      </c>
      <c r="G47" s="34" t="s">
        <v>149</v>
      </c>
      <c r="H47" s="34" t="s">
        <v>96</v>
      </c>
      <c r="I47" s="34" t="s">
        <v>420</v>
      </c>
      <c r="J47" s="34"/>
      <c r="K47" s="34"/>
      <c r="L47" s="34">
        <v>4</v>
      </c>
      <c r="M47" s="34" t="s">
        <v>96</v>
      </c>
      <c r="N47" s="35"/>
      <c r="O47" s="47"/>
      <c r="P47" s="35"/>
      <c r="Q47" s="34" t="s">
        <v>280</v>
      </c>
    </row>
    <row r="48" spans="2:17" x14ac:dyDescent="0.25">
      <c r="B48" s="15"/>
      <c r="C48" s="15"/>
      <c r="D48" s="15"/>
      <c r="E48" s="15"/>
      <c r="F48" s="34" t="s">
        <v>412</v>
      </c>
      <c r="G48" s="34" t="s">
        <v>149</v>
      </c>
      <c r="H48" s="34" t="s">
        <v>96</v>
      </c>
      <c r="I48" s="34" t="s">
        <v>421</v>
      </c>
      <c r="J48" s="34"/>
      <c r="K48" s="34"/>
      <c r="L48" s="34">
        <v>4</v>
      </c>
      <c r="M48" s="34" t="s">
        <v>96</v>
      </c>
      <c r="N48" s="35"/>
      <c r="O48" s="47"/>
      <c r="P48" s="35"/>
      <c r="Q48" s="34" t="s">
        <v>281</v>
      </c>
    </row>
    <row r="49" spans="2:17" x14ac:dyDescent="0.25">
      <c r="B49" s="15"/>
      <c r="C49" s="15"/>
      <c r="D49" s="15"/>
      <c r="E49" s="15"/>
      <c r="F49" s="34" t="s">
        <v>413</v>
      </c>
      <c r="G49" s="34" t="s">
        <v>98</v>
      </c>
      <c r="H49" s="34" t="s">
        <v>96</v>
      </c>
      <c r="I49" s="34" t="s">
        <v>422</v>
      </c>
      <c r="J49" s="34"/>
      <c r="K49" s="34"/>
      <c r="L49" s="34">
        <v>4</v>
      </c>
      <c r="M49" s="34" t="s">
        <v>96</v>
      </c>
      <c r="N49" s="35"/>
      <c r="O49" s="47"/>
      <c r="P49" s="35"/>
      <c r="Q49" s="34" t="s">
        <v>282</v>
      </c>
    </row>
    <row r="50" spans="2:17" x14ac:dyDescent="0.25">
      <c r="B50" s="15"/>
      <c r="C50" s="15"/>
      <c r="D50" s="15"/>
      <c r="E50" s="15"/>
      <c r="F50" s="33" t="s">
        <v>197</v>
      </c>
      <c r="G50" s="33"/>
      <c r="H50" s="34"/>
      <c r="I50" s="33" t="s">
        <v>146</v>
      </c>
      <c r="J50" s="33"/>
      <c r="K50" s="33"/>
      <c r="L50" s="33">
        <v>1</v>
      </c>
      <c r="M50" s="34"/>
      <c r="N50" s="35"/>
      <c r="O50" s="47"/>
      <c r="P50" s="35"/>
      <c r="Q50" s="34"/>
    </row>
    <row r="51" spans="2:17" x14ac:dyDescent="0.25">
      <c r="B51" s="15"/>
      <c r="C51" s="15"/>
      <c r="D51" s="15"/>
      <c r="E51" s="15"/>
      <c r="F51" s="34" t="s">
        <v>181</v>
      </c>
      <c r="G51" s="34" t="s">
        <v>101</v>
      </c>
      <c r="H51" s="34" t="s">
        <v>94</v>
      </c>
      <c r="I51" s="33" t="s">
        <v>199</v>
      </c>
      <c r="J51" s="34" t="s">
        <v>377</v>
      </c>
      <c r="K51" s="34"/>
      <c r="L51" s="34">
        <v>4</v>
      </c>
      <c r="M51" s="34" t="s">
        <v>96</v>
      </c>
      <c r="N51" s="35"/>
      <c r="O51" s="47"/>
      <c r="P51" s="35"/>
      <c r="Q51" s="34" t="s">
        <v>287</v>
      </c>
    </row>
    <row r="52" spans="2:17" x14ac:dyDescent="0.25">
      <c r="B52" s="15"/>
      <c r="C52" s="15"/>
      <c r="D52" s="15"/>
      <c r="E52" s="15"/>
      <c r="F52" s="34" t="s">
        <v>330</v>
      </c>
      <c r="G52" s="34" t="s">
        <v>101</v>
      </c>
      <c r="H52" s="34" t="s">
        <v>94</v>
      </c>
      <c r="I52" s="33" t="s">
        <v>147</v>
      </c>
      <c r="J52" s="34" t="s">
        <v>378</v>
      </c>
      <c r="K52" s="34"/>
      <c r="L52" s="34">
        <v>4</v>
      </c>
      <c r="M52" s="34" t="s">
        <v>96</v>
      </c>
      <c r="N52" s="35"/>
      <c r="O52" s="47"/>
      <c r="P52" s="35"/>
      <c r="Q52" s="34" t="s">
        <v>288</v>
      </c>
    </row>
    <row r="53" spans="2:17" x14ac:dyDescent="0.25">
      <c r="B53" s="15"/>
      <c r="C53" s="15"/>
      <c r="D53" s="15"/>
      <c r="E53" s="15"/>
      <c r="F53" s="34" t="s">
        <v>331</v>
      </c>
      <c r="G53" s="34" t="s">
        <v>101</v>
      </c>
      <c r="H53" s="34" t="s">
        <v>94</v>
      </c>
      <c r="I53" s="34" t="s">
        <v>423</v>
      </c>
      <c r="J53" s="34" t="s">
        <v>379</v>
      </c>
      <c r="K53" s="34"/>
      <c r="L53" s="34">
        <v>4</v>
      </c>
      <c r="M53" s="34" t="s">
        <v>96</v>
      </c>
      <c r="N53" s="35"/>
      <c r="O53" s="47"/>
      <c r="P53" s="35"/>
      <c r="Q53" s="34" t="s">
        <v>289</v>
      </c>
    </row>
    <row r="54" spans="2:17" x14ac:dyDescent="0.25">
      <c r="B54" s="15"/>
      <c r="C54" s="15"/>
      <c r="D54" s="15"/>
      <c r="E54" s="15"/>
      <c r="F54" s="34" t="s">
        <v>332</v>
      </c>
      <c r="G54" s="34" t="s">
        <v>101</v>
      </c>
      <c r="H54" s="34" t="s">
        <v>94</v>
      </c>
      <c r="I54" s="34" t="s">
        <v>424</v>
      </c>
      <c r="J54" s="34" t="s">
        <v>379</v>
      </c>
      <c r="K54" s="34"/>
      <c r="L54" s="34">
        <v>4</v>
      </c>
      <c r="M54" s="34" t="s">
        <v>96</v>
      </c>
      <c r="N54" s="35"/>
      <c r="O54" s="47"/>
      <c r="P54" s="35"/>
      <c r="Q54" s="34" t="s">
        <v>290</v>
      </c>
    </row>
    <row r="55" spans="2:17" x14ac:dyDescent="0.25">
      <c r="B55" s="15"/>
      <c r="C55" s="15"/>
      <c r="D55" s="15"/>
      <c r="E55" s="15"/>
      <c r="F55" s="33" t="s">
        <v>197</v>
      </c>
      <c r="G55" s="33"/>
      <c r="H55" s="34"/>
      <c r="I55" s="33" t="s">
        <v>366</v>
      </c>
      <c r="J55" s="33"/>
      <c r="K55" s="33"/>
      <c r="L55" s="33">
        <v>2</v>
      </c>
      <c r="M55" s="34"/>
      <c r="N55" s="35"/>
      <c r="O55" s="47"/>
      <c r="P55" s="35"/>
      <c r="Q55" s="34"/>
    </row>
    <row r="56" spans="2:17" x14ac:dyDescent="0.25">
      <c r="B56" s="15"/>
      <c r="C56" s="15"/>
      <c r="D56" s="15"/>
      <c r="E56" s="15"/>
      <c r="F56" s="34" t="s">
        <v>333</v>
      </c>
      <c r="G56" s="34" t="s">
        <v>149</v>
      </c>
      <c r="H56" s="34" t="s">
        <v>96</v>
      </c>
      <c r="I56" s="34" t="s">
        <v>425</v>
      </c>
      <c r="J56" s="34"/>
      <c r="K56" s="34"/>
      <c r="L56" s="34">
        <v>4</v>
      </c>
      <c r="M56" s="34" t="s">
        <v>96</v>
      </c>
      <c r="N56" s="35"/>
      <c r="O56" s="47"/>
      <c r="P56" s="35"/>
      <c r="Q56" s="34" t="s">
        <v>291</v>
      </c>
    </row>
    <row r="57" spans="2:17" x14ac:dyDescent="0.25">
      <c r="B57" s="15"/>
      <c r="C57" s="15"/>
      <c r="D57" s="15"/>
      <c r="E57" s="15"/>
      <c r="F57" s="34" t="s">
        <v>334</v>
      </c>
      <c r="G57" s="34" t="s">
        <v>101</v>
      </c>
      <c r="H57" s="34" t="s">
        <v>96</v>
      </c>
      <c r="I57" s="34" t="s">
        <v>444</v>
      </c>
      <c r="J57" s="34" t="s">
        <v>373</v>
      </c>
      <c r="K57" s="34"/>
      <c r="L57" s="34">
        <v>4</v>
      </c>
      <c r="M57" s="34" t="s">
        <v>96</v>
      </c>
      <c r="N57" s="35"/>
      <c r="O57" s="47"/>
      <c r="P57" s="35"/>
      <c r="Q57" s="34" t="s">
        <v>292</v>
      </c>
    </row>
    <row r="58" spans="2:17" x14ac:dyDescent="0.25">
      <c r="B58" s="15"/>
      <c r="C58" s="15"/>
      <c r="D58" s="15"/>
      <c r="E58" s="15"/>
      <c r="F58" s="34" t="s">
        <v>335</v>
      </c>
      <c r="G58" s="34" t="s">
        <v>149</v>
      </c>
      <c r="H58" s="34" t="s">
        <v>96</v>
      </c>
      <c r="I58" s="34" t="s">
        <v>426</v>
      </c>
      <c r="J58" s="34"/>
      <c r="K58" s="34"/>
      <c r="L58" s="34">
        <v>4</v>
      </c>
      <c r="M58" s="34" t="s">
        <v>96</v>
      </c>
      <c r="N58" s="35"/>
      <c r="O58" s="47"/>
      <c r="P58" s="35"/>
      <c r="Q58" s="34" t="s">
        <v>293</v>
      </c>
    </row>
    <row r="59" spans="2:17" x14ac:dyDescent="0.25">
      <c r="B59" s="15"/>
      <c r="C59" s="15"/>
      <c r="D59" s="15"/>
      <c r="E59" s="15"/>
      <c r="F59" s="34" t="s">
        <v>336</v>
      </c>
      <c r="G59" s="34" t="s">
        <v>101</v>
      </c>
      <c r="H59" s="34" t="s">
        <v>96</v>
      </c>
      <c r="I59" s="34" t="s">
        <v>457</v>
      </c>
      <c r="J59" s="34" t="s">
        <v>373</v>
      </c>
      <c r="K59" s="34"/>
      <c r="L59" s="34">
        <v>4</v>
      </c>
      <c r="M59" s="34" t="s">
        <v>96</v>
      </c>
      <c r="N59" s="35"/>
      <c r="O59" s="47"/>
      <c r="P59" s="35"/>
      <c r="Q59" s="34" t="s">
        <v>294</v>
      </c>
    </row>
    <row r="60" spans="2:17" x14ac:dyDescent="0.25">
      <c r="B60" s="15"/>
      <c r="C60" s="15"/>
      <c r="D60" s="15"/>
      <c r="E60" s="15"/>
      <c r="F60" s="34" t="s">
        <v>337</v>
      </c>
      <c r="G60" s="34" t="s">
        <v>149</v>
      </c>
      <c r="H60" s="34" t="s">
        <v>96</v>
      </c>
      <c r="I60" s="34" t="s">
        <v>427</v>
      </c>
      <c r="J60" s="34"/>
      <c r="K60" s="34"/>
      <c r="L60" s="34">
        <v>4</v>
      </c>
      <c r="M60" s="34" t="s">
        <v>96</v>
      </c>
      <c r="N60" s="35"/>
      <c r="O60" s="47"/>
      <c r="P60" s="35"/>
      <c r="Q60" s="34" t="s">
        <v>295</v>
      </c>
    </row>
    <row r="61" spans="2:17" x14ac:dyDescent="0.25">
      <c r="B61" s="15"/>
      <c r="C61" s="15"/>
      <c r="D61" s="15"/>
      <c r="E61" s="15"/>
      <c r="F61" s="34" t="s">
        <v>338</v>
      </c>
      <c r="G61" s="34" t="s">
        <v>101</v>
      </c>
      <c r="H61" s="34" t="s">
        <v>96</v>
      </c>
      <c r="I61" s="34" t="s">
        <v>445</v>
      </c>
      <c r="J61" s="34" t="s">
        <v>374</v>
      </c>
      <c r="K61" s="34"/>
      <c r="L61" s="34">
        <v>4</v>
      </c>
      <c r="M61" s="34" t="s">
        <v>96</v>
      </c>
      <c r="N61" s="35"/>
      <c r="O61" s="47"/>
      <c r="P61" s="35"/>
      <c r="Q61" s="34" t="s">
        <v>296</v>
      </c>
    </row>
    <row r="62" spans="2:17" x14ac:dyDescent="0.25">
      <c r="B62" s="15"/>
      <c r="C62" s="15"/>
      <c r="D62" s="15"/>
      <c r="E62" s="15"/>
      <c r="F62" s="34" t="s">
        <v>339</v>
      </c>
      <c r="G62" s="34" t="s">
        <v>149</v>
      </c>
      <c r="H62" s="34" t="s">
        <v>96</v>
      </c>
      <c r="I62" s="34" t="s">
        <v>428</v>
      </c>
      <c r="J62" s="34"/>
      <c r="K62" s="34"/>
      <c r="L62" s="34">
        <v>4</v>
      </c>
      <c r="M62" s="34" t="s">
        <v>96</v>
      </c>
      <c r="N62" s="35"/>
      <c r="O62" s="47"/>
      <c r="P62" s="35"/>
      <c r="Q62" s="34" t="s">
        <v>297</v>
      </c>
    </row>
    <row r="63" spans="2:17" x14ac:dyDescent="0.25">
      <c r="B63" s="15"/>
      <c r="C63" s="15"/>
      <c r="D63" s="15"/>
      <c r="E63" s="15"/>
      <c r="F63" s="34" t="s">
        <v>340</v>
      </c>
      <c r="G63" s="34" t="s">
        <v>98</v>
      </c>
      <c r="H63" s="34" t="s">
        <v>96</v>
      </c>
      <c r="I63" s="34" t="s">
        <v>429</v>
      </c>
      <c r="J63" s="34"/>
      <c r="K63" s="34"/>
      <c r="L63" s="34">
        <v>4</v>
      </c>
      <c r="M63" s="34" t="s">
        <v>96</v>
      </c>
      <c r="N63" s="35"/>
      <c r="O63" s="47"/>
      <c r="P63" s="35"/>
      <c r="Q63" s="34" t="s">
        <v>298</v>
      </c>
    </row>
    <row r="64" spans="2:17" x14ac:dyDescent="0.25">
      <c r="B64" s="15"/>
      <c r="C64" s="15"/>
      <c r="D64" s="15"/>
      <c r="E64" s="15"/>
      <c r="F64" s="34" t="s">
        <v>341</v>
      </c>
      <c r="G64" s="34" t="s">
        <v>149</v>
      </c>
      <c r="H64" s="34" t="s">
        <v>96</v>
      </c>
      <c r="I64" s="34" t="s">
        <v>430</v>
      </c>
      <c r="J64" s="34"/>
      <c r="K64" s="34"/>
      <c r="L64" s="34">
        <v>4</v>
      </c>
      <c r="M64" s="34" t="s">
        <v>96</v>
      </c>
      <c r="N64" s="35"/>
      <c r="O64" s="47"/>
      <c r="P64" s="35"/>
      <c r="Q64" s="34" t="s">
        <v>299</v>
      </c>
    </row>
    <row r="65" spans="2:17" x14ac:dyDescent="0.25">
      <c r="B65" s="15"/>
      <c r="C65" s="15"/>
      <c r="D65" s="15"/>
      <c r="E65" s="15"/>
      <c r="F65" s="34" t="s">
        <v>342</v>
      </c>
      <c r="G65" s="34" t="s">
        <v>149</v>
      </c>
      <c r="H65" s="34" t="s">
        <v>96</v>
      </c>
      <c r="I65" s="34" t="s">
        <v>431</v>
      </c>
      <c r="J65" s="34"/>
      <c r="K65" s="34"/>
      <c r="L65" s="34">
        <v>4</v>
      </c>
      <c r="M65" s="34" t="s">
        <v>96</v>
      </c>
      <c r="N65" s="35"/>
      <c r="O65" s="47"/>
      <c r="P65" s="35"/>
      <c r="Q65" s="34" t="s">
        <v>300</v>
      </c>
    </row>
    <row r="66" spans="2:17" x14ac:dyDescent="0.25">
      <c r="B66" s="15"/>
      <c r="C66" s="15"/>
      <c r="D66" s="15"/>
      <c r="E66" s="15"/>
      <c r="F66" s="34" t="s">
        <v>343</v>
      </c>
      <c r="G66" s="34" t="s">
        <v>98</v>
      </c>
      <c r="H66" s="34" t="s">
        <v>96</v>
      </c>
      <c r="I66" s="34" t="s">
        <v>446</v>
      </c>
      <c r="J66" s="34" t="s">
        <v>375</v>
      </c>
      <c r="K66" s="34"/>
      <c r="L66" s="34">
        <v>4</v>
      </c>
      <c r="M66" s="34" t="s">
        <v>96</v>
      </c>
      <c r="N66" s="35"/>
      <c r="O66" s="47"/>
      <c r="P66" s="35"/>
      <c r="Q66" s="34" t="s">
        <v>301</v>
      </c>
    </row>
    <row r="67" spans="2:17" x14ac:dyDescent="0.25">
      <c r="B67" s="15"/>
      <c r="C67" s="15"/>
      <c r="D67" s="15"/>
      <c r="E67" s="15"/>
      <c r="F67" s="34" t="s">
        <v>344</v>
      </c>
      <c r="G67" s="34" t="s">
        <v>149</v>
      </c>
      <c r="H67" s="34" t="s">
        <v>96</v>
      </c>
      <c r="I67" s="34" t="s">
        <v>432</v>
      </c>
      <c r="J67" s="34"/>
      <c r="K67" s="34"/>
      <c r="L67" s="34">
        <v>4</v>
      </c>
      <c r="M67" s="34" t="s">
        <v>96</v>
      </c>
      <c r="N67" s="35"/>
      <c r="O67" s="47"/>
      <c r="P67" s="35"/>
      <c r="Q67" s="34" t="s">
        <v>302</v>
      </c>
    </row>
    <row r="68" spans="2:17" x14ac:dyDescent="0.25">
      <c r="B68" s="15"/>
      <c r="C68" s="15"/>
      <c r="D68" s="15"/>
      <c r="E68" s="15"/>
      <c r="F68" s="34" t="s">
        <v>345</v>
      </c>
      <c r="G68" s="34" t="s">
        <v>101</v>
      </c>
      <c r="H68" s="34" t="s">
        <v>96</v>
      </c>
      <c r="I68" s="34" t="s">
        <v>447</v>
      </c>
      <c r="J68" s="34" t="s">
        <v>376</v>
      </c>
      <c r="K68" s="34"/>
      <c r="L68" s="34">
        <v>4</v>
      </c>
      <c r="M68" s="34" t="s">
        <v>96</v>
      </c>
      <c r="N68" s="35"/>
      <c r="O68" s="47"/>
      <c r="P68" s="35"/>
      <c r="Q68" s="34" t="s">
        <v>303</v>
      </c>
    </row>
    <row r="69" spans="2:17" x14ac:dyDescent="0.25">
      <c r="B69" s="15"/>
      <c r="C69" s="15"/>
      <c r="D69" s="15"/>
      <c r="E69" s="15"/>
      <c r="F69" s="34" t="s">
        <v>346</v>
      </c>
      <c r="G69" s="34" t="s">
        <v>149</v>
      </c>
      <c r="H69" s="34" t="s">
        <v>96</v>
      </c>
      <c r="I69" s="34" t="s">
        <v>433</v>
      </c>
      <c r="J69" s="34"/>
      <c r="K69" s="34"/>
      <c r="L69" s="34">
        <v>4</v>
      </c>
      <c r="M69" s="34" t="s">
        <v>96</v>
      </c>
      <c r="N69" s="35"/>
      <c r="O69" s="47"/>
      <c r="P69" s="35"/>
      <c r="Q69" s="34" t="s">
        <v>304</v>
      </c>
    </row>
    <row r="70" spans="2:17" x14ac:dyDescent="0.25">
      <c r="B70" s="15"/>
      <c r="C70" s="15"/>
      <c r="D70" s="15"/>
      <c r="E70" s="15"/>
      <c r="F70" s="34" t="s">
        <v>347</v>
      </c>
      <c r="G70" s="34" t="s">
        <v>149</v>
      </c>
      <c r="H70" s="34" t="s">
        <v>96</v>
      </c>
      <c r="I70" s="34" t="s">
        <v>434</v>
      </c>
      <c r="J70" s="34"/>
      <c r="K70" s="34"/>
      <c r="L70" s="34">
        <v>4</v>
      </c>
      <c r="M70" s="34" t="s">
        <v>96</v>
      </c>
      <c r="N70" s="35"/>
      <c r="O70" s="47"/>
      <c r="P70" s="35"/>
      <c r="Q70" s="34" t="s">
        <v>305</v>
      </c>
    </row>
    <row r="71" spans="2:17" x14ac:dyDescent="0.25">
      <c r="B71" s="15"/>
      <c r="C71" s="15"/>
      <c r="D71" s="15"/>
      <c r="E71" s="15"/>
      <c r="F71" s="34" t="s">
        <v>348</v>
      </c>
      <c r="G71" s="34" t="s">
        <v>101</v>
      </c>
      <c r="H71" s="34" t="s">
        <v>96</v>
      </c>
      <c r="I71" s="34" t="s">
        <v>448</v>
      </c>
      <c r="J71" s="34" t="s">
        <v>370</v>
      </c>
      <c r="K71" s="34"/>
      <c r="L71" s="34">
        <v>4</v>
      </c>
      <c r="M71" s="34" t="s">
        <v>96</v>
      </c>
      <c r="N71" s="35"/>
      <c r="O71" s="47"/>
      <c r="P71" s="35"/>
      <c r="Q71" s="34" t="s">
        <v>306</v>
      </c>
    </row>
    <row r="72" spans="2:17" x14ac:dyDescent="0.25">
      <c r="B72" s="15"/>
      <c r="C72" s="15"/>
      <c r="D72" s="15"/>
      <c r="E72" s="15"/>
      <c r="F72" s="34" t="s">
        <v>349</v>
      </c>
      <c r="G72" s="34" t="s">
        <v>101</v>
      </c>
      <c r="H72" s="34" t="s">
        <v>96</v>
      </c>
      <c r="I72" s="34" t="s">
        <v>435</v>
      </c>
      <c r="J72" s="34"/>
      <c r="K72" s="34"/>
      <c r="L72" s="34">
        <v>4</v>
      </c>
      <c r="M72" s="34" t="s">
        <v>96</v>
      </c>
      <c r="N72" s="35"/>
      <c r="O72" s="47"/>
      <c r="P72" s="35"/>
      <c r="Q72" s="34" t="s">
        <v>307</v>
      </c>
    </row>
    <row r="73" spans="2:17" x14ac:dyDescent="0.25">
      <c r="B73" s="15"/>
      <c r="C73" s="15"/>
      <c r="D73" s="15"/>
      <c r="E73" s="15"/>
      <c r="F73" s="34" t="s">
        <v>350</v>
      </c>
      <c r="G73" s="34" t="s">
        <v>101</v>
      </c>
      <c r="H73" s="34" t="s">
        <v>96</v>
      </c>
      <c r="I73" s="34" t="s">
        <v>436</v>
      </c>
      <c r="J73" s="34"/>
      <c r="K73" s="34"/>
      <c r="L73" s="34">
        <v>4</v>
      </c>
      <c r="M73" s="34" t="s">
        <v>96</v>
      </c>
      <c r="N73" s="35"/>
      <c r="O73" s="47"/>
      <c r="P73" s="35"/>
      <c r="Q73" s="34" t="s">
        <v>308</v>
      </c>
    </row>
    <row r="74" spans="2:17" x14ac:dyDescent="0.25">
      <c r="B74" s="15"/>
      <c r="C74" s="15"/>
      <c r="D74" s="15"/>
      <c r="E74" s="15"/>
      <c r="F74" s="34" t="s">
        <v>351</v>
      </c>
      <c r="G74" s="34" t="s">
        <v>101</v>
      </c>
      <c r="H74" s="34" t="s">
        <v>96</v>
      </c>
      <c r="I74" s="34" t="s">
        <v>437</v>
      </c>
      <c r="J74" s="34"/>
      <c r="K74" s="34"/>
      <c r="L74" s="34">
        <v>4</v>
      </c>
      <c r="M74" s="34" t="s">
        <v>96</v>
      </c>
      <c r="N74" s="35"/>
      <c r="O74" s="47"/>
      <c r="P74" s="35"/>
      <c r="Q74" s="34" t="s">
        <v>309</v>
      </c>
    </row>
    <row r="75" spans="2:17" x14ac:dyDescent="0.25">
      <c r="B75" s="15"/>
      <c r="C75" s="15"/>
      <c r="D75" s="15"/>
      <c r="E75" s="15"/>
      <c r="F75" s="34" t="s">
        <v>352</v>
      </c>
      <c r="G75" s="34" t="s">
        <v>101</v>
      </c>
      <c r="H75" s="34" t="s">
        <v>96</v>
      </c>
      <c r="I75" s="34" t="s">
        <v>438</v>
      </c>
      <c r="J75" s="34"/>
      <c r="K75" s="34"/>
      <c r="L75" s="34">
        <v>4</v>
      </c>
      <c r="M75" s="34" t="s">
        <v>96</v>
      </c>
      <c r="N75" s="35"/>
      <c r="O75" s="47"/>
      <c r="P75" s="35"/>
      <c r="Q75" s="34" t="s">
        <v>310</v>
      </c>
    </row>
    <row r="76" spans="2:17" x14ac:dyDescent="0.25">
      <c r="B76" s="15"/>
      <c r="C76" s="15"/>
      <c r="D76" s="15"/>
      <c r="E76" s="15"/>
      <c r="F76" s="33" t="s">
        <v>197</v>
      </c>
      <c r="G76" s="33"/>
      <c r="H76" s="34"/>
      <c r="I76" s="33" t="s">
        <v>367</v>
      </c>
      <c r="J76" s="33"/>
      <c r="K76" s="33"/>
      <c r="L76" s="33">
        <v>2</v>
      </c>
      <c r="M76" s="34"/>
      <c r="N76" s="35"/>
      <c r="O76" s="47"/>
      <c r="P76" s="35"/>
      <c r="Q76" s="34"/>
    </row>
    <row r="77" spans="2:17" x14ac:dyDescent="0.25">
      <c r="B77" s="15"/>
      <c r="C77" s="15"/>
      <c r="D77" s="15"/>
      <c r="E77" s="15"/>
      <c r="F77" s="34" t="s">
        <v>353</v>
      </c>
      <c r="G77" s="34" t="s">
        <v>149</v>
      </c>
      <c r="H77" s="34" t="s">
        <v>96</v>
      </c>
      <c r="I77" s="34" t="s">
        <v>439</v>
      </c>
      <c r="J77" s="34"/>
      <c r="K77" s="34"/>
      <c r="L77" s="34">
        <v>4</v>
      </c>
      <c r="M77" s="34" t="s">
        <v>96</v>
      </c>
      <c r="N77" s="35"/>
      <c r="O77" s="47"/>
      <c r="P77" s="35"/>
      <c r="Q77" s="34" t="s">
        <v>311</v>
      </c>
    </row>
    <row r="78" spans="2:17" x14ac:dyDescent="0.25">
      <c r="B78" s="15"/>
      <c r="C78" s="15"/>
      <c r="D78" s="15"/>
      <c r="E78" s="15"/>
      <c r="F78" s="34" t="s">
        <v>354</v>
      </c>
      <c r="G78" s="34" t="s">
        <v>99</v>
      </c>
      <c r="H78" s="34" t="s">
        <v>96</v>
      </c>
      <c r="I78" s="34" t="s">
        <v>440</v>
      </c>
      <c r="J78" s="34"/>
      <c r="K78" s="33" t="s">
        <v>196</v>
      </c>
      <c r="L78" s="34">
        <v>4</v>
      </c>
      <c r="M78" s="34" t="s">
        <v>96</v>
      </c>
      <c r="N78" s="35"/>
      <c r="O78" s="47"/>
      <c r="P78" s="35"/>
      <c r="Q78" s="34" t="s">
        <v>312</v>
      </c>
    </row>
    <row r="79" spans="2:17" x14ac:dyDescent="0.25">
      <c r="B79" s="15"/>
      <c r="C79" s="15"/>
      <c r="D79" s="15"/>
      <c r="E79" s="15"/>
      <c r="F79" s="34" t="s">
        <v>355</v>
      </c>
      <c r="G79" s="34" t="s">
        <v>149</v>
      </c>
      <c r="H79" s="34" t="s">
        <v>96</v>
      </c>
      <c r="I79" s="34" t="s">
        <v>441</v>
      </c>
      <c r="J79" s="34"/>
      <c r="K79" s="34"/>
      <c r="L79" s="34">
        <v>4</v>
      </c>
      <c r="M79" s="34" t="s">
        <v>96</v>
      </c>
      <c r="N79" s="35"/>
      <c r="O79" s="47"/>
      <c r="P79" s="35"/>
      <c r="Q79" s="34" t="s">
        <v>313</v>
      </c>
    </row>
    <row r="80" spans="2:17" x14ac:dyDescent="0.25">
      <c r="B80" s="15"/>
      <c r="C80" s="15"/>
      <c r="D80" s="15"/>
      <c r="E80" s="15"/>
      <c r="F80" s="33" t="s">
        <v>197</v>
      </c>
      <c r="G80" s="33"/>
      <c r="H80" s="34"/>
      <c r="I80" s="33" t="s">
        <v>368</v>
      </c>
      <c r="J80" s="33"/>
      <c r="K80" s="33"/>
      <c r="L80" s="33">
        <v>3</v>
      </c>
      <c r="M80" s="34"/>
      <c r="N80" s="35"/>
      <c r="O80" s="47"/>
      <c r="P80" s="35"/>
      <c r="Q80" s="34"/>
    </row>
    <row r="81" spans="2:17" x14ac:dyDescent="0.25">
      <c r="B81" s="15"/>
      <c r="C81" s="15"/>
      <c r="D81" s="15"/>
      <c r="E81" s="15"/>
      <c r="F81" s="34" t="s">
        <v>356</v>
      </c>
      <c r="G81" s="34" t="s">
        <v>149</v>
      </c>
      <c r="H81" s="34" t="s">
        <v>96</v>
      </c>
      <c r="I81" s="34" t="s">
        <v>442</v>
      </c>
      <c r="J81" s="34"/>
      <c r="K81" s="34"/>
      <c r="L81" s="34">
        <v>4</v>
      </c>
      <c r="M81" s="34" t="s">
        <v>96</v>
      </c>
      <c r="N81" s="35"/>
      <c r="O81" s="47"/>
      <c r="P81" s="35"/>
      <c r="Q81" s="34" t="s">
        <v>314</v>
      </c>
    </row>
    <row r="82" spans="2:17" x14ac:dyDescent="0.25">
      <c r="B82" s="15"/>
      <c r="C82" s="15"/>
      <c r="D82" s="15"/>
      <c r="E82" s="15"/>
      <c r="F82" s="34" t="s">
        <v>357</v>
      </c>
      <c r="G82" s="34" t="s">
        <v>149</v>
      </c>
      <c r="H82" s="34" t="s">
        <v>96</v>
      </c>
      <c r="I82" s="34" t="s">
        <v>449</v>
      </c>
      <c r="J82" s="34"/>
      <c r="K82" s="34"/>
      <c r="L82" s="34">
        <v>4</v>
      </c>
      <c r="M82" s="34" t="s">
        <v>96</v>
      </c>
      <c r="N82" s="35"/>
      <c r="O82" s="47"/>
      <c r="P82" s="35"/>
      <c r="Q82" s="34" t="s">
        <v>315</v>
      </c>
    </row>
    <row r="83" spans="2:17" x14ac:dyDescent="0.25">
      <c r="B83" s="15"/>
      <c r="C83" s="15"/>
      <c r="D83" s="15"/>
      <c r="E83" s="15"/>
      <c r="F83" s="34" t="s">
        <v>358</v>
      </c>
      <c r="G83" s="34" t="s">
        <v>149</v>
      </c>
      <c r="H83" s="34" t="s">
        <v>96</v>
      </c>
      <c r="I83" s="34" t="s">
        <v>455</v>
      </c>
      <c r="J83" s="34"/>
      <c r="K83" s="34"/>
      <c r="L83" s="34">
        <v>4</v>
      </c>
      <c r="M83" s="34" t="s">
        <v>96</v>
      </c>
      <c r="N83" s="35"/>
      <c r="O83" s="47"/>
      <c r="P83" s="35"/>
      <c r="Q83" s="34" t="s">
        <v>316</v>
      </c>
    </row>
    <row r="84" spans="2:17" x14ac:dyDescent="0.25">
      <c r="B84" s="15"/>
      <c r="C84" s="15"/>
      <c r="D84" s="15"/>
      <c r="E84" s="15"/>
      <c r="F84" s="34" t="s">
        <v>359</v>
      </c>
      <c r="G84" s="34" t="s">
        <v>149</v>
      </c>
      <c r="H84" s="34" t="s">
        <v>96</v>
      </c>
      <c r="I84" s="34" t="s">
        <v>456</v>
      </c>
      <c r="J84" s="34"/>
      <c r="K84" s="34"/>
      <c r="L84" s="34">
        <v>4</v>
      </c>
      <c r="M84" s="34" t="s">
        <v>96</v>
      </c>
      <c r="N84" s="35"/>
      <c r="O84" s="47"/>
      <c r="P84" s="35"/>
      <c r="Q84" s="34" t="s">
        <v>317</v>
      </c>
    </row>
    <row r="85" spans="2:17" x14ac:dyDescent="0.25">
      <c r="B85" s="15"/>
      <c r="C85" s="15"/>
      <c r="D85" s="15"/>
      <c r="E85" s="15"/>
      <c r="F85" s="34" t="s">
        <v>360</v>
      </c>
      <c r="G85" s="34" t="s">
        <v>98</v>
      </c>
      <c r="H85" s="34" t="s">
        <v>96</v>
      </c>
      <c r="I85" s="34" t="s">
        <v>450</v>
      </c>
      <c r="J85" s="34"/>
      <c r="K85" s="34"/>
      <c r="L85" s="34">
        <v>4</v>
      </c>
      <c r="M85" s="34" t="s">
        <v>96</v>
      </c>
      <c r="N85" s="35"/>
      <c r="O85" s="47"/>
      <c r="P85" s="35"/>
      <c r="Q85" s="34" t="s">
        <v>318</v>
      </c>
    </row>
    <row r="86" spans="2:17" x14ac:dyDescent="0.25">
      <c r="B86" s="15"/>
      <c r="C86" s="15"/>
      <c r="D86" s="15"/>
      <c r="E86" s="15"/>
      <c r="F86" s="33" t="s">
        <v>197</v>
      </c>
      <c r="G86" s="33"/>
      <c r="H86" s="34"/>
      <c r="I86" s="33" t="s">
        <v>369</v>
      </c>
      <c r="J86" s="33"/>
      <c r="K86" s="33"/>
      <c r="L86" s="33">
        <v>3</v>
      </c>
      <c r="M86" s="34"/>
      <c r="N86" s="35"/>
      <c r="O86" s="47"/>
      <c r="P86" s="35"/>
      <c r="Q86" s="34"/>
    </row>
    <row r="87" spans="2:17" x14ac:dyDescent="0.25">
      <c r="B87" s="15"/>
      <c r="C87" s="15"/>
      <c r="D87" s="15"/>
      <c r="E87" s="15"/>
      <c r="F87" s="34" t="s">
        <v>361</v>
      </c>
      <c r="G87" s="34" t="s">
        <v>149</v>
      </c>
      <c r="H87" s="34" t="s">
        <v>96</v>
      </c>
      <c r="I87" s="34" t="s">
        <v>443</v>
      </c>
      <c r="J87" s="34"/>
      <c r="K87" s="34"/>
      <c r="L87" s="34">
        <v>4</v>
      </c>
      <c r="M87" s="34" t="s">
        <v>96</v>
      </c>
      <c r="N87" s="35"/>
      <c r="O87" s="47"/>
      <c r="P87" s="35"/>
      <c r="Q87" s="34" t="s">
        <v>319</v>
      </c>
    </row>
    <row r="88" spans="2:17" x14ac:dyDescent="0.25">
      <c r="B88" s="15"/>
      <c r="C88" s="15"/>
      <c r="D88" s="15"/>
      <c r="E88" s="15"/>
      <c r="F88" s="34" t="s">
        <v>362</v>
      </c>
      <c r="G88" s="34" t="s">
        <v>149</v>
      </c>
      <c r="H88" s="34" t="s">
        <v>96</v>
      </c>
      <c r="I88" s="34" t="s">
        <v>451</v>
      </c>
      <c r="J88" s="34"/>
      <c r="K88" s="34"/>
      <c r="L88" s="34">
        <v>4</v>
      </c>
      <c r="M88" s="34" t="s">
        <v>96</v>
      </c>
      <c r="N88" s="35"/>
      <c r="O88" s="47"/>
      <c r="P88" s="35"/>
      <c r="Q88" s="34" t="s">
        <v>320</v>
      </c>
    </row>
    <row r="89" spans="2:17" x14ac:dyDescent="0.25">
      <c r="B89" s="15"/>
      <c r="C89" s="15"/>
      <c r="D89" s="15"/>
      <c r="E89" s="15"/>
      <c r="F89" s="34" t="s">
        <v>363</v>
      </c>
      <c r="G89" s="34" t="s">
        <v>149</v>
      </c>
      <c r="H89" s="34" t="s">
        <v>96</v>
      </c>
      <c r="I89" s="34" t="s">
        <v>452</v>
      </c>
      <c r="J89" s="34"/>
      <c r="K89" s="34"/>
      <c r="L89" s="34">
        <v>4</v>
      </c>
      <c r="M89" s="34" t="s">
        <v>96</v>
      </c>
      <c r="N89" s="35"/>
      <c r="O89" s="47"/>
      <c r="P89" s="35"/>
      <c r="Q89" s="34" t="s">
        <v>321</v>
      </c>
    </row>
    <row r="90" spans="2:17" x14ac:dyDescent="0.25">
      <c r="B90" s="15"/>
      <c r="C90" s="15"/>
      <c r="D90" s="15"/>
      <c r="E90" s="15"/>
      <c r="F90" s="34" t="s">
        <v>364</v>
      </c>
      <c r="G90" s="34" t="s">
        <v>149</v>
      </c>
      <c r="H90" s="34" t="s">
        <v>96</v>
      </c>
      <c r="I90" s="34" t="s">
        <v>453</v>
      </c>
      <c r="J90" s="34"/>
      <c r="K90" s="34"/>
      <c r="L90" s="34">
        <v>4</v>
      </c>
      <c r="M90" s="34" t="s">
        <v>96</v>
      </c>
      <c r="N90" s="35"/>
      <c r="O90" s="47"/>
      <c r="P90" s="35"/>
      <c r="Q90" s="34" t="s">
        <v>322</v>
      </c>
    </row>
    <row r="91" spans="2:17" x14ac:dyDescent="0.25">
      <c r="B91" s="15"/>
      <c r="C91" s="15"/>
      <c r="D91" s="15"/>
      <c r="E91" s="15"/>
      <c r="F91" s="34" t="s">
        <v>365</v>
      </c>
      <c r="G91" s="34" t="s">
        <v>98</v>
      </c>
      <c r="H91" s="34" t="s">
        <v>96</v>
      </c>
      <c r="I91" s="34" t="s">
        <v>454</v>
      </c>
      <c r="J91" s="34"/>
      <c r="K91" s="34"/>
      <c r="L91" s="34">
        <v>4</v>
      </c>
      <c r="M91" s="34" t="s">
        <v>96</v>
      </c>
      <c r="N91" s="35"/>
      <c r="O91" s="47"/>
      <c r="P91" s="35"/>
      <c r="Q91" s="34" t="s">
        <v>323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A95" sqref="A9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198</v>
      </c>
      <c r="M3" t="s">
        <v>92</v>
      </c>
      <c r="N3" t="s">
        <v>111</v>
      </c>
      <c r="O3" t="s">
        <v>116</v>
      </c>
      <c r="P3" t="s">
        <v>108</v>
      </c>
      <c r="Q3" t="s">
        <v>324</v>
      </c>
    </row>
    <row r="4" spans="2:17" x14ac:dyDescent="0.25"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7" spans="2:17" x14ac:dyDescent="0.25">
      <c r="B7" s="15"/>
      <c r="C7" s="15"/>
      <c r="D7" s="15"/>
      <c r="E7" s="15"/>
      <c r="F7" s="34" t="s">
        <v>414</v>
      </c>
      <c r="G7" s="34" t="s">
        <v>101</v>
      </c>
      <c r="H7" s="34" t="s">
        <v>96</v>
      </c>
      <c r="I7" s="34" t="s">
        <v>514</v>
      </c>
      <c r="J7" s="34"/>
      <c r="K7" s="34"/>
      <c r="L7" s="34">
        <v>3</v>
      </c>
      <c r="M7" s="34" t="s">
        <v>96</v>
      </c>
      <c r="N7" s="35"/>
      <c r="O7" s="35"/>
      <c r="P7" s="35"/>
      <c r="Q7" s="34" t="s">
        <v>513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9</vt:i4>
      </vt:variant>
    </vt:vector>
  </HeadingPairs>
  <TitlesOfParts>
    <vt:vector size="17" baseType="lpstr">
      <vt:lpstr>Reporting List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2021-03-07T18:53:43Z</dcterms:modified>
</cp:coreProperties>
</file>