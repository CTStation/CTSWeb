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erre\Documents\GitHub\CTSWeb\Client\"/>
    </mc:Choice>
  </mc:AlternateContent>
  <xr:revisionPtr revIDLastSave="0" documentId="13_ncr:1_{47C26734-1201-4D95-800C-FA8DC8BA3F20}" xr6:coauthVersionLast="46" xr6:coauthVersionMax="46" xr10:uidLastSave="{00000000-0000-0000-0000-000000000000}"/>
  <bookViews>
    <workbookView xWindow="-28920" yWindow="-4815" windowWidth="29040" windowHeight="17640" tabRatio="723" activeTab="3" xr2:uid="{00000000-000D-0000-FFFF-FFFF00000000}"/>
  </bookViews>
  <sheets>
    <sheet name="Liste des reportings" sheetId="6" r:id="rId1"/>
    <sheet name="A - 2000.12" sheetId="23" r:id="rId2"/>
    <sheet name="CACHE" sheetId="10" r:id="rId3"/>
    <sheet name="Planning" sheetId="4" r:id="rId4"/>
    <sheet name="History" sheetId="7" r:id="rId5"/>
    <sheet name="I18N" sheetId="2" r:id="rId6"/>
    <sheet name="JSON" sheetId="8" r:id="rId7"/>
    <sheet name="JSON (2)" sheetId="13" r:id="rId8"/>
  </sheets>
  <functionGroups builtInGroupCount="19"/>
  <definedNames>
    <definedName name="_xlnm._FilterDatabase" localSheetId="0" hidden="1">'Liste des reportings'!$C$10:$E$14</definedName>
    <definedName name="_xlnm._FilterDatabase" localSheetId="3" hidden="1">Planning!$F$17:$K$72</definedName>
    <definedName name="cell_JSON_Param" localSheetId="7">'JSON (2)'!$I$1</definedName>
    <definedName name="cell_JSON_Param">JSON!$J$1</definedName>
    <definedName name="cellLanguage">I18N!$J$1</definedName>
    <definedName name="lCategory">Planning!$B$3:$B$5</definedName>
    <definedName name="lCategoryVersion">Planning!$B$9</definedName>
    <definedName name="lFolders">Planning!$B$12:$B$13</definedName>
    <definedName name="tReporting52428888___RF_Save">'A - 2000.12'!$B$2</definedName>
    <definedName name="tReportings____ROWS_">'Liste des reportings'!$H$14:$I$41</definedName>
    <definedName name="tReportings___RF_Refresh">'Liste des reportings'!$D$10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23" l="1"/>
  <c r="D11" i="6"/>
  <c r="CF4" i="23"/>
  <c r="CE4" i="23"/>
  <c r="CD4" i="23"/>
  <c r="CC4" i="23"/>
  <c r="CB4" i="23"/>
  <c r="CA4" i="23"/>
  <c r="BZ4" i="23"/>
  <c r="BY4" i="23"/>
  <c r="BX4" i="23"/>
  <c r="BW4" i="23"/>
  <c r="BV4" i="23"/>
  <c r="BU4" i="23"/>
  <c r="BT4" i="23"/>
  <c r="BS4" i="23"/>
  <c r="BR4" i="23"/>
  <c r="BQ4" i="23"/>
  <c r="BP4" i="23"/>
  <c r="BO4" i="23"/>
  <c r="BN4" i="23"/>
  <c r="BM4" i="23"/>
  <c r="BL4" i="23"/>
  <c r="BK4" i="23"/>
  <c r="BJ4" i="23"/>
  <c r="BI4" i="23"/>
  <c r="BH4" i="23"/>
  <c r="BG4" i="23"/>
  <c r="BF4" i="23"/>
  <c r="BE4" i="23"/>
  <c r="BD4" i="23"/>
  <c r="BC4" i="23"/>
  <c r="BB4" i="23"/>
  <c r="BA4" i="23"/>
  <c r="AZ4" i="23"/>
  <c r="AY4" i="23"/>
  <c r="AX4" i="23"/>
  <c r="AW4" i="23"/>
  <c r="AV4" i="23"/>
  <c r="AU4" i="23"/>
  <c r="AT4" i="23"/>
  <c r="AS4" i="23"/>
  <c r="AR4" i="23"/>
  <c r="AQ4" i="23"/>
  <c r="AP4" i="23"/>
  <c r="AO4" i="23"/>
  <c r="AN4" i="23"/>
  <c r="AM4" i="23"/>
  <c r="AL4" i="23"/>
  <c r="AK4" i="23"/>
  <c r="AJ4" i="23"/>
  <c r="AI4" i="23"/>
  <c r="AH4" i="23"/>
  <c r="AG4" i="23"/>
  <c r="AF4" i="23"/>
  <c r="AE4" i="23"/>
  <c r="AD4" i="23"/>
  <c r="AC4" i="23"/>
  <c r="AB4" i="23"/>
  <c r="AA4" i="23"/>
  <c r="Z4" i="23"/>
  <c r="Y4" i="23"/>
  <c r="X4" i="23"/>
  <c r="W4" i="23"/>
  <c r="V4" i="23"/>
  <c r="U4" i="23"/>
  <c r="T4" i="23"/>
  <c r="S4" i="23"/>
  <c r="R4" i="23"/>
  <c r="Q4" i="23"/>
  <c r="P4" i="23"/>
  <c r="O4" i="23"/>
  <c r="N4" i="23"/>
  <c r="M4" i="23"/>
  <c r="L4" i="23"/>
  <c r="K4" i="23"/>
  <c r="J4" i="23"/>
  <c r="I4" i="23"/>
  <c r="H4" i="23"/>
  <c r="G4" i="23"/>
  <c r="F4" i="23"/>
  <c r="E4" i="23"/>
  <c r="D4" i="23"/>
  <c r="C4" i="23"/>
  <c r="B4" i="23"/>
  <c r="B2" i="23"/>
  <c r="I41" i="6"/>
  <c r="I39" i="6"/>
  <c r="I37" i="6"/>
  <c r="I35" i="6"/>
  <c r="I33" i="6"/>
  <c r="I31" i="6"/>
  <c r="I29" i="6"/>
  <c r="I27" i="6"/>
  <c r="I25" i="6"/>
  <c r="I23" i="6"/>
  <c r="I21" i="6"/>
  <c r="I19" i="6"/>
  <c r="I17" i="6"/>
  <c r="I15" i="6"/>
  <c r="I20" i="6"/>
  <c r="H41" i="6"/>
  <c r="H39" i="6"/>
  <c r="H37" i="6"/>
  <c r="H35" i="6"/>
  <c r="H33" i="6"/>
  <c r="H31" i="6"/>
  <c r="H29" i="6"/>
  <c r="H27" i="6"/>
  <c r="H25" i="6"/>
  <c r="H23" i="6"/>
  <c r="H21" i="6"/>
  <c r="H19" i="6"/>
  <c r="H17" i="6"/>
  <c r="H15" i="6"/>
  <c r="I18" i="6"/>
  <c r="I40" i="6"/>
  <c r="I38" i="6"/>
  <c r="I36" i="6"/>
  <c r="I34" i="6"/>
  <c r="I32" i="6"/>
  <c r="I30" i="6"/>
  <c r="I28" i="6"/>
  <c r="I26" i="6"/>
  <c r="I24" i="6"/>
  <c r="I22" i="6"/>
  <c r="I16" i="6"/>
  <c r="H40" i="6"/>
  <c r="H38" i="6"/>
  <c r="H36" i="6"/>
  <c r="H34" i="6"/>
  <c r="H32" i="6"/>
  <c r="H30" i="6"/>
  <c r="H28" i="6"/>
  <c r="H26" i="6"/>
  <c r="H24" i="6"/>
  <c r="H22" i="6"/>
  <c r="H20" i="6"/>
  <c r="H18" i="6"/>
  <c r="H16" i="6"/>
  <c r="I14" i="6"/>
  <c r="H14" i="6"/>
  <c r="F12" i="6"/>
  <c r="E12" i="6"/>
  <c r="D12" i="6"/>
  <c r="C12" i="6"/>
  <c r="D10" i="6"/>
  <c r="K72" i="4" l="1"/>
  <c r="J72" i="4"/>
  <c r="I72" i="4" l="1"/>
  <c r="H72" i="4"/>
  <c r="F72" i="4" l="1"/>
  <c r="G72" i="4"/>
  <c r="D72" i="4"/>
  <c r="C72" i="4"/>
  <c r="I4" i="6" a="1"/>
  <c r="B72" i="4" l="1"/>
  <c r="I4" i="6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<sst xmlns="http://schemas.openxmlformats.org/spreadsheetml/2006/main" count="1472" uniqueCount="755">
  <si>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</si>
  <si>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</si>
  <si>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</si>
  <si>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</si>
  <si>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</si>
  <si>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</si>
  <si>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</si>
  <si>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</si>
  <si>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</si>
  <si>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</si>
  <si>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</si>
  <si>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</si>
  <si>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</si>
  <si>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</si>
  <si>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</si>
  <si>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</si>
  <si>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</si>
  <si>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</si>
  <si>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</si>
  <si>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</si>
  <si>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</si>
  <si>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</si>
  <si>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C</t>
  </si>
  <si>
    <t>B</t>
  </si>
  <si>
    <t>Actual</t>
  </si>
  <si>
    <t>F</t>
  </si>
  <si>
    <t>Forecast</t>
  </si>
  <si>
    <t>Budget</t>
  </si>
  <si>
    <t>Category version</t>
  </si>
  <si>
    <t>Current</t>
  </si>
  <si>
    <t>Folders</t>
  </si>
  <si>
    <t>P-A</t>
  </si>
  <si>
    <t>Set of controls</t>
  </si>
  <si>
    <t>Restrictions</t>
  </si>
  <si>
    <t>Operation</t>
  </si>
  <si>
    <t>List of entities</t>
  </si>
  <si>
    <t>P-JV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</si>
  <si>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</si>
  <si>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</si>
  <si>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</si>
  <si>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</si>
  <si>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</si>
  <si>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</si>
  <si>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</si>
  <si>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</si>
  <si>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</si>
  <si>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</si>
  <si>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</si>
  <si>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</si>
  <si>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</si>
  <si>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</si>
  <si>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</si>
  <si>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</si>
  <si>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</si>
  <si>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</si>
  <si>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</si>
  <si>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</si>
  <si>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</si>
  <si>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</si>
  <si>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</si>
  <si>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</si>
  <si>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</si>
  <si>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</si>
  <si>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</si>
  <si>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</si>
  <si>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</si>
  <si>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</si>
  <si>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</si>
  <si>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</si>
  <si>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</si>
  <si>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</si>
  <si>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</si>
  <si>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</si>
  <si>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</si>
  <si>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</si>
  <si>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</si>
  <si>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</si>
  <si>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</si>
  <si>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</si>
  <si>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</si>
  <si>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</si>
  <si>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</si>
  <si>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</si>
  <si>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</si>
  <si>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</si>
  <si>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</si>
  <si>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</si>
  <si>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</si>
  <si>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</si>
  <si>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</si>
  <si>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</si>
  <si>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</si>
  <si>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</si>
  <si>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</si>
  <si>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</si>
  <si>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</si>
  <si>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</si>
  <si>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</si>
  <si>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</si>
  <si>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</si>
  <si>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</si>
  <si>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</si>
  <si>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</si>
  <si>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</si>
  <si>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</si>
  <si>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</si>
  <si>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</si>
  <si>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</si>
  <si>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</si>
  <si>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</si>
  <si>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</si>
  <si>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</si>
  <si>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</si>
  <si>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</si>
  <si>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</si>
  <si>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</si>
  <si>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</si>
  <si>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</si>
  <si>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</si>
  <si>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</si>
  <si>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</si>
  <si>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</si>
  <si>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</si>
  <si>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</si>
  <si>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</si>
  <si>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</si>
  <si>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</si>
  <si>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</si>
  <si>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</si>
  <si>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</si>
  <si>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</si>
  <si>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</si>
  <si>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</si>
  <si>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</si>
  <si>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</si>
  <si>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</si>
  <si>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</si>
  <si>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</si>
  <si>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</si>
  <si>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</si>
  <si>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</si>
  <si>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</si>
  <si>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</si>
  <si>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</si>
  <si>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</si>
  <si>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</si>
  <si>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</si>
  <si>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</si>
  <si>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</si>
  <si>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</si>
  <si>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</si>
  <si>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</si>
  <si>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</si>
  <si>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</si>
  <si>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</si>
  <si>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</si>
  <si>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LongDate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</si>
  <si>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</si>
  <si>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</si>
  <si>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</si>
  <si>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</si>
  <si>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</si>
  <si>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</si>
  <si>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</si>
  <si>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</si>
  <si>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</si>
  <si>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</si>
  <si>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</si>
  <si>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</si>
  <si>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</si>
  <si>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</si>
  <si>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RF_UpdateData</t>
  </si>
  <si>
    <t>RF_UpdateDataTitle</t>
  </si>
  <si>
    <t>Connection au serveur</t>
  </si>
  <si>
    <t>Connect to server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</si>
  <si>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</si>
  <si>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</si>
  <si>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</si>
  <si>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</si>
  <si>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</si>
  <si>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</si>
  <si>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</si>
  <si>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</si>
  <si>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</si>
  <si>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</si>
  <si>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</si>
  <si>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</si>
  <si>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</si>
  <si>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</si>
  <si>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</si>
  <si>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</si>
  <si>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</si>
  <si>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</si>
  <si>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</si>
  <si>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</si>
  <si>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</si>
  <si>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</si>
  <si>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</si>
  <si>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</si>
  <si>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</si>
  <si>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Code</t>
  </si>
  <si>
    <t>Name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</si>
  <si>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</si>
  <si>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</si>
  <si>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</si>
  <si>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</si>
  <si>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</si>
  <si>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</si>
  <si>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</si>
  <si>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</si>
  <si>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</si>
  <si>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</si>
  <si>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</si>
  <si>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</si>
  <si>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</si>
  <si>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</si>
  <si>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</si>
  <si>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</si>
  <si>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</si>
  <si>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</si>
  <si>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</si>
  <si>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</si>
  <si>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</si>
  <si>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</si>
  <si>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</si>
  <si>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</si>
  <si>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</si>
  <si>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</si>
  <si>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</si>
  <si>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</si>
  <si>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</si>
  <si>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</si>
  <si>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</si>
  <si>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</si>
  <si>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</si>
  <si>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</si>
  <si>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</si>
  <si>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Voulez-vous vous connecter au serveur et mettre à jour la liste des reportings ?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</si>
  <si>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</si>
  <si>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</si>
  <si>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</si>
  <si>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</si>
  <si>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</si>
  <si>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</si>
  <si>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</si>
  <si>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</si>
  <si>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</si>
  <si>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</si>
  <si>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</si>
  <si>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</si>
  <si>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</si>
  <si>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</si>
  <si>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</si>
  <si>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</si>
  <si>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</si>
  <si>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</si>
  <si>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</si>
  <si>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</si>
  <si>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</si>
  <si>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</si>
  <si>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</si>
  <si>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</si>
  <si>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</si>
  <si>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</si>
  <si>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</si>
  <si>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</si>
  <si>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</si>
  <si>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</si>
  <si>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</si>
  <si>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</si>
  <si>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</si>
  <si>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</si>
  <si>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</si>
  <si>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</si>
  <si>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</si>
  <si>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</si>
  <si>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</si>
  <si>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</si>
  <si>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</si>
  <si>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</si>
  <si>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</si>
  <si>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</si>
  <si>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</si>
  <si>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</si>
  <si>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</si>
  <si>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</si>
  <si>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</si>
  <si>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</si>
  <si>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</si>
  <si>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</si>
  <si>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</si>
  <si>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</si>
  <si>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</si>
  <si>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</si>
  <si>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</si>
  <si>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</si>
  <si>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</si>
  <si>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</si>
  <si>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</si>
  <si>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</si>
  <si>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</si>
  <si>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</si>
  <si>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</si>
  <si>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</si>
  <si>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</si>
  <si>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</si>
  <si>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</si>
  <si>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</si>
  <si>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</si>
  <si>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</si>
  <si>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</si>
  <si>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</si>
  <si>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</si>
  <si>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</si>
  <si>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</si>
  <si>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</si>
  <si>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</si>
  <si>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</si>
  <si>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</si>
  <si>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</si>
  <si>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</si>
  <si>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</si>
  <si>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</si>
  <si>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</si>
  <si>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</si>
  <si>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</si>
  <si>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</si>
  <si>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</si>
  <si>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</si>
  <si>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</si>
  <si>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</si>
  <si>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</si>
  <si>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</si>
  <si>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</si>
  <si>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</si>
  <si>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</si>
  <si>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</si>
  <si>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</si>
  <si>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</si>
  <si>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</si>
  <si>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</si>
  <si>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</si>
  <si>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</si>
  <si>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</si>
  <si>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</si>
  <si>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</si>
  <si>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</si>
  <si>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</si>
  <si>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</si>
  <si>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</si>
  <si>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</si>
  <si>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</si>
  <si>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</si>
  <si>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</si>
  <si>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</si>
  <si>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</si>
  <si>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</si>
  <si>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</si>
  <si>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</si>
  <si>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</si>
  <si>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</si>
  <si>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</si>
  <si>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</si>
  <si>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</si>
  <si>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</si>
  <si>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</si>
  <si>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</si>
  <si>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</si>
  <si>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Dim/Phase</t>
  </si>
  <si>
    <t>Dim/UpdPer</t>
  </si>
  <si>
    <t>Dim/FrameworkVersion</t>
  </si>
  <si>
    <t>Folder</t>
  </si>
  <si>
    <t>SetOfCtrl</t>
  </si>
  <si>
    <t>Lock</t>
  </si>
  <si>
    <t>SetOfRules</t>
  </si>
  <si>
    <t>Dim/Entity</t>
  </si>
  <si>
    <t>Dim/Currency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</si>
  <si>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</si>
  <si>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</si>
  <si>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</si>
  <si>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</si>
  <si>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</si>
  <si>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</si>
  <si>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</si>
  <si>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</si>
  <si>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</si>
  <si>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</si>
  <si>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</si>
  <si>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</si>
  <si>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</si>
  <si>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</si>
  <si>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</si>
  <si>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</si>
  <si>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</si>
  <si>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</si>
  <si>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</si>
  <si>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</si>
  <si>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</si>
  <si>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</si>
  <si>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</si>
  <si>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</si>
  <si>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</si>
  <si>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</si>
  <si>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</si>
  <si>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</si>
  <si>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</si>
  <si>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</si>
  <si>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</si>
  <si>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</si>
  <si>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</si>
  <si>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</si>
  <si>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</si>
  <si>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</si>
  <si>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</si>
  <si>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</si>
  <si>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</si>
  <si>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</si>
  <si>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</si>
  <si>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</si>
  <si>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</si>
  <si>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</si>
  <si>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</si>
  <si>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</si>
  <si>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</si>
  <si>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</si>
  <si>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</si>
  <si>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</si>
  <si>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</si>
  <si>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</si>
  <si>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</si>
  <si>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</si>
  <si>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</si>
  <si>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</si>
  <si>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</si>
  <si>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</si>
  <si>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</si>
  <si>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</si>
  <si>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</si>
  <si>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</si>
  <si>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</si>
  <si>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</si>
  <si>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</si>
  <si>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</si>
  <si>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</si>
  <si>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</si>
  <si>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</si>
  <si>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</si>
  <si>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</si>
  <si>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</si>
  <si>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</si>
  <si>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</si>
  <si>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</si>
  <si>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</si>
  <si>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</si>
  <si>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</si>
  <si>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</si>
  <si>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</si>
  <si>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</si>
  <si>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</si>
  <si>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</si>
  <si>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</si>
  <si>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</si>
  <si>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</si>
  <si>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</si>
  <si>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</si>
  <si>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</si>
  <si>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</si>
  <si>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</si>
  <si>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</si>
  <si>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</si>
  <si>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</si>
  <si>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</si>
  <si>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</si>
  <si>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</si>
  <si>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</si>
  <si>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</si>
  <si>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</si>
  <si>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</si>
  <si>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</si>
  <si>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</si>
  <si>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</si>
  <si>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</si>
  <si>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</si>
  <si>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</si>
  <si>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</si>
  <si>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</si>
  <si>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</si>
  <si>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</si>
  <si>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</si>
  <si>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</si>
  <si>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</si>
  <si>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</si>
  <si>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</si>
  <si>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</si>
  <si>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</si>
  <si>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</si>
  <si>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</si>
  <si>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</si>
  <si>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</si>
  <si>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Connect to  server and refresh the reporting list?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</si>
  <si>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</si>
  <si>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</si>
  <si>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</si>
  <si>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</si>
  <si>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</si>
  <si>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</si>
  <si>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</si>
  <si>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</si>
  <si>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</si>
  <si>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</si>
  <si>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</si>
  <si>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</si>
  <si>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</si>
  <si>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Multilang desc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</si>
  <si>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</si>
  <si>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</si>
  <si>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</si>
  <si>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</si>
  <si>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</si>
  <si>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</si>
  <si>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 xml:space="preserve"> 11</t>
  </si>
  <si>
    <t xml:space="preserve"> 12</t>
  </si>
  <si>
    <t xml:space="preserve"> 13</t>
  </si>
  <si>
    <t xml:space="preserve"> 14</t>
  </si>
  <si>
    <t xml:space="preserve"> 15</t>
  </si>
  <si>
    <t xml:space="preserve"> 16</t>
  </si>
  <si>
    <t xml:space="preserve"> 17</t>
  </si>
  <si>
    <t xml:space="preserve"> 18</t>
  </si>
  <si>
    <t xml:space="preserve"> 19</t>
  </si>
  <si>
    <t xml:space="preserve"> 20</t>
  </si>
  <si>
    <t xml:space="preserve"> 21</t>
  </si>
  <si>
    <t xml:space="preserve"> 22</t>
  </si>
  <si>
    <t xml:space="preserve"> 23</t>
  </si>
  <si>
    <t xml:space="preserve"> 24</t>
  </si>
  <si>
    <t xml:space="preserve"> 25</t>
  </si>
  <si>
    <t xml:space="preserve"> 26</t>
  </si>
  <si>
    <t xml:space="preserve"> 27</t>
  </si>
  <si>
    <t xml:space="preserve"> 28</t>
  </si>
  <si>
    <t xml:space="preserve"> 29</t>
  </si>
  <si>
    <t xml:space="preserve"> 30</t>
  </si>
  <si>
    <t xml:space="preserve"> 31</t>
  </si>
  <si>
    <t xml:space="preserve"> 32</t>
  </si>
  <si>
    <t xml:space="preserve"> 33</t>
  </si>
  <si>
    <t xml:space="preserve"> 34</t>
  </si>
  <si>
    <t xml:space="preserve"> 35</t>
  </si>
  <si>
    <t xml:space="preserve"> 36</t>
  </si>
  <si>
    <t xml:space="preserve"> 37</t>
  </si>
  <si>
    <t xml:space="preserve"> 38</t>
  </si>
  <si>
    <t xml:space="preserve"> 39</t>
  </si>
  <si>
    <t xml:space="preserve"> 40</t>
  </si>
  <si>
    <t xml:space="preserve"> 41</t>
  </si>
  <si>
    <t xml:space="preserve"> 42</t>
  </si>
  <si>
    <t xml:space="preserve"> 43</t>
  </si>
  <si>
    <t xml:space="preserve"> 44</t>
  </si>
  <si>
    <t xml:space="preserve"> 45</t>
  </si>
  <si>
    <t xml:space="preserve"> 46</t>
  </si>
  <si>
    <t xml:space="preserve"> 47</t>
  </si>
  <si>
    <t xml:space="preserve"> 48</t>
  </si>
  <si>
    <t xml:space="preserve"> 49</t>
  </si>
  <si>
    <t xml:space="preserve"> 50</t>
  </si>
  <si>
    <t xml:space="preserve"> 51</t>
  </si>
  <si>
    <t xml:space="preserve"> 52</t>
  </si>
  <si>
    <t xml:space="preserve"> 53</t>
  </si>
  <si>
    <t xml:space="preserve"> 54</t>
  </si>
  <si>
    <t xml:space="preserve"> 55</t>
  </si>
  <si>
    <t xml:space="preserve"> 56</t>
  </si>
  <si>
    <t xml:space="preserve"> 57</t>
  </si>
  <si>
    <t xml:space="preserve"> 58</t>
  </si>
  <si>
    <t xml:space="preserve"> 59</t>
  </si>
  <si>
    <t xml:space="preserve"> 60</t>
  </si>
  <si>
    <t xml:space="preserve"> 61</t>
  </si>
  <si>
    <t xml:space="preserve"> 62</t>
  </si>
  <si>
    <t xml:space="preserve"> 63</t>
  </si>
  <si>
    <t xml:space="preserve"> 64</t>
  </si>
  <si>
    <t xml:space="preserve"> 65</t>
  </si>
  <si>
    <t xml:space="preserve"> 66</t>
  </si>
  <si>
    <t xml:space="preserve"> 67</t>
  </si>
  <si>
    <t xml:space="preserve"> 68</t>
  </si>
  <si>
    <t xml:space="preserve"> 69</t>
  </si>
  <si>
    <t xml:space="preserve"> 70</t>
  </si>
  <si>
    <t xml:space="preserve"> 71</t>
  </si>
  <si>
    <t xml:space="preserve"> 72</t>
  </si>
  <si>
    <t xml:space="preserve"> 73</t>
  </si>
  <si>
    <t xml:space="preserve"> 74</t>
  </si>
  <si>
    <t xml:space="preserve"> 75</t>
  </si>
  <si>
    <t xml:space="preserve"> 76</t>
  </si>
  <si>
    <t xml:space="preserve"> 77</t>
  </si>
  <si>
    <t xml:space="preserve"> 78</t>
  </si>
  <si>
    <t xml:space="preserve"> 79</t>
  </si>
  <si>
    <t xml:space="preserve"> 80</t>
  </si>
  <si>
    <t xml:space="preserve"> 81</t>
  </si>
  <si>
    <t xml:space="preserve"> 82</t>
  </si>
  <si>
    <t xml:space="preserve"> 83</t>
  </si>
  <si>
    <t>Serveur: Nettoyer le Save</t>
  </si>
  <si>
    <t>Serveur: A nouveaux</t>
  </si>
  <si>
    <t>Vider le cache en cas de changement de user/datasource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</si>
  <si>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</si>
  <si>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</si>
  <si>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</si>
  <si>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</si>
  <si>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</si>
  <si>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</si>
  <si>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</si>
  <si>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</si>
  <si>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</si>
  <si>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</si>
  <si>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In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</si>
  <si>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- 2021.12"}],"Messages":null}</t>
  </si>
  <si>
    <t>/api/Reporting</t>
  </si>
  <si>
    <t>Post#tReporting52428888</t>
  </si>
  <si>
    <t>Out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</si>
  <si>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2021-02-26T00:00:00.000Z","da":false,"db":true,"dc":false,"dd":false,"de":false,"df":0,"dg":true,"dh":false,"di":false,"dj":false,"dk":0}]}</t>
  </si>
  <si>
    <t>PostResponse#tReporting52428888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</si>
  <si>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00:00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- 2000.12"}],"Messages":{"Messages":[{"Code":"RF0451","Severity":8,"Description":"Impossible d'ouvrir l'objet 'A - 2000.12' de type Reporting en écriture","SourceRow":0,"SourceCol":0}],"UsedHints":{"RF0451":"L'objet est peut-être en cours d'édition dans une autre session FC"}}}</t>
  </si>
  <si>
    <t>/api/reporting/52428888</t>
  </si>
  <si>
    <t>tReporting52428888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</si>
  <si>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</si>
  <si>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}]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</si>
  <si>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- 2000.12"}],"Messages":{"Messages":[{"Code":"RF0512","Severity":8,"Description":"La date butoir de remise des liasses doit être entre les dates de début et de fin pour l'unité S001","SourceRow":0,"SourceCol":0},{"Code":"RF0515","Severity":8,"Description":"Enité S001: Dans l'intégration automatique après publicaton, un niveau de contrôle doit être spécifié si et seulementsi le mode Avancé est choisi","SourceRow":0,"SourceCol":0},{"Code":"RF0516","Severity":8,"Description":"Enité S001: Dans l'intégration automatique après pilotage, un niveau de contrôle doit être spécifié si et seulementsi le mode Avancé est choisi","SourceRow":0,"SourceCol":0},{"Code":"RF0512","Severity":8,"Description":"La date butoir de remise des liasses doit être entre les dates de début et de fin pour l'unité S001","SourceRow":0,"SourceCol":0},{"Code":"RF0515","Severity":8,"Description":"Enité S001: Dans l'intégration automatique après publicaton, un niveau de contrôle doit être spécifié si et seulementsi le mode Avancé est choisi","SourceRow":0,"SourceCol":0},{"Code":"RF0516","Severity":8,"Description":"Enité S001: Dans l'intégration automatique après pilotage, un niveau de contrôle doit être spécifié si et seulementsi le mode Avancé est choisi","SourceRow":0,"SourceCol":0}],"UsedHints":{"RF0512":"Corrigez les dates","RF0515":"Corrigez les paramètres d'exploitation","RF0516":"Corrigez les paramètres d'exploitation"}}}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</si>
  <si>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2021-02-26T10:02:00.000Z","da":false,"db":true,"dc":false,"dd":false,"de":false,"df":0,"dg":true,"dh":false,"di":false,"dj":false,"dk":0}]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</si>
  <si>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- 2000.12"}],"Messages":{"Messages":[{"Code":"RF0451","Severity":8,"Description":"Impossible d'ouvrir l'objet 'A - 2000.12' de type Reporting en écriture","SourceRow":0,"SourceCol":0}],"UsedHints":{"RF0451":"L'objet est peut-être en cours d'édition dans une autre session FC"}}}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</si>
  <si>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- 2001.11"}}],"ID":52428859,"LDesc":null,"Name":"A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- 2001.12"}}],"ID":52428858,"LDesc":null,"Name":"A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2002.10"}}],"ID":52428830,"LDesc":null,"Name":"A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null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- 2002.12"}}],"ID":52428827,"LDesc":null,"Name":"A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- 2003.12"}}],"ID":79,"LDesc":null,"Name":"A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- 2004.12"}}],"ID":77,"LDesc":null,"Name":"A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- 2010.12"}}],"ID":55,"LDesc":null,"Name":"A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- 2011.03"}}],"ID":67,"LDesc":null,"Name":"A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- 2011.06"}}],"ID":68,"LDesc":null,"Name":"A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- 2011.09"}}],"ID":69,"LDesc":null,"Name":"A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- 2011.12"}}],"ID":56,"LDesc":null,"Name":"A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- 2013.01"}}],"ID":52428802,"LDesc":null,"Name":"A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- 2013.12"}}],"ID":71,"LDesc":null,"Name":"A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- 2014.12"}}],"ID":73,"LDesc":null,"Name":"A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- 2019.12"}}],"ID":61,"LDesc":null,"Name":"A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- 2020.12"}}],"ID":59,"LDesc":null,"Name":"A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- 2021.12"}}],"ID":60,"LDesc":null,"Name":"A - 2021.12"}],"Messages":null}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</si>
  <si>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-07T18:51:46Z","UpdateAuthor":-524286,"Descriptions":[{"CultureName":"fr-FR","Texts":{"SDesc":"","LDesc":"Test"}},{"CultureName":"en-US","Texts":{"SDesc":"","LDesc":"Actual - 2000.12"}}],"ID":52428888,"LDesc":null,"Name":"A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- 2001.11"}}],"ID":52428859,"LDesc":null,"Name":"A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- 2001.12"}}],"ID":52428858,"LDesc":null,"Name":"A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2002.10"}}],"ID":52428830,"LDesc":null,"Name":"A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null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- 2002.12"}}],"ID":52428827,"LDesc":null,"Name":"A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- 2003.12"}}],"ID":79,"LDesc":null,"Name":"A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- 2004.12"}}],"ID":77,"LDesc":null,"Name":"A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- 2010.12"}}],"ID":55,"LDesc":null,"Name":"A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- 2011.03"}}],"ID":67,"LDesc":null,"Name":"A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- 2011.06"}}],"ID":68,"LDesc":null,"Name":"A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- 2011.09"}}],"ID":69,"LDesc":null,"Name":"A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- 2011.12"}}],"ID":56,"LDesc":null,"Name":"A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- 2013.01"}}],"ID":52428802,"LDesc":null,"Name":"A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- 2013.12"}}],"ID":71,"LDesc":null,"Name":"A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- 2014.12"}}],"ID":73,"LDesc":null,"Name":"A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- 2019.12"}}],"ID":61,"LDesc":null,"Name":"A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- 2020.12"}}],"ID":59,"LDesc":null,"Name":"A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- 2021.12"}}],"ID":60,"LDesc":null,"Name":"A - 2021.12"}],"Messages":null}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</si>
  <si>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37.408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- 2000.12"}],"Messages":{"Messages":[],"UsedHints":{}}}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</si>
  <si>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</si>
  <si>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</si>
  <si>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</si>
  <si>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</si>
  <si>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</si>
  <si>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</si>
  <si>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</si>
  <si>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</si>
  <si>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</si>
  <si>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</si>
  <si>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</si>
  <si>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</si>
  <si>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</si>
  <si>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</si>
  <si>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</si>
  <si>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</si>
  <si>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</si>
  <si>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</si>
  <si>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</si>
  <si>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</si>
  <si>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</si>
  <si>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</si>
  <si>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</si>
  <si>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</si>
  <si>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</si>
  <si>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</si>
  <si>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</si>
  <si>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</si>
  <si>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</si>
  <si>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</si>
  <si>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</si>
  <si>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</si>
  <si>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</si>
  <si>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</si>
  <si>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</si>
  <si>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</si>
  <si>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</si>
  <si>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</si>
  <si>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</si>
  <si>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</si>
  <si>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</si>
  <si>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</si>
  <si>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</si>
  <si>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</si>
  <si>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</si>
  <si>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</si>
  <si>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</si>
  <si>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</si>
  <si>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</si>
  <si>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</si>
  <si>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</si>
  <si>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</si>
  <si>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</si>
  <si>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</si>
  <si>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</si>
  <si>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</si>
  <si>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</si>
  <si>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</si>
  <si>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</si>
  <si>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</si>
  <si>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</si>
  <si>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</si>
  <si>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</si>
  <si>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</si>
  <si>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</si>
  <si>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</si>
  <si>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</si>
  <si>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2000.12</t>
  </si>
  <si>
    <t>3/1/2021  5:55:21 PM</t>
  </si>
  <si>
    <t>2001.11</t>
  </si>
  <si>
    <t>2/23/2021  3:52:39 PM</t>
  </si>
  <si>
    <t>2001.12</t>
  </si>
  <si>
    <t>2/23/2021  3:13:08 PM</t>
  </si>
  <si>
    <t>2002.01</t>
  </si>
  <si>
    <t>2/18/2021  9:47:58 PM</t>
  </si>
  <si>
    <t>2002.02</t>
  </si>
  <si>
    <t>2/23/2021  3:02:13 PM</t>
  </si>
  <si>
    <t>2002.03</t>
  </si>
  <si>
    <t>2/23/2021  12:30:51 PM</t>
  </si>
  <si>
    <t>2002.04</t>
  </si>
  <si>
    <t>2/23/2021  12:15:06 PM</t>
  </si>
  <si>
    <t>2002.05</t>
  </si>
  <si>
    <t>2/23/2021  11:36:13 AM</t>
  </si>
  <si>
    <t>2002.06</t>
  </si>
  <si>
    <t>2/16/2021  7:37:46 PM</t>
  </si>
  <si>
    <t>2002.07</t>
  </si>
  <si>
    <t>2/16/2021  7:33:41 PM</t>
  </si>
  <si>
    <t>2002.08</t>
  </si>
  <si>
    <t>2/16/2021  7:23:18 PM</t>
  </si>
  <si>
    <t>2002.09</t>
  </si>
  <si>
    <t>2/16/2021  3:59:23 PM</t>
  </si>
  <si>
    <t>2002.10</t>
  </si>
  <si>
    <t>2/16/2021  3:53:29 PM</t>
  </si>
  <si>
    <t>2002.11</t>
  </si>
  <si>
    <t>2/16/2021  3:50:30 PM</t>
  </si>
  <si>
    <t>2002.12</t>
  </si>
  <si>
    <t>2/15/2021  3:11:42 PM</t>
  </si>
  <si>
    <t>2003.12</t>
  </si>
  <si>
    <t>8/28/2015  2:16:28 PM</t>
  </si>
  <si>
    <t>2004.12</t>
  </si>
  <si>
    <t>8/28/2015  2:10:05 PM</t>
  </si>
  <si>
    <t>2010.12</t>
  </si>
  <si>
    <t>5/3/2010  1:22:35 PM</t>
  </si>
  <si>
    <t>2011.03</t>
  </si>
  <si>
    <t>11/25/2010  2:09:22 PM</t>
  </si>
  <si>
    <t>2011.06</t>
  </si>
  <si>
    <t>11/29/2010  11:06:57 AM</t>
  </si>
  <si>
    <t>2011.09</t>
  </si>
  <si>
    <t>11/29/2010  11:10:44 AM</t>
  </si>
  <si>
    <t>2011.12</t>
  </si>
  <si>
    <t>5/4/2010  9:10:01 AM</t>
  </si>
  <si>
    <t>2013.01</t>
  </si>
  <si>
    <t>1/28/2021  11:06:48 AM</t>
  </si>
  <si>
    <t>2013.12</t>
  </si>
  <si>
    <t>3/29/2013  10:53:41 AM</t>
  </si>
  <si>
    <t>2014.12</t>
  </si>
  <si>
    <t>4/7/2014  11:31:33 AM</t>
  </si>
  <si>
    <t>2019.12</t>
  </si>
  <si>
    <t>9/2/2010  11:17:44 AM</t>
  </si>
  <si>
    <t>2020.12</t>
  </si>
  <si>
    <t>8/31/2010  2:52:12 PM</t>
  </si>
  <si>
    <t>2021.12</t>
  </si>
  <si>
    <t>8/31/2010  2:57:27 PM</t>
  </si>
  <si>
    <t>2/24/2021  11:02:00 AM</t>
  </si>
  <si>
    <t>2/27/2021  11:02:00 AM</t>
  </si>
  <si>
    <t>2/26/2021  11:02:00 AM</t>
  </si>
  <si>
    <t>S001</t>
  </si>
  <si>
    <t>EUR</t>
  </si>
  <si>
    <t>0000.TOP</t>
  </si>
  <si>
    <t>1/1/2001  1:00:00 AM</t>
  </si>
  <si>
    <t>Commande Add entities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</si>
</sst>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\ hh:mm:ss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0" borderId="0" xfId="0" applyNumberFormat="1"/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1" xfId="0" applyFont="1" applyFill="1" applyBorder="1" applyAlignment="1">
      <alignment vertical="center"/>
    </xf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0" borderId="0" xfId="0" applyNumberFormat="1" applyAlignment="1">
      <alignment horizontal="center"/>
    </xf>
    <xf numFmtId="49" fontId="0" fillId="4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0" fontId="0" fillId="0" borderId="0" xfId="0" applyFont="1" applyFill="1" applyBorder="1" applyAlignment="1">
      <alignment vertical="center"/>
    </xf>
    <xf numFmtId="49" fontId="0" fillId="0" borderId="0" xfId="0" applyNumberFormat="1" applyAlignment="1" applyProtection="1"/>
    <xf numFmtId="0" fontId="6" fillId="3" borderId="2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0" fontId="6" fillId="3" borderId="3" xfId="0" applyNumberFormat="1" applyFont="1" applyFill="1" applyBorder="1" applyAlignment="1">
      <alignment horizontal="center"/>
    </xf>
    <xf numFmtId="49" fontId="0" fillId="0" borderId="0" xfId="0" applyNumberFormat="1" applyAlignment="1" applyProtection="1">
      <alignment horizontal="center"/>
      <protection locked="0"/>
    </xf>
  </cellXfs>
  <cellStyles count="2">
    <cellStyle name="Lien hypertexte" xfId="1" builtinId="8"/>
    <cellStyle name="Normal" xfId="0" builtinId="0"/>
  </cellStyles>
  <dxfs count="137">
    <dxf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209550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Génération des reportings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1028699</xdr:colOff>
      <xdr:row>6</xdr:row>
      <xdr:rowOff>147638</xdr:rowOff>
    </xdr:from>
    <xdr:to>
      <xdr:col>13</xdr:col>
      <xdr:colOff>285749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0.93 du 08 03 21</a:t>
          </a:fld>
          <a:endParaRPr lang="en-US" sz="1100"/>
        </a:p>
      </xdr:txBody>
    </xdr:sp>
    <xdr:clientData/>
  </xdr:twoCellAnchor>
  <xdr:twoCellAnchor editAs="absolute">
    <xdr:from>
      <xdr:col>11</xdr:col>
      <xdr:colOff>1409699</xdr:colOff>
      <xdr:row>6</xdr:row>
      <xdr:rowOff>156037</xdr:rowOff>
    </xdr:from>
    <xdr:to>
      <xdr:col>11</xdr:col>
      <xdr:colOff>1697699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1066799</xdr:colOff>
      <xdr:row>6</xdr:row>
      <xdr:rowOff>156037</xdr:rowOff>
    </xdr:from>
    <xdr:to>
      <xdr:col>11</xdr:col>
      <xdr:colOff>1354799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13</xdr:row>
      <xdr:rowOff>0</xdr:rowOff>
    </xdr:to>
    <xdr:sp macro="JSON_TableHeaderClick" textlink="$D$12">
      <xdr:nvSpPr>
        <xdr:cNvPr id="5" name="tReportings_2">
          <a:extLst>
            <a:ext uri="{FF2B5EF4-FFF2-40B4-BE49-F238E27FC236}">
              <a16:creationId xmlns:a16="http://schemas.microsoft.com/office/drawing/2014/main" id="{8BFEF676-384E-475C-9EE0-67B4ED2BF970}"/>
            </a:ext>
          </a:extLst>
        </xdr:cNvPr>
        <xdr:cNvSpPr/>
      </xdr:nvSpPr>
      <xdr:spPr>
        <a:xfrm>
          <a:off x="246697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F47F74F-F353-4A65-8787-A40F0968F1F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Phase</a:t>
          </a:fld>
          <a:endParaRPr lang="en-US" sz="1100"/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JSON_TableHeaderClick" textlink="$E$12">
      <xdr:nvSpPr>
        <xdr:cNvPr id="6" name="tReportings_3">
          <a:extLst>
            <a:ext uri="{FF2B5EF4-FFF2-40B4-BE49-F238E27FC236}">
              <a16:creationId xmlns:a16="http://schemas.microsoft.com/office/drawing/2014/main" id="{68944CAC-0151-40DF-A89D-C0806E05EFFC}"/>
            </a:ext>
          </a:extLst>
        </xdr:cNvPr>
        <xdr:cNvSpPr/>
      </xdr:nvSpPr>
      <xdr:spPr>
        <a:xfrm>
          <a:off x="3448050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174052D-007B-4FC1-9A8B-939394F5A3B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Exercice</a:t>
          </a:fld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JSON_TableHeaderClick" textlink="$F$12">
      <xdr:nvSpPr>
        <xdr:cNvPr id="7" name="tReportings_4">
          <a:extLst>
            <a:ext uri="{FF2B5EF4-FFF2-40B4-BE49-F238E27FC236}">
              <a16:creationId xmlns:a16="http://schemas.microsoft.com/office/drawing/2014/main" id="{FF36DFC1-BC71-488A-B0BD-E4B333C9B28C}"/>
            </a:ext>
          </a:extLst>
        </xdr:cNvPr>
        <xdr:cNvSpPr/>
      </xdr:nvSpPr>
      <xdr:spPr>
        <a:xfrm>
          <a:off x="4429125" y="2095500"/>
          <a:ext cx="191452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B265F4D-810E-43D5-A878-64FD5BC1641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Date de création</a:t>
          </a:fld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5</xdr:row>
      <xdr:rowOff>0</xdr:rowOff>
    </xdr:to>
    <xdr:sp macro="JSON_TableHeaderClick" textlink="$B$4">
      <xdr:nvSpPr>
        <xdr:cNvPr id="251" name="tReporting52428888_1">
          <a:extLst>
            <a:ext uri="{FF2B5EF4-FFF2-40B4-BE49-F238E27FC236}">
              <a16:creationId xmlns:a16="http://schemas.microsoft.com/office/drawing/2014/main" id="{70C4F385-0CA7-462B-91D1-3D14834FF6F5}"/>
            </a:ext>
          </a:extLst>
        </xdr:cNvPr>
        <xdr:cNvSpPr/>
      </xdr:nvSpPr>
      <xdr:spPr>
        <a:xfrm>
          <a:off x="4476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4D3B7214-C70F-485D-8C09-1E03420C95D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Reporting</a:t>
          </a:fld>
          <a:endParaRPr lang="en-US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5</xdr:row>
      <xdr:rowOff>0</xdr:rowOff>
    </xdr:to>
    <xdr:sp macro="JSON_TableHeaderClick" textlink="$C$4">
      <xdr:nvSpPr>
        <xdr:cNvPr id="252" name="tReporting52428888_2">
          <a:extLst>
            <a:ext uri="{FF2B5EF4-FFF2-40B4-BE49-F238E27FC236}">
              <a16:creationId xmlns:a16="http://schemas.microsoft.com/office/drawing/2014/main" id="{F800798E-D837-4D67-9E60-BBBBFF1E164C}"/>
            </a:ext>
          </a:extLst>
        </xdr:cNvPr>
        <xdr:cNvSpPr/>
      </xdr:nvSpPr>
      <xdr:spPr>
        <a:xfrm>
          <a:off x="828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5CF59AE-64DA-4992-A393-0DFCDED161C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Phase</a:t>
          </a:fld>
          <a:endParaRPr lang="en-US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5</xdr:row>
      <xdr:rowOff>0</xdr:rowOff>
    </xdr:to>
    <xdr:sp macro="JSON_TableHeaderClick" textlink="$D$4">
      <xdr:nvSpPr>
        <xdr:cNvPr id="253" name="tReporting52428888_3">
          <a:extLst>
            <a:ext uri="{FF2B5EF4-FFF2-40B4-BE49-F238E27FC236}">
              <a16:creationId xmlns:a16="http://schemas.microsoft.com/office/drawing/2014/main" id="{DFABA150-E762-4163-A6B3-6ABE3A1C679E}"/>
            </a:ext>
          </a:extLst>
        </xdr:cNvPr>
        <xdr:cNvSpPr/>
      </xdr:nvSpPr>
      <xdr:spPr>
        <a:xfrm>
          <a:off x="1476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207F4ED-2C08-4AC1-9757-4E4F6D8CD60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Exercice</a:t>
          </a:fld>
          <a:endParaRPr lang="en-US" sz="1100"/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5</xdr:row>
      <xdr:rowOff>0</xdr:rowOff>
    </xdr:to>
    <xdr:sp macro="JSON_TableHeaderClick" textlink="$E$4">
      <xdr:nvSpPr>
        <xdr:cNvPr id="254" name="tReporting52428888_4">
          <a:extLst>
            <a:ext uri="{FF2B5EF4-FFF2-40B4-BE49-F238E27FC236}">
              <a16:creationId xmlns:a16="http://schemas.microsoft.com/office/drawing/2014/main" id="{D205EEE5-273E-4212-BC9F-88BF6BB6C5F1}"/>
            </a:ext>
          </a:extLst>
        </xdr:cNvPr>
        <xdr:cNvSpPr/>
      </xdr:nvSpPr>
      <xdr:spPr>
        <a:xfrm>
          <a:off x="2124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9010A28-0105-4B4B-8FAC-34679E21D5B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Version de référentiel</a:t>
          </a:fld>
          <a:endParaRPr lang="en-US" sz="1100"/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5</xdr:row>
      <xdr:rowOff>0</xdr:rowOff>
    </xdr:to>
    <xdr:sp macro="JSON_TableHeaderClick" textlink="$F$4">
      <xdr:nvSpPr>
        <xdr:cNvPr id="255" name="tReporting52428888_5">
          <a:extLst>
            <a:ext uri="{FF2B5EF4-FFF2-40B4-BE49-F238E27FC236}">
              <a16:creationId xmlns:a16="http://schemas.microsoft.com/office/drawing/2014/main" id="{6B3BA508-5EE2-4130-A8F3-8BA3EAA0E819}"/>
            </a:ext>
          </a:extLst>
        </xdr:cNvPr>
        <xdr:cNvSpPr/>
      </xdr:nvSpPr>
      <xdr:spPr>
        <a:xfrm>
          <a:off x="2771775" y="571500"/>
          <a:ext cx="17145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0227901-D89A-48D2-9F0E-E807B805347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Début</a:t>
          </a:fld>
          <a:endParaRPr lang="en-US" sz="1100"/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5</xdr:row>
      <xdr:rowOff>0</xdr:rowOff>
    </xdr:to>
    <xdr:sp macro="JSON_TableHeaderClick" textlink="$G$4">
      <xdr:nvSpPr>
        <xdr:cNvPr id="256" name="tReporting52428888_6">
          <a:extLst>
            <a:ext uri="{FF2B5EF4-FFF2-40B4-BE49-F238E27FC236}">
              <a16:creationId xmlns:a16="http://schemas.microsoft.com/office/drawing/2014/main" id="{1620FAAC-A910-4166-B859-026C3EBCD35B}"/>
            </a:ext>
          </a:extLst>
        </xdr:cNvPr>
        <xdr:cNvSpPr/>
      </xdr:nvSpPr>
      <xdr:spPr>
        <a:xfrm>
          <a:off x="4486275" y="571500"/>
          <a:ext cx="17145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D18CA95-E949-4852-9DEF-94865D0E11A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Fin</a:t>
          </a:fld>
          <a:endParaRPr lang="en-US" sz="1100"/>
        </a:p>
      </xdr:txBody>
    </xdr:sp>
    <xdr:clientData/>
  </xdr:twoCellAnchor>
  <xdr:twoCellAnchor>
    <xdr:from>
      <xdr:col>7</xdr:col>
      <xdr:colOff>0</xdr:colOff>
      <xdr:row>2</xdr:row>
      <xdr:rowOff>63500</xdr:rowOff>
    </xdr:from>
    <xdr:to>
      <xdr:col>8</xdr:col>
      <xdr:colOff>0</xdr:colOff>
      <xdr:row>5</xdr:row>
      <xdr:rowOff>0</xdr:rowOff>
    </xdr:to>
    <xdr:sp macro="JSON_TableHeaderClick" textlink="$H$4">
      <xdr:nvSpPr>
        <xdr:cNvPr id="257" name="tReporting52428888_7">
          <a:extLst>
            <a:ext uri="{FF2B5EF4-FFF2-40B4-BE49-F238E27FC236}">
              <a16:creationId xmlns:a16="http://schemas.microsoft.com/office/drawing/2014/main" id="{3D835999-21C2-4190-AFB9-807D07D4BB17}"/>
            </a:ext>
          </a:extLst>
        </xdr:cNvPr>
        <xdr:cNvSpPr/>
      </xdr:nvSpPr>
      <xdr:spPr>
        <a:xfrm>
          <a:off x="62007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09A96F6D-C056-4F9B-BB20-DC4B30E89BA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Libellés</a:t>
          </a:fld>
          <a:endParaRPr lang="en-US" sz="1100"/>
        </a:p>
      </xdr:txBody>
    </xdr:sp>
    <xdr:clientData/>
  </xdr:twoCellAnchor>
  <xdr:twoCellAnchor>
    <xdr:from>
      <xdr:col>8</xdr:col>
      <xdr:colOff>0</xdr:colOff>
      <xdr:row>2</xdr:row>
      <xdr:rowOff>63500</xdr:rowOff>
    </xdr:from>
    <xdr:to>
      <xdr:col>9</xdr:col>
      <xdr:colOff>0</xdr:colOff>
      <xdr:row>5</xdr:row>
      <xdr:rowOff>0</xdr:rowOff>
    </xdr:to>
    <xdr:sp macro="JSON_TableHeaderClick" textlink="$I$4">
      <xdr:nvSpPr>
        <xdr:cNvPr id="258" name="tReporting52428888_8">
          <a:extLst>
            <a:ext uri="{FF2B5EF4-FFF2-40B4-BE49-F238E27FC236}">
              <a16:creationId xmlns:a16="http://schemas.microsoft.com/office/drawing/2014/main" id="{A4A27CAE-8E8A-42B1-9506-67174DADDB49}"/>
            </a:ext>
          </a:extLst>
        </xdr:cNvPr>
        <xdr:cNvSpPr/>
      </xdr:nvSpPr>
      <xdr:spPr>
        <a:xfrm>
          <a:off x="65817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CC49F61-4216-47CC-9871-B1B4DEC48DD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Liasse</a:t>
          </a:fld>
          <a:endParaRPr lang="en-US" sz="1100"/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0</xdr:colOff>
      <xdr:row>5</xdr:row>
      <xdr:rowOff>0</xdr:rowOff>
    </xdr:to>
    <xdr:sp macro="JSON_TableHeaderClick" textlink="$J$4">
      <xdr:nvSpPr>
        <xdr:cNvPr id="259" name="tReporting52428888_9">
          <a:extLst>
            <a:ext uri="{FF2B5EF4-FFF2-40B4-BE49-F238E27FC236}">
              <a16:creationId xmlns:a16="http://schemas.microsoft.com/office/drawing/2014/main" id="{0C965905-3144-48AE-AE6D-D818370702E0}"/>
            </a:ext>
          </a:extLst>
        </xdr:cNvPr>
        <xdr:cNvSpPr/>
      </xdr:nvSpPr>
      <xdr:spPr>
        <a:xfrm>
          <a:off x="6962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079A4A0-6F8A-4A54-A276-12C9533C921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Windows: défaut?</a:t>
          </a:fld>
          <a:endParaRPr lang="en-US" sz="1100"/>
        </a:p>
      </xdr:txBody>
    </xdr:sp>
    <xdr:clientData/>
  </xdr:twoCellAnchor>
  <xdr:twoCellAnchor>
    <xdr:from>
      <xdr:col>10</xdr:col>
      <xdr:colOff>0</xdr:colOff>
      <xdr:row>3</xdr:row>
      <xdr:rowOff>0</xdr:rowOff>
    </xdr:from>
    <xdr:to>
      <xdr:col>11</xdr:col>
      <xdr:colOff>0</xdr:colOff>
      <xdr:row>5</xdr:row>
      <xdr:rowOff>0</xdr:rowOff>
    </xdr:to>
    <xdr:sp macro="JSON_TableHeaderClick" textlink="$K$4">
      <xdr:nvSpPr>
        <xdr:cNvPr id="260" name="tReporting52428888_10">
          <a:extLst>
            <a:ext uri="{FF2B5EF4-FFF2-40B4-BE49-F238E27FC236}">
              <a16:creationId xmlns:a16="http://schemas.microsoft.com/office/drawing/2014/main" id="{9C88EB85-0CE1-4899-BD22-94CCB2B5D8A7}"/>
            </a:ext>
          </a:extLst>
        </xdr:cNvPr>
        <xdr:cNvSpPr/>
      </xdr:nvSpPr>
      <xdr:spPr>
        <a:xfrm>
          <a:off x="7610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106E884-D839-4C13-8EC2-58D1EF75A79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Windows</a:t>
          </a:fld>
          <a:endParaRPr lang="en-US" sz="1100"/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12</xdr:col>
      <xdr:colOff>0</xdr:colOff>
      <xdr:row>5</xdr:row>
      <xdr:rowOff>0</xdr:rowOff>
    </xdr:to>
    <xdr:sp macro="JSON_TableHeaderClick" textlink="$L$4">
      <xdr:nvSpPr>
        <xdr:cNvPr id="261" name="tReporting52428888_11">
          <a:extLst>
            <a:ext uri="{FF2B5EF4-FFF2-40B4-BE49-F238E27FC236}">
              <a16:creationId xmlns:a16="http://schemas.microsoft.com/office/drawing/2014/main" id="{B76A428B-7D95-410F-BFB7-866F725936E0}"/>
            </a:ext>
          </a:extLst>
        </xdr:cNvPr>
        <xdr:cNvSpPr/>
      </xdr:nvSpPr>
      <xdr:spPr>
        <a:xfrm>
          <a:off x="8258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C88449A-F8B6-4B18-8DA1-27924D7CA76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Internet: défaut?</a:t>
          </a:fld>
          <a:endParaRPr lang="en-US" sz="1100"/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5</xdr:row>
      <xdr:rowOff>0</xdr:rowOff>
    </xdr:to>
    <xdr:sp macro="JSON_TableHeaderClick" textlink="$M$4">
      <xdr:nvSpPr>
        <xdr:cNvPr id="262" name="tReporting52428888_12">
          <a:extLst>
            <a:ext uri="{FF2B5EF4-FFF2-40B4-BE49-F238E27FC236}">
              <a16:creationId xmlns:a16="http://schemas.microsoft.com/office/drawing/2014/main" id="{C3F73201-823A-4C6B-B5C8-2324D97FFE84}"/>
            </a:ext>
          </a:extLst>
        </xdr:cNvPr>
        <xdr:cNvSpPr/>
      </xdr:nvSpPr>
      <xdr:spPr>
        <a:xfrm>
          <a:off x="8905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E404650-D646-4FF2-887B-2526ECE0A7C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Internet</a:t>
          </a:fld>
          <a:endParaRPr lang="en-US" sz="1100"/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JSON_TableHeaderClick" textlink="$N$4">
      <xdr:nvSpPr>
        <xdr:cNvPr id="263" name="tReporting52428888_13">
          <a:extLst>
            <a:ext uri="{FF2B5EF4-FFF2-40B4-BE49-F238E27FC236}">
              <a16:creationId xmlns:a16="http://schemas.microsoft.com/office/drawing/2014/main" id="{C4020025-B913-4999-B65B-F84BE137D4DB}"/>
            </a:ext>
          </a:extLst>
        </xdr:cNvPr>
        <xdr:cNvSpPr/>
      </xdr:nvSpPr>
      <xdr:spPr>
        <a:xfrm>
          <a:off x="9553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5AF6150-571D-4395-972A-85E710DF0B8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contrôles: défaut?</a:t>
          </a:fld>
          <a:endParaRPr lang="en-US" sz="11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0</xdr:colOff>
      <xdr:row>5</xdr:row>
      <xdr:rowOff>0</xdr:rowOff>
    </xdr:to>
    <xdr:sp macro="JSON_TableHeaderClick" textlink="$O$4">
      <xdr:nvSpPr>
        <xdr:cNvPr id="264" name="tReporting52428888_14">
          <a:extLst>
            <a:ext uri="{FF2B5EF4-FFF2-40B4-BE49-F238E27FC236}">
              <a16:creationId xmlns:a16="http://schemas.microsoft.com/office/drawing/2014/main" id="{B0D06BEF-B2E1-46FE-939D-1AA1638C1346}"/>
            </a:ext>
          </a:extLst>
        </xdr:cNvPr>
        <xdr:cNvSpPr/>
      </xdr:nvSpPr>
      <xdr:spPr>
        <a:xfrm>
          <a:off x="10201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EF47ECF-D449-4172-8E87-3B3D1847F6C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contrôles</a:t>
          </a:fld>
          <a:endParaRPr lang="en-US" sz="1100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5</xdr:row>
      <xdr:rowOff>0</xdr:rowOff>
    </xdr:to>
    <xdr:sp macro="JSON_TableHeaderClick" textlink="$P$4">
      <xdr:nvSpPr>
        <xdr:cNvPr id="265" name="tReporting52428888_15">
          <a:extLst>
            <a:ext uri="{FF2B5EF4-FFF2-40B4-BE49-F238E27FC236}">
              <a16:creationId xmlns:a16="http://schemas.microsoft.com/office/drawing/2014/main" id="{66E9DFE8-331A-465B-A9BF-A0454A85CADF}"/>
            </a:ext>
          </a:extLst>
        </xdr:cNvPr>
        <xdr:cNvSpPr/>
      </xdr:nvSpPr>
      <xdr:spPr>
        <a:xfrm>
          <a:off x="10848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95D9D4E-9109-49D0-820E-BD2D71FAB1D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de contrôle: défaut?</a:t>
          </a:fld>
          <a:endParaRPr lang="en-US" sz="1100"/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5</xdr:row>
      <xdr:rowOff>0</xdr:rowOff>
    </xdr:to>
    <xdr:sp macro="JSON_TableHeaderClick" textlink="$Q$4">
      <xdr:nvSpPr>
        <xdr:cNvPr id="266" name="tReporting52428888_16">
          <a:extLst>
            <a:ext uri="{FF2B5EF4-FFF2-40B4-BE49-F238E27FC236}">
              <a16:creationId xmlns:a16="http://schemas.microsoft.com/office/drawing/2014/main" id="{13695859-940E-4525-8320-99E44C708385}"/>
            </a:ext>
          </a:extLst>
        </xdr:cNvPr>
        <xdr:cNvSpPr/>
      </xdr:nvSpPr>
      <xdr:spPr>
        <a:xfrm>
          <a:off x="11496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43BD8A9-871D-432D-B3D7-7223120688A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de contrôle</a:t>
          </a:fld>
          <a:endParaRPr lang="en-US" sz="1100"/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JSON_TableHeaderClick" textlink="$R$4">
      <xdr:nvSpPr>
        <xdr:cNvPr id="267" name="tReporting52428888_17">
          <a:extLst>
            <a:ext uri="{FF2B5EF4-FFF2-40B4-BE49-F238E27FC236}">
              <a16:creationId xmlns:a16="http://schemas.microsoft.com/office/drawing/2014/main" id="{E37693E4-EACD-4EF5-AECD-1563F359F9C2}"/>
            </a:ext>
          </a:extLst>
        </xdr:cNvPr>
        <xdr:cNvSpPr/>
      </xdr:nvSpPr>
      <xdr:spPr>
        <a:xfrm>
          <a:off x="12144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CDFC6D8-D0AF-43F2-B66E-0E25890F631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Bloquant?</a:t>
          </a:fld>
          <a:endParaRPr lang="en-US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JSON_TableHeaderClick" textlink="$S$4">
      <xdr:nvSpPr>
        <xdr:cNvPr id="268" name="tReporting52428888_18">
          <a:extLst>
            <a:ext uri="{FF2B5EF4-FFF2-40B4-BE49-F238E27FC236}">
              <a16:creationId xmlns:a16="http://schemas.microsoft.com/office/drawing/2014/main" id="{BF60848E-88FE-49B8-B37E-0ECADE006F74}"/>
            </a:ext>
          </a:extLst>
        </xdr:cNvPr>
        <xdr:cNvSpPr/>
      </xdr:nvSpPr>
      <xdr:spPr>
        <a:xfrm>
          <a:off x="12792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9F12F5F-7433-4466-93B0-2286A67BC17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Verrouillage: défaut?</a:t>
          </a:fld>
          <a:endParaRPr lang="en-US" sz="1100"/>
        </a:p>
      </xdr:txBody>
    </xdr:sp>
    <xdr:clientData/>
  </xdr:twoCellAnchor>
  <xdr:twoCellAnchor>
    <xdr:from>
      <xdr:col>19</xdr:col>
      <xdr:colOff>0</xdr:colOff>
      <xdr:row>3</xdr:row>
      <xdr:rowOff>0</xdr:rowOff>
    </xdr:from>
    <xdr:to>
      <xdr:col>20</xdr:col>
      <xdr:colOff>0</xdr:colOff>
      <xdr:row>5</xdr:row>
      <xdr:rowOff>0</xdr:rowOff>
    </xdr:to>
    <xdr:sp macro="JSON_TableHeaderClick" textlink="$T$4">
      <xdr:nvSpPr>
        <xdr:cNvPr id="269" name="tReporting52428888_19">
          <a:extLst>
            <a:ext uri="{FF2B5EF4-FFF2-40B4-BE49-F238E27FC236}">
              <a16:creationId xmlns:a16="http://schemas.microsoft.com/office/drawing/2014/main" id="{D3959093-2BD5-4264-AD25-0734548FDDB3}"/>
            </a:ext>
          </a:extLst>
        </xdr:cNvPr>
        <xdr:cNvSpPr/>
      </xdr:nvSpPr>
      <xdr:spPr>
        <a:xfrm>
          <a:off x="13439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30FA08E-6B96-4D46-A5F2-A6EC7C120C3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Verrouillage</a:t>
          </a:fld>
          <a:endParaRPr lang="en-US" sz="1100"/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JSON_TableHeaderClick" textlink="$U$4">
      <xdr:nvSpPr>
        <xdr:cNvPr id="270" name="tReporting52428888_20">
          <a:extLst>
            <a:ext uri="{FF2B5EF4-FFF2-40B4-BE49-F238E27FC236}">
              <a16:creationId xmlns:a16="http://schemas.microsoft.com/office/drawing/2014/main" id="{E03F1DB8-0058-4A30-B7BF-5938B0CD85EF}"/>
            </a:ext>
          </a:extLst>
        </xdr:cNvPr>
        <xdr:cNvSpPr/>
      </xdr:nvSpPr>
      <xdr:spPr>
        <a:xfrm>
          <a:off x="14087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710BBAA-94D8-41C6-BA97-D310ADC344A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règles: défaut?</a:t>
          </a:fld>
          <a:endParaRPr lang="en-US" sz="1100"/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0</xdr:rowOff>
    </xdr:to>
    <xdr:sp macro="JSON_TableHeaderClick" textlink="$V$4">
      <xdr:nvSpPr>
        <xdr:cNvPr id="271" name="tReporting52428888_21">
          <a:extLst>
            <a:ext uri="{FF2B5EF4-FFF2-40B4-BE49-F238E27FC236}">
              <a16:creationId xmlns:a16="http://schemas.microsoft.com/office/drawing/2014/main" id="{0FA7CC11-7B16-4FB4-9094-35B8025A574D}"/>
            </a:ext>
          </a:extLst>
        </xdr:cNvPr>
        <xdr:cNvSpPr/>
      </xdr:nvSpPr>
      <xdr:spPr>
        <a:xfrm>
          <a:off x="14735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4A6A3E2-DB1A-41DF-B5FD-B483C52385E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règles</a:t>
          </a:fld>
          <a:endParaRPr lang="en-US" sz="1100"/>
        </a:p>
      </xdr:txBody>
    </xdr:sp>
    <xdr:clientData/>
  </xdr:twoCellAnchor>
  <xdr:twoCellAnchor>
    <xdr:from>
      <xdr:col>22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JSON_TableHeaderClick" textlink="$W$4">
      <xdr:nvSpPr>
        <xdr:cNvPr id="272" name="tReporting52428888_22">
          <a:extLst>
            <a:ext uri="{FF2B5EF4-FFF2-40B4-BE49-F238E27FC236}">
              <a16:creationId xmlns:a16="http://schemas.microsoft.com/office/drawing/2014/main" id="{D720A249-B919-4B85-927F-1FF52B3D00C9}"/>
            </a:ext>
          </a:extLst>
        </xdr:cNvPr>
        <xdr:cNvSpPr/>
      </xdr:nvSpPr>
      <xdr:spPr>
        <a:xfrm>
          <a:off x="15382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6424997-9590-4015-99A7-1D03C962E20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A-nouveaux: défaut?</a:t>
          </a:fld>
          <a:endParaRPr lang="en-US" sz="1100"/>
        </a:p>
      </xdr:txBody>
    </xdr:sp>
    <xdr:clientData/>
  </xdr:twoCellAnchor>
  <xdr:twoCellAnchor>
    <xdr:from>
      <xdr:col>23</xdr:col>
      <xdr:colOff>0</xdr:colOff>
      <xdr:row>3</xdr:row>
      <xdr:rowOff>0</xdr:rowOff>
    </xdr:from>
    <xdr:to>
      <xdr:col>24</xdr:col>
      <xdr:colOff>0</xdr:colOff>
      <xdr:row>5</xdr:row>
      <xdr:rowOff>0</xdr:rowOff>
    </xdr:to>
    <xdr:sp macro="JSON_TableHeaderClick" textlink="$X$4">
      <xdr:nvSpPr>
        <xdr:cNvPr id="273" name="tReporting52428888_23">
          <a:extLst>
            <a:ext uri="{FF2B5EF4-FFF2-40B4-BE49-F238E27FC236}">
              <a16:creationId xmlns:a16="http://schemas.microsoft.com/office/drawing/2014/main" id="{714C4DF3-74C9-4AFB-8E5D-578D3A521418}"/>
            </a:ext>
          </a:extLst>
        </xdr:cNvPr>
        <xdr:cNvSpPr/>
      </xdr:nvSpPr>
      <xdr:spPr>
        <a:xfrm>
          <a:off x="16030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DCBE4FC-2AD0-4534-BA84-4C61B216987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A-nouveaux?</a:t>
          </a:fld>
          <a:endParaRPr lang="en-US" sz="1100"/>
        </a:p>
      </xdr:txBody>
    </xdr:sp>
    <xdr:clientData/>
  </xdr:twoCellAnchor>
  <xdr:twoCellAnchor>
    <xdr:from>
      <xdr:col>24</xdr:col>
      <xdr:colOff>0</xdr:colOff>
      <xdr:row>3</xdr:row>
      <xdr:rowOff>0</xdr:rowOff>
    </xdr:from>
    <xdr:to>
      <xdr:col>25</xdr:col>
      <xdr:colOff>0</xdr:colOff>
      <xdr:row>5</xdr:row>
      <xdr:rowOff>0</xdr:rowOff>
    </xdr:to>
    <xdr:sp macro="JSON_TableHeaderClick" textlink="$Y$4">
      <xdr:nvSpPr>
        <xdr:cNvPr id="274" name="tReporting52428888_24">
          <a:extLst>
            <a:ext uri="{FF2B5EF4-FFF2-40B4-BE49-F238E27FC236}">
              <a16:creationId xmlns:a16="http://schemas.microsoft.com/office/drawing/2014/main" id="{7DEBADB4-2D8B-4C0F-BE53-05B3792B9F6F}"/>
            </a:ext>
          </a:extLst>
        </xdr:cNvPr>
        <xdr:cNvSpPr/>
      </xdr:nvSpPr>
      <xdr:spPr>
        <a:xfrm>
          <a:off x="16678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14B1545-008A-4DD3-9931-73D69F9BA06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Phase</a:t>
          </a:fld>
          <a:endParaRPr lang="en-US" sz="1100"/>
        </a:p>
      </xdr:txBody>
    </xdr:sp>
    <xdr:clientData/>
  </xdr:twoCellAnchor>
  <xdr:twoCellAnchor>
    <xdr:from>
      <xdr:col>25</xdr:col>
      <xdr:colOff>0</xdr:colOff>
      <xdr:row>3</xdr:row>
      <xdr:rowOff>0</xdr:rowOff>
    </xdr:from>
    <xdr:to>
      <xdr:col>26</xdr:col>
      <xdr:colOff>0</xdr:colOff>
      <xdr:row>5</xdr:row>
      <xdr:rowOff>0</xdr:rowOff>
    </xdr:to>
    <xdr:sp macro="JSON_TableHeaderClick" textlink="$Z$4">
      <xdr:nvSpPr>
        <xdr:cNvPr id="275" name="tReporting52428888_25">
          <a:extLst>
            <a:ext uri="{FF2B5EF4-FFF2-40B4-BE49-F238E27FC236}">
              <a16:creationId xmlns:a16="http://schemas.microsoft.com/office/drawing/2014/main" id="{F98CCF89-92B6-456C-BC64-A2BE3D6BF64E}"/>
            </a:ext>
          </a:extLst>
        </xdr:cNvPr>
        <xdr:cNvSpPr/>
      </xdr:nvSpPr>
      <xdr:spPr>
        <a:xfrm>
          <a:off x="17325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AC25CAC-2613-4182-94DE-E1916306429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Exercice</a:t>
          </a:fld>
          <a:endParaRPr lang="en-US" sz="1100"/>
        </a:p>
      </xdr:txBody>
    </xdr:sp>
    <xdr:clientData/>
  </xdr:twoCellAnchor>
  <xdr:twoCellAnchor>
    <xdr:from>
      <xdr:col>26</xdr:col>
      <xdr:colOff>0</xdr:colOff>
      <xdr:row>3</xdr:row>
      <xdr:rowOff>0</xdr:rowOff>
    </xdr:from>
    <xdr:to>
      <xdr:col>27</xdr:col>
      <xdr:colOff>0</xdr:colOff>
      <xdr:row>5</xdr:row>
      <xdr:rowOff>0</xdr:rowOff>
    </xdr:to>
    <xdr:sp macro="JSON_TableHeaderClick" textlink="$AA$4">
      <xdr:nvSpPr>
        <xdr:cNvPr id="276" name="tReporting52428888_26">
          <a:extLst>
            <a:ext uri="{FF2B5EF4-FFF2-40B4-BE49-F238E27FC236}">
              <a16:creationId xmlns:a16="http://schemas.microsoft.com/office/drawing/2014/main" id="{828A472F-B80E-4159-B159-FDC82326034D}"/>
            </a:ext>
          </a:extLst>
        </xdr:cNvPr>
        <xdr:cNvSpPr/>
      </xdr:nvSpPr>
      <xdr:spPr>
        <a:xfrm>
          <a:off x="17973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FB7D5F4-B28C-4CFE-8132-7086B388197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Périmètre</a:t>
          </a:fld>
          <a:endParaRPr lang="en-US" sz="1100"/>
        </a:p>
      </xdr:txBody>
    </xdr:sp>
    <xdr:clientData/>
  </xdr:twoCellAnchor>
  <xdr:twoCellAnchor>
    <xdr:from>
      <xdr:col>27</xdr:col>
      <xdr:colOff>0</xdr:colOff>
      <xdr:row>3</xdr:row>
      <xdr:rowOff>0</xdr:rowOff>
    </xdr:from>
    <xdr:to>
      <xdr:col>28</xdr:col>
      <xdr:colOff>0</xdr:colOff>
      <xdr:row>5</xdr:row>
      <xdr:rowOff>0</xdr:rowOff>
    </xdr:to>
    <xdr:sp macro="JSON_TableHeaderClick" textlink="$AB$4">
      <xdr:nvSpPr>
        <xdr:cNvPr id="277" name="tReporting52428888_27">
          <a:extLst>
            <a:ext uri="{FF2B5EF4-FFF2-40B4-BE49-F238E27FC236}">
              <a16:creationId xmlns:a16="http://schemas.microsoft.com/office/drawing/2014/main" id="{E18BFC36-27D5-4198-B7C3-56B788228977}"/>
            </a:ext>
          </a:extLst>
        </xdr:cNvPr>
        <xdr:cNvSpPr/>
      </xdr:nvSpPr>
      <xdr:spPr>
        <a:xfrm>
          <a:off x="18621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77124F7-7CE0-43D8-88FF-CAA03517169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Variante</a:t>
          </a:fld>
          <a:endParaRPr lang="en-US" sz="1100"/>
        </a:p>
      </xdr:txBody>
    </xdr:sp>
    <xdr:clientData/>
  </xdr:twoCellAnchor>
  <xdr:twoCellAnchor>
    <xdr:from>
      <xdr:col>28</xdr:col>
      <xdr:colOff>0</xdr:colOff>
      <xdr:row>3</xdr:row>
      <xdr:rowOff>0</xdr:rowOff>
    </xdr:from>
    <xdr:to>
      <xdr:col>29</xdr:col>
      <xdr:colOff>0</xdr:colOff>
      <xdr:row>5</xdr:row>
      <xdr:rowOff>0</xdr:rowOff>
    </xdr:to>
    <xdr:sp macro="JSON_TableHeaderClick" textlink="$AC$4">
      <xdr:nvSpPr>
        <xdr:cNvPr id="278" name="tReporting52428888_28">
          <a:extLst>
            <a:ext uri="{FF2B5EF4-FFF2-40B4-BE49-F238E27FC236}">
              <a16:creationId xmlns:a16="http://schemas.microsoft.com/office/drawing/2014/main" id="{779140DB-A6BB-48F5-909A-AB9B7D089E2F}"/>
            </a:ext>
          </a:extLst>
        </xdr:cNvPr>
        <xdr:cNvSpPr/>
      </xdr:nvSpPr>
      <xdr:spPr>
        <a:xfrm>
          <a:off x="19269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C3CBA5C-7176-4310-A174-E999C062801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Devise</a:t>
          </a:fld>
          <a:endParaRPr lang="en-US" sz="1100"/>
        </a:p>
      </xdr:txBody>
    </xdr:sp>
    <xdr:clientData/>
  </xdr:twoCellAnchor>
  <xdr:twoCellAnchor>
    <xdr:from>
      <xdr:col>29</xdr:col>
      <xdr:colOff>0</xdr:colOff>
      <xdr:row>2</xdr:row>
      <xdr:rowOff>63500</xdr:rowOff>
    </xdr:from>
    <xdr:to>
      <xdr:col>30</xdr:col>
      <xdr:colOff>0</xdr:colOff>
      <xdr:row>5</xdr:row>
      <xdr:rowOff>0</xdr:rowOff>
    </xdr:to>
    <xdr:sp macro="JSON_TableHeaderClick" textlink="$AD$4">
      <xdr:nvSpPr>
        <xdr:cNvPr id="279" name="tReporting52428888_29">
          <a:extLst>
            <a:ext uri="{FF2B5EF4-FFF2-40B4-BE49-F238E27FC236}">
              <a16:creationId xmlns:a16="http://schemas.microsoft.com/office/drawing/2014/main" id="{42864BBC-F8E6-4EBD-9D60-6D409BCFABEF}"/>
            </a:ext>
          </a:extLst>
        </xdr:cNvPr>
        <xdr:cNvSpPr/>
      </xdr:nvSpPr>
      <xdr:spPr>
        <a:xfrm>
          <a:off x="199167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7C396C07-B6C2-4A59-858A-3B54E0C38D7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Exploitation</a:t>
          </a:fld>
          <a:endParaRPr lang="en-US" sz="1100"/>
        </a:p>
      </xdr:txBody>
    </xdr:sp>
    <xdr:clientData/>
  </xdr:twoCellAnchor>
  <xdr:twoCellAnchor>
    <xdr:from>
      <xdr:col>30</xdr:col>
      <xdr:colOff>0</xdr:colOff>
      <xdr:row>3</xdr:row>
      <xdr:rowOff>0</xdr:rowOff>
    </xdr:from>
    <xdr:to>
      <xdr:col>31</xdr:col>
      <xdr:colOff>0</xdr:colOff>
      <xdr:row>5</xdr:row>
      <xdr:rowOff>0</xdr:rowOff>
    </xdr:to>
    <xdr:sp macro="JSON_TableHeaderClick" textlink="$AE$4">
      <xdr:nvSpPr>
        <xdr:cNvPr id="280" name="tReporting52428888_30">
          <a:extLst>
            <a:ext uri="{FF2B5EF4-FFF2-40B4-BE49-F238E27FC236}">
              <a16:creationId xmlns:a16="http://schemas.microsoft.com/office/drawing/2014/main" id="{1F55AACD-8EBE-4D5D-AA5E-F714998B55EB}"/>
            </a:ext>
          </a:extLst>
        </xdr:cNvPr>
        <xdr:cNvSpPr/>
      </xdr:nvSpPr>
      <xdr:spPr>
        <a:xfrm>
          <a:off x="20297775" y="571500"/>
          <a:ext cx="17145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1BB8DC5-770E-4A06-BB03-BE18ACE1B0C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Date limite</a:t>
          </a:fld>
          <a:endParaRPr lang="en-US" sz="1100"/>
        </a:p>
      </xdr:txBody>
    </xdr:sp>
    <xdr:clientData/>
  </xdr:twoCellAnchor>
  <xdr:twoCellAnchor>
    <xdr:from>
      <xdr:col>31</xdr:col>
      <xdr:colOff>0</xdr:colOff>
      <xdr:row>3</xdr:row>
      <xdr:rowOff>0</xdr:rowOff>
    </xdr:from>
    <xdr:to>
      <xdr:col>32</xdr:col>
      <xdr:colOff>0</xdr:colOff>
      <xdr:row>5</xdr:row>
      <xdr:rowOff>0</xdr:rowOff>
    </xdr:to>
    <xdr:sp macro="JSON_TableHeaderClick" textlink="$AF$4">
      <xdr:nvSpPr>
        <xdr:cNvPr id="281" name="tReporting52428888_31">
          <a:extLst>
            <a:ext uri="{FF2B5EF4-FFF2-40B4-BE49-F238E27FC236}">
              <a16:creationId xmlns:a16="http://schemas.microsoft.com/office/drawing/2014/main" id="{F5AE90E3-C7E0-4E02-AD92-1BA296EFD395}"/>
            </a:ext>
          </a:extLst>
        </xdr:cNvPr>
        <xdr:cNvSpPr/>
      </xdr:nvSpPr>
      <xdr:spPr>
        <a:xfrm>
          <a:off x="22012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0108655-E596-4E37-9B61-1C421C60964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anticipée?</a:t>
          </a:fld>
          <a:endParaRPr lang="en-US" sz="1100"/>
        </a:p>
      </xdr:txBody>
    </xdr:sp>
    <xdr:clientData/>
  </xdr:twoCellAnchor>
  <xdr:twoCellAnchor>
    <xdr:from>
      <xdr:col>32</xdr:col>
      <xdr:colOff>0</xdr:colOff>
      <xdr:row>2</xdr:row>
      <xdr:rowOff>63500</xdr:rowOff>
    </xdr:from>
    <xdr:to>
      <xdr:col>33</xdr:col>
      <xdr:colOff>0</xdr:colOff>
      <xdr:row>5</xdr:row>
      <xdr:rowOff>0</xdr:rowOff>
    </xdr:to>
    <xdr:sp macro="JSON_TableHeaderClick" textlink="$AG$4">
      <xdr:nvSpPr>
        <xdr:cNvPr id="282" name="tReporting52428888_32">
          <a:extLst>
            <a:ext uri="{FF2B5EF4-FFF2-40B4-BE49-F238E27FC236}">
              <a16:creationId xmlns:a16="http://schemas.microsoft.com/office/drawing/2014/main" id="{54A5B423-ACAB-4FE0-9BD2-2099220E57A0}"/>
            </a:ext>
          </a:extLst>
        </xdr:cNvPr>
        <xdr:cNvSpPr/>
      </xdr:nvSpPr>
      <xdr:spPr>
        <a:xfrm>
          <a:off x="226599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44193BC0-1880-43D0-9AC7-02595E4FDE9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publication</a:t>
          </a:fld>
          <a:endParaRPr lang="en-US" sz="1100"/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34</xdr:col>
      <xdr:colOff>0</xdr:colOff>
      <xdr:row>5</xdr:row>
      <xdr:rowOff>0</xdr:rowOff>
    </xdr:to>
    <xdr:sp macro="JSON_TableHeaderClick" textlink="$AH$4">
      <xdr:nvSpPr>
        <xdr:cNvPr id="283" name="tReporting52428888_33">
          <a:extLst>
            <a:ext uri="{FF2B5EF4-FFF2-40B4-BE49-F238E27FC236}">
              <a16:creationId xmlns:a16="http://schemas.microsoft.com/office/drawing/2014/main" id="{92895700-C2A9-474F-89DC-DDB7A7BD25FE}"/>
            </a:ext>
          </a:extLst>
        </xdr:cNvPr>
        <xdr:cNvSpPr/>
      </xdr:nvSpPr>
      <xdr:spPr>
        <a:xfrm>
          <a:off x="23040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A681775-CB7D-40CF-B64F-AAA727A7CA4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standard</a:t>
          </a:fld>
          <a:endParaRPr lang="en-US" sz="1100"/>
        </a:p>
      </xdr:txBody>
    </xdr:sp>
    <xdr:clientData/>
  </xdr:twoCellAnchor>
  <xdr:twoCellAnchor>
    <xdr:from>
      <xdr:col>34</xdr:col>
      <xdr:colOff>0</xdr:colOff>
      <xdr:row>3</xdr:row>
      <xdr:rowOff>0</xdr:rowOff>
    </xdr:from>
    <xdr:to>
      <xdr:col>35</xdr:col>
      <xdr:colOff>0</xdr:colOff>
      <xdr:row>5</xdr:row>
      <xdr:rowOff>0</xdr:rowOff>
    </xdr:to>
    <xdr:sp macro="JSON_TableHeaderClick" textlink="$AI$4">
      <xdr:nvSpPr>
        <xdr:cNvPr id="284" name="tReporting52428888_34">
          <a:extLst>
            <a:ext uri="{FF2B5EF4-FFF2-40B4-BE49-F238E27FC236}">
              <a16:creationId xmlns:a16="http://schemas.microsoft.com/office/drawing/2014/main" id="{87DAA5B9-4BD9-416D-AFE8-9F8FA01B4523}"/>
            </a:ext>
          </a:extLst>
        </xdr:cNvPr>
        <xdr:cNvSpPr/>
      </xdr:nvSpPr>
      <xdr:spPr>
        <a:xfrm>
          <a:off x="23688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5E28DDA-6CAE-482E-9571-7D88D8BF0A1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spéciale</a:t>
          </a:fld>
          <a:endParaRPr lang="en-US" sz="1100"/>
        </a:p>
      </xdr:txBody>
    </xdr:sp>
    <xdr:clientData/>
  </xdr:twoCellAnchor>
  <xdr:twoCellAnchor>
    <xdr:from>
      <xdr:col>35</xdr:col>
      <xdr:colOff>0</xdr:colOff>
      <xdr:row>3</xdr:row>
      <xdr:rowOff>0</xdr:rowOff>
    </xdr:from>
    <xdr:to>
      <xdr:col>36</xdr:col>
      <xdr:colOff>0</xdr:colOff>
      <xdr:row>5</xdr:row>
      <xdr:rowOff>0</xdr:rowOff>
    </xdr:to>
    <xdr:sp macro="JSON_TableHeaderClick" textlink="$AJ$4">
      <xdr:nvSpPr>
        <xdr:cNvPr id="285" name="tReporting52428888_35">
          <a:extLst>
            <a:ext uri="{FF2B5EF4-FFF2-40B4-BE49-F238E27FC236}">
              <a16:creationId xmlns:a16="http://schemas.microsoft.com/office/drawing/2014/main" id="{39940A97-6D0B-43C8-A1F5-5105B38D6438}"/>
            </a:ext>
          </a:extLst>
        </xdr:cNvPr>
        <xdr:cNvSpPr/>
      </xdr:nvSpPr>
      <xdr:spPr>
        <a:xfrm>
          <a:off x="24336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26A0891-4F9A-453F-9B38-B2FA3B6C04D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avancée</a:t>
          </a:fld>
          <a:endParaRPr lang="en-US" sz="1100"/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JSON_TableHeaderClick" textlink="$AK$4">
      <xdr:nvSpPr>
        <xdr:cNvPr id="286" name="tReporting52428888_36">
          <a:extLst>
            <a:ext uri="{FF2B5EF4-FFF2-40B4-BE49-F238E27FC236}">
              <a16:creationId xmlns:a16="http://schemas.microsoft.com/office/drawing/2014/main" id="{668715AD-7C27-47A6-A521-EAF0CEFFCF0A}"/>
            </a:ext>
          </a:extLst>
        </xdr:cNvPr>
        <xdr:cNvSpPr/>
      </xdr:nvSpPr>
      <xdr:spPr>
        <a:xfrm>
          <a:off x="24984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7D40A33-1D58-4F93-A6E0-619A7327847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après pub.</a:t>
          </a:fld>
          <a:endParaRPr lang="en-US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5</xdr:row>
      <xdr:rowOff>0</xdr:rowOff>
    </xdr:to>
    <xdr:sp macro="JSON_TableHeaderClick" textlink="$AL$4">
      <xdr:nvSpPr>
        <xdr:cNvPr id="287" name="tReporting52428888_37">
          <a:extLst>
            <a:ext uri="{FF2B5EF4-FFF2-40B4-BE49-F238E27FC236}">
              <a16:creationId xmlns:a16="http://schemas.microsoft.com/office/drawing/2014/main" id="{618E29DA-5323-4984-AFC9-E36DCB2D9E7B}"/>
            </a:ext>
          </a:extLst>
        </xdr:cNvPr>
        <xdr:cNvSpPr/>
      </xdr:nvSpPr>
      <xdr:spPr>
        <a:xfrm>
          <a:off x="256317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AB32EC0-F2B7-40BA-A77A-5BF73E742E4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transfert</a:t>
          </a:fld>
          <a:endParaRPr lang="en-US" sz="1100"/>
        </a:p>
      </xdr:txBody>
    </xdr:sp>
    <xdr:clientData/>
  </xdr:twoCellAnchor>
  <xdr:twoCellAnchor>
    <xdr:from>
      <xdr:col>38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JSON_TableHeaderClick" textlink="$AM$4">
      <xdr:nvSpPr>
        <xdr:cNvPr id="288" name="tReporting52428888_38">
          <a:extLst>
            <a:ext uri="{FF2B5EF4-FFF2-40B4-BE49-F238E27FC236}">
              <a16:creationId xmlns:a16="http://schemas.microsoft.com/office/drawing/2014/main" id="{83B22019-B198-431A-A509-C7FB1CB78A9D}"/>
            </a:ext>
          </a:extLst>
        </xdr:cNvPr>
        <xdr:cNvSpPr/>
      </xdr:nvSpPr>
      <xdr:spPr>
        <a:xfrm>
          <a:off x="26012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67AEA63-EE31-4303-BB9B-5A8ED1AB4D0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Transfert standard</a:t>
          </a:fld>
          <a:endParaRPr lang="en-US" sz="1100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40</xdr:col>
      <xdr:colOff>0</xdr:colOff>
      <xdr:row>5</xdr:row>
      <xdr:rowOff>0</xdr:rowOff>
    </xdr:to>
    <xdr:sp macro="JSON_TableHeaderClick" textlink="$AN$4">
      <xdr:nvSpPr>
        <xdr:cNvPr id="289" name="tReporting52428888_39">
          <a:extLst>
            <a:ext uri="{FF2B5EF4-FFF2-40B4-BE49-F238E27FC236}">
              <a16:creationId xmlns:a16="http://schemas.microsoft.com/office/drawing/2014/main" id="{B9C87A6E-7D66-4EAE-82AC-DDD10DAA4305}"/>
            </a:ext>
          </a:extLst>
        </xdr:cNvPr>
        <xdr:cNvSpPr/>
      </xdr:nvSpPr>
      <xdr:spPr>
        <a:xfrm>
          <a:off x="26660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526227E-ACD0-4877-8DAD-BF4DF0ABD7F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Transfert spécial</a:t>
          </a:fld>
          <a:endParaRPr lang="en-US" sz="1100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41</xdr:col>
      <xdr:colOff>0</xdr:colOff>
      <xdr:row>5</xdr:row>
      <xdr:rowOff>0</xdr:rowOff>
    </xdr:to>
    <xdr:sp macro="JSON_TableHeaderClick" textlink="$AO$4">
      <xdr:nvSpPr>
        <xdr:cNvPr id="290" name="tReporting52428888_40">
          <a:extLst>
            <a:ext uri="{FF2B5EF4-FFF2-40B4-BE49-F238E27FC236}">
              <a16:creationId xmlns:a16="http://schemas.microsoft.com/office/drawing/2014/main" id="{61787FC0-DEF5-417E-9132-080144FDCA6C}"/>
            </a:ext>
          </a:extLst>
        </xdr:cNvPr>
        <xdr:cNvSpPr/>
      </xdr:nvSpPr>
      <xdr:spPr>
        <a:xfrm>
          <a:off x="27308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1642DE1-0043-4633-900E-40D9DF7270E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Transfert avancé</a:t>
          </a:fld>
          <a:endParaRPr lang="en-US" sz="1100"/>
        </a:p>
      </xdr:txBody>
    </xdr:sp>
    <xdr:clientData/>
  </xdr:twoCellAnchor>
  <xdr:twoCellAnchor>
    <xdr:from>
      <xdr:col>41</xdr:col>
      <xdr:colOff>0</xdr:colOff>
      <xdr:row>3</xdr:row>
      <xdr:rowOff>0</xdr:rowOff>
    </xdr:from>
    <xdr:to>
      <xdr:col>42</xdr:col>
      <xdr:colOff>0</xdr:colOff>
      <xdr:row>5</xdr:row>
      <xdr:rowOff>0</xdr:rowOff>
    </xdr:to>
    <xdr:sp macro="JSON_TableHeaderClick" textlink="$AP$4">
      <xdr:nvSpPr>
        <xdr:cNvPr id="291" name="tReporting52428888_41">
          <a:extLst>
            <a:ext uri="{FF2B5EF4-FFF2-40B4-BE49-F238E27FC236}">
              <a16:creationId xmlns:a16="http://schemas.microsoft.com/office/drawing/2014/main" id="{CE7E8029-1DED-42F3-A2B2-8771654020C1}"/>
            </a:ext>
          </a:extLst>
        </xdr:cNvPr>
        <xdr:cNvSpPr/>
      </xdr:nvSpPr>
      <xdr:spPr>
        <a:xfrm>
          <a:off x="27955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F6D170A-71EA-458A-A7FB-8CA52F0CE33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après tran.</a:t>
          </a:fld>
          <a:endParaRPr lang="en-US" sz="1100"/>
        </a:p>
      </xdr:txBody>
    </xdr:sp>
    <xdr:clientData/>
  </xdr:twoCellAnchor>
  <xdr:twoCellAnchor>
    <xdr:from>
      <xdr:col>42</xdr:col>
      <xdr:colOff>0</xdr:colOff>
      <xdr:row>2</xdr:row>
      <xdr:rowOff>63500</xdr:rowOff>
    </xdr:from>
    <xdr:to>
      <xdr:col>43</xdr:col>
      <xdr:colOff>0</xdr:colOff>
      <xdr:row>5</xdr:row>
      <xdr:rowOff>0</xdr:rowOff>
    </xdr:to>
    <xdr:sp macro="JSON_TableHeaderClick" textlink="$AQ$4">
      <xdr:nvSpPr>
        <xdr:cNvPr id="292" name="tReporting52428888_42">
          <a:extLst>
            <a:ext uri="{FF2B5EF4-FFF2-40B4-BE49-F238E27FC236}">
              <a16:creationId xmlns:a16="http://schemas.microsoft.com/office/drawing/2014/main" id="{01DD2D9F-72C3-4D39-9EC9-C64A9EA748CD}"/>
            </a:ext>
          </a:extLst>
        </xdr:cNvPr>
        <xdr:cNvSpPr/>
      </xdr:nvSpPr>
      <xdr:spPr>
        <a:xfrm>
          <a:off x="286035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07F44D6A-1341-49E9-B580-41B4EB520A4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Unité</a:t>
          </a:fld>
          <a:endParaRPr lang="en-US" sz="1100"/>
        </a:p>
      </xdr:txBody>
    </xdr:sp>
    <xdr:clientData/>
  </xdr:twoCellAnchor>
  <xdr:twoCellAnchor>
    <xdr:from>
      <xdr:col>43</xdr:col>
      <xdr:colOff>0</xdr:colOff>
      <xdr:row>3</xdr:row>
      <xdr:rowOff>0</xdr:rowOff>
    </xdr:from>
    <xdr:to>
      <xdr:col>44</xdr:col>
      <xdr:colOff>0</xdr:colOff>
      <xdr:row>5</xdr:row>
      <xdr:rowOff>0</xdr:rowOff>
    </xdr:to>
    <xdr:sp macro="JSON_TableHeaderClick" textlink="$AR$4">
      <xdr:nvSpPr>
        <xdr:cNvPr id="293" name="tReporting52428888_43">
          <a:extLst>
            <a:ext uri="{FF2B5EF4-FFF2-40B4-BE49-F238E27FC236}">
              <a16:creationId xmlns:a16="http://schemas.microsoft.com/office/drawing/2014/main" id="{89CB9798-22DE-4316-A427-BE9A19672267}"/>
            </a:ext>
          </a:extLst>
        </xdr:cNvPr>
        <xdr:cNvSpPr/>
      </xdr:nvSpPr>
      <xdr:spPr>
        <a:xfrm>
          <a:off x="28984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0185764-84DF-4B6D-AE08-B04CFDEBE75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Code</a:t>
          </a:fld>
          <a:endParaRPr lang="en-US" sz="1100"/>
        </a:p>
      </xdr:txBody>
    </xdr:sp>
    <xdr:clientData/>
  </xdr:twoCellAnchor>
  <xdr:twoCellAnchor>
    <xdr:from>
      <xdr:col>44</xdr:col>
      <xdr:colOff>0</xdr:colOff>
      <xdr:row>3</xdr:row>
      <xdr:rowOff>0</xdr:rowOff>
    </xdr:from>
    <xdr:to>
      <xdr:col>45</xdr:col>
      <xdr:colOff>0</xdr:colOff>
      <xdr:row>5</xdr:row>
      <xdr:rowOff>0</xdr:rowOff>
    </xdr:to>
    <xdr:sp macro="JSON_TableHeaderClick" textlink="$AS$4">
      <xdr:nvSpPr>
        <xdr:cNvPr id="294" name="tReporting52428888_44">
          <a:extLst>
            <a:ext uri="{FF2B5EF4-FFF2-40B4-BE49-F238E27FC236}">
              <a16:creationId xmlns:a16="http://schemas.microsoft.com/office/drawing/2014/main" id="{54D4412A-7744-4EDC-8B83-90D3DEECABCC}"/>
            </a:ext>
          </a:extLst>
        </xdr:cNvPr>
        <xdr:cNvSpPr/>
      </xdr:nvSpPr>
      <xdr:spPr>
        <a:xfrm>
          <a:off x="29632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F70CF3B-98CA-4313-9702-107CF1E35E0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Devise</a:t>
          </a:fld>
          <a:endParaRPr lang="en-US" sz="1100"/>
        </a:p>
      </xdr:txBody>
    </xdr:sp>
    <xdr:clientData/>
  </xdr:twoCellAnchor>
  <xdr:twoCellAnchor>
    <xdr:from>
      <xdr:col>45</xdr:col>
      <xdr:colOff>0</xdr:colOff>
      <xdr:row>3</xdr:row>
      <xdr:rowOff>0</xdr:rowOff>
    </xdr:from>
    <xdr:to>
      <xdr:col>46</xdr:col>
      <xdr:colOff>0</xdr:colOff>
      <xdr:row>5</xdr:row>
      <xdr:rowOff>0</xdr:rowOff>
    </xdr:to>
    <xdr:sp macro="JSON_TableHeaderClick" textlink="$AT$4">
      <xdr:nvSpPr>
        <xdr:cNvPr id="295" name="tReporting52428888_45">
          <a:extLst>
            <a:ext uri="{FF2B5EF4-FFF2-40B4-BE49-F238E27FC236}">
              <a16:creationId xmlns:a16="http://schemas.microsoft.com/office/drawing/2014/main" id="{DEF0733E-E4ED-4A49-8643-33417C3D4368}"/>
            </a:ext>
          </a:extLst>
        </xdr:cNvPr>
        <xdr:cNvSpPr/>
      </xdr:nvSpPr>
      <xdr:spPr>
        <a:xfrm>
          <a:off x="30279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410B3B6-64DF-40CB-BA90-078AFDA98B0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Site de saisie</a:t>
          </a:fld>
          <a:endParaRPr lang="en-US" sz="1100"/>
        </a:p>
      </xdr:txBody>
    </xdr:sp>
    <xdr:clientData/>
  </xdr:twoCellAnchor>
  <xdr:twoCellAnchor>
    <xdr:from>
      <xdr:col>46</xdr:col>
      <xdr:colOff>0</xdr:colOff>
      <xdr:row>3</xdr:row>
      <xdr:rowOff>0</xdr:rowOff>
    </xdr:from>
    <xdr:to>
      <xdr:col>47</xdr:col>
      <xdr:colOff>0</xdr:colOff>
      <xdr:row>5</xdr:row>
      <xdr:rowOff>0</xdr:rowOff>
    </xdr:to>
    <xdr:sp macro="JSON_TableHeaderClick" textlink="$AU$4">
      <xdr:nvSpPr>
        <xdr:cNvPr id="296" name="tReporting52428888_46">
          <a:extLst>
            <a:ext uri="{FF2B5EF4-FFF2-40B4-BE49-F238E27FC236}">
              <a16:creationId xmlns:a16="http://schemas.microsoft.com/office/drawing/2014/main" id="{AF87F4B2-CFD8-41EA-998A-CFE6050040CE}"/>
            </a:ext>
          </a:extLst>
        </xdr:cNvPr>
        <xdr:cNvSpPr/>
      </xdr:nvSpPr>
      <xdr:spPr>
        <a:xfrm>
          <a:off x="30927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A9D2CFC-E2C9-4CD4-97B0-7A294C5E043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Site de publication</a:t>
          </a:fld>
          <a:endParaRPr lang="en-US" sz="1100"/>
        </a:p>
      </xdr:txBody>
    </xdr:sp>
    <xdr:clientData/>
  </xdr:twoCellAnchor>
  <xdr:twoCellAnchor>
    <xdr:from>
      <xdr:col>47</xdr:col>
      <xdr:colOff>0</xdr:colOff>
      <xdr:row>2</xdr:row>
      <xdr:rowOff>63500</xdr:rowOff>
    </xdr:from>
    <xdr:to>
      <xdr:col>48</xdr:col>
      <xdr:colOff>0</xdr:colOff>
      <xdr:row>5</xdr:row>
      <xdr:rowOff>0</xdr:rowOff>
    </xdr:to>
    <xdr:sp macro="JSON_TableHeaderClick" textlink="$AV$4">
      <xdr:nvSpPr>
        <xdr:cNvPr id="297" name="tReporting52428888_47">
          <a:extLst>
            <a:ext uri="{FF2B5EF4-FFF2-40B4-BE49-F238E27FC236}">
              <a16:creationId xmlns:a16="http://schemas.microsoft.com/office/drawing/2014/main" id="{CC3842E2-9EE1-45C1-8845-33086BDAEAD7}"/>
            </a:ext>
          </a:extLst>
        </xdr:cNvPr>
        <xdr:cNvSpPr/>
      </xdr:nvSpPr>
      <xdr:spPr>
        <a:xfrm>
          <a:off x="31575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42B6BBD-0462-4A32-80AD-0CB7B1E2F90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Liasse</a:t>
          </a:fld>
          <a:endParaRPr lang="en-US" sz="1100"/>
        </a:p>
      </xdr:txBody>
    </xdr:sp>
    <xdr:clientData/>
  </xdr:twoCellAnchor>
  <xdr:twoCellAnchor>
    <xdr:from>
      <xdr:col>48</xdr:col>
      <xdr:colOff>0</xdr:colOff>
      <xdr:row>3</xdr:row>
      <xdr:rowOff>0</xdr:rowOff>
    </xdr:from>
    <xdr:to>
      <xdr:col>49</xdr:col>
      <xdr:colOff>0</xdr:colOff>
      <xdr:row>5</xdr:row>
      <xdr:rowOff>0</xdr:rowOff>
    </xdr:to>
    <xdr:sp macro="JSON_TableHeaderClick" textlink="$AW$4">
      <xdr:nvSpPr>
        <xdr:cNvPr id="298" name="tReporting52428888_48">
          <a:extLst>
            <a:ext uri="{FF2B5EF4-FFF2-40B4-BE49-F238E27FC236}">
              <a16:creationId xmlns:a16="http://schemas.microsoft.com/office/drawing/2014/main" id="{4B75E042-DACE-4919-AD51-E2664C7A43BB}"/>
            </a:ext>
          </a:extLst>
        </xdr:cNvPr>
        <xdr:cNvSpPr/>
      </xdr:nvSpPr>
      <xdr:spPr>
        <a:xfrm>
          <a:off x="31956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5DD62B5-7B18-4FDD-AD71-5027F685198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Windows: défaut?</a:t>
          </a:fld>
          <a:endParaRPr lang="en-US" sz="1100"/>
        </a:p>
      </xdr:txBody>
    </xdr:sp>
    <xdr:clientData/>
  </xdr:twoCellAnchor>
  <xdr:twoCellAnchor>
    <xdr:from>
      <xdr:col>49</xdr:col>
      <xdr:colOff>0</xdr:colOff>
      <xdr:row>3</xdr:row>
      <xdr:rowOff>0</xdr:rowOff>
    </xdr:from>
    <xdr:to>
      <xdr:col>50</xdr:col>
      <xdr:colOff>0</xdr:colOff>
      <xdr:row>5</xdr:row>
      <xdr:rowOff>0</xdr:rowOff>
    </xdr:to>
    <xdr:sp macro="JSON_TableHeaderClick" textlink="$AX$4">
      <xdr:nvSpPr>
        <xdr:cNvPr id="299" name="tReporting52428888_49">
          <a:extLst>
            <a:ext uri="{FF2B5EF4-FFF2-40B4-BE49-F238E27FC236}">
              <a16:creationId xmlns:a16="http://schemas.microsoft.com/office/drawing/2014/main" id="{74ECFF15-A31D-48A6-A4FC-50C6B0FE633E}"/>
            </a:ext>
          </a:extLst>
        </xdr:cNvPr>
        <xdr:cNvSpPr/>
      </xdr:nvSpPr>
      <xdr:spPr>
        <a:xfrm>
          <a:off x="32604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FED52F8-0829-480A-A340-610191898EE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Windows</a:t>
          </a:fld>
          <a:endParaRPr lang="en-US" sz="1100"/>
        </a:p>
      </xdr:txBody>
    </xdr:sp>
    <xdr:clientData/>
  </xdr:twoCellAnchor>
  <xdr:twoCellAnchor>
    <xdr:from>
      <xdr:col>50</xdr:col>
      <xdr:colOff>0</xdr:colOff>
      <xdr:row>3</xdr:row>
      <xdr:rowOff>0</xdr:rowOff>
    </xdr:from>
    <xdr:to>
      <xdr:col>51</xdr:col>
      <xdr:colOff>0</xdr:colOff>
      <xdr:row>5</xdr:row>
      <xdr:rowOff>0</xdr:rowOff>
    </xdr:to>
    <xdr:sp macro="JSON_TableHeaderClick" textlink="$AY$4">
      <xdr:nvSpPr>
        <xdr:cNvPr id="300" name="tReporting52428888_50">
          <a:extLst>
            <a:ext uri="{FF2B5EF4-FFF2-40B4-BE49-F238E27FC236}">
              <a16:creationId xmlns:a16="http://schemas.microsoft.com/office/drawing/2014/main" id="{2C8740EF-4DA7-4626-B88D-1948F5B912E5}"/>
            </a:ext>
          </a:extLst>
        </xdr:cNvPr>
        <xdr:cNvSpPr/>
      </xdr:nvSpPr>
      <xdr:spPr>
        <a:xfrm>
          <a:off x="33251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2A75F83-1593-4070-803C-BA722E48229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Internet: défaut?</a:t>
          </a:fld>
          <a:endParaRPr lang="en-US" sz="1100"/>
        </a:p>
      </xdr:txBody>
    </xdr:sp>
    <xdr:clientData/>
  </xdr:twoCellAnchor>
  <xdr:twoCellAnchor>
    <xdr:from>
      <xdr:col>51</xdr:col>
      <xdr:colOff>0</xdr:colOff>
      <xdr:row>3</xdr:row>
      <xdr:rowOff>0</xdr:rowOff>
    </xdr:from>
    <xdr:to>
      <xdr:col>52</xdr:col>
      <xdr:colOff>0</xdr:colOff>
      <xdr:row>5</xdr:row>
      <xdr:rowOff>0</xdr:rowOff>
    </xdr:to>
    <xdr:sp macro="JSON_TableHeaderClick" textlink="$AZ$4">
      <xdr:nvSpPr>
        <xdr:cNvPr id="301" name="tReporting52428888_51">
          <a:extLst>
            <a:ext uri="{FF2B5EF4-FFF2-40B4-BE49-F238E27FC236}">
              <a16:creationId xmlns:a16="http://schemas.microsoft.com/office/drawing/2014/main" id="{FB3A1F3D-F21D-4AA3-A89F-029A2D49E2B6}"/>
            </a:ext>
          </a:extLst>
        </xdr:cNvPr>
        <xdr:cNvSpPr/>
      </xdr:nvSpPr>
      <xdr:spPr>
        <a:xfrm>
          <a:off x="33899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5DD129B-E651-4172-B46C-B3945DA267F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Internet</a:t>
          </a:fld>
          <a:endParaRPr lang="en-US" sz="1100"/>
        </a:p>
      </xdr:txBody>
    </xdr:sp>
    <xdr:clientData/>
  </xdr:twoCellAnchor>
  <xdr:twoCellAnchor>
    <xdr:from>
      <xdr:col>52</xdr:col>
      <xdr:colOff>0</xdr:colOff>
      <xdr:row>3</xdr:row>
      <xdr:rowOff>0</xdr:rowOff>
    </xdr:from>
    <xdr:to>
      <xdr:col>53</xdr:col>
      <xdr:colOff>0</xdr:colOff>
      <xdr:row>5</xdr:row>
      <xdr:rowOff>0</xdr:rowOff>
    </xdr:to>
    <xdr:sp macro="JSON_TableHeaderClick" textlink="$BA$4">
      <xdr:nvSpPr>
        <xdr:cNvPr id="302" name="tReporting52428888_52">
          <a:extLst>
            <a:ext uri="{FF2B5EF4-FFF2-40B4-BE49-F238E27FC236}">
              <a16:creationId xmlns:a16="http://schemas.microsoft.com/office/drawing/2014/main" id="{DEFCC8EF-0D73-4007-8834-1F2332992114}"/>
            </a:ext>
          </a:extLst>
        </xdr:cNvPr>
        <xdr:cNvSpPr/>
      </xdr:nvSpPr>
      <xdr:spPr>
        <a:xfrm>
          <a:off x="34547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42317C5-C7F0-403F-87D2-F510DD05076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contrôles: défaut?</a:t>
          </a:fld>
          <a:endParaRPr lang="en-US" sz="1100"/>
        </a:p>
      </xdr:txBody>
    </xdr:sp>
    <xdr:clientData/>
  </xdr:twoCellAnchor>
  <xdr:twoCellAnchor>
    <xdr:from>
      <xdr:col>53</xdr:col>
      <xdr:colOff>0</xdr:colOff>
      <xdr:row>3</xdr:row>
      <xdr:rowOff>0</xdr:rowOff>
    </xdr:from>
    <xdr:to>
      <xdr:col>54</xdr:col>
      <xdr:colOff>0</xdr:colOff>
      <xdr:row>5</xdr:row>
      <xdr:rowOff>0</xdr:rowOff>
    </xdr:to>
    <xdr:sp macro="JSON_TableHeaderClick" textlink="$BB$4">
      <xdr:nvSpPr>
        <xdr:cNvPr id="303" name="tReporting52428888_53">
          <a:extLst>
            <a:ext uri="{FF2B5EF4-FFF2-40B4-BE49-F238E27FC236}">
              <a16:creationId xmlns:a16="http://schemas.microsoft.com/office/drawing/2014/main" id="{1F968C77-4675-4D63-9275-A93BABE26337}"/>
            </a:ext>
          </a:extLst>
        </xdr:cNvPr>
        <xdr:cNvSpPr/>
      </xdr:nvSpPr>
      <xdr:spPr>
        <a:xfrm>
          <a:off x="35194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8C17364-5DF0-42B9-A57B-110E7788B2F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contrôles</a:t>
          </a:fld>
          <a:endParaRPr lang="en-US" sz="1100"/>
        </a:p>
      </xdr:txBody>
    </xdr:sp>
    <xdr:clientData/>
  </xdr:twoCellAnchor>
  <xdr:twoCellAnchor>
    <xdr:from>
      <xdr:col>54</xdr:col>
      <xdr:colOff>0</xdr:colOff>
      <xdr:row>3</xdr:row>
      <xdr:rowOff>0</xdr:rowOff>
    </xdr:from>
    <xdr:to>
      <xdr:col>55</xdr:col>
      <xdr:colOff>0</xdr:colOff>
      <xdr:row>5</xdr:row>
      <xdr:rowOff>0</xdr:rowOff>
    </xdr:to>
    <xdr:sp macro="JSON_TableHeaderClick" textlink="$BC$4">
      <xdr:nvSpPr>
        <xdr:cNvPr id="304" name="tReporting52428888_54">
          <a:extLst>
            <a:ext uri="{FF2B5EF4-FFF2-40B4-BE49-F238E27FC236}">
              <a16:creationId xmlns:a16="http://schemas.microsoft.com/office/drawing/2014/main" id="{24EA4E01-5AA3-4C7B-976B-BEDA14E27E3F}"/>
            </a:ext>
          </a:extLst>
        </xdr:cNvPr>
        <xdr:cNvSpPr/>
      </xdr:nvSpPr>
      <xdr:spPr>
        <a:xfrm>
          <a:off x="35842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3250338-22C1-4214-9DD1-D09512A3ACA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de contrôle: défaut?</a:t>
          </a:fld>
          <a:endParaRPr lang="en-US" sz="1100"/>
        </a:p>
      </xdr:txBody>
    </xdr:sp>
    <xdr:clientData/>
  </xdr:twoCellAnchor>
  <xdr:twoCellAnchor>
    <xdr:from>
      <xdr:col>55</xdr:col>
      <xdr:colOff>0</xdr:colOff>
      <xdr:row>3</xdr:row>
      <xdr:rowOff>0</xdr:rowOff>
    </xdr:from>
    <xdr:to>
      <xdr:col>56</xdr:col>
      <xdr:colOff>0</xdr:colOff>
      <xdr:row>5</xdr:row>
      <xdr:rowOff>0</xdr:rowOff>
    </xdr:to>
    <xdr:sp macro="JSON_TableHeaderClick" textlink="$BD$4">
      <xdr:nvSpPr>
        <xdr:cNvPr id="305" name="tReporting52428888_55">
          <a:extLst>
            <a:ext uri="{FF2B5EF4-FFF2-40B4-BE49-F238E27FC236}">
              <a16:creationId xmlns:a16="http://schemas.microsoft.com/office/drawing/2014/main" id="{F17C094F-E9C8-4E73-93CB-70004D7E1E4A}"/>
            </a:ext>
          </a:extLst>
        </xdr:cNvPr>
        <xdr:cNvSpPr/>
      </xdr:nvSpPr>
      <xdr:spPr>
        <a:xfrm>
          <a:off x="36490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14E9D74-2B9A-4C83-AD69-E2932F695EE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de contrôle</a:t>
          </a:fld>
          <a:endParaRPr lang="en-US" sz="1100"/>
        </a:p>
      </xdr:txBody>
    </xdr:sp>
    <xdr:clientData/>
  </xdr:twoCellAnchor>
  <xdr:twoCellAnchor>
    <xdr:from>
      <xdr:col>56</xdr:col>
      <xdr:colOff>0</xdr:colOff>
      <xdr:row>3</xdr:row>
      <xdr:rowOff>0</xdr:rowOff>
    </xdr:from>
    <xdr:to>
      <xdr:col>57</xdr:col>
      <xdr:colOff>0</xdr:colOff>
      <xdr:row>5</xdr:row>
      <xdr:rowOff>0</xdr:rowOff>
    </xdr:to>
    <xdr:sp macro="JSON_TableHeaderClick" textlink="$BE$4">
      <xdr:nvSpPr>
        <xdr:cNvPr id="306" name="tReporting52428888_56">
          <a:extLst>
            <a:ext uri="{FF2B5EF4-FFF2-40B4-BE49-F238E27FC236}">
              <a16:creationId xmlns:a16="http://schemas.microsoft.com/office/drawing/2014/main" id="{F5CCED0B-1D92-4F65-85CF-E29EE684EDC2}"/>
            </a:ext>
          </a:extLst>
        </xdr:cNvPr>
        <xdr:cNvSpPr/>
      </xdr:nvSpPr>
      <xdr:spPr>
        <a:xfrm>
          <a:off x="37137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425CF2D-A9E2-4BD9-A01C-519676FFC55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Bloquant?</a:t>
          </a:fld>
          <a:endParaRPr lang="en-US" sz="1100"/>
        </a:p>
      </xdr:txBody>
    </xdr:sp>
    <xdr:clientData/>
  </xdr:twoCellAnchor>
  <xdr:twoCellAnchor>
    <xdr:from>
      <xdr:col>57</xdr:col>
      <xdr:colOff>0</xdr:colOff>
      <xdr:row>3</xdr:row>
      <xdr:rowOff>0</xdr:rowOff>
    </xdr:from>
    <xdr:to>
      <xdr:col>58</xdr:col>
      <xdr:colOff>0</xdr:colOff>
      <xdr:row>5</xdr:row>
      <xdr:rowOff>0</xdr:rowOff>
    </xdr:to>
    <xdr:sp macro="JSON_TableHeaderClick" textlink="$BF$4">
      <xdr:nvSpPr>
        <xdr:cNvPr id="307" name="tReporting52428888_57">
          <a:extLst>
            <a:ext uri="{FF2B5EF4-FFF2-40B4-BE49-F238E27FC236}">
              <a16:creationId xmlns:a16="http://schemas.microsoft.com/office/drawing/2014/main" id="{5D35991E-49EF-46C1-97F9-805A6DC189FF}"/>
            </a:ext>
          </a:extLst>
        </xdr:cNvPr>
        <xdr:cNvSpPr/>
      </xdr:nvSpPr>
      <xdr:spPr>
        <a:xfrm>
          <a:off x="37785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92B8A5D-DF26-4E49-95FD-4755ECA8F6D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Verrouillage: défaut?</a:t>
          </a:fld>
          <a:endParaRPr lang="en-US" sz="1100"/>
        </a:p>
      </xdr:txBody>
    </xdr:sp>
    <xdr:clientData/>
  </xdr:twoCellAnchor>
  <xdr:twoCellAnchor>
    <xdr:from>
      <xdr:col>58</xdr:col>
      <xdr:colOff>0</xdr:colOff>
      <xdr:row>3</xdr:row>
      <xdr:rowOff>0</xdr:rowOff>
    </xdr:from>
    <xdr:to>
      <xdr:col>59</xdr:col>
      <xdr:colOff>0</xdr:colOff>
      <xdr:row>5</xdr:row>
      <xdr:rowOff>0</xdr:rowOff>
    </xdr:to>
    <xdr:sp macro="JSON_TableHeaderClick" textlink="$BG$4">
      <xdr:nvSpPr>
        <xdr:cNvPr id="308" name="tReporting52428888_58">
          <a:extLst>
            <a:ext uri="{FF2B5EF4-FFF2-40B4-BE49-F238E27FC236}">
              <a16:creationId xmlns:a16="http://schemas.microsoft.com/office/drawing/2014/main" id="{6C52246A-9478-4E15-90D5-9404294BCAC5}"/>
            </a:ext>
          </a:extLst>
        </xdr:cNvPr>
        <xdr:cNvSpPr/>
      </xdr:nvSpPr>
      <xdr:spPr>
        <a:xfrm>
          <a:off x="38433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0424634-55FD-4BF4-AFAF-6ED23D5B3A2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Verrouillage</a:t>
          </a:fld>
          <a:endParaRPr lang="en-US" sz="1100"/>
        </a:p>
      </xdr:txBody>
    </xdr:sp>
    <xdr:clientData/>
  </xdr:twoCellAnchor>
  <xdr:twoCellAnchor>
    <xdr:from>
      <xdr:col>59</xdr:col>
      <xdr:colOff>0</xdr:colOff>
      <xdr:row>3</xdr:row>
      <xdr:rowOff>0</xdr:rowOff>
    </xdr:from>
    <xdr:to>
      <xdr:col>60</xdr:col>
      <xdr:colOff>0</xdr:colOff>
      <xdr:row>5</xdr:row>
      <xdr:rowOff>0</xdr:rowOff>
    </xdr:to>
    <xdr:sp macro="JSON_TableHeaderClick" textlink="$BH$4">
      <xdr:nvSpPr>
        <xdr:cNvPr id="309" name="tReporting52428888_59">
          <a:extLst>
            <a:ext uri="{FF2B5EF4-FFF2-40B4-BE49-F238E27FC236}">
              <a16:creationId xmlns:a16="http://schemas.microsoft.com/office/drawing/2014/main" id="{61D0029A-D2DE-4CC4-9F46-CD4DA2243711}"/>
            </a:ext>
          </a:extLst>
        </xdr:cNvPr>
        <xdr:cNvSpPr/>
      </xdr:nvSpPr>
      <xdr:spPr>
        <a:xfrm>
          <a:off x="39081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B50419E-D4FA-4F09-B263-BF67FE3934B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règles: défaut?</a:t>
          </a:fld>
          <a:endParaRPr lang="en-US" sz="1100"/>
        </a:p>
      </xdr:txBody>
    </xdr:sp>
    <xdr:clientData/>
  </xdr:twoCellAnchor>
  <xdr:twoCellAnchor>
    <xdr:from>
      <xdr:col>60</xdr:col>
      <xdr:colOff>0</xdr:colOff>
      <xdr:row>3</xdr:row>
      <xdr:rowOff>0</xdr:rowOff>
    </xdr:from>
    <xdr:to>
      <xdr:col>61</xdr:col>
      <xdr:colOff>0</xdr:colOff>
      <xdr:row>5</xdr:row>
      <xdr:rowOff>0</xdr:rowOff>
    </xdr:to>
    <xdr:sp macro="JSON_TableHeaderClick" textlink="$BI$4">
      <xdr:nvSpPr>
        <xdr:cNvPr id="310" name="tReporting52428888_60">
          <a:extLst>
            <a:ext uri="{FF2B5EF4-FFF2-40B4-BE49-F238E27FC236}">
              <a16:creationId xmlns:a16="http://schemas.microsoft.com/office/drawing/2014/main" id="{29451138-9555-4EB4-A73C-04330BF4BADF}"/>
            </a:ext>
          </a:extLst>
        </xdr:cNvPr>
        <xdr:cNvSpPr/>
      </xdr:nvSpPr>
      <xdr:spPr>
        <a:xfrm>
          <a:off x="39728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7366BDB-2DDC-41F6-A693-C003EC98131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règles</a:t>
          </a:fld>
          <a:endParaRPr lang="en-US" sz="1100"/>
        </a:p>
      </xdr:txBody>
    </xdr:sp>
    <xdr:clientData/>
  </xdr:twoCellAnchor>
  <xdr:twoCellAnchor>
    <xdr:from>
      <xdr:col>61</xdr:col>
      <xdr:colOff>0</xdr:colOff>
      <xdr:row>3</xdr:row>
      <xdr:rowOff>0</xdr:rowOff>
    </xdr:from>
    <xdr:to>
      <xdr:col>62</xdr:col>
      <xdr:colOff>0</xdr:colOff>
      <xdr:row>5</xdr:row>
      <xdr:rowOff>0</xdr:rowOff>
    </xdr:to>
    <xdr:sp macro="JSON_TableHeaderClick" textlink="$BJ$4">
      <xdr:nvSpPr>
        <xdr:cNvPr id="311" name="tReporting52428888_61">
          <a:extLst>
            <a:ext uri="{FF2B5EF4-FFF2-40B4-BE49-F238E27FC236}">
              <a16:creationId xmlns:a16="http://schemas.microsoft.com/office/drawing/2014/main" id="{95B6A7A4-62C2-45C1-B9D9-03E66EF3C690}"/>
            </a:ext>
          </a:extLst>
        </xdr:cNvPr>
        <xdr:cNvSpPr/>
      </xdr:nvSpPr>
      <xdr:spPr>
        <a:xfrm>
          <a:off x="40376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3757230-5052-404C-A45A-626914190A7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A-nouveaux: défaut?</a:t>
          </a:fld>
          <a:endParaRPr lang="en-US" sz="1100"/>
        </a:p>
      </xdr:txBody>
    </xdr:sp>
    <xdr:clientData/>
  </xdr:twoCellAnchor>
  <xdr:twoCellAnchor>
    <xdr:from>
      <xdr:col>62</xdr:col>
      <xdr:colOff>0</xdr:colOff>
      <xdr:row>3</xdr:row>
      <xdr:rowOff>0</xdr:rowOff>
    </xdr:from>
    <xdr:to>
      <xdr:col>63</xdr:col>
      <xdr:colOff>0</xdr:colOff>
      <xdr:row>5</xdr:row>
      <xdr:rowOff>0</xdr:rowOff>
    </xdr:to>
    <xdr:sp macro="JSON_TableHeaderClick" textlink="$BK$4">
      <xdr:nvSpPr>
        <xdr:cNvPr id="312" name="tReporting52428888_62">
          <a:extLst>
            <a:ext uri="{FF2B5EF4-FFF2-40B4-BE49-F238E27FC236}">
              <a16:creationId xmlns:a16="http://schemas.microsoft.com/office/drawing/2014/main" id="{35F6B08F-85A1-4446-B15D-2892D1DE779E}"/>
            </a:ext>
          </a:extLst>
        </xdr:cNvPr>
        <xdr:cNvSpPr/>
      </xdr:nvSpPr>
      <xdr:spPr>
        <a:xfrm>
          <a:off x="41024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3DC574A-9600-43F3-ACF5-5A28E79E4DB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A-nouveaux?</a:t>
          </a:fld>
          <a:endParaRPr lang="en-US" sz="1100"/>
        </a:p>
      </xdr:txBody>
    </xdr:sp>
    <xdr:clientData/>
  </xdr:twoCellAnchor>
  <xdr:twoCellAnchor>
    <xdr:from>
      <xdr:col>63</xdr:col>
      <xdr:colOff>0</xdr:colOff>
      <xdr:row>3</xdr:row>
      <xdr:rowOff>0</xdr:rowOff>
    </xdr:from>
    <xdr:to>
      <xdr:col>64</xdr:col>
      <xdr:colOff>0</xdr:colOff>
      <xdr:row>5</xdr:row>
      <xdr:rowOff>0</xdr:rowOff>
    </xdr:to>
    <xdr:sp macro="JSON_TableHeaderClick" textlink="$BL$4">
      <xdr:nvSpPr>
        <xdr:cNvPr id="313" name="tReporting52428888_63">
          <a:extLst>
            <a:ext uri="{FF2B5EF4-FFF2-40B4-BE49-F238E27FC236}">
              <a16:creationId xmlns:a16="http://schemas.microsoft.com/office/drawing/2014/main" id="{27E35E9C-4DB4-4B7D-A6AE-2D55B2D73E43}"/>
            </a:ext>
          </a:extLst>
        </xdr:cNvPr>
        <xdr:cNvSpPr/>
      </xdr:nvSpPr>
      <xdr:spPr>
        <a:xfrm>
          <a:off x="41671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E7BB34E-999F-4CE4-A1FD-B143A871FDE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Phase</a:t>
          </a:fld>
          <a:endParaRPr lang="en-US" sz="1100"/>
        </a:p>
      </xdr:txBody>
    </xdr:sp>
    <xdr:clientData/>
  </xdr:twoCellAnchor>
  <xdr:twoCellAnchor>
    <xdr:from>
      <xdr:col>64</xdr:col>
      <xdr:colOff>0</xdr:colOff>
      <xdr:row>3</xdr:row>
      <xdr:rowOff>0</xdr:rowOff>
    </xdr:from>
    <xdr:to>
      <xdr:col>65</xdr:col>
      <xdr:colOff>0</xdr:colOff>
      <xdr:row>5</xdr:row>
      <xdr:rowOff>0</xdr:rowOff>
    </xdr:to>
    <xdr:sp macro="JSON_TableHeaderClick" textlink="$BM$4">
      <xdr:nvSpPr>
        <xdr:cNvPr id="314" name="tReporting52428888_64">
          <a:extLst>
            <a:ext uri="{FF2B5EF4-FFF2-40B4-BE49-F238E27FC236}">
              <a16:creationId xmlns:a16="http://schemas.microsoft.com/office/drawing/2014/main" id="{C0EFD2B9-2813-4907-B2BA-273EECE13165}"/>
            </a:ext>
          </a:extLst>
        </xdr:cNvPr>
        <xdr:cNvSpPr/>
      </xdr:nvSpPr>
      <xdr:spPr>
        <a:xfrm>
          <a:off x="42319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5A52087-AC0C-48AE-A9CD-31F73FD7347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Exercice</a:t>
          </a:fld>
          <a:endParaRPr lang="en-US" sz="1100"/>
        </a:p>
      </xdr:txBody>
    </xdr:sp>
    <xdr:clientData/>
  </xdr:twoCellAnchor>
  <xdr:twoCellAnchor>
    <xdr:from>
      <xdr:col>65</xdr:col>
      <xdr:colOff>0</xdr:colOff>
      <xdr:row>3</xdr:row>
      <xdr:rowOff>0</xdr:rowOff>
    </xdr:from>
    <xdr:to>
      <xdr:col>66</xdr:col>
      <xdr:colOff>0</xdr:colOff>
      <xdr:row>5</xdr:row>
      <xdr:rowOff>0</xdr:rowOff>
    </xdr:to>
    <xdr:sp macro="JSON_TableHeaderClick" textlink="$BN$4">
      <xdr:nvSpPr>
        <xdr:cNvPr id="315" name="tReporting52428888_65">
          <a:extLst>
            <a:ext uri="{FF2B5EF4-FFF2-40B4-BE49-F238E27FC236}">
              <a16:creationId xmlns:a16="http://schemas.microsoft.com/office/drawing/2014/main" id="{20090334-79B0-44C6-8739-0C9B23751B84}"/>
            </a:ext>
          </a:extLst>
        </xdr:cNvPr>
        <xdr:cNvSpPr/>
      </xdr:nvSpPr>
      <xdr:spPr>
        <a:xfrm>
          <a:off x="42967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DA3293E-5D1C-4712-99C7-CC3A989FCC6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Périmètre</a:t>
          </a:fld>
          <a:endParaRPr lang="en-US" sz="1100"/>
        </a:p>
      </xdr:txBody>
    </xdr:sp>
    <xdr:clientData/>
  </xdr:twoCellAnchor>
  <xdr:twoCellAnchor>
    <xdr:from>
      <xdr:col>66</xdr:col>
      <xdr:colOff>0</xdr:colOff>
      <xdr:row>3</xdr:row>
      <xdr:rowOff>0</xdr:rowOff>
    </xdr:from>
    <xdr:to>
      <xdr:col>67</xdr:col>
      <xdr:colOff>0</xdr:colOff>
      <xdr:row>5</xdr:row>
      <xdr:rowOff>0</xdr:rowOff>
    </xdr:to>
    <xdr:sp macro="JSON_TableHeaderClick" textlink="$BO$4">
      <xdr:nvSpPr>
        <xdr:cNvPr id="316" name="tReporting52428888_66">
          <a:extLst>
            <a:ext uri="{FF2B5EF4-FFF2-40B4-BE49-F238E27FC236}">
              <a16:creationId xmlns:a16="http://schemas.microsoft.com/office/drawing/2014/main" id="{8B523645-FA40-40F2-8C14-12094A67FA4A}"/>
            </a:ext>
          </a:extLst>
        </xdr:cNvPr>
        <xdr:cNvSpPr/>
      </xdr:nvSpPr>
      <xdr:spPr>
        <a:xfrm>
          <a:off x="43614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9DBED43-D4C8-4712-8573-E756418EC4D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Variante</a:t>
          </a:fld>
          <a:endParaRPr lang="en-US" sz="1100"/>
        </a:p>
      </xdr:txBody>
    </xdr:sp>
    <xdr:clientData/>
  </xdr:twoCellAnchor>
  <xdr:twoCellAnchor>
    <xdr:from>
      <xdr:col>67</xdr:col>
      <xdr:colOff>0</xdr:colOff>
      <xdr:row>3</xdr:row>
      <xdr:rowOff>0</xdr:rowOff>
    </xdr:from>
    <xdr:to>
      <xdr:col>68</xdr:col>
      <xdr:colOff>0</xdr:colOff>
      <xdr:row>5</xdr:row>
      <xdr:rowOff>0</xdr:rowOff>
    </xdr:to>
    <xdr:sp macro="JSON_TableHeaderClick" textlink="$BP$4">
      <xdr:nvSpPr>
        <xdr:cNvPr id="317" name="tReporting52428888_67">
          <a:extLst>
            <a:ext uri="{FF2B5EF4-FFF2-40B4-BE49-F238E27FC236}">
              <a16:creationId xmlns:a16="http://schemas.microsoft.com/office/drawing/2014/main" id="{FCE8FB04-70FA-4FEE-B3A2-DEE633DBBCB5}"/>
            </a:ext>
          </a:extLst>
        </xdr:cNvPr>
        <xdr:cNvSpPr/>
      </xdr:nvSpPr>
      <xdr:spPr>
        <a:xfrm>
          <a:off x="44262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183D2DA-DFD0-4360-ADEF-3C762CF0F33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Devise</a:t>
          </a:fld>
          <a:endParaRPr lang="en-US" sz="1100"/>
        </a:p>
      </xdr:txBody>
    </xdr:sp>
    <xdr:clientData/>
  </xdr:twoCellAnchor>
  <xdr:twoCellAnchor>
    <xdr:from>
      <xdr:col>68</xdr:col>
      <xdr:colOff>0</xdr:colOff>
      <xdr:row>2</xdr:row>
      <xdr:rowOff>63500</xdr:rowOff>
    </xdr:from>
    <xdr:to>
      <xdr:col>69</xdr:col>
      <xdr:colOff>0</xdr:colOff>
      <xdr:row>5</xdr:row>
      <xdr:rowOff>0</xdr:rowOff>
    </xdr:to>
    <xdr:sp macro="JSON_TableHeaderClick" textlink="$BQ$4">
      <xdr:nvSpPr>
        <xdr:cNvPr id="318" name="tReporting52428888_68">
          <a:extLst>
            <a:ext uri="{FF2B5EF4-FFF2-40B4-BE49-F238E27FC236}">
              <a16:creationId xmlns:a16="http://schemas.microsoft.com/office/drawing/2014/main" id="{320CE84B-8D41-4856-814F-8DC22BF4F895}"/>
            </a:ext>
          </a:extLst>
        </xdr:cNvPr>
        <xdr:cNvSpPr/>
      </xdr:nvSpPr>
      <xdr:spPr>
        <a:xfrm>
          <a:off x="44910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DF6A3F41-28EF-4DAF-B869-1240F0F5C80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Exploitation</a:t>
          </a:fld>
          <a:endParaRPr lang="en-US" sz="1100"/>
        </a:p>
      </xdr:txBody>
    </xdr:sp>
    <xdr:clientData/>
  </xdr:twoCellAnchor>
  <xdr:twoCellAnchor>
    <xdr:from>
      <xdr:col>69</xdr:col>
      <xdr:colOff>0</xdr:colOff>
      <xdr:row>3</xdr:row>
      <xdr:rowOff>0</xdr:rowOff>
    </xdr:from>
    <xdr:to>
      <xdr:col>70</xdr:col>
      <xdr:colOff>0</xdr:colOff>
      <xdr:row>5</xdr:row>
      <xdr:rowOff>0</xdr:rowOff>
    </xdr:to>
    <xdr:sp macro="JSON_TableHeaderClick" textlink="$BR$4">
      <xdr:nvSpPr>
        <xdr:cNvPr id="319" name="tReporting52428888_69">
          <a:extLst>
            <a:ext uri="{FF2B5EF4-FFF2-40B4-BE49-F238E27FC236}">
              <a16:creationId xmlns:a16="http://schemas.microsoft.com/office/drawing/2014/main" id="{7953E8D1-7362-4F10-AF43-02C722880539}"/>
            </a:ext>
          </a:extLst>
        </xdr:cNvPr>
        <xdr:cNvSpPr/>
      </xdr:nvSpPr>
      <xdr:spPr>
        <a:xfrm>
          <a:off x="45291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A81F3F4-AF6D-4B54-8394-CA6453A6454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Exploitation: défaut?</a:t>
          </a:fld>
          <a:endParaRPr lang="en-US" sz="1100"/>
        </a:p>
      </xdr:txBody>
    </xdr:sp>
    <xdr:clientData/>
  </xdr:twoCellAnchor>
  <xdr:twoCellAnchor>
    <xdr:from>
      <xdr:col>70</xdr:col>
      <xdr:colOff>0</xdr:colOff>
      <xdr:row>3</xdr:row>
      <xdr:rowOff>0</xdr:rowOff>
    </xdr:from>
    <xdr:to>
      <xdr:col>71</xdr:col>
      <xdr:colOff>0</xdr:colOff>
      <xdr:row>5</xdr:row>
      <xdr:rowOff>0</xdr:rowOff>
    </xdr:to>
    <xdr:sp macro="JSON_TableHeaderClick" textlink="$BS$4">
      <xdr:nvSpPr>
        <xdr:cNvPr id="320" name="tReporting52428888_70">
          <a:extLst>
            <a:ext uri="{FF2B5EF4-FFF2-40B4-BE49-F238E27FC236}">
              <a16:creationId xmlns:a16="http://schemas.microsoft.com/office/drawing/2014/main" id="{196D8196-5237-4B2E-B013-AFBBB3BF63B6}"/>
            </a:ext>
          </a:extLst>
        </xdr:cNvPr>
        <xdr:cNvSpPr/>
      </xdr:nvSpPr>
      <xdr:spPr>
        <a:xfrm>
          <a:off x="45939075" y="571500"/>
          <a:ext cx="17145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D6158BE-B9DA-4A13-9929-28042644A9F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Date limite</a:t>
          </a:fld>
          <a:endParaRPr lang="en-US" sz="1100"/>
        </a:p>
      </xdr:txBody>
    </xdr:sp>
    <xdr:clientData/>
  </xdr:twoCellAnchor>
  <xdr:twoCellAnchor>
    <xdr:from>
      <xdr:col>71</xdr:col>
      <xdr:colOff>0</xdr:colOff>
      <xdr:row>3</xdr:row>
      <xdr:rowOff>0</xdr:rowOff>
    </xdr:from>
    <xdr:to>
      <xdr:col>72</xdr:col>
      <xdr:colOff>0</xdr:colOff>
      <xdr:row>5</xdr:row>
      <xdr:rowOff>0</xdr:rowOff>
    </xdr:to>
    <xdr:sp macro="JSON_TableHeaderClick" textlink="$BT$4">
      <xdr:nvSpPr>
        <xdr:cNvPr id="321" name="tReporting52428888_71">
          <a:extLst>
            <a:ext uri="{FF2B5EF4-FFF2-40B4-BE49-F238E27FC236}">
              <a16:creationId xmlns:a16="http://schemas.microsoft.com/office/drawing/2014/main" id="{7E6300FB-10E4-4D5C-9080-B769C087B5C4}"/>
            </a:ext>
          </a:extLst>
        </xdr:cNvPr>
        <xdr:cNvSpPr/>
      </xdr:nvSpPr>
      <xdr:spPr>
        <a:xfrm>
          <a:off x="47653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F96024B-AC6C-469A-905E-D7F01F478BC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anticipée?</a:t>
          </a:fld>
          <a:endParaRPr lang="en-US" sz="1100"/>
        </a:p>
      </xdr:txBody>
    </xdr:sp>
    <xdr:clientData/>
  </xdr:twoCellAnchor>
  <xdr:twoCellAnchor>
    <xdr:from>
      <xdr:col>72</xdr:col>
      <xdr:colOff>0</xdr:colOff>
      <xdr:row>2</xdr:row>
      <xdr:rowOff>63500</xdr:rowOff>
    </xdr:from>
    <xdr:to>
      <xdr:col>73</xdr:col>
      <xdr:colOff>0</xdr:colOff>
      <xdr:row>5</xdr:row>
      <xdr:rowOff>0</xdr:rowOff>
    </xdr:to>
    <xdr:sp macro="JSON_TableHeaderClick" textlink="$BU$4">
      <xdr:nvSpPr>
        <xdr:cNvPr id="322" name="tReporting52428888_72">
          <a:extLst>
            <a:ext uri="{FF2B5EF4-FFF2-40B4-BE49-F238E27FC236}">
              <a16:creationId xmlns:a16="http://schemas.microsoft.com/office/drawing/2014/main" id="{0722D6BD-F5CC-4867-9675-B8D8C2769F22}"/>
            </a:ext>
          </a:extLst>
        </xdr:cNvPr>
        <xdr:cNvSpPr/>
      </xdr:nvSpPr>
      <xdr:spPr>
        <a:xfrm>
          <a:off x="483012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3C4B650-4020-4BE7-8E1A-26435DC42DA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publication</a:t>
          </a:fld>
          <a:endParaRPr lang="en-US" sz="1100"/>
        </a:p>
      </xdr:txBody>
    </xdr:sp>
    <xdr:clientData/>
  </xdr:twoCellAnchor>
  <xdr:twoCellAnchor>
    <xdr:from>
      <xdr:col>73</xdr:col>
      <xdr:colOff>0</xdr:colOff>
      <xdr:row>3</xdr:row>
      <xdr:rowOff>0</xdr:rowOff>
    </xdr:from>
    <xdr:to>
      <xdr:col>74</xdr:col>
      <xdr:colOff>0</xdr:colOff>
      <xdr:row>5</xdr:row>
      <xdr:rowOff>0</xdr:rowOff>
    </xdr:to>
    <xdr:sp macro="JSON_TableHeaderClick" textlink="$BV$4">
      <xdr:nvSpPr>
        <xdr:cNvPr id="323" name="tReporting52428888_73">
          <a:extLst>
            <a:ext uri="{FF2B5EF4-FFF2-40B4-BE49-F238E27FC236}">
              <a16:creationId xmlns:a16="http://schemas.microsoft.com/office/drawing/2014/main" id="{E94FA549-FD5C-4EBF-8E5E-3A017B026928}"/>
            </a:ext>
          </a:extLst>
        </xdr:cNvPr>
        <xdr:cNvSpPr/>
      </xdr:nvSpPr>
      <xdr:spPr>
        <a:xfrm>
          <a:off x="48682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E48906B-299F-416C-805C-876731894A1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publication: défaut?</a:t>
          </a:fld>
          <a:endParaRPr lang="en-US" sz="1100"/>
        </a:p>
      </xdr:txBody>
    </xdr:sp>
    <xdr:clientData/>
  </xdr:twoCellAnchor>
  <xdr:twoCellAnchor>
    <xdr:from>
      <xdr:col>74</xdr:col>
      <xdr:colOff>0</xdr:colOff>
      <xdr:row>3</xdr:row>
      <xdr:rowOff>0</xdr:rowOff>
    </xdr:from>
    <xdr:to>
      <xdr:col>75</xdr:col>
      <xdr:colOff>0</xdr:colOff>
      <xdr:row>5</xdr:row>
      <xdr:rowOff>0</xdr:rowOff>
    </xdr:to>
    <xdr:sp macro="JSON_TableHeaderClick" textlink="$BW$4">
      <xdr:nvSpPr>
        <xdr:cNvPr id="324" name="tReporting52428888_74">
          <a:extLst>
            <a:ext uri="{FF2B5EF4-FFF2-40B4-BE49-F238E27FC236}">
              <a16:creationId xmlns:a16="http://schemas.microsoft.com/office/drawing/2014/main" id="{250FE48B-3888-46C0-80F7-FD5FF250C99E}"/>
            </a:ext>
          </a:extLst>
        </xdr:cNvPr>
        <xdr:cNvSpPr/>
      </xdr:nvSpPr>
      <xdr:spPr>
        <a:xfrm>
          <a:off x="49329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9629963-65F4-4119-B6AE-6EB02992749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standard</a:t>
          </a:fld>
          <a:endParaRPr lang="en-US" sz="1100"/>
        </a:p>
      </xdr:txBody>
    </xdr:sp>
    <xdr:clientData/>
  </xdr:twoCellAnchor>
  <xdr:twoCellAnchor>
    <xdr:from>
      <xdr:col>75</xdr:col>
      <xdr:colOff>0</xdr:colOff>
      <xdr:row>3</xdr:row>
      <xdr:rowOff>0</xdr:rowOff>
    </xdr:from>
    <xdr:to>
      <xdr:col>76</xdr:col>
      <xdr:colOff>0</xdr:colOff>
      <xdr:row>5</xdr:row>
      <xdr:rowOff>0</xdr:rowOff>
    </xdr:to>
    <xdr:sp macro="JSON_TableHeaderClick" textlink="$BX$4">
      <xdr:nvSpPr>
        <xdr:cNvPr id="325" name="tReporting52428888_75">
          <a:extLst>
            <a:ext uri="{FF2B5EF4-FFF2-40B4-BE49-F238E27FC236}">
              <a16:creationId xmlns:a16="http://schemas.microsoft.com/office/drawing/2014/main" id="{C91196D9-E99D-4F74-B411-EBE6B3C7D1AD}"/>
            </a:ext>
          </a:extLst>
        </xdr:cNvPr>
        <xdr:cNvSpPr/>
      </xdr:nvSpPr>
      <xdr:spPr>
        <a:xfrm>
          <a:off x="49977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745C9AF-0186-4F17-9424-A6D1716642E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spéciale</a:t>
          </a:fld>
          <a:endParaRPr lang="en-US" sz="1100"/>
        </a:p>
      </xdr:txBody>
    </xdr:sp>
    <xdr:clientData/>
  </xdr:twoCellAnchor>
  <xdr:twoCellAnchor>
    <xdr:from>
      <xdr:col>76</xdr:col>
      <xdr:colOff>0</xdr:colOff>
      <xdr:row>3</xdr:row>
      <xdr:rowOff>0</xdr:rowOff>
    </xdr:from>
    <xdr:to>
      <xdr:col>77</xdr:col>
      <xdr:colOff>0</xdr:colOff>
      <xdr:row>5</xdr:row>
      <xdr:rowOff>0</xdr:rowOff>
    </xdr:to>
    <xdr:sp macro="JSON_TableHeaderClick" textlink="$BY$4">
      <xdr:nvSpPr>
        <xdr:cNvPr id="326" name="tReporting52428888_76">
          <a:extLst>
            <a:ext uri="{FF2B5EF4-FFF2-40B4-BE49-F238E27FC236}">
              <a16:creationId xmlns:a16="http://schemas.microsoft.com/office/drawing/2014/main" id="{E0316A17-E7FD-474B-9066-38ED05DA5B4A}"/>
            </a:ext>
          </a:extLst>
        </xdr:cNvPr>
        <xdr:cNvSpPr/>
      </xdr:nvSpPr>
      <xdr:spPr>
        <a:xfrm>
          <a:off x="50625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BE130DE-EDC0-4FE6-B1C1-E4B866F8D77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avancée</a:t>
          </a:fld>
          <a:endParaRPr lang="en-US" sz="1100"/>
        </a:p>
      </xdr:txBody>
    </xdr:sp>
    <xdr:clientData/>
  </xdr:twoCellAnchor>
  <xdr:twoCellAnchor>
    <xdr:from>
      <xdr:col>77</xdr:col>
      <xdr:colOff>0</xdr:colOff>
      <xdr:row>3</xdr:row>
      <xdr:rowOff>0</xdr:rowOff>
    </xdr:from>
    <xdr:to>
      <xdr:col>78</xdr:col>
      <xdr:colOff>0</xdr:colOff>
      <xdr:row>5</xdr:row>
      <xdr:rowOff>0</xdr:rowOff>
    </xdr:to>
    <xdr:sp macro="JSON_TableHeaderClick" textlink="$BZ$4">
      <xdr:nvSpPr>
        <xdr:cNvPr id="327" name="tReporting52428888_77">
          <a:extLst>
            <a:ext uri="{FF2B5EF4-FFF2-40B4-BE49-F238E27FC236}">
              <a16:creationId xmlns:a16="http://schemas.microsoft.com/office/drawing/2014/main" id="{E238924B-40AF-4F61-9ED9-19CEF1972D24}"/>
            </a:ext>
          </a:extLst>
        </xdr:cNvPr>
        <xdr:cNvSpPr/>
      </xdr:nvSpPr>
      <xdr:spPr>
        <a:xfrm>
          <a:off x="51273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CAF9376-BEAC-4031-91B4-B9EBC74B5E8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après pub.</a:t>
          </a:fld>
          <a:endParaRPr lang="en-US" sz="1100"/>
        </a:p>
      </xdr:txBody>
    </xdr:sp>
    <xdr:clientData/>
  </xdr:twoCellAnchor>
  <xdr:twoCellAnchor>
    <xdr:from>
      <xdr:col>78</xdr:col>
      <xdr:colOff>0</xdr:colOff>
      <xdr:row>2</xdr:row>
      <xdr:rowOff>63500</xdr:rowOff>
    </xdr:from>
    <xdr:to>
      <xdr:col>79</xdr:col>
      <xdr:colOff>0</xdr:colOff>
      <xdr:row>5</xdr:row>
      <xdr:rowOff>0</xdr:rowOff>
    </xdr:to>
    <xdr:sp macro="JSON_TableHeaderClick" textlink="$CA$4">
      <xdr:nvSpPr>
        <xdr:cNvPr id="328" name="tReporting52428888_78">
          <a:extLst>
            <a:ext uri="{FF2B5EF4-FFF2-40B4-BE49-F238E27FC236}">
              <a16:creationId xmlns:a16="http://schemas.microsoft.com/office/drawing/2014/main" id="{DEE1C9DB-991A-4CF9-8A50-8A73540A3C57}"/>
            </a:ext>
          </a:extLst>
        </xdr:cNvPr>
        <xdr:cNvSpPr/>
      </xdr:nvSpPr>
      <xdr:spPr>
        <a:xfrm>
          <a:off x="519207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AEE5543-F19A-42D2-820D-31FB9C3B014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transfert</a:t>
          </a:fld>
          <a:endParaRPr lang="en-US" sz="1100"/>
        </a:p>
      </xdr:txBody>
    </xdr:sp>
    <xdr:clientData/>
  </xdr:twoCellAnchor>
  <xdr:twoCellAnchor>
    <xdr:from>
      <xdr:col>79</xdr:col>
      <xdr:colOff>0</xdr:colOff>
      <xdr:row>3</xdr:row>
      <xdr:rowOff>0</xdr:rowOff>
    </xdr:from>
    <xdr:to>
      <xdr:col>80</xdr:col>
      <xdr:colOff>0</xdr:colOff>
      <xdr:row>5</xdr:row>
      <xdr:rowOff>0</xdr:rowOff>
    </xdr:to>
    <xdr:sp macro="JSON_TableHeaderClick" textlink="$CB$4">
      <xdr:nvSpPr>
        <xdr:cNvPr id="329" name="tReporting52428888_79">
          <a:extLst>
            <a:ext uri="{FF2B5EF4-FFF2-40B4-BE49-F238E27FC236}">
              <a16:creationId xmlns:a16="http://schemas.microsoft.com/office/drawing/2014/main" id="{62B630AC-B085-4E4E-BC1A-E20CD700396A}"/>
            </a:ext>
          </a:extLst>
        </xdr:cNvPr>
        <xdr:cNvSpPr/>
      </xdr:nvSpPr>
      <xdr:spPr>
        <a:xfrm>
          <a:off x="52301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BD257B4-ED71-4F8B-800B-8D6D687C5E5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transfert: défaut?</a:t>
          </a:fld>
          <a:endParaRPr lang="en-US" sz="1100"/>
        </a:p>
      </xdr:txBody>
    </xdr:sp>
    <xdr:clientData/>
  </xdr:twoCellAnchor>
  <xdr:twoCellAnchor>
    <xdr:from>
      <xdr:col>80</xdr:col>
      <xdr:colOff>0</xdr:colOff>
      <xdr:row>3</xdr:row>
      <xdr:rowOff>0</xdr:rowOff>
    </xdr:from>
    <xdr:to>
      <xdr:col>81</xdr:col>
      <xdr:colOff>0</xdr:colOff>
      <xdr:row>5</xdr:row>
      <xdr:rowOff>0</xdr:rowOff>
    </xdr:to>
    <xdr:sp macro="JSON_TableHeaderClick" textlink="$CC$4">
      <xdr:nvSpPr>
        <xdr:cNvPr id="330" name="tReporting52428888_80">
          <a:extLst>
            <a:ext uri="{FF2B5EF4-FFF2-40B4-BE49-F238E27FC236}">
              <a16:creationId xmlns:a16="http://schemas.microsoft.com/office/drawing/2014/main" id="{D7B85641-5FB6-4306-8F48-A34B1F9D9AB9}"/>
            </a:ext>
          </a:extLst>
        </xdr:cNvPr>
        <xdr:cNvSpPr/>
      </xdr:nvSpPr>
      <xdr:spPr>
        <a:xfrm>
          <a:off x="52949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47B253B-F0F9-4A7C-9170-58DF6C0D4C5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Transfert standard</a:t>
          </a:fld>
          <a:endParaRPr lang="en-US" sz="1100"/>
        </a:p>
      </xdr:txBody>
    </xdr:sp>
    <xdr:clientData/>
  </xdr:twoCellAnchor>
  <xdr:twoCellAnchor>
    <xdr:from>
      <xdr:col>81</xdr:col>
      <xdr:colOff>0</xdr:colOff>
      <xdr:row>3</xdr:row>
      <xdr:rowOff>0</xdr:rowOff>
    </xdr:from>
    <xdr:to>
      <xdr:col>82</xdr:col>
      <xdr:colOff>0</xdr:colOff>
      <xdr:row>5</xdr:row>
      <xdr:rowOff>0</xdr:rowOff>
    </xdr:to>
    <xdr:sp macro="JSON_TableHeaderClick" textlink="$CD$4">
      <xdr:nvSpPr>
        <xdr:cNvPr id="331" name="tReporting52428888_81">
          <a:extLst>
            <a:ext uri="{FF2B5EF4-FFF2-40B4-BE49-F238E27FC236}">
              <a16:creationId xmlns:a16="http://schemas.microsoft.com/office/drawing/2014/main" id="{A34F4503-FA87-461D-B766-98F029AF909E}"/>
            </a:ext>
          </a:extLst>
        </xdr:cNvPr>
        <xdr:cNvSpPr/>
      </xdr:nvSpPr>
      <xdr:spPr>
        <a:xfrm>
          <a:off x="53597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818E8F8-9486-49C2-A85C-3EFAB94EEF6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Transfert spécial</a:t>
          </a:fld>
          <a:endParaRPr lang="en-US" sz="1100"/>
        </a:p>
      </xdr:txBody>
    </xdr:sp>
    <xdr:clientData/>
  </xdr:twoCellAnchor>
  <xdr:twoCellAnchor>
    <xdr:from>
      <xdr:col>82</xdr:col>
      <xdr:colOff>0</xdr:colOff>
      <xdr:row>3</xdr:row>
      <xdr:rowOff>0</xdr:rowOff>
    </xdr:from>
    <xdr:to>
      <xdr:col>83</xdr:col>
      <xdr:colOff>0</xdr:colOff>
      <xdr:row>5</xdr:row>
      <xdr:rowOff>0</xdr:rowOff>
    </xdr:to>
    <xdr:sp macro="JSON_TableHeaderClick" textlink="$CE$4">
      <xdr:nvSpPr>
        <xdr:cNvPr id="332" name="tReporting52428888_82">
          <a:extLst>
            <a:ext uri="{FF2B5EF4-FFF2-40B4-BE49-F238E27FC236}">
              <a16:creationId xmlns:a16="http://schemas.microsoft.com/office/drawing/2014/main" id="{66AB9B0D-03BC-4C68-8AB1-1FE2099FA72B}"/>
            </a:ext>
          </a:extLst>
        </xdr:cNvPr>
        <xdr:cNvSpPr/>
      </xdr:nvSpPr>
      <xdr:spPr>
        <a:xfrm>
          <a:off x="54244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753933C-7B5D-4800-8C65-BEAFE4BD714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Transfert avancé</a:t>
          </a:fld>
          <a:endParaRPr lang="en-US" sz="1100"/>
        </a:p>
      </xdr:txBody>
    </xdr:sp>
    <xdr:clientData/>
  </xdr:twoCellAnchor>
  <xdr:twoCellAnchor>
    <xdr:from>
      <xdr:col>83</xdr:col>
      <xdr:colOff>0</xdr:colOff>
      <xdr:row>3</xdr:row>
      <xdr:rowOff>0</xdr:rowOff>
    </xdr:from>
    <xdr:to>
      <xdr:col>84</xdr:col>
      <xdr:colOff>0</xdr:colOff>
      <xdr:row>5</xdr:row>
      <xdr:rowOff>0</xdr:rowOff>
    </xdr:to>
    <xdr:sp macro="JSON_TableHeaderClick" textlink="$CF$4">
      <xdr:nvSpPr>
        <xdr:cNvPr id="333" name="tReporting52428888_83">
          <a:extLst>
            <a:ext uri="{FF2B5EF4-FFF2-40B4-BE49-F238E27FC236}">
              <a16:creationId xmlns:a16="http://schemas.microsoft.com/office/drawing/2014/main" id="{BB581AB4-A548-43CF-A3D3-6AE58155E20A}"/>
            </a:ext>
          </a:extLst>
        </xdr:cNvPr>
        <xdr:cNvSpPr/>
      </xdr:nvSpPr>
      <xdr:spPr>
        <a:xfrm>
          <a:off x="54892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22914C6-CA73-4D48-939F-097FAA5BA98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après tran.</a:t>
          </a:fld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FC0FD5-1D7D-4A07-A90E-EA001972E07A}" name="tReportings" displayName="tReportings" ref="C13:F41" totalsRowShown="0" headerRowDxfId="91" dataDxfId="86">
  <autoFilter ref="C13:F41" xr:uid="{501FE4BA-1718-4FE4-9459-7365F61A3A00}"/>
  <tableColumns count="4">
    <tableColumn id="1" xr3:uid="{A562457B-EAA5-4D4B-A59B-A5A682B0EA19}" name=" 1" dataDxfId="90"/>
    <tableColumn id="2" xr3:uid="{7F6E171D-C37F-4683-A806-651D304C0235}" name=" 2" dataDxfId="89"/>
    <tableColumn id="3" xr3:uid="{BC4682A7-6E44-4D06-9CF4-2698BA2EC804}" name=" 3" dataDxfId="88"/>
    <tableColumn id="4" xr3:uid="{E8ABC1FD-4181-4895-97A2-17AFB3CE5EC1}" name=" 4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8C1BBC6-F40F-4544-9891-9BD3E0B75971}" name="tReporting52428888" displayName="tReporting52428888" ref="B5:CF6" totalsRowShown="0" headerRowDxfId="84" dataDxfId="0" tableBorderDxfId="85">
  <autoFilter ref="B5:CF6" xr:uid="{FD2DFB4C-DF42-4390-8787-665015204320}"/>
  <tableColumns count="83">
    <tableColumn id="1" xr3:uid="{33C2C462-3EAD-4955-8B8C-8BAE28104182}" name=" 1" dataDxfId="83"/>
    <tableColumn id="2" xr3:uid="{999C7F94-12A1-4B7F-8DE9-9926F4ECBD04}" name=" 2" dataDxfId="82"/>
    <tableColumn id="3" xr3:uid="{A0FC0F34-9B90-4AC9-8CC1-14D6A29A4592}" name=" 3" dataDxfId="81"/>
    <tableColumn id="4" xr3:uid="{67C65BC8-3EF9-40A2-9FA5-2AB0D038C6A3}" name=" 4" dataDxfId="80"/>
    <tableColumn id="5" xr3:uid="{ABBA0B9C-9A68-4426-B7AD-C41DCA7682D3}" name=" 5" dataDxfId="79"/>
    <tableColumn id="6" xr3:uid="{667B527E-A1AF-4531-8AED-A6311AAC5444}" name=" 6" dataDxfId="78"/>
    <tableColumn id="7" xr3:uid="{0BC2EE3C-D04F-4F81-8B5A-33F0676A84DE}" name=" 7" dataDxfId="77"/>
    <tableColumn id="8" xr3:uid="{FBAA32B9-34AF-4400-9298-643DE92D5133}" name=" 8" dataDxfId="76"/>
    <tableColumn id="9" xr3:uid="{5B971C01-DB9F-44D8-959F-11F390CAF51C}" name=" 9" dataDxfId="75"/>
    <tableColumn id="10" xr3:uid="{56D3764C-3696-4EC9-B8C7-6DD1F4618EB1}" name=" 10" dataDxfId="74"/>
    <tableColumn id="11" xr3:uid="{ECBECDC6-77E3-4E44-8465-6B055AED8CF4}" name=" 11" dataDxfId="73"/>
    <tableColumn id="12" xr3:uid="{47DBCF6C-0496-4805-86DE-D0A00F2E4AED}" name=" 12" dataDxfId="72"/>
    <tableColumn id="13" xr3:uid="{CFDEF17F-674B-4D9D-9718-2FAD9D02BEA7}" name=" 13" dataDxfId="71"/>
    <tableColumn id="14" xr3:uid="{F695FF4D-56E6-438C-9B28-AEBC460E20C7}" name=" 14" dataDxfId="70"/>
    <tableColumn id="15" xr3:uid="{CB734B36-90B0-4D04-9369-707885A9F5A5}" name=" 15" dataDxfId="69"/>
    <tableColumn id="16" xr3:uid="{7ED15D21-F14A-4C8A-864C-C418FBA1AE36}" name=" 16" dataDxfId="68"/>
    <tableColumn id="17" xr3:uid="{8796B92A-7ECB-44F1-A2E7-ED3156D3EB16}" name=" 17" dataDxfId="67"/>
    <tableColumn id="18" xr3:uid="{B9AB1897-1EC6-4224-95CE-7352DE8575FC}" name=" 18" dataDxfId="66"/>
    <tableColumn id="19" xr3:uid="{B8F8154E-9A95-4424-80A6-9502F0924636}" name=" 19" dataDxfId="65"/>
    <tableColumn id="20" xr3:uid="{EB268988-2CA9-437E-8698-332FF824D06B}" name=" 20" dataDxfId="64"/>
    <tableColumn id="21" xr3:uid="{8F11A507-F128-4CCA-9D86-30161A545075}" name=" 21" dataDxfId="63"/>
    <tableColumn id="22" xr3:uid="{8526E8FB-40DC-478B-942F-BDAC9E307B83}" name=" 22" dataDxfId="62"/>
    <tableColumn id="23" xr3:uid="{8AB3B48F-F1E1-40EF-9279-9DAD1F407C7C}" name=" 23" dataDxfId="61"/>
    <tableColumn id="24" xr3:uid="{779B1B18-13D9-4852-A84E-5482B96635CB}" name=" 24" dataDxfId="60"/>
    <tableColumn id="25" xr3:uid="{8B153E29-18E5-4CE0-82F0-E5DEEA7B7F13}" name=" 25" dataDxfId="59"/>
    <tableColumn id="26" xr3:uid="{E853B45E-3435-419E-B51D-EF2563497DCA}" name=" 26" dataDxfId="58"/>
    <tableColumn id="27" xr3:uid="{9C6C0426-94B8-4B17-8881-5E581823D1EE}" name=" 27" dataDxfId="57"/>
    <tableColumn id="28" xr3:uid="{D37F95D2-B818-4063-A983-39E347C990AA}" name=" 28" dataDxfId="56"/>
    <tableColumn id="29" xr3:uid="{8613D066-5632-400A-80BD-2BEA79E5708E}" name=" 29" dataDxfId="55"/>
    <tableColumn id="30" xr3:uid="{066D7534-EEC1-428F-8361-579F3BDA32A7}" name=" 30" dataDxfId="54"/>
    <tableColumn id="31" xr3:uid="{E903B6C9-C351-4F83-B383-4B67174D0217}" name=" 31" dataDxfId="53"/>
    <tableColumn id="32" xr3:uid="{267DF5E1-2B5B-49A7-B46D-3AA30BFEF20F}" name=" 32" dataDxfId="52"/>
    <tableColumn id="33" xr3:uid="{8C2CE865-B918-4DB3-9FDC-072D1261D5C5}" name=" 33" dataDxfId="51"/>
    <tableColumn id="34" xr3:uid="{11791AF7-AA62-43D6-99F0-CCA05925E85F}" name=" 34" dataDxfId="50"/>
    <tableColumn id="35" xr3:uid="{F7182344-2B7B-4735-A439-E851D50F27C8}" name=" 35" dataDxfId="49"/>
    <tableColumn id="36" xr3:uid="{D6A7DFE4-93EA-4661-AAD4-C4AA23AC07E9}" name=" 36" dataDxfId="48"/>
    <tableColumn id="37" xr3:uid="{FD5D6B29-99C9-419D-BE36-1A79EA94C2CC}" name=" 37" dataDxfId="47"/>
    <tableColumn id="38" xr3:uid="{D40D5B54-46A1-4FAE-80F4-5173008DD88E}" name=" 38" dataDxfId="46"/>
    <tableColumn id="39" xr3:uid="{2BB01C0D-DA09-4E8C-A80C-AEDD878B52BD}" name=" 39" dataDxfId="45"/>
    <tableColumn id="40" xr3:uid="{57B5D697-86F1-4F88-BAD7-5174C1423442}" name=" 40" dataDxfId="44"/>
    <tableColumn id="41" xr3:uid="{5E6194DF-298C-4BE0-8593-19D853A1C3DA}" name=" 41" dataDxfId="43"/>
    <tableColumn id="42" xr3:uid="{566C8F0E-C15E-4A8F-AF4B-5B475FF4DBB4}" name=" 42" dataDxfId="42"/>
    <tableColumn id="43" xr3:uid="{C73ECD9C-2623-4FD4-865C-D42DDEFE7ED9}" name=" 43" dataDxfId="41"/>
    <tableColumn id="44" xr3:uid="{255DD881-C45A-46E2-8F62-7B6BEFC025EF}" name=" 44" dataDxfId="40"/>
    <tableColumn id="45" xr3:uid="{448346D1-DE58-401F-B136-E0C01593D84B}" name=" 45" dataDxfId="39"/>
    <tableColumn id="46" xr3:uid="{9EE5761D-09B3-4D22-A7B3-73568E5D7B66}" name=" 46" dataDxfId="38"/>
    <tableColumn id="47" xr3:uid="{C2DAE6FF-0DC9-4791-A2B8-43D914D1F990}" name=" 47" dataDxfId="37"/>
    <tableColumn id="48" xr3:uid="{B0A6693C-AB83-4A89-B07F-F43E4B70B20B}" name=" 48" dataDxfId="36"/>
    <tableColumn id="49" xr3:uid="{1AB6681A-6E9C-478B-8340-9F8C8C256BC8}" name=" 49" dataDxfId="35"/>
    <tableColumn id="50" xr3:uid="{1E8D3342-D886-4972-872F-92990D18E9BB}" name=" 50" dataDxfId="34"/>
    <tableColumn id="51" xr3:uid="{5BEC402B-199C-4A86-8BF8-4D35C884A7FE}" name=" 51" dataDxfId="33"/>
    <tableColumn id="52" xr3:uid="{1978C651-712A-40B5-AB15-02F5C1FD82C3}" name=" 52" dataDxfId="32"/>
    <tableColumn id="53" xr3:uid="{5E07128C-2EE0-43F2-B0D8-4F8E8EDDB209}" name=" 53" dataDxfId="31"/>
    <tableColumn id="54" xr3:uid="{DCDC7CF6-DFF7-41F5-8F50-16B4539717B0}" name=" 54" dataDxfId="30"/>
    <tableColumn id="55" xr3:uid="{0A852E6E-4CD9-4A55-9886-D9B4A83CB65A}" name=" 55" dataDxfId="29"/>
    <tableColumn id="56" xr3:uid="{0E6A1CFC-3D99-421E-B886-B5555C062412}" name=" 56" dataDxfId="28"/>
    <tableColumn id="57" xr3:uid="{739DEF22-01D3-4390-97E5-3B433859C539}" name=" 57" dataDxfId="27"/>
    <tableColumn id="58" xr3:uid="{74E18912-4AB1-4110-AC93-44CEF3911E12}" name=" 58" dataDxfId="26"/>
    <tableColumn id="59" xr3:uid="{0B52001F-E8FA-4E29-A5EE-865A89AA0B13}" name=" 59" dataDxfId="25"/>
    <tableColumn id="60" xr3:uid="{C23A8ACC-E4DA-4D4E-8507-8B20A4792A54}" name=" 60" dataDxfId="24"/>
    <tableColumn id="61" xr3:uid="{97778B0D-E43B-4910-BAF3-E4E663F11C7E}" name=" 61" dataDxfId="23"/>
    <tableColumn id="62" xr3:uid="{20764B19-B253-4269-B5D0-36796D440B65}" name=" 62" dataDxfId="22"/>
    <tableColumn id="63" xr3:uid="{49133FF3-2D28-4A5A-B4D0-662CD639E094}" name=" 63" dataDxfId="21"/>
    <tableColumn id="64" xr3:uid="{33E475C3-F240-4603-9D30-DC08F2C759FC}" name=" 64" dataDxfId="20"/>
    <tableColumn id="65" xr3:uid="{BA499350-575A-4111-BFEE-BDE01CFE321E}" name=" 65" dataDxfId="19"/>
    <tableColumn id="66" xr3:uid="{40852366-D3BB-48BA-AE09-6F5C9EC3A11C}" name=" 66" dataDxfId="18"/>
    <tableColumn id="67" xr3:uid="{CE38B788-F4E0-46F4-82DF-489D1C940FE7}" name=" 67" dataDxfId="17"/>
    <tableColumn id="68" xr3:uid="{E03BF0BE-0CD2-4456-AD65-1DB4346293EB}" name=" 68" dataDxfId="16"/>
    <tableColumn id="69" xr3:uid="{98EADE2B-D3FB-4341-A30C-4AD051DE9815}" name=" 69" dataDxfId="15"/>
    <tableColumn id="70" xr3:uid="{1F090D37-4D2E-41E5-A0DA-FC8DCF733831}" name=" 70" dataDxfId="14"/>
    <tableColumn id="71" xr3:uid="{ACA1177D-F4D7-46AE-8246-9D8269EEE1AF}" name=" 71" dataDxfId="13"/>
    <tableColumn id="72" xr3:uid="{ADDCAF7C-8962-4FD2-A78E-2CEFDAE550F6}" name=" 72" dataDxfId="12"/>
    <tableColumn id="73" xr3:uid="{7D8665DC-32C8-484A-9FFE-12BF5C3A2E5D}" name=" 73" dataDxfId="11"/>
    <tableColumn id="74" xr3:uid="{CC46CE27-461F-4149-874D-0B5C00ACF6AD}" name=" 74" dataDxfId="10"/>
    <tableColumn id="75" xr3:uid="{D4171B45-15CF-4087-AE30-71937D241D79}" name=" 75" dataDxfId="9"/>
    <tableColumn id="76" xr3:uid="{F83A35D9-BBB2-499C-8427-464983BED7AB}" name=" 76" dataDxfId="8"/>
    <tableColumn id="77" xr3:uid="{EB51D3C5-27E3-4597-97CB-FFD16CC175A7}" name=" 77" dataDxfId="7"/>
    <tableColumn id="78" xr3:uid="{192377E9-60D6-4D75-9F4F-71D02AF12907}" name=" 78" dataDxfId="6"/>
    <tableColumn id="79" xr3:uid="{58EEDE9B-CEC7-4D47-98B7-9F709880F0DD}" name=" 79" dataDxfId="5"/>
    <tableColumn id="80" xr3:uid="{032DA3E3-458E-41B6-A2AD-4B9846CF05A3}" name=" 80" dataDxfId="4"/>
    <tableColumn id="81" xr3:uid="{3292E8AB-8794-4081-919E-759510EAA7E6}" name=" 81" dataDxfId="3"/>
    <tableColumn id="82" xr3:uid="{A30AE128-08F0-48B4-88B8-CF391F25895F}" name=" 82" dataDxfId="2"/>
    <tableColumn id="83" xr3:uid="{76683BDC-30B8-49E9-A10A-367AAA35E912}" name=" 83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14" totalsRowShown="0" dataDxfId="92">
  <autoFilter ref="A3:H114" xr:uid="{20495ABC-A0D8-40BE-8188-61D0FEE75739}"/>
  <tableColumns count="8">
    <tableColumn id="1" xr3:uid="{73903A16-45BE-4CB3-B71C-3468798E69E6}" name="ID" dataDxfId="100"/>
    <tableColumn id="3" xr3:uid="{02ADB156-C3E9-44A8-BC1B-FB2018DC836B}" name="Param1" dataDxfId="99"/>
    <tableColumn id="4" xr3:uid="{CF8C7CB6-4B86-4085-ACCC-19CBFD4C59FE}" name="Param2" dataDxfId="98"/>
    <tableColumn id="5" xr3:uid="{1227E0CB-DF13-4AEB-9B7C-A5B66DBC0C3F}" name="Param3" dataDxfId="97"/>
    <tableColumn id="6" xr3:uid="{2E60890B-30E9-4D21-92C9-7B06D14BAF00}" name="Param4" dataDxfId="96"/>
    <tableColumn id="7" xr3:uid="{03AC2232-F9FA-428A-BCAB-A8039123FBB5}" name="Param5" dataDxfId="95"/>
    <tableColumn id="9" xr3:uid="{5D6B89C0-1432-4927-AC0D-CC962FDD7705}" name="en_US" dataDxfId="94"/>
    <tableColumn id="8" xr3:uid="{8F5786B6-467E-46BD-A85E-B24EA01C31DC}" name="fr_FR" dataDxfId="9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S91" totalsRowShown="0" dataDxfId="136">
  <autoFilter ref="B3:S91" xr:uid="{D9E8808B-D9E1-4272-8694-E8D5F2C45F29}"/>
  <tableColumns count="18">
    <tableColumn id="1" xr3:uid="{3A646773-BE89-4522-98D7-B786E44BE0DC}" name="Query" dataDxfId="135"/>
    <tableColumn id="9" xr3:uid="{C4EB6F9D-3EAD-42F0-84FF-9BBD170B0DE5}" name="Table" dataDxfId="134"/>
    <tableColumn id="8" xr3:uid="{70E4004F-52ED-4A60-A759-27AFE028F894}" name="I18N" dataDxfId="133"/>
    <tableColumn id="13" xr3:uid="{A78438C4-24D6-4E6E-A29B-E72CABDED5AB}" name="JSON Row Array" dataDxfId="132"/>
    <tableColumn id="16" xr3:uid="{02735810-2DA9-4B37-A9AB-CC1D7668127D}" name="Editable?" dataDxfId="131"/>
    <tableColumn id="2" xr3:uid="{DFC5B263-91CC-4653-8ADC-74A0368CD202}" name="JSON Column" dataDxfId="130"/>
    <tableColumn id="3" xr3:uid="{D5540814-CF2F-4ACB-B92D-22093C535E0C}" name="JSON Type" dataDxfId="129"/>
    <tableColumn id="11" xr3:uid="{EDC8EA7C-C33C-4E55-9909-B09F730AE94B}" name="Required" dataDxfId="128"/>
    <tableColumn id="4" xr3:uid="{8D0A36EB-752B-47BA-B4F5-009678ACFDD0}" name="Title" dataDxfId="127"/>
    <tableColumn id="12" xr3:uid="{B7222461-457D-4B90-9925-68BAF8D1E421}" name="Editor" dataDxfId="126"/>
    <tableColumn id="14" xr3:uid="{C8DD975C-C222-4560-AD83-9B3E4EF275CD}" name="Format" dataDxfId="125"/>
    <tableColumn id="15" xr3:uid="{30CC9560-5D67-406A-B687-D2883B19A560}" name="Level" dataDxfId="124"/>
    <tableColumn id="18" xr3:uid="{9414E3E8-B630-435F-9660-16EFF4CAEFD7}" name="Width" dataDxfId="123"/>
    <tableColumn id="5" xr3:uid="{3613A1E0-361B-4D77-AB85-A190D3D733FC}" name="Hidden" dataDxfId="122"/>
    <tableColumn id="6" xr3:uid="{4FC768DF-246E-41E4-8A37-38EE7A822849}" name="Command" dataDxfId="121"/>
    <tableColumn id="10" xr3:uid="{08F0F3AA-70C9-46BE-9E8F-F9089FF43A15}" name="Params" dataDxfId="120"/>
    <tableColumn id="7" xr3:uid="{C3148FB9-B4AC-439B-977D-F7DC6FE2F875}" name="Position" dataDxfId="119"/>
    <tableColumn id="17" xr3:uid="{AAA7A96E-0AF3-43EB-9CAA-11C66E543F5D}" name="ReturnCol" dataDxfId="11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117">
  <autoFilter ref="B3:Q4" xr:uid="{D9E8808B-D9E1-4272-8694-E8D5F2C45F29}"/>
  <tableColumns count="16">
    <tableColumn id="1" xr3:uid="{848A5172-BE10-4671-A96C-19CB95280C30}" name="Query" dataDxfId="116"/>
    <tableColumn id="9" xr3:uid="{D4503C74-5BC6-42E3-9059-14AE6DF0435F}" name="Table" dataDxfId="115"/>
    <tableColumn id="8" xr3:uid="{6B1E570F-3015-4379-A06B-47DE792E9FF7}" name="I18N" dataDxfId="114"/>
    <tableColumn id="13" xr3:uid="{1F3DA983-C15A-44A1-9F86-08FE41BABCC4}" name="JSON Row Array" dataDxfId="113"/>
    <tableColumn id="2" xr3:uid="{2146287D-FA7C-4DC4-A184-861C99FB53FA}" name="JSON Column" dataDxfId="112"/>
    <tableColumn id="3" xr3:uid="{41F1B5AB-7B7D-4E20-9599-A4A18E607AC2}" name="JSON Type" dataDxfId="111"/>
    <tableColumn id="11" xr3:uid="{6B6D5F65-9066-427A-9E8E-83BC24FDA24E}" name="Required" dataDxfId="110"/>
    <tableColumn id="4" xr3:uid="{5632F87F-624C-41CA-9F02-FC8191282D24}" name="Title" dataDxfId="109"/>
    <tableColumn id="12" xr3:uid="{42F4ED45-AB09-422F-A7F0-D0219F6C21FB}" name="Editor" dataDxfId="108"/>
    <tableColumn id="14" xr3:uid="{2AA5569E-51E1-495E-B26C-0E3F01504CAF}" name="Format" dataDxfId="107"/>
    <tableColumn id="15" xr3:uid="{9FF31EFB-98A5-441C-AEEE-A8D70F766993}" name="Level" dataDxfId="106"/>
    <tableColumn id="5" xr3:uid="{AAEEF1F0-17A9-4995-BF9B-AB4346088E71}" name="Hidden" dataDxfId="105"/>
    <tableColumn id="6" xr3:uid="{7BDF45C7-3CB9-461B-82E3-465AF4328F16}" name="Command" dataDxfId="104"/>
    <tableColumn id="10" xr3:uid="{CC86848F-2654-487A-90EA-707ECEAFF905}" name="Params" dataDxfId="103"/>
    <tableColumn id="7" xr3:uid="{EB4FA941-2795-46FC-8CA9-7D002B610299}" name="Position" dataDxfId="102"/>
    <tableColumn id="17" xr3:uid="{CA1F3260-0D6C-4F7F-B7AE-4DFA8A856532}" name="ReturnCol" dataDxfId="10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B3:L47"/>
  <sheetViews>
    <sheetView showGridLines="0" zoomScaleNormal="100" workbookViewId="0">
      <selection activeCell="C3" sqref="C3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26.2851562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3" spans="2:12" x14ac:dyDescent="0.25">
      <c r="D3" s="17"/>
    </row>
    <row r="4" spans="2:12" x14ac:dyDescent="0.25">
      <c r="B4" s="4" t="str" cm="1">
        <f t="array" ref="B4">I18N_T(cellLanguage, "RF_Title")</f>
        <v>Génération des reportings</v>
      </c>
      <c r="F4" s="12"/>
      <c r="I4" s="5" t="str" cm="1">
        <f t="array" ref="I4">I18N_Version(cellLanguage)</f>
        <v>Version 0.93 du 08 03 21</v>
      </c>
    </row>
    <row r="5" spans="2:12" x14ac:dyDescent="0.25">
      <c r="C5" s="20"/>
      <c r="D5" s="21"/>
      <c r="E5" s="22"/>
      <c r="F5" s="23"/>
    </row>
    <row r="6" spans="2:12" x14ac:dyDescent="0.25">
      <c r="C6" s="24"/>
      <c r="D6" s="24"/>
      <c r="E6" s="24"/>
      <c r="F6" s="24"/>
    </row>
    <row r="7" spans="2:12" x14ac:dyDescent="0.25">
      <c r="C7"/>
      <c r="D7"/>
      <c r="E7"/>
      <c r="F7"/>
    </row>
    <row r="10" spans="2:12" x14ac:dyDescent="0.25">
      <c r="C10"/>
      <c r="D10" s="11" t="str">
        <f>I18N_T(cellLanguage, "RF_Refresh")</f>
        <v>Mettre à jour la liste</v>
      </c>
      <c r="E10"/>
      <c r="F10"/>
      <c r="G10"/>
      <c r="I10" s="7"/>
      <c r="J10" s="7"/>
      <c r="L10" s="6"/>
    </row>
    <row r="11" spans="2:12" x14ac:dyDescent="0.25">
      <c r="C11"/>
      <c r="D11" s="43">
        <f>SUBTOTAL(103, tReportings[[ 2]])</f>
        <v>28</v>
      </c>
      <c r="E11"/>
      <c r="F11" s="25"/>
      <c r="G11"/>
      <c r="H11" s="17"/>
      <c r="I11" s="13"/>
      <c r="J11" s="13"/>
    </row>
    <row r="12" spans="2:12" hidden="1" x14ac:dyDescent="0.25">
      <c r="C12" s="9" t="str">
        <f>I18N_T(cellLanguage, "RF_ID")</f>
        <v>ID</v>
      </c>
      <c r="D12" s="22" t="str">
        <f>I18N_T(cellLanguage, "RF_Phase")</f>
        <v>Phase</v>
      </c>
      <c r="E12" s="22" t="str">
        <f>I18N_T(cellLanguage, "RF_UpdatePeriod")</f>
        <v>Exercice</v>
      </c>
      <c r="F12" s="23" t="str">
        <f>I18N_T(cellLanguage, "RF_CreationDate")</f>
        <v>Date de création</v>
      </c>
      <c r="G12"/>
      <c r="H12" s="17"/>
      <c r="I12" s="13"/>
      <c r="J12" s="13"/>
    </row>
    <row r="13" spans="2:12" ht="15" customHeight="1" x14ac:dyDescent="0.25">
      <c r="C13" s="24" t="s">
        <v>204</v>
      </c>
      <c r="D13" s="24" t="s">
        <v>205</v>
      </c>
      <c r="E13" s="24" t="s">
        <v>206</v>
      </c>
      <c r="F13" s="24" t="s">
        <v>207</v>
      </c>
      <c r="H13" s="17"/>
      <c r="I13" s="13"/>
      <c r="J13" s="13"/>
    </row>
    <row r="14" spans="2:12" x14ac:dyDescent="0.25">
      <c r="C14" s="45">
        <v>52428888</v>
      </c>
      <c r="D14" s="45" t="s">
        <v>21</v>
      </c>
      <c r="E14" s="45" t="s">
        <v>691</v>
      </c>
      <c r="F14" s="45" t="s">
        <v>692</v>
      </c>
      <c r="H14" s="11" t="str">
        <f>I18N_T(cellLanguage, "RF_Modify")</f>
        <v>Modifier</v>
      </c>
      <c r="I14" s="11" t="str">
        <f>I18N_T(cellLanguage, "RF_Duplicate")</f>
        <v>Dupliquer</v>
      </c>
      <c r="J14" s="13"/>
      <c r="L14" s="8"/>
    </row>
    <row r="15" spans="2:12" x14ac:dyDescent="0.25">
      <c r="C15" s="45">
        <v>52428859</v>
      </c>
      <c r="D15" s="45" t="s">
        <v>21</v>
      </c>
      <c r="E15" s="45" t="s">
        <v>693</v>
      </c>
      <c r="F15" s="45" t="s">
        <v>694</v>
      </c>
      <c r="H15" s="11" t="str">
        <f>I18N_T(cellLanguage, "RF_Modify")</f>
        <v>Modifier</v>
      </c>
      <c r="I15" s="11" t="str">
        <f>I18N_T(cellLanguage, "RF_Duplicate")</f>
        <v>Dupliquer</v>
      </c>
      <c r="J15" s="13"/>
    </row>
    <row r="16" spans="2:12" x14ac:dyDescent="0.25">
      <c r="C16" s="45">
        <v>52428858</v>
      </c>
      <c r="D16" s="45" t="s">
        <v>21</v>
      </c>
      <c r="E16" s="45" t="s">
        <v>695</v>
      </c>
      <c r="F16" s="45" t="s">
        <v>696</v>
      </c>
      <c r="H16" s="11" t="str">
        <f>I18N_T(cellLanguage, "RF_Modify")</f>
        <v>Modifier</v>
      </c>
      <c r="I16" s="11" t="str">
        <f>I18N_T(cellLanguage, "RF_Duplicate")</f>
        <v>Dupliquer</v>
      </c>
      <c r="J16" s="13"/>
    </row>
    <row r="17" spans="3:10" x14ac:dyDescent="0.25">
      <c r="C17" s="45">
        <v>52428847</v>
      </c>
      <c r="D17" s="45" t="s">
        <v>21</v>
      </c>
      <c r="E17" s="45" t="s">
        <v>697</v>
      </c>
      <c r="F17" s="45" t="s">
        <v>698</v>
      </c>
      <c r="H17" s="11" t="str">
        <f>I18N_T(cellLanguage, "RF_Modify")</f>
        <v>Modifier</v>
      </c>
      <c r="I17" s="11" t="str">
        <f>I18N_T(cellLanguage, "RF_Duplicate")</f>
        <v>Dupliquer</v>
      </c>
      <c r="J17" s="13"/>
    </row>
    <row r="18" spans="3:10" x14ac:dyDescent="0.25">
      <c r="C18" s="45">
        <v>52428855</v>
      </c>
      <c r="D18" s="45" t="s">
        <v>21</v>
      </c>
      <c r="E18" s="45" t="s">
        <v>699</v>
      </c>
      <c r="F18" s="45" t="s">
        <v>700</v>
      </c>
      <c r="H18" s="11" t="str">
        <f>I18N_T(cellLanguage, "RF_Modify")</f>
        <v>Modifier</v>
      </c>
      <c r="I18" s="11" t="str">
        <f>I18N_T(cellLanguage, "RF_Duplicate")</f>
        <v>Dupliquer</v>
      </c>
      <c r="J18" s="13"/>
    </row>
    <row r="19" spans="3:10" x14ac:dyDescent="0.25">
      <c r="C19" s="45">
        <v>52428853</v>
      </c>
      <c r="D19" s="45" t="s">
        <v>21</v>
      </c>
      <c r="E19" s="45" t="s">
        <v>701</v>
      </c>
      <c r="F19" s="45" t="s">
        <v>702</v>
      </c>
      <c r="H19" s="11" t="str">
        <f>I18N_T(cellLanguage, "RF_Modify")</f>
        <v>Modifier</v>
      </c>
      <c r="I19" s="11" t="str">
        <f>I18N_T(cellLanguage, "RF_Duplicate")</f>
        <v>Dupliquer</v>
      </c>
      <c r="J19" s="13"/>
    </row>
    <row r="20" spans="3:10" x14ac:dyDescent="0.25">
      <c r="C20" s="45">
        <v>52428851</v>
      </c>
      <c r="D20" s="45" t="s">
        <v>21</v>
      </c>
      <c r="E20" s="45" t="s">
        <v>703</v>
      </c>
      <c r="F20" s="45" t="s">
        <v>704</v>
      </c>
      <c r="H20" s="11" t="str">
        <f>I18N_T(cellLanguage, "RF_Modify")</f>
        <v>Modifier</v>
      </c>
      <c r="I20" s="11" t="str">
        <f>I18N_T(cellLanguage, "RF_Duplicate")</f>
        <v>Dupliquer</v>
      </c>
      <c r="J20" s="13"/>
    </row>
    <row r="21" spans="3:10" x14ac:dyDescent="0.25">
      <c r="C21" s="45">
        <v>52428848</v>
      </c>
      <c r="D21" s="45" t="s">
        <v>21</v>
      </c>
      <c r="E21" s="45" t="s">
        <v>705</v>
      </c>
      <c r="F21" s="45" t="s">
        <v>706</v>
      </c>
      <c r="H21" s="11" t="str">
        <f>I18N_T(cellLanguage, "RF_Modify")</f>
        <v>Modifier</v>
      </c>
      <c r="I21" s="11" t="str">
        <f>I18N_T(cellLanguage, "RF_Duplicate")</f>
        <v>Dupliquer</v>
      </c>
      <c r="J21" s="13"/>
    </row>
    <row r="22" spans="3:10" x14ac:dyDescent="0.25">
      <c r="C22" s="45">
        <v>52428841</v>
      </c>
      <c r="D22" s="45" t="s">
        <v>21</v>
      </c>
      <c r="E22" s="45" t="s">
        <v>707</v>
      </c>
      <c r="F22" s="45" t="s">
        <v>708</v>
      </c>
      <c r="H22" s="11" t="str">
        <f>I18N_T(cellLanguage, "RF_Modify")</f>
        <v>Modifier</v>
      </c>
      <c r="I22" s="11" t="str">
        <f>I18N_T(cellLanguage, "RF_Duplicate")</f>
        <v>Dupliquer</v>
      </c>
      <c r="J22" s="13"/>
    </row>
    <row r="23" spans="3:10" x14ac:dyDescent="0.25">
      <c r="C23" s="45">
        <v>52428840</v>
      </c>
      <c r="D23" s="45" t="s">
        <v>21</v>
      </c>
      <c r="E23" s="45" t="s">
        <v>709</v>
      </c>
      <c r="F23" s="45" t="s">
        <v>710</v>
      </c>
      <c r="H23" s="11" t="str">
        <f>I18N_T(cellLanguage, "RF_Modify")</f>
        <v>Modifier</v>
      </c>
      <c r="I23" s="11" t="str">
        <f>I18N_T(cellLanguage, "RF_Duplicate")</f>
        <v>Dupliquer</v>
      </c>
      <c r="J23" s="13"/>
    </row>
    <row r="24" spans="3:10" x14ac:dyDescent="0.25">
      <c r="C24" s="45">
        <v>52428838</v>
      </c>
      <c r="D24" s="45" t="s">
        <v>21</v>
      </c>
      <c r="E24" s="45" t="s">
        <v>711</v>
      </c>
      <c r="F24" s="45" t="s">
        <v>712</v>
      </c>
      <c r="H24" s="11" t="str">
        <f>I18N_T(cellLanguage, "RF_Modify")</f>
        <v>Modifier</v>
      </c>
      <c r="I24" s="11" t="str">
        <f>I18N_T(cellLanguage, "RF_Duplicate")</f>
        <v>Dupliquer</v>
      </c>
      <c r="J24" s="13"/>
    </row>
    <row r="25" spans="3:10" x14ac:dyDescent="0.25">
      <c r="C25" s="45">
        <v>52428832</v>
      </c>
      <c r="D25" s="45" t="s">
        <v>21</v>
      </c>
      <c r="E25" s="45" t="s">
        <v>713</v>
      </c>
      <c r="F25" s="45" t="s">
        <v>714</v>
      </c>
      <c r="H25" s="11" t="str">
        <f>I18N_T(cellLanguage, "RF_Modify")</f>
        <v>Modifier</v>
      </c>
      <c r="I25" s="11" t="str">
        <f>I18N_T(cellLanguage, "RF_Duplicate")</f>
        <v>Dupliquer</v>
      </c>
      <c r="J25" s="13"/>
    </row>
    <row r="26" spans="3:10" x14ac:dyDescent="0.25">
      <c r="C26" s="45">
        <v>52428830</v>
      </c>
      <c r="D26" s="45" t="s">
        <v>21</v>
      </c>
      <c r="E26" s="45" t="s">
        <v>715</v>
      </c>
      <c r="F26" s="45" t="s">
        <v>716</v>
      </c>
      <c r="H26" s="11" t="str">
        <f>I18N_T(cellLanguage, "RF_Modify")</f>
        <v>Modifier</v>
      </c>
      <c r="I26" s="11" t="str">
        <f>I18N_T(cellLanguage, "RF_Duplicate")</f>
        <v>Dupliquer</v>
      </c>
      <c r="J26" s="13"/>
    </row>
    <row r="27" spans="3:10" x14ac:dyDescent="0.25">
      <c r="C27" s="45">
        <v>52428829</v>
      </c>
      <c r="D27" s="45" t="s">
        <v>21</v>
      </c>
      <c r="E27" s="45" t="s">
        <v>717</v>
      </c>
      <c r="F27" s="45" t="s">
        <v>718</v>
      </c>
      <c r="H27" s="11" t="str">
        <f>I18N_T(cellLanguage, "RF_Modify")</f>
        <v>Modifier</v>
      </c>
      <c r="I27" s="11" t="str">
        <f>I18N_T(cellLanguage, "RF_Duplicate")</f>
        <v>Dupliquer</v>
      </c>
      <c r="J27" s="13"/>
    </row>
    <row r="28" spans="3:10" x14ac:dyDescent="0.25">
      <c r="C28" s="45">
        <v>52428827</v>
      </c>
      <c r="D28" s="45" t="s">
        <v>21</v>
      </c>
      <c r="E28" s="45" t="s">
        <v>719</v>
      </c>
      <c r="F28" s="45" t="s">
        <v>720</v>
      </c>
      <c r="H28" s="11" t="str">
        <f>I18N_T(cellLanguage, "RF_Modify")</f>
        <v>Modifier</v>
      </c>
      <c r="I28" s="11" t="str">
        <f>I18N_T(cellLanguage, "RF_Duplicate")</f>
        <v>Dupliquer</v>
      </c>
      <c r="J28" s="13"/>
    </row>
    <row r="29" spans="3:10" x14ac:dyDescent="0.25">
      <c r="C29" s="45">
        <v>79</v>
      </c>
      <c r="D29" s="45" t="s">
        <v>21</v>
      </c>
      <c r="E29" s="45" t="s">
        <v>721</v>
      </c>
      <c r="F29" s="45" t="s">
        <v>722</v>
      </c>
      <c r="H29" s="11" t="str">
        <f>I18N_T(cellLanguage, "RF_Modify")</f>
        <v>Modifier</v>
      </c>
      <c r="I29" s="11" t="str">
        <f>I18N_T(cellLanguage, "RF_Duplicate")</f>
        <v>Dupliquer</v>
      </c>
      <c r="J29" s="13"/>
    </row>
    <row r="30" spans="3:10" x14ac:dyDescent="0.25">
      <c r="C30" s="45">
        <v>77</v>
      </c>
      <c r="D30" s="45" t="s">
        <v>21</v>
      </c>
      <c r="E30" s="45" t="s">
        <v>723</v>
      </c>
      <c r="F30" s="45" t="s">
        <v>724</v>
      </c>
      <c r="H30" s="11" t="str">
        <f>I18N_T(cellLanguage, "RF_Modify")</f>
        <v>Modifier</v>
      </c>
      <c r="I30" s="11" t="str">
        <f>I18N_T(cellLanguage, "RF_Duplicate")</f>
        <v>Dupliquer</v>
      </c>
      <c r="J30" s="13"/>
    </row>
    <row r="31" spans="3:10" x14ac:dyDescent="0.25">
      <c r="C31" s="45">
        <v>55</v>
      </c>
      <c r="D31" s="45" t="s">
        <v>21</v>
      </c>
      <c r="E31" s="45" t="s">
        <v>725</v>
      </c>
      <c r="F31" s="45" t="s">
        <v>726</v>
      </c>
      <c r="H31" s="11" t="str">
        <f>I18N_T(cellLanguage, "RF_Modify")</f>
        <v>Modifier</v>
      </c>
      <c r="I31" s="11" t="str">
        <f>I18N_T(cellLanguage, "RF_Duplicate")</f>
        <v>Dupliquer</v>
      </c>
      <c r="J31" s="13"/>
    </row>
    <row r="32" spans="3:10" x14ac:dyDescent="0.25">
      <c r="C32" s="45">
        <v>67</v>
      </c>
      <c r="D32" s="45" t="s">
        <v>21</v>
      </c>
      <c r="E32" s="45" t="s">
        <v>727</v>
      </c>
      <c r="F32" s="45" t="s">
        <v>728</v>
      </c>
      <c r="H32" s="11" t="str">
        <f>I18N_T(cellLanguage, "RF_Modify")</f>
        <v>Modifier</v>
      </c>
      <c r="I32" s="11" t="str">
        <f>I18N_T(cellLanguage, "RF_Duplicate")</f>
        <v>Dupliquer</v>
      </c>
      <c r="J32" s="13"/>
    </row>
    <row r="33" spans="3:10" x14ac:dyDescent="0.25">
      <c r="C33" s="45">
        <v>68</v>
      </c>
      <c r="D33" s="45" t="s">
        <v>21</v>
      </c>
      <c r="E33" s="45" t="s">
        <v>729</v>
      </c>
      <c r="F33" s="45" t="s">
        <v>730</v>
      </c>
      <c r="H33" s="11" t="str">
        <f>I18N_T(cellLanguage, "RF_Modify")</f>
        <v>Modifier</v>
      </c>
      <c r="I33" s="11" t="str">
        <f>I18N_T(cellLanguage, "RF_Duplicate")</f>
        <v>Dupliquer</v>
      </c>
      <c r="J33" s="13"/>
    </row>
    <row r="34" spans="3:10" x14ac:dyDescent="0.25">
      <c r="C34" s="45">
        <v>69</v>
      </c>
      <c r="D34" s="45" t="s">
        <v>21</v>
      </c>
      <c r="E34" s="45" t="s">
        <v>731</v>
      </c>
      <c r="F34" s="45" t="s">
        <v>732</v>
      </c>
      <c r="H34" s="11" t="str">
        <f>I18N_T(cellLanguage, "RF_Modify")</f>
        <v>Modifier</v>
      </c>
      <c r="I34" s="11" t="str">
        <f>I18N_T(cellLanguage, "RF_Duplicate")</f>
        <v>Dupliquer</v>
      </c>
      <c r="J34" s="13"/>
    </row>
    <row r="35" spans="3:10" x14ac:dyDescent="0.25">
      <c r="C35" s="45">
        <v>56</v>
      </c>
      <c r="D35" s="45" t="s">
        <v>21</v>
      </c>
      <c r="E35" s="45" t="s">
        <v>733</v>
      </c>
      <c r="F35" s="45" t="s">
        <v>734</v>
      </c>
      <c r="H35" s="11" t="str">
        <f>I18N_T(cellLanguage, "RF_Modify")</f>
        <v>Modifier</v>
      </c>
      <c r="I35" s="11" t="str">
        <f>I18N_T(cellLanguage, "RF_Duplicate")</f>
        <v>Dupliquer</v>
      </c>
      <c r="J35" s="13"/>
    </row>
    <row r="36" spans="3:10" x14ac:dyDescent="0.25">
      <c r="C36" s="45">
        <v>52428802</v>
      </c>
      <c r="D36" s="45" t="s">
        <v>21</v>
      </c>
      <c r="E36" s="45" t="s">
        <v>735</v>
      </c>
      <c r="F36" s="45" t="s">
        <v>736</v>
      </c>
      <c r="H36" s="11" t="str">
        <f>I18N_T(cellLanguage, "RF_Modify")</f>
        <v>Modifier</v>
      </c>
      <c r="I36" s="11" t="str">
        <f>I18N_T(cellLanguage, "RF_Duplicate")</f>
        <v>Dupliquer</v>
      </c>
      <c r="J36" s="13"/>
    </row>
    <row r="37" spans="3:10" x14ac:dyDescent="0.25">
      <c r="C37" s="45">
        <v>71</v>
      </c>
      <c r="D37" s="45" t="s">
        <v>21</v>
      </c>
      <c r="E37" s="45" t="s">
        <v>737</v>
      </c>
      <c r="F37" s="45" t="s">
        <v>738</v>
      </c>
      <c r="H37" s="11" t="str">
        <f>I18N_T(cellLanguage, "RF_Modify")</f>
        <v>Modifier</v>
      </c>
      <c r="I37" s="11" t="str">
        <f>I18N_T(cellLanguage, "RF_Duplicate")</f>
        <v>Dupliquer</v>
      </c>
      <c r="J37" s="13"/>
    </row>
    <row r="38" spans="3:10" x14ac:dyDescent="0.25">
      <c r="C38" s="45">
        <v>73</v>
      </c>
      <c r="D38" s="45" t="s">
        <v>21</v>
      </c>
      <c r="E38" s="45" t="s">
        <v>739</v>
      </c>
      <c r="F38" s="45" t="s">
        <v>740</v>
      </c>
      <c r="H38" s="11" t="str">
        <f>I18N_T(cellLanguage, "RF_Modify")</f>
        <v>Modifier</v>
      </c>
      <c r="I38" s="11" t="str">
        <f>I18N_T(cellLanguage, "RF_Duplicate")</f>
        <v>Dupliquer</v>
      </c>
      <c r="J38" s="13"/>
    </row>
    <row r="39" spans="3:10" x14ac:dyDescent="0.25">
      <c r="C39" s="45">
        <v>61</v>
      </c>
      <c r="D39" s="45" t="s">
        <v>21</v>
      </c>
      <c r="E39" s="45" t="s">
        <v>741</v>
      </c>
      <c r="F39" s="45" t="s">
        <v>742</v>
      </c>
      <c r="H39" s="11" t="str">
        <f>I18N_T(cellLanguage, "RF_Modify")</f>
        <v>Modifier</v>
      </c>
      <c r="I39" s="11" t="str">
        <f>I18N_T(cellLanguage, "RF_Duplicate")</f>
        <v>Dupliquer</v>
      </c>
      <c r="J39" s="13"/>
    </row>
    <row r="40" spans="3:10" x14ac:dyDescent="0.25">
      <c r="C40" s="45">
        <v>59</v>
      </c>
      <c r="D40" s="45" t="s">
        <v>21</v>
      </c>
      <c r="E40" s="45" t="s">
        <v>743</v>
      </c>
      <c r="F40" s="45" t="s">
        <v>744</v>
      </c>
      <c r="H40" s="11" t="str">
        <f>I18N_T(cellLanguage, "RF_Modify")</f>
        <v>Modifier</v>
      </c>
      <c r="I40" s="11" t="str">
        <f>I18N_T(cellLanguage, "RF_Duplicate")</f>
        <v>Dupliquer</v>
      </c>
      <c r="J40" s="13"/>
    </row>
    <row r="41" spans="3:10" x14ac:dyDescent="0.25">
      <c r="C41" s="45">
        <v>60</v>
      </c>
      <c r="D41" s="45" t="s">
        <v>21</v>
      </c>
      <c r="E41" s="45" t="s">
        <v>745</v>
      </c>
      <c r="F41" s="45" t="s">
        <v>746</v>
      </c>
      <c r="H41" s="11" t="str">
        <f>I18N_T(cellLanguage, "RF_Modify")</f>
        <v>Modifier</v>
      </c>
      <c r="I41" s="11" t="str">
        <f>I18N_T(cellLanguage, "RF_Duplicate")</f>
        <v>Dupliquer</v>
      </c>
      <c r="J41" s="13"/>
    </row>
    <row r="42" spans="3:10" x14ac:dyDescent="0.25">
      <c r="C42"/>
      <c r="D42"/>
      <c r="E42"/>
      <c r="F42"/>
      <c r="H42"/>
      <c r="I42"/>
      <c r="J42" s="13"/>
    </row>
    <row r="43" spans="3:10" x14ac:dyDescent="0.25">
      <c r="C43"/>
      <c r="D43"/>
      <c r="E43"/>
      <c r="F43"/>
      <c r="H43"/>
      <c r="I43"/>
      <c r="J43" s="13"/>
    </row>
    <row r="44" spans="3:10" x14ac:dyDescent="0.25">
      <c r="C44"/>
      <c r="D44"/>
      <c r="E44"/>
      <c r="F44"/>
      <c r="H44"/>
      <c r="I44"/>
      <c r="J44" s="13"/>
    </row>
    <row r="45" spans="3:10" x14ac:dyDescent="0.25">
      <c r="C45"/>
      <c r="D45"/>
      <c r="E45"/>
      <c r="F45"/>
      <c r="H45"/>
      <c r="I45"/>
      <c r="J45" s="13"/>
    </row>
    <row r="46" spans="3:10" x14ac:dyDescent="0.25">
      <c r="C46"/>
      <c r="D46"/>
      <c r="E46"/>
      <c r="F46"/>
      <c r="H46"/>
      <c r="I46"/>
      <c r="J46" s="13"/>
    </row>
    <row r="47" spans="3:10" x14ac:dyDescent="0.25">
      <c r="C47"/>
      <c r="D47"/>
      <c r="E47"/>
      <c r="F47"/>
      <c r="H47"/>
      <c r="I47"/>
      <c r="J47" s="13"/>
    </row>
  </sheetData>
  <sheetProtection sheet="1" objects="1" scenarios="1" formatCells="0" formatColumns="0" formatRows="0" insertRows="0" sort="0" autoFilter="0"/>
  <hyperlinks>
    <hyperlink ref="D10" location="C3" tooltip=" " display="C3" xr:uid="{5B6D775A-AEAE-41BD-9190-13493959E5B5}"/>
    <hyperlink ref="H14" location="C3" tooltip=" " display="C3" xr:uid="{0CDEF1B7-C642-4278-BC94-CDD2F444BE0C}"/>
    <hyperlink ref="I14" location="C3" tooltip=" " display="C3" xr:uid="{75FA4F02-EB5F-4018-BC36-A9DAFF7BA3E7}"/>
    <hyperlink ref="H15" location="C3" tooltip=" " display="C3" xr:uid="{79640BB6-F317-499B-94CA-74880BC333CD}"/>
    <hyperlink ref="H16" location="C3" tooltip=" " display="C3" xr:uid="{D07B2296-ABED-4242-9459-175687CFB3B1}"/>
    <hyperlink ref="H17" location="C3" tooltip=" " display="C3" xr:uid="{DEDE2513-83D8-42DF-8287-43FEAF1177A8}"/>
    <hyperlink ref="H18" location="C3" tooltip=" " display="C3" xr:uid="{7181634D-F170-4D13-B384-9F17EB0E396C}"/>
    <hyperlink ref="H19" location="C3" tooltip=" " display="C3" xr:uid="{92435028-5C43-46D2-A39D-69D2E3A7577D}"/>
    <hyperlink ref="H20" location="C3" tooltip=" " display="C3" xr:uid="{6A895112-18C6-4181-AD2E-BDC65CDC56AA}"/>
    <hyperlink ref="H21" location="C3" tooltip=" " display="C3" xr:uid="{8FB1BA28-0DCC-4AF8-A919-ABF64C8F74CE}"/>
    <hyperlink ref="H22" location="C3" tooltip=" " display="C3" xr:uid="{AF9FC2AE-7D73-47DF-AC6E-3616A755FEFA}"/>
    <hyperlink ref="H23" location="C3" tooltip=" " display="C3" xr:uid="{B374E7E5-CDDE-41E3-990E-7140A5651BA9}"/>
    <hyperlink ref="H24" location="C3" tooltip=" " display="C3" xr:uid="{871EDD8C-D518-4378-AC53-351B2C6B8A8B}"/>
    <hyperlink ref="H25" location="C3" tooltip=" " display="C3" xr:uid="{5C823D86-3F46-47CE-8A14-8812080E9A70}"/>
    <hyperlink ref="H26" location="C3" tooltip=" " display="C3" xr:uid="{46C2C668-A466-41E1-B09C-74CA3BF07DF5}"/>
    <hyperlink ref="H27" location="C3" tooltip=" " display="C3" xr:uid="{971136CD-6CFE-45FF-8BD9-C86C21C11980}"/>
    <hyperlink ref="H28" location="C3" tooltip=" " display="C3" xr:uid="{D9ECB480-C5B1-4861-85E3-E8A34B43640F}"/>
    <hyperlink ref="H29" location="C3" tooltip=" " display="C3" xr:uid="{84510576-9D74-4687-9BAD-7DFB5CB56BA9}"/>
    <hyperlink ref="H30" location="C3" tooltip=" " display="C3" xr:uid="{D8DBEF8A-5717-4095-90E4-D9DEB904FFB7}"/>
    <hyperlink ref="H31" location="C3" tooltip=" " display="C3" xr:uid="{E1037383-9393-4F4D-97B5-6F96D306E3D0}"/>
    <hyperlink ref="H32" location="C3" tooltip=" " display="C3" xr:uid="{979D364E-E210-4F87-B789-8B282E44F04E}"/>
    <hyperlink ref="H33" location="C3" tooltip=" " display="C3" xr:uid="{D8B5DF43-AE7F-4A66-A2CD-130A0F20CE22}"/>
    <hyperlink ref="H34" location="C3" tooltip=" " display="C3" xr:uid="{360E6F19-41AD-4CC8-9910-844A82489225}"/>
    <hyperlink ref="H35" location="C3" tooltip=" " display="C3" xr:uid="{8336B2DE-6642-46C4-8737-7AD1C5E805A4}"/>
    <hyperlink ref="H36" location="C3" tooltip=" " display="C3" xr:uid="{F21A0471-C72E-402F-8812-1F7E64F1B3CF}"/>
    <hyperlink ref="H37" location="C3" tooltip=" " display="C3" xr:uid="{F9C909E6-8BD8-4F26-B355-CA86376E8214}"/>
    <hyperlink ref="H38" location="C3" tooltip=" " display="C3" xr:uid="{2DFB6742-A924-4FA1-BF0F-5CE5CCBF1DCC}"/>
    <hyperlink ref="H39" location="C3" tooltip=" " display="C3" xr:uid="{80D4AFCB-3DA3-4114-BA26-A28A393E67CA}"/>
    <hyperlink ref="H40" location="C3" tooltip=" " display="C3" xr:uid="{4F55C61F-CB48-4CF2-A033-6F445B37FAEF}"/>
    <hyperlink ref="H41" location="C3" tooltip=" " display="C3" xr:uid="{75B174EF-FA52-4360-B38C-CD9C63C459A5}"/>
    <hyperlink ref="I15" location="C3" tooltip=" " display="C3" xr:uid="{C85FE4A7-DCA6-443C-8314-BE8EF9CC60B3}"/>
    <hyperlink ref="I16" location="C3" tooltip=" " display="C3" xr:uid="{6A0E6E84-A8A1-4034-A424-C3A135153F16}"/>
    <hyperlink ref="I17" location="C3" tooltip=" " display="C3" xr:uid="{0384A69D-0DA4-4027-852C-8E76EB549836}"/>
    <hyperlink ref="I18" location="C3" tooltip=" " display="C3" xr:uid="{FC9D8A9F-616E-4FDD-8A5C-B2DB95A1C285}"/>
    <hyperlink ref="I19" location="C3" tooltip=" " display="C3" xr:uid="{C48A89F0-C2EB-4E55-BCFB-B70C5740EB0E}"/>
    <hyperlink ref="I20" location="C3" tooltip=" " display="C3" xr:uid="{245CDAFD-17B8-4E26-8160-4604CDA5D657}"/>
    <hyperlink ref="I21" location="C3" tooltip=" " display="C3" xr:uid="{A2C691FF-9CB7-4402-95CC-0446DAE7CC32}"/>
    <hyperlink ref="I22" location="C3" tooltip=" " display="C3" xr:uid="{7EEAD3B4-93B3-458F-BC5B-0EB59B6E4403}"/>
    <hyperlink ref="I23" location="C3" tooltip=" " display="C3" xr:uid="{42453D57-3220-4DC6-BE26-0FD4BE93C7A8}"/>
    <hyperlink ref="I24" location="C3" tooltip=" " display="C3" xr:uid="{B325F7A3-E0BB-47EB-AF8A-50FB9D7C70C6}"/>
    <hyperlink ref="I25" location="C3" tooltip=" " display="C3" xr:uid="{57FD552B-6F3E-45BA-8EDD-9616C879168A}"/>
    <hyperlink ref="I26" location="C3" tooltip=" " display="C3" xr:uid="{E744365D-2174-4BAF-8472-A8F0E0C2A569}"/>
    <hyperlink ref="I27" location="C3" tooltip=" " display="C3" xr:uid="{E70C2D2C-5E30-46DF-87EA-5835960C0291}"/>
    <hyperlink ref="I28" location="C3" tooltip=" " display="C3" xr:uid="{224F6A82-C879-4894-A39F-D211B096A821}"/>
    <hyperlink ref="I29" location="C3" tooltip=" " display="C3" xr:uid="{4899CAA8-7D66-41D7-ABE2-DACC97D43154}"/>
    <hyperlink ref="I30" location="C3" tooltip=" " display="C3" xr:uid="{68A07A03-3A71-4569-A731-6E5A82B6B4B4}"/>
    <hyperlink ref="I31" location="C3" tooltip=" " display="C3" xr:uid="{BD4F9910-BBCE-4A8F-9A9A-356BB822EE51}"/>
    <hyperlink ref="I32" location="C3" tooltip=" " display="C3" xr:uid="{DCF1FD4D-1D78-4984-A8A5-27820684F968}"/>
    <hyperlink ref="I33" location="C3" tooltip=" " display="C3" xr:uid="{330C88CD-7F66-4743-B5AD-2582308AAE04}"/>
    <hyperlink ref="I34" location="C3" tooltip=" " display="C3" xr:uid="{F13FD194-BEA0-4D82-856A-E70DA395AD69}"/>
    <hyperlink ref="I35" location="C3" tooltip=" " display="C3" xr:uid="{5F4DE8AA-2D9B-49B6-AAEB-3E0DA4CB9BDF}"/>
    <hyperlink ref="I36" location="C3" tooltip=" " display="C3" xr:uid="{D3F17F55-D093-4AD5-B771-67AF93B446C4}"/>
    <hyperlink ref="I37" location="C3" tooltip=" " display="C3" xr:uid="{ED9EDC4B-6D61-46BD-BCE5-5C2F8EE36E5D}"/>
    <hyperlink ref="I38" location="C3" tooltip=" " display="C3" xr:uid="{1FAB9D3B-7793-4B00-9A32-BDEFC5503BBA}"/>
    <hyperlink ref="I39" location="C3" tooltip=" " display="C3" xr:uid="{665A7495-B919-4814-9C48-6800A602810E}"/>
    <hyperlink ref="I40" location="C3" tooltip=" " display="C3" xr:uid="{6A182FDB-C582-4EA0-A69B-54990F4E6CA2}"/>
    <hyperlink ref="I41" location="C3" tooltip=" " display="C3" xr:uid="{4932BA8C-0B00-4D68-AFEC-8B651869D49D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7CD8-D014-4FF2-8D7A-E9683BEB94DB}">
  <sheetPr codeName="Feuil1">
    <outlinePr summaryRight="0"/>
  </sheetPr>
  <dimension ref="B2:CF6"/>
  <sheetViews>
    <sheetView showGridLines="0" zoomScale="90" zoomScaleNormal="90" workbookViewId="0">
      <selection activeCell="B6" sqref="B6"/>
    </sheetView>
  </sheetViews>
  <sheetFormatPr baseColWidth="10" defaultColWidth="16.7109375" defaultRowHeight="15" outlineLevelCol="3" x14ac:dyDescent="0.25"/>
  <cols>
    <col min="1" max="1" width="6.7109375" style="18" customWidth="1"/>
    <col min="2" max="2" width="5.7109375" style="18" customWidth="1"/>
    <col min="3" max="5" width="9.7109375" style="18" customWidth="1" outlineLevel="3"/>
    <col min="6" max="7" width="25.7109375" style="18" customWidth="1" outlineLevel="3"/>
    <col min="8" max="8" width="5.7109375" style="18" customWidth="1" outlineLevel="1"/>
    <col min="9" max="9" width="5.7109375" style="18" customWidth="1" outlineLevel="1" collapsed="1"/>
    <col min="10" max="29" width="9.7109375" style="18" hidden="1" customWidth="1" outlineLevel="3"/>
    <col min="30" max="30" width="5.7109375" style="18" customWidth="1" outlineLevel="1"/>
    <col min="31" max="31" width="25.7109375" style="18" customWidth="1" outlineLevel="3"/>
    <col min="32" max="32" width="9.7109375" style="18" customWidth="1" outlineLevel="3"/>
    <col min="33" max="33" width="5.7109375" style="18" customWidth="1" outlineLevel="2" collapsed="1"/>
    <col min="34" max="37" width="9.7109375" style="18" hidden="1" customWidth="1" outlineLevel="3"/>
    <col min="38" max="38" width="5.7109375" style="18" customWidth="1" outlineLevel="2" collapsed="1"/>
    <col min="39" max="42" width="9.7109375" style="18" hidden="1" customWidth="1" outlineLevel="3"/>
    <col min="43" max="43" width="5.7109375" style="18" customWidth="1"/>
    <col min="44" max="47" width="9.7109375" style="18" customWidth="1" outlineLevel="3"/>
    <col min="48" max="48" width="5.7109375" style="18" customWidth="1" outlineLevel="1" collapsed="1"/>
    <col min="49" max="68" width="9.7109375" style="18" hidden="1" customWidth="1" outlineLevel="3"/>
    <col min="69" max="69" width="5.7109375" style="18" customWidth="1" outlineLevel="1"/>
    <col min="70" max="70" width="9.7109375" style="18" customWidth="1" outlineLevel="3"/>
    <col min="71" max="71" width="25.7109375" style="18" customWidth="1" outlineLevel="3"/>
    <col min="72" max="72" width="9.7109375" style="18" customWidth="1" outlineLevel="3"/>
    <col min="73" max="73" width="5.7109375" style="18" customWidth="1" outlineLevel="2" collapsed="1"/>
    <col min="74" max="78" width="9.7109375" style="18" hidden="1" customWidth="1" outlineLevel="3"/>
    <col min="79" max="79" width="5.7109375" style="18" customWidth="1" outlineLevel="2" collapsed="1"/>
    <col min="80" max="84" width="9.7109375" style="18" hidden="1" customWidth="1" outlineLevel="3"/>
    <col min="85" max="16384" width="16.7109375" style="18"/>
  </cols>
  <sheetData>
    <row r="2" spans="2:84" x14ac:dyDescent="0.25">
      <c r="B2" s="11" t="str">
        <f>I18N_T(cellLanguage, "RF_Save")</f>
        <v>Sauvegarder</v>
      </c>
    </row>
    <row r="3" spans="2:84" x14ac:dyDescent="0.25">
      <c r="C3" s="43">
        <f>SUBTOTAL(103, tReporting52428888[[ 2]])</f>
        <v>1</v>
      </c>
    </row>
    <row r="4" spans="2:84" hidden="1" x14ac:dyDescent="0.25">
      <c r="B4" s="46" t="str">
        <f>I18N_T(cellLanguage, "RF_Reporting")</f>
        <v>Reporting</v>
      </c>
      <c r="C4" s="47" t="str">
        <f>I18N_T(cellLanguage, "RF_Phase")</f>
        <v>Phase</v>
      </c>
      <c r="D4" s="47" t="str">
        <f>I18N_T(cellLanguage, "RF_UpdatePeriod")</f>
        <v>Exercice</v>
      </c>
      <c r="E4" s="47" t="str">
        <f>I18N_T(cellLanguage, "RF_FrameworkVersion")</f>
        <v>Version de référentiel</v>
      </c>
      <c r="F4" s="47" t="str">
        <f>I18N_T(cellLanguage, "RF_Start")</f>
        <v>Début</v>
      </c>
      <c r="G4" s="47" t="str">
        <f>I18N_T(cellLanguage, "RF_End")</f>
        <v>Fin</v>
      </c>
      <c r="H4" s="47" t="str">
        <f>I18N_T(cellLanguage, "RF_RepDesc")</f>
        <v>Libellés</v>
      </c>
      <c r="I4" s="47" t="str">
        <f>I18N_T(cellLanguage, "RF_RepPack")</f>
        <v>Liasse</v>
      </c>
      <c r="J4" s="47" t="str">
        <f>I18N_T(cellLanguage, "RF_UseDefaultWindowsFolder")</f>
        <v>Cahier Windows: défaut?</v>
      </c>
      <c r="K4" s="47" t="str">
        <f>I18N_T(cellLanguage, "RF_WindowsFolder")</f>
        <v>Cahier Windows</v>
      </c>
      <c r="L4" s="47" t="str">
        <f>I18N_T(cellLanguage, "RF_UseDefaultInternetFolder")</f>
        <v>Cahier Internet: défaut?</v>
      </c>
      <c r="M4" s="47" t="str">
        <f>I18N_T(cellLanguage, "RF_InternetFolder")</f>
        <v>Cahier Internet</v>
      </c>
      <c r="N4" s="47" t="str">
        <f>I18N_T(cellLanguage, "RF_UseDefaultSetOfControls")</f>
        <v>Jeu de contrôles: défaut?</v>
      </c>
      <c r="O4" s="47" t="str">
        <f>I18N_T(cellLanguage, "RF_SetOfControls")</f>
        <v>Jeu de contrôles</v>
      </c>
      <c r="P4" s="47" t="str">
        <f>I18N_T(cellLanguage, "RF_UseDefaultLevel")</f>
        <v>Niveau de contrôle: défaut?</v>
      </c>
      <c r="Q4" s="47" t="str">
        <f>I18N_T(cellLanguage, "RF_LevelToReach")</f>
        <v>Niveau de contrôle</v>
      </c>
      <c r="R4" s="47" t="str">
        <f>I18N_T(cellLanguage, "RF_Blocking")</f>
        <v>Bloquant?</v>
      </c>
      <c r="S4" s="47" t="str">
        <f>I18N_T(cellLanguage, "RF_UseDefaultLock")</f>
        <v>Verrouillage: défaut?</v>
      </c>
      <c r="T4" s="47" t="str">
        <f>I18N_T(cellLanguage, "RF_LockOnPublication")</f>
        <v>Verrouillage</v>
      </c>
      <c r="U4" s="47" t="str">
        <f>I18N_T(cellLanguage, "RF_UseDefaultRuleSet")</f>
        <v>Jeu de règles: défaut?</v>
      </c>
      <c r="V4" s="47" t="str">
        <f>I18N_T(cellLanguage, "RF_RuleSet")</f>
        <v>Jeu de règles</v>
      </c>
      <c r="W4" s="47" t="str">
        <f>I18N_T(cellLanguage, "RF_UseDefaultOpbal")</f>
        <v>A-nouveaux: défaut?</v>
      </c>
      <c r="X4" s="47" t="str">
        <f>I18N_T(cellLanguage, "RF_HasOpBal")</f>
        <v>A-nouveaux?</v>
      </c>
      <c r="Y4" s="47" t="str">
        <f>I18N_T(cellLanguage, "RF_OpbPhase")</f>
        <v>AN Phase</v>
      </c>
      <c r="Z4" s="47" t="str">
        <f>I18N_T(cellLanguage, "RF_OpbUpdatePeriod")</f>
        <v>AN Exercice</v>
      </c>
      <c r="AA4" s="47" t="str">
        <f>I18N_T(cellLanguage, "RF_OpbScope")</f>
        <v>AN Périmètre</v>
      </c>
      <c r="AB4" s="47" t="str">
        <f>I18N_T(cellLanguage, "RF_OpbVariant")</f>
        <v>AN Variante</v>
      </c>
      <c r="AC4" s="47" t="str">
        <f>I18N_T(cellLanguage, "RF_OpbConsCurrency")</f>
        <v>AN Devise</v>
      </c>
      <c r="AD4" s="47" t="str">
        <f>I18N_T(cellLanguage, "RF_RepOp")</f>
        <v>Exploitation</v>
      </c>
      <c r="AE4" s="47" t="str">
        <f>I18N_T(cellLanguage, "RF_CutoffDate")</f>
        <v>Date limite</v>
      </c>
      <c r="AF4" s="47" t="str">
        <f>I18N_T(cellLanguage, "RF_EarlyPublishing")</f>
        <v>Publication anticipée?</v>
      </c>
      <c r="AG4" s="47" t="str">
        <f>I18N_T(cellLanguage, "RF_RepOpAftPub")</f>
        <v>Après publication</v>
      </c>
      <c r="AH4" s="47" t="str">
        <f>I18N_T(cellLanguage, "RF_RepOpAftPubStd")</f>
        <v>Publication standard</v>
      </c>
      <c r="AI4" s="47" t="str">
        <f>I18N_T(cellLanguage, "RF_RepOpAftPubSpe")</f>
        <v>Publication spéciale</v>
      </c>
      <c r="AJ4" s="47" t="str">
        <f>I18N_T(cellLanguage, "RF_RepOpAftPubAdv")</f>
        <v>Publication avancée</v>
      </c>
      <c r="AK4" s="47" t="str">
        <f>I18N_T(cellLanguage, "RF_RepOpAftPubLvl")</f>
        <v>Niveau après pub.</v>
      </c>
      <c r="AL4" s="47" t="str">
        <f>I18N_T(cellLanguage, "RF_RepOpAftTran")</f>
        <v>Après transfert</v>
      </c>
      <c r="AM4" s="47" t="str">
        <f>I18N_T(cellLanguage, "RF_RepOpAftTranStd")</f>
        <v>Transfert standard</v>
      </c>
      <c r="AN4" s="47" t="str">
        <f>I18N_T(cellLanguage, "RF_RepOpAftTranSpe")</f>
        <v>Transfert spécial</v>
      </c>
      <c r="AO4" s="47" t="str">
        <f>I18N_T(cellLanguage, "RF_RepOpAftTranAdv")</f>
        <v>Transfert avancé</v>
      </c>
      <c r="AP4" s="47" t="str">
        <f>I18N_T(cellLanguage, "RF_RepOpAftTranLvl")</f>
        <v>Niveau après tran.</v>
      </c>
      <c r="AQ4" s="47" t="str">
        <f>I18N_T(cellLanguage, "RF_Entity")</f>
        <v>Unité</v>
      </c>
      <c r="AR4" s="47" t="str">
        <f>I18N_T(cellLanguage, "RF_Entity2")</f>
        <v>Code</v>
      </c>
      <c r="AS4" s="47" t="str">
        <f>I18N_T(cellLanguage, "RF_InputCurrency")</f>
        <v>Devise</v>
      </c>
      <c r="AT4" s="47" t="str">
        <f>I18N_T(cellLanguage, "RF_InputSite")</f>
        <v>Site de saisie</v>
      </c>
      <c r="AU4" s="47" t="str">
        <f>I18N_T(cellLanguage, "RF_PublicationSite")</f>
        <v>Site de publication</v>
      </c>
      <c r="AV4" s="47" t="str">
        <f>I18N_T(cellLanguage, "RF_EntPack")</f>
        <v>Liasse</v>
      </c>
      <c r="AW4" s="47" t="str">
        <f>I18N_T(cellLanguage, "RF_EntUseDefaultWindowsFolder")</f>
        <v>Cahier Windows: défaut?</v>
      </c>
      <c r="AX4" s="47" t="str">
        <f>I18N_T(cellLanguage, "RF_EntWindowsFolder")</f>
        <v>Cahier Windows</v>
      </c>
      <c r="AY4" s="47" t="str">
        <f>I18N_T(cellLanguage, "RF_EntUseDefaultInternetFolder")</f>
        <v>Cahier Internet: défaut?</v>
      </c>
      <c r="AZ4" s="47" t="str">
        <f>I18N_T(cellLanguage, "RF_EntInternetFolder")</f>
        <v>Cahier Internet</v>
      </c>
      <c r="BA4" s="47" t="str">
        <f>I18N_T(cellLanguage, "RF_EntUseDefaultSetOfControls")</f>
        <v>Jeu de contrôles: défaut?</v>
      </c>
      <c r="BB4" s="47" t="str">
        <f>I18N_T(cellLanguage, "RF_EntSetOfControls")</f>
        <v>Jeu de contrôles</v>
      </c>
      <c r="BC4" s="47" t="str">
        <f>I18N_T(cellLanguage, "RF_EntUseDefaultLevel")</f>
        <v>Niveau de contrôle: défaut?</v>
      </c>
      <c r="BD4" s="47" t="str">
        <f>I18N_T(cellLanguage, "RF_EntLevelToReach")</f>
        <v>Niveau de contrôle</v>
      </c>
      <c r="BE4" s="47" t="str">
        <f>I18N_T(cellLanguage, "RF_EntBlocking")</f>
        <v>Bloquant?</v>
      </c>
      <c r="BF4" s="47" t="str">
        <f>I18N_T(cellLanguage, "RF_EntUseDefaultLock")</f>
        <v>Verrouillage: défaut?</v>
      </c>
      <c r="BG4" s="47" t="str">
        <f>I18N_T(cellLanguage, "RF_EntLockOnPublication")</f>
        <v>Verrouillage</v>
      </c>
      <c r="BH4" s="47" t="str">
        <f>I18N_T(cellLanguage, "RF_EntUseDefaultRuleSet")</f>
        <v>Jeu de règles: défaut?</v>
      </c>
      <c r="BI4" s="47" t="str">
        <f>I18N_T(cellLanguage, "RF_EntRuleSet")</f>
        <v>Jeu de règles</v>
      </c>
      <c r="BJ4" s="47" t="str">
        <f>I18N_T(cellLanguage, "RF_EntUseDefaultOpbal")</f>
        <v>A-nouveaux: défaut?</v>
      </c>
      <c r="BK4" s="47" t="str">
        <f>I18N_T(cellLanguage, "RF_EntHasOpBal")</f>
        <v>A-nouveaux?</v>
      </c>
      <c r="BL4" s="47" t="str">
        <f>I18N_T(cellLanguage, "RF_EntOpbPhase")</f>
        <v>AN Phase</v>
      </c>
      <c r="BM4" s="47" t="str">
        <f>I18N_T(cellLanguage, "RF_EntOpbUpdatePeriod")</f>
        <v>AN Exercice</v>
      </c>
      <c r="BN4" s="47" t="str">
        <f>I18N_T(cellLanguage, "RF_EntOpbScope")</f>
        <v>AN Périmètre</v>
      </c>
      <c r="BO4" s="47" t="str">
        <f>I18N_T(cellLanguage, "RF_EntOpbVariant")</f>
        <v>AN Variante</v>
      </c>
      <c r="BP4" s="47" t="str">
        <f>I18N_T(cellLanguage, "RF_EntOpbConsCurrency")</f>
        <v>AN Devise</v>
      </c>
      <c r="BQ4" s="47" t="str">
        <f>I18N_T(cellLanguage, "RF_EntOp")</f>
        <v>Exploitation</v>
      </c>
      <c r="BR4" s="47" t="str">
        <f>I18N_T(cellLanguage, "RF_EntUseDefaultPublish")</f>
        <v>Exploitation: défaut?</v>
      </c>
      <c r="BS4" s="47" t="str">
        <f>I18N_T(cellLanguage, "RF_EntPackPublishingCutOffDate")</f>
        <v>Date limite</v>
      </c>
      <c r="BT4" s="47" t="str">
        <f>I18N_T(cellLanguage, "RF_EntAllowEarlyPublishing")</f>
        <v>Publication anticipée?</v>
      </c>
      <c r="BU4" s="47" t="str">
        <f>I18N_T(cellLanguage, "RF_EntOpAftPub")</f>
        <v>Après publication</v>
      </c>
      <c r="BV4" s="47" t="str">
        <f>I18N_T(cellLanguage, "RF_EntUseDefaultAfterPub")</f>
        <v>Après publication: défaut?</v>
      </c>
      <c r="BW4" s="47" t="str">
        <f>I18N_T(cellLanguage, "RF_EntAftPubStandard")</f>
        <v>Publication standard</v>
      </c>
      <c r="BX4" s="47" t="str">
        <f>I18N_T(cellLanguage, "RF_EntAftPubSpecial")</f>
        <v>Publication spéciale</v>
      </c>
      <c r="BY4" s="47" t="str">
        <f>I18N_T(cellLanguage, "RF_EntAftPubAdvanced")</f>
        <v>Publication avancée</v>
      </c>
      <c r="BZ4" s="47" t="str">
        <f>I18N_T(cellLanguage, "RF_EntAftPubLevel")</f>
        <v>Niveau après pub.</v>
      </c>
      <c r="CA4" s="47" t="str">
        <f>I18N_T(cellLanguage, "RF_EntOpAftTran")</f>
        <v>Après transfert</v>
      </c>
      <c r="CB4" s="47" t="str">
        <f>I18N_T(cellLanguage, "RF_EntUseDefaultAfterTran")</f>
        <v>Après transfert: défaut?</v>
      </c>
      <c r="CC4" s="47" t="str">
        <f>I18N_T(cellLanguage, "RF_EntAftTranStandard")</f>
        <v>Transfert standard</v>
      </c>
      <c r="CD4" s="47" t="str">
        <f>I18N_T(cellLanguage, "RF_EntAftTranSpecial")</f>
        <v>Transfert spécial</v>
      </c>
      <c r="CE4" s="47" t="str">
        <f>I18N_T(cellLanguage, "RF_EntAftTranAdvanced")</f>
        <v>Transfert avancé</v>
      </c>
      <c r="CF4" s="48" t="str">
        <f>I18N_T(cellLanguage, "RF_EntAftTranLevel")</f>
        <v>Niveau après tran.</v>
      </c>
    </row>
    <row r="5" spans="2:84" ht="66" customHeight="1" x14ac:dyDescent="0.25">
      <c r="B5" s="38" t="s">
        <v>204</v>
      </c>
      <c r="C5" s="38" t="s">
        <v>205</v>
      </c>
      <c r="D5" s="38" t="s">
        <v>206</v>
      </c>
      <c r="E5" s="38" t="s">
        <v>207</v>
      </c>
      <c r="F5" s="38" t="s">
        <v>514</v>
      </c>
      <c r="G5" s="38" t="s">
        <v>515</v>
      </c>
      <c r="H5" s="38" t="s">
        <v>516</v>
      </c>
      <c r="I5" s="38" t="s">
        <v>517</v>
      </c>
      <c r="J5" s="38" t="s">
        <v>518</v>
      </c>
      <c r="K5" s="38" t="s">
        <v>519</v>
      </c>
      <c r="L5" s="38" t="s">
        <v>520</v>
      </c>
      <c r="M5" s="38" t="s">
        <v>521</v>
      </c>
      <c r="N5" s="38" t="s">
        <v>522</v>
      </c>
      <c r="O5" s="38" t="s">
        <v>523</v>
      </c>
      <c r="P5" s="38" t="s">
        <v>524</v>
      </c>
      <c r="Q5" s="38" t="s">
        <v>525</v>
      </c>
      <c r="R5" s="38" t="s">
        <v>526</v>
      </c>
      <c r="S5" s="38" t="s">
        <v>527</v>
      </c>
      <c r="T5" s="38" t="s">
        <v>528</v>
      </c>
      <c r="U5" s="38" t="s">
        <v>529</v>
      </c>
      <c r="V5" s="38" t="s">
        <v>530</v>
      </c>
      <c r="W5" s="38" t="s">
        <v>531</v>
      </c>
      <c r="X5" s="38" t="s">
        <v>532</v>
      </c>
      <c r="Y5" s="38" t="s">
        <v>533</v>
      </c>
      <c r="Z5" s="38" t="s">
        <v>534</v>
      </c>
      <c r="AA5" s="38" t="s">
        <v>535</v>
      </c>
      <c r="AB5" s="38" t="s">
        <v>536</v>
      </c>
      <c r="AC5" s="38" t="s">
        <v>537</v>
      </c>
      <c r="AD5" s="38" t="s">
        <v>538</v>
      </c>
      <c r="AE5" s="38" t="s">
        <v>539</v>
      </c>
      <c r="AF5" s="38" t="s">
        <v>540</v>
      </c>
      <c r="AG5" s="38" t="s">
        <v>541</v>
      </c>
      <c r="AH5" s="38" t="s">
        <v>542</v>
      </c>
      <c r="AI5" s="38" t="s">
        <v>543</v>
      </c>
      <c r="AJ5" s="38" t="s">
        <v>544</v>
      </c>
      <c r="AK5" s="38" t="s">
        <v>545</v>
      </c>
      <c r="AL5" s="38" t="s">
        <v>546</v>
      </c>
      <c r="AM5" s="38" t="s">
        <v>547</v>
      </c>
      <c r="AN5" s="38" t="s">
        <v>548</v>
      </c>
      <c r="AO5" s="38" t="s">
        <v>549</v>
      </c>
      <c r="AP5" s="38" t="s">
        <v>550</v>
      </c>
      <c r="AQ5" s="38" t="s">
        <v>551</v>
      </c>
      <c r="AR5" s="38" t="s">
        <v>552</v>
      </c>
      <c r="AS5" s="38" t="s">
        <v>553</v>
      </c>
      <c r="AT5" s="38" t="s">
        <v>554</v>
      </c>
      <c r="AU5" s="38" t="s">
        <v>555</v>
      </c>
      <c r="AV5" s="38" t="s">
        <v>556</v>
      </c>
      <c r="AW5" s="38" t="s">
        <v>557</v>
      </c>
      <c r="AX5" s="38" t="s">
        <v>558</v>
      </c>
      <c r="AY5" s="38" t="s">
        <v>559</v>
      </c>
      <c r="AZ5" s="38" t="s">
        <v>560</v>
      </c>
      <c r="BA5" s="38" t="s">
        <v>561</v>
      </c>
      <c r="BB5" s="38" t="s">
        <v>562</v>
      </c>
      <c r="BC5" s="38" t="s">
        <v>563</v>
      </c>
      <c r="BD5" s="38" t="s">
        <v>564</v>
      </c>
      <c r="BE5" s="38" t="s">
        <v>565</v>
      </c>
      <c r="BF5" s="38" t="s">
        <v>566</v>
      </c>
      <c r="BG5" s="38" t="s">
        <v>567</v>
      </c>
      <c r="BH5" s="38" t="s">
        <v>568</v>
      </c>
      <c r="BI5" s="38" t="s">
        <v>569</v>
      </c>
      <c r="BJ5" s="38" t="s">
        <v>570</v>
      </c>
      <c r="BK5" s="38" t="s">
        <v>571</v>
      </c>
      <c r="BL5" s="38" t="s">
        <v>572</v>
      </c>
      <c r="BM5" s="38" t="s">
        <v>573</v>
      </c>
      <c r="BN5" s="38" t="s">
        <v>574</v>
      </c>
      <c r="BO5" s="38" t="s">
        <v>575</v>
      </c>
      <c r="BP5" s="38" t="s">
        <v>576</v>
      </c>
      <c r="BQ5" s="38" t="s">
        <v>577</v>
      </c>
      <c r="BR5" s="38" t="s">
        <v>578</v>
      </c>
      <c r="BS5" s="38" t="s">
        <v>579</v>
      </c>
      <c r="BT5" s="38" t="s">
        <v>580</v>
      </c>
      <c r="BU5" s="38" t="s">
        <v>581</v>
      </c>
      <c r="BV5" s="38" t="s">
        <v>582</v>
      </c>
      <c r="BW5" s="38" t="s">
        <v>583</v>
      </c>
      <c r="BX5" s="38" t="s">
        <v>584</v>
      </c>
      <c r="BY5" s="38" t="s">
        <v>585</v>
      </c>
      <c r="BZ5" s="38" t="s">
        <v>586</v>
      </c>
      <c r="CA5" s="38" t="s">
        <v>587</v>
      </c>
      <c r="CB5" s="38" t="s">
        <v>588</v>
      </c>
      <c r="CC5" s="38" t="s">
        <v>589</v>
      </c>
      <c r="CD5" s="38" t="s">
        <v>590</v>
      </c>
      <c r="CE5" s="38" t="s">
        <v>591</v>
      </c>
      <c r="CF5" s="38" t="s">
        <v>592</v>
      </c>
    </row>
    <row r="6" spans="2:84" x14ac:dyDescent="0.25">
      <c r="B6" s="49"/>
      <c r="C6" s="49" t="s">
        <v>21</v>
      </c>
      <c r="D6" s="49" t="s">
        <v>691</v>
      </c>
      <c r="E6" s="49" t="s">
        <v>22</v>
      </c>
      <c r="F6" s="49" t="s">
        <v>747</v>
      </c>
      <c r="G6" s="49" t="s">
        <v>748</v>
      </c>
      <c r="H6" s="49"/>
      <c r="I6" s="49"/>
      <c r="J6" s="49" t="b">
        <v>1</v>
      </c>
      <c r="K6" s="49"/>
      <c r="L6" s="49" t="b">
        <v>1</v>
      </c>
      <c r="M6" s="49"/>
      <c r="N6" s="49" t="b">
        <v>1</v>
      </c>
      <c r="O6" s="49"/>
      <c r="P6" s="49" t="b">
        <v>1</v>
      </c>
      <c r="Q6" s="49"/>
      <c r="R6" s="49" t="b">
        <v>0</v>
      </c>
      <c r="S6" s="49" t="b">
        <v>1</v>
      </c>
      <c r="T6" s="49">
        <v>0</v>
      </c>
      <c r="U6" s="49" t="b">
        <v>1</v>
      </c>
      <c r="V6" s="49"/>
      <c r="W6" s="49" t="b">
        <v>1</v>
      </c>
      <c r="X6" s="49" t="b">
        <v>0</v>
      </c>
      <c r="Y6" s="49"/>
      <c r="Z6" s="49"/>
      <c r="AA6" s="49"/>
      <c r="AB6" s="49"/>
      <c r="AC6" s="49"/>
      <c r="AD6" s="49"/>
      <c r="AE6" s="49" t="s">
        <v>749</v>
      </c>
      <c r="AF6" s="49" t="b">
        <v>1</v>
      </c>
      <c r="AG6" s="49"/>
      <c r="AH6" s="49" t="b">
        <v>1</v>
      </c>
      <c r="AI6" s="49" t="b">
        <v>1</v>
      </c>
      <c r="AJ6" s="49" t="b">
        <v>1</v>
      </c>
      <c r="AK6" s="49">
        <v>2</v>
      </c>
      <c r="AL6" s="49"/>
      <c r="AM6" s="49" t="b">
        <v>0</v>
      </c>
      <c r="AN6" s="49" t="b">
        <v>1</v>
      </c>
      <c r="AO6" s="49" t="b">
        <v>0</v>
      </c>
      <c r="AP6" s="49"/>
      <c r="AQ6" s="49"/>
      <c r="AR6" s="49" t="s">
        <v>750</v>
      </c>
      <c r="AS6" s="49" t="s">
        <v>751</v>
      </c>
      <c r="AT6" s="49" t="s">
        <v>752</v>
      </c>
      <c r="AU6" s="49" t="s">
        <v>752</v>
      </c>
      <c r="AV6" s="49"/>
      <c r="AW6" s="49" t="b">
        <v>1</v>
      </c>
      <c r="AX6" s="49"/>
      <c r="AY6" s="49" t="b">
        <v>1</v>
      </c>
      <c r="AZ6" s="49"/>
      <c r="BA6" s="49" t="b">
        <v>1</v>
      </c>
      <c r="BB6" s="49"/>
      <c r="BC6" s="49" t="b">
        <v>1</v>
      </c>
      <c r="BD6" s="49"/>
      <c r="BE6" s="49" t="b">
        <v>0</v>
      </c>
      <c r="BF6" s="49" t="b">
        <v>1</v>
      </c>
      <c r="BG6" s="49">
        <v>0</v>
      </c>
      <c r="BH6" s="49" t="b">
        <v>1</v>
      </c>
      <c r="BI6" s="49"/>
      <c r="BJ6" s="49" t="b">
        <v>1</v>
      </c>
      <c r="BK6" s="49" t="b">
        <v>0</v>
      </c>
      <c r="BL6" s="49"/>
      <c r="BM6" s="49"/>
      <c r="BN6" s="49"/>
      <c r="BO6" s="49"/>
      <c r="BP6" s="49"/>
      <c r="BQ6" s="49"/>
      <c r="BR6" s="49" t="b">
        <v>1</v>
      </c>
      <c r="BS6" s="49" t="s">
        <v>753</v>
      </c>
      <c r="BT6" s="49" t="b">
        <v>0</v>
      </c>
      <c r="BU6" s="49"/>
      <c r="BV6" s="49" t="b">
        <v>1</v>
      </c>
      <c r="BW6" s="49" t="b">
        <v>0</v>
      </c>
      <c r="BX6" s="49" t="b">
        <v>0</v>
      </c>
      <c r="BY6" s="49" t="b">
        <v>0</v>
      </c>
      <c r="BZ6" s="49"/>
      <c r="CA6" s="49"/>
      <c r="CB6" s="49" t="b">
        <v>1</v>
      </c>
      <c r="CC6" s="49" t="b">
        <v>0</v>
      </c>
      <c r="CD6" s="49" t="b">
        <v>0</v>
      </c>
      <c r="CE6" s="49" t="b">
        <v>0</v>
      </c>
      <c r="CF6" s="49"/>
    </row>
  </sheetData>
  <sheetProtection sheet="1" objects="1" scenarios="1" formatCells="0" formatColumns="0" formatRows="0" insertRows="0" sort="0" autoFilter="0"/>
  <hyperlinks>
    <hyperlink ref="B2" location="C3" tooltip=" " display="C3" xr:uid="{EA539021-8B29-440B-B531-92E3F7E04631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42"/>
  <sheetViews>
    <sheetView topLeftCell="A22" workbookViewId="0">
      <selection activeCell="E35" sqref="E35"/>
    </sheetView>
  </sheetViews>
  <sheetFormatPr baseColWidth="10" defaultRowHeight="15" x14ac:dyDescent="0.25"/>
  <cols>
    <col min="1" max="1" width="18" style="2" bestFit="1" customWidth="1"/>
    <col min="2" max="2" width="18.5703125" style="2" bestFit="1" customWidth="1"/>
    <col min="3" max="3" width="9.140625" style="2" bestFit="1" customWidth="1"/>
    <col min="4" max="4" width="24.42578125" style="31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2" t="s">
        <v>231</v>
      </c>
      <c r="C1" s="32">
        <v>1</v>
      </c>
      <c r="F1" s="39" t="s">
        <v>505</v>
      </c>
      <c r="G1" s="39" t="s">
        <v>506</v>
      </c>
      <c r="H1" s="39" t="s">
        <v>507</v>
      </c>
      <c r="I1" s="39" t="s">
        <v>508</v>
      </c>
      <c r="J1" s="39" t="s">
        <v>509</v>
      </c>
      <c r="K1" s="39" t="s">
        <v>510</v>
      </c>
    </row>
    <row r="3" spans="1:11" x14ac:dyDescent="0.25">
      <c r="A3" s="2" t="s">
        <v>230</v>
      </c>
      <c r="B3" s="2" t="s">
        <v>238</v>
      </c>
      <c r="C3" s="2" t="s">
        <v>235</v>
      </c>
      <c r="D3" s="31" t="s">
        <v>236</v>
      </c>
      <c r="E3" s="2" t="s">
        <v>229</v>
      </c>
    </row>
    <row r="4" spans="1:11" x14ac:dyDescent="0.25">
      <c r="A4" s="2" t="s">
        <v>501</v>
      </c>
      <c r="B4" s="2" t="s">
        <v>113</v>
      </c>
      <c r="C4" s="2" t="s">
        <v>606</v>
      </c>
      <c r="D4" s="31">
        <v>44262.77579861111</v>
      </c>
      <c r="E4" s="2" t="s">
        <v>607</v>
      </c>
    </row>
    <row r="5" spans="1:11" x14ac:dyDescent="0.25">
      <c r="A5" s="2" t="s">
        <v>608</v>
      </c>
      <c r="B5" s="2" t="s">
        <v>609</v>
      </c>
      <c r="C5" s="2" t="s">
        <v>610</v>
      </c>
      <c r="D5" s="31">
        <v>44262.775925925926</v>
      </c>
      <c r="E5" s="2" t="s">
        <v>611</v>
      </c>
    </row>
    <row r="6" spans="1:11" x14ac:dyDescent="0.25">
      <c r="A6" s="2" t="s">
        <v>608</v>
      </c>
      <c r="B6" s="2" t="s">
        <v>609</v>
      </c>
      <c r="C6" s="2" t="s">
        <v>610</v>
      </c>
      <c r="D6" s="31">
        <v>44262.77615740741</v>
      </c>
      <c r="E6" s="2" t="s">
        <v>611</v>
      </c>
    </row>
    <row r="7" spans="1:11" x14ac:dyDescent="0.25">
      <c r="A7" s="2" t="s">
        <v>608</v>
      </c>
      <c r="B7" s="2" t="s">
        <v>612</v>
      </c>
      <c r="C7" s="2" t="s">
        <v>606</v>
      </c>
      <c r="D7" s="31">
        <v>44262.776192129626</v>
      </c>
      <c r="E7" s="2" t="s">
        <v>613</v>
      </c>
    </row>
    <row r="8" spans="1:11" x14ac:dyDescent="0.25">
      <c r="A8" s="2" t="s">
        <v>501</v>
      </c>
      <c r="B8" s="2" t="s">
        <v>113</v>
      </c>
      <c r="C8" s="2" t="s">
        <v>606</v>
      </c>
      <c r="D8" s="31">
        <v>44262.792280092595</v>
      </c>
      <c r="E8" s="2" t="s">
        <v>607</v>
      </c>
    </row>
    <row r="9" spans="1:11" x14ac:dyDescent="0.25">
      <c r="A9" s="2" t="s">
        <v>614</v>
      </c>
      <c r="B9" s="2" t="s">
        <v>615</v>
      </c>
      <c r="C9" s="2" t="s">
        <v>606</v>
      </c>
      <c r="D9" s="31">
        <v>44262.792395833334</v>
      </c>
      <c r="E9" s="2" t="s">
        <v>616</v>
      </c>
    </row>
    <row r="10" spans="1:11" x14ac:dyDescent="0.25">
      <c r="A10" s="2" t="s">
        <v>608</v>
      </c>
      <c r="B10" s="2" t="s">
        <v>609</v>
      </c>
      <c r="C10" s="2" t="s">
        <v>610</v>
      </c>
      <c r="D10" s="31">
        <v>44262.792453703703</v>
      </c>
      <c r="E10" s="2" t="s">
        <v>617</v>
      </c>
    </row>
    <row r="11" spans="1:11" x14ac:dyDescent="0.25">
      <c r="A11" s="2" t="s">
        <v>608</v>
      </c>
      <c r="B11" s="2" t="s">
        <v>612</v>
      </c>
      <c r="C11" s="2" t="s">
        <v>606</v>
      </c>
      <c r="D11" s="31">
        <v>44262.792488425926</v>
      </c>
      <c r="E11" s="2" t="s">
        <v>618</v>
      </c>
    </row>
    <row r="12" spans="1:11" x14ac:dyDescent="0.25">
      <c r="A12" s="2" t="s">
        <v>608</v>
      </c>
      <c r="B12" s="2" t="s">
        <v>609</v>
      </c>
      <c r="C12" s="2" t="s">
        <v>610</v>
      </c>
      <c r="D12" s="31">
        <v>44262.793749999997</v>
      </c>
      <c r="E12" s="2" t="s">
        <v>619</v>
      </c>
    </row>
    <row r="13" spans="1:11" x14ac:dyDescent="0.25">
      <c r="A13" s="2" t="s">
        <v>608</v>
      </c>
      <c r="B13" s="2" t="s">
        <v>609</v>
      </c>
      <c r="C13" s="2" t="s">
        <v>610</v>
      </c>
      <c r="D13" s="31">
        <v>44262.79614583333</v>
      </c>
      <c r="E13" s="2" t="s">
        <v>619</v>
      </c>
    </row>
    <row r="14" spans="1:11" x14ac:dyDescent="0.25">
      <c r="A14" s="2" t="s">
        <v>608</v>
      </c>
      <c r="B14" s="2" t="s">
        <v>609</v>
      </c>
      <c r="C14" s="2" t="s">
        <v>610</v>
      </c>
      <c r="D14" s="31">
        <v>44262.796886574077</v>
      </c>
      <c r="E14" s="2" t="s">
        <v>619</v>
      </c>
    </row>
    <row r="15" spans="1:11" x14ac:dyDescent="0.25">
      <c r="A15" s="2" t="s">
        <v>608</v>
      </c>
      <c r="B15" s="2" t="s">
        <v>609</v>
      </c>
      <c r="C15" s="2" t="s">
        <v>610</v>
      </c>
      <c r="D15" s="31">
        <v>44262.798067129632</v>
      </c>
      <c r="E15" s="2" t="s">
        <v>619</v>
      </c>
    </row>
    <row r="16" spans="1:11" x14ac:dyDescent="0.25">
      <c r="A16" s="2" t="s">
        <v>608</v>
      </c>
      <c r="B16" s="2" t="s">
        <v>609</v>
      </c>
      <c r="C16" s="2" t="s">
        <v>610</v>
      </c>
      <c r="D16" s="31">
        <v>44262.799444444441</v>
      </c>
      <c r="E16" s="2" t="s">
        <v>619</v>
      </c>
    </row>
    <row r="17" spans="1:5" x14ac:dyDescent="0.25">
      <c r="A17" s="2" t="s">
        <v>608</v>
      </c>
      <c r="B17" s="2" t="s">
        <v>609</v>
      </c>
      <c r="C17" s="2" t="s">
        <v>610</v>
      </c>
      <c r="D17" s="31">
        <v>44262.801377314812</v>
      </c>
      <c r="E17" s="2" t="s">
        <v>619</v>
      </c>
    </row>
    <row r="18" spans="1:5" x14ac:dyDescent="0.25">
      <c r="A18" s="2" t="s">
        <v>501</v>
      </c>
      <c r="B18" s="2" t="s">
        <v>113</v>
      </c>
      <c r="C18" s="2" t="s">
        <v>606</v>
      </c>
      <c r="D18" s="31">
        <v>44262.802071759259</v>
      </c>
      <c r="E18" s="2" t="s">
        <v>607</v>
      </c>
    </row>
    <row r="19" spans="1:5" x14ac:dyDescent="0.25">
      <c r="A19" s="2" t="s">
        <v>608</v>
      </c>
      <c r="B19" s="2" t="s">
        <v>609</v>
      </c>
      <c r="C19" s="2" t="s">
        <v>610</v>
      </c>
      <c r="D19" s="31">
        <v>44262.802222222221</v>
      </c>
      <c r="E19" s="2" t="s">
        <v>619</v>
      </c>
    </row>
    <row r="20" spans="1:5" x14ac:dyDescent="0.25">
      <c r="A20" s="2" t="s">
        <v>608</v>
      </c>
      <c r="B20" s="2" t="s">
        <v>609</v>
      </c>
      <c r="C20" s="2" t="s">
        <v>610</v>
      </c>
      <c r="D20" s="31">
        <v>44262.804849537039</v>
      </c>
      <c r="E20" s="2" t="s">
        <v>619</v>
      </c>
    </row>
    <row r="21" spans="1:5" x14ac:dyDescent="0.25">
      <c r="A21" s="2" t="s">
        <v>501</v>
      </c>
      <c r="B21" s="2" t="s">
        <v>113</v>
      </c>
      <c r="C21" s="2" t="s">
        <v>606</v>
      </c>
      <c r="D21" s="31">
        <v>44262.805937500001</v>
      </c>
      <c r="E21" s="2" t="s">
        <v>607</v>
      </c>
    </row>
    <row r="22" spans="1:5" x14ac:dyDescent="0.25">
      <c r="A22" s="2" t="s">
        <v>608</v>
      </c>
      <c r="B22" s="2" t="s">
        <v>609</v>
      </c>
      <c r="C22" s="2" t="s">
        <v>610</v>
      </c>
      <c r="D22" s="31">
        <v>44262.806064814817</v>
      </c>
      <c r="E22" s="2" t="s">
        <v>619</v>
      </c>
    </row>
    <row r="23" spans="1:5" x14ac:dyDescent="0.25">
      <c r="A23" s="2" t="s">
        <v>608</v>
      </c>
      <c r="B23" s="2" t="s">
        <v>612</v>
      </c>
      <c r="C23" s="2" t="s">
        <v>606</v>
      </c>
      <c r="D23" s="31">
        <v>44262.80609953704</v>
      </c>
      <c r="E23" s="2" t="s">
        <v>620</v>
      </c>
    </row>
    <row r="24" spans="1:5" x14ac:dyDescent="0.25">
      <c r="A24" s="2" t="s">
        <v>501</v>
      </c>
      <c r="B24" s="2" t="s">
        <v>113</v>
      </c>
      <c r="C24" s="2" t="s">
        <v>606</v>
      </c>
      <c r="D24" s="31">
        <v>44262.813148148147</v>
      </c>
      <c r="E24" s="2" t="s">
        <v>621</v>
      </c>
    </row>
    <row r="25" spans="1:5" x14ac:dyDescent="0.25">
      <c r="A25" s="2" t="s">
        <v>608</v>
      </c>
      <c r="B25" s="2" t="s">
        <v>609</v>
      </c>
      <c r="C25" s="2" t="s">
        <v>610</v>
      </c>
      <c r="D25" s="31">
        <v>44262.813275462962</v>
      </c>
      <c r="E25" s="2" t="s">
        <v>619</v>
      </c>
    </row>
    <row r="26" spans="1:5" x14ac:dyDescent="0.25">
      <c r="A26" s="2" t="s">
        <v>501</v>
      </c>
      <c r="B26" s="2" t="s">
        <v>113</v>
      </c>
      <c r="C26" s="2" t="s">
        <v>606</v>
      </c>
      <c r="D26" s="31">
        <v>44262.813773148147</v>
      </c>
      <c r="E26" s="2" t="s">
        <v>607</v>
      </c>
    </row>
    <row r="27" spans="1:5" x14ac:dyDescent="0.25">
      <c r="A27" s="2" t="s">
        <v>608</v>
      </c>
      <c r="B27" s="2" t="s">
        <v>609</v>
      </c>
      <c r="C27" s="2" t="s">
        <v>610</v>
      </c>
      <c r="D27" s="31">
        <v>44262.813877314817</v>
      </c>
      <c r="E27" s="2" t="s">
        <v>619</v>
      </c>
    </row>
    <row r="28" spans="1:5" x14ac:dyDescent="0.25">
      <c r="A28" s="2" t="s">
        <v>501</v>
      </c>
      <c r="B28" s="2" t="s">
        <v>113</v>
      </c>
      <c r="C28" s="2" t="s">
        <v>606</v>
      </c>
      <c r="D28" s="31">
        <v>44262.816469907404</v>
      </c>
      <c r="E28" s="2" t="s">
        <v>621</v>
      </c>
    </row>
    <row r="29" spans="1:5" x14ac:dyDescent="0.25">
      <c r="A29" s="2" t="s">
        <v>608</v>
      </c>
      <c r="B29" s="2" t="s">
        <v>609</v>
      </c>
      <c r="C29" s="2" t="s">
        <v>610</v>
      </c>
      <c r="D29" s="31">
        <v>44262.816550925927</v>
      </c>
      <c r="E29" s="2" t="s">
        <v>619</v>
      </c>
    </row>
    <row r="30" spans="1:5" x14ac:dyDescent="0.25">
      <c r="A30" s="2" t="s">
        <v>608</v>
      </c>
      <c r="B30" s="2" t="s">
        <v>609</v>
      </c>
      <c r="C30" s="2" t="s">
        <v>610</v>
      </c>
      <c r="D30" s="31">
        <v>44262.820439814815</v>
      </c>
      <c r="E30" s="2" t="s">
        <v>619</v>
      </c>
    </row>
    <row r="31" spans="1:5" x14ac:dyDescent="0.25">
      <c r="A31" s="2" t="s">
        <v>608</v>
      </c>
      <c r="B31" s="2" t="s">
        <v>612</v>
      </c>
      <c r="C31" s="2" t="s">
        <v>606</v>
      </c>
      <c r="D31" s="31">
        <v>44262.820439814815</v>
      </c>
      <c r="E31" s="2" t="s">
        <v>620</v>
      </c>
    </row>
    <row r="32" spans="1:5" x14ac:dyDescent="0.25">
      <c r="A32" s="2" t="s">
        <v>608</v>
      </c>
      <c r="B32" s="2" t="s">
        <v>609</v>
      </c>
      <c r="C32" s="2" t="s">
        <v>610</v>
      </c>
      <c r="D32" s="31">
        <v>44262.821435185186</v>
      </c>
      <c r="E32" s="2" t="s">
        <v>619</v>
      </c>
    </row>
    <row r="33" spans="1:5" x14ac:dyDescent="0.25">
      <c r="A33" s="2" t="s">
        <v>608</v>
      </c>
      <c r="B33" s="2" t="s">
        <v>612</v>
      </c>
      <c r="C33" s="2" t="s">
        <v>606</v>
      </c>
      <c r="D33" s="31">
        <v>44262.821435185186</v>
      </c>
      <c r="E33" s="2" t="s">
        <v>620</v>
      </c>
    </row>
    <row r="34" spans="1:5" x14ac:dyDescent="0.25">
      <c r="A34" s="2" t="s">
        <v>608</v>
      </c>
      <c r="B34" s="2" t="s">
        <v>609</v>
      </c>
      <c r="C34" s="2" t="s">
        <v>610</v>
      </c>
      <c r="D34" s="31">
        <v>44262.821643518517</v>
      </c>
      <c r="E34" s="2" t="s">
        <v>619</v>
      </c>
    </row>
    <row r="35" spans="1:5" x14ac:dyDescent="0.25">
      <c r="A35" s="2" t="s">
        <v>608</v>
      </c>
      <c r="B35" s="2" t="s">
        <v>612</v>
      </c>
      <c r="C35" s="2" t="s">
        <v>606</v>
      </c>
      <c r="D35" s="31">
        <v>44262.821643518517</v>
      </c>
      <c r="E35" s="2" t="s">
        <v>620</v>
      </c>
    </row>
    <row r="36" spans="1:5" x14ac:dyDescent="0.25">
      <c r="A36" s="2" t="s">
        <v>608</v>
      </c>
      <c r="B36" s="2" t="s">
        <v>609</v>
      </c>
      <c r="C36" s="2" t="s">
        <v>610</v>
      </c>
      <c r="D36" s="31">
        <v>44262.822534722225</v>
      </c>
      <c r="E36" s="2" t="s">
        <v>619</v>
      </c>
    </row>
    <row r="37" spans="1:5" x14ac:dyDescent="0.25">
      <c r="A37" s="2" t="s">
        <v>501</v>
      </c>
      <c r="B37" s="2" t="s">
        <v>113</v>
      </c>
      <c r="C37" s="2" t="s">
        <v>606</v>
      </c>
      <c r="D37" s="31">
        <v>44262.827407407407</v>
      </c>
      <c r="E37" s="2" t="s">
        <v>607</v>
      </c>
    </row>
    <row r="38" spans="1:5" x14ac:dyDescent="0.25">
      <c r="A38" s="2" t="s">
        <v>608</v>
      </c>
      <c r="B38" s="2" t="s">
        <v>609</v>
      </c>
      <c r="C38" s="2" t="s">
        <v>610</v>
      </c>
      <c r="D38" s="31">
        <v>44262.827523148146</v>
      </c>
      <c r="E38" s="2" t="s">
        <v>619</v>
      </c>
    </row>
    <row r="39" spans="1:5" x14ac:dyDescent="0.25">
      <c r="A39" s="2" t="s">
        <v>608</v>
      </c>
      <c r="B39" s="2" t="s">
        <v>609</v>
      </c>
      <c r="C39" s="2" t="s">
        <v>610</v>
      </c>
      <c r="D39" s="31">
        <v>44262.827708333331</v>
      </c>
      <c r="E39" s="2" t="s">
        <v>619</v>
      </c>
    </row>
    <row r="40" spans="1:5" x14ac:dyDescent="0.25">
      <c r="A40" s="2" t="s">
        <v>501</v>
      </c>
      <c r="B40" s="2" t="s">
        <v>113</v>
      </c>
      <c r="C40" s="2" t="s">
        <v>606</v>
      </c>
      <c r="D40" s="31">
        <v>44262.8280787037</v>
      </c>
      <c r="E40" s="2" t="s">
        <v>622</v>
      </c>
    </row>
    <row r="41" spans="1:5" x14ac:dyDescent="0.25">
      <c r="A41" s="2" t="s">
        <v>608</v>
      </c>
      <c r="B41" s="2" t="s">
        <v>609</v>
      </c>
      <c r="C41" s="2" t="s">
        <v>610</v>
      </c>
      <c r="D41" s="31">
        <v>44262.828159722223</v>
      </c>
      <c r="E41" s="2" t="s">
        <v>619</v>
      </c>
    </row>
    <row r="42" spans="1:5" x14ac:dyDescent="0.25">
      <c r="A42" s="2" t="s">
        <v>608</v>
      </c>
      <c r="B42" s="2" t="s">
        <v>612</v>
      </c>
      <c r="C42" s="2" t="s">
        <v>606</v>
      </c>
      <c r="D42" s="31">
        <v>44262.828206018516</v>
      </c>
      <c r="E42" s="2" t="s">
        <v>623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K75"/>
  <sheetViews>
    <sheetView tabSelected="1" topLeftCell="A14" zoomScaleNormal="100" workbookViewId="0">
      <selection activeCell="K54" sqref="K54"/>
    </sheetView>
  </sheetViews>
  <sheetFormatPr baseColWidth="10" defaultRowHeight="15" x14ac:dyDescent="0.25"/>
  <cols>
    <col min="1" max="1" width="15.85546875" bestFit="1" customWidth="1"/>
    <col min="2" max="2" width="39.140625" bestFit="1" customWidth="1"/>
    <col min="6" max="6" width="11.42578125" style="18"/>
  </cols>
  <sheetData>
    <row r="3" spans="1:3" x14ac:dyDescent="0.25">
      <c r="A3" t="s">
        <v>20</v>
      </c>
      <c r="B3" t="s">
        <v>21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23</v>
      </c>
      <c r="C5" t="s">
        <v>27</v>
      </c>
    </row>
    <row r="9" spans="1:3" x14ac:dyDescent="0.25">
      <c r="A9" t="s">
        <v>28</v>
      </c>
      <c r="B9" t="s">
        <v>22</v>
      </c>
      <c r="C9" t="s">
        <v>29</v>
      </c>
    </row>
    <row r="12" spans="1:3" x14ac:dyDescent="0.25">
      <c r="A12" t="s">
        <v>30</v>
      </c>
      <c r="B12" t="s">
        <v>31</v>
      </c>
    </row>
    <row r="13" spans="1:3" x14ac:dyDescent="0.25">
      <c r="B13" t="s">
        <v>36</v>
      </c>
    </row>
    <row r="17" spans="1:11" x14ac:dyDescent="0.25">
      <c r="A17" t="s">
        <v>37</v>
      </c>
      <c r="C17" t="s">
        <v>64</v>
      </c>
      <c r="D17" t="s">
        <v>66</v>
      </c>
      <c r="F17" s="19">
        <v>44019</v>
      </c>
      <c r="G17" s="26">
        <v>44033</v>
      </c>
      <c r="H17" s="26">
        <v>44039</v>
      </c>
      <c r="I17" s="26">
        <v>44171</v>
      </c>
      <c r="J17" s="26">
        <v>44255</v>
      </c>
      <c r="K17" s="26">
        <v>44263</v>
      </c>
    </row>
    <row r="18" spans="1:11" hidden="1" x14ac:dyDescent="0.25">
      <c r="B18" t="s">
        <v>70</v>
      </c>
      <c r="D18">
        <v>1</v>
      </c>
      <c r="F18" s="18" t="s">
        <v>138</v>
      </c>
      <c r="G18" t="s">
        <v>138</v>
      </c>
      <c r="H18" t="s">
        <v>138</v>
      </c>
      <c r="I18" t="s">
        <v>138</v>
      </c>
      <c r="J18" t="s">
        <v>138</v>
      </c>
      <c r="K18" t="s">
        <v>138</v>
      </c>
    </row>
    <row r="19" spans="1:11" hidden="1" x14ac:dyDescent="0.25">
      <c r="B19" t="s">
        <v>65</v>
      </c>
      <c r="C19">
        <v>0.25</v>
      </c>
      <c r="D19">
        <v>0.25</v>
      </c>
      <c r="F19" s="18" t="s">
        <v>138</v>
      </c>
      <c r="G19" t="s">
        <v>138</v>
      </c>
      <c r="H19" t="s">
        <v>138</v>
      </c>
      <c r="I19" t="s">
        <v>138</v>
      </c>
      <c r="J19" t="s">
        <v>138</v>
      </c>
      <c r="K19" t="s">
        <v>138</v>
      </c>
    </row>
    <row r="20" spans="1:11" hidden="1" x14ac:dyDescent="0.25">
      <c r="B20" t="s">
        <v>85</v>
      </c>
      <c r="D20">
        <v>0.25</v>
      </c>
      <c r="G20" t="s">
        <v>138</v>
      </c>
      <c r="H20" t="s">
        <v>138</v>
      </c>
      <c r="I20" t="s">
        <v>138</v>
      </c>
      <c r="J20" t="s">
        <v>138</v>
      </c>
      <c r="K20" t="s">
        <v>138</v>
      </c>
    </row>
    <row r="21" spans="1:11" hidden="1" x14ac:dyDescent="0.25">
      <c r="B21" t="s">
        <v>152</v>
      </c>
      <c r="G21" t="s">
        <v>138</v>
      </c>
      <c r="H21" t="s">
        <v>138</v>
      </c>
      <c r="I21" t="s">
        <v>138</v>
      </c>
      <c r="J21" t="s">
        <v>138</v>
      </c>
      <c r="K21" t="s">
        <v>138</v>
      </c>
    </row>
    <row r="22" spans="1:11" hidden="1" x14ac:dyDescent="0.25">
      <c r="B22" t="s">
        <v>153</v>
      </c>
      <c r="G22" t="s">
        <v>138</v>
      </c>
      <c r="H22" t="s">
        <v>138</v>
      </c>
      <c r="I22" t="s">
        <v>138</v>
      </c>
      <c r="J22" t="s">
        <v>138</v>
      </c>
      <c r="K22" t="s">
        <v>138</v>
      </c>
    </row>
    <row r="23" spans="1:11" x14ac:dyDescent="0.25">
      <c r="B23" t="s">
        <v>86</v>
      </c>
      <c r="D23">
        <v>0.25</v>
      </c>
    </row>
    <row r="24" spans="1:11" hidden="1" x14ac:dyDescent="0.25">
      <c r="B24" t="s">
        <v>218</v>
      </c>
      <c r="H24">
        <v>0.25</v>
      </c>
      <c r="I24" t="s">
        <v>138</v>
      </c>
      <c r="J24" t="s">
        <v>138</v>
      </c>
      <c r="K24" t="s">
        <v>138</v>
      </c>
    </row>
    <row r="25" spans="1:11" x14ac:dyDescent="0.25">
      <c r="B25" t="s">
        <v>208</v>
      </c>
      <c r="H25">
        <v>0.25</v>
      </c>
      <c r="I25">
        <v>0.25</v>
      </c>
      <c r="J25">
        <v>0.25</v>
      </c>
      <c r="K25">
        <v>0.25</v>
      </c>
    </row>
    <row r="26" spans="1:11" hidden="1" x14ac:dyDescent="0.25">
      <c r="B26" t="s">
        <v>219</v>
      </c>
      <c r="H26">
        <v>0.25</v>
      </c>
      <c r="I26">
        <v>0.25</v>
      </c>
      <c r="J26" t="s">
        <v>138</v>
      </c>
      <c r="K26" t="s">
        <v>138</v>
      </c>
    </row>
    <row r="27" spans="1:11" hidden="1" x14ac:dyDescent="0.25">
      <c r="B27" t="s">
        <v>228</v>
      </c>
      <c r="I27">
        <v>0.25</v>
      </c>
      <c r="J27" t="s">
        <v>138</v>
      </c>
      <c r="K27" t="s">
        <v>138</v>
      </c>
    </row>
    <row r="28" spans="1:11" x14ac:dyDescent="0.25">
      <c r="B28" t="s">
        <v>176</v>
      </c>
      <c r="D28">
        <v>0.25</v>
      </c>
    </row>
    <row r="29" spans="1:11" hidden="1" x14ac:dyDescent="0.25">
      <c r="B29" t="s">
        <v>143</v>
      </c>
      <c r="I29">
        <v>0.25</v>
      </c>
      <c r="J29">
        <v>0.25</v>
      </c>
      <c r="K29" t="s">
        <v>138</v>
      </c>
    </row>
    <row r="30" spans="1:11" hidden="1" x14ac:dyDescent="0.25">
      <c r="B30" t="s">
        <v>141</v>
      </c>
      <c r="D30">
        <v>0.25</v>
      </c>
      <c r="G30" t="s">
        <v>138</v>
      </c>
      <c r="H30" t="s">
        <v>138</v>
      </c>
      <c r="I30" t="s">
        <v>138</v>
      </c>
      <c r="J30" t="s">
        <v>138</v>
      </c>
      <c r="K30" t="s">
        <v>138</v>
      </c>
    </row>
    <row r="31" spans="1:11" x14ac:dyDescent="0.25">
      <c r="B31" t="s">
        <v>144</v>
      </c>
      <c r="D31">
        <v>0.25</v>
      </c>
    </row>
    <row r="32" spans="1:11" hidden="1" x14ac:dyDescent="0.25">
      <c r="B32" t="s">
        <v>142</v>
      </c>
      <c r="D32">
        <v>0.25</v>
      </c>
      <c r="G32" t="s">
        <v>138</v>
      </c>
      <c r="H32" t="s">
        <v>138</v>
      </c>
      <c r="I32" t="s">
        <v>138</v>
      </c>
      <c r="J32" t="s">
        <v>138</v>
      </c>
      <c r="K32" t="s">
        <v>138</v>
      </c>
    </row>
    <row r="33" spans="2:11" hidden="1" x14ac:dyDescent="0.25">
      <c r="B33" t="s">
        <v>179</v>
      </c>
      <c r="H33">
        <v>0.25</v>
      </c>
      <c r="I33" t="s">
        <v>138</v>
      </c>
      <c r="J33" t="s">
        <v>138</v>
      </c>
      <c r="K33" t="s">
        <v>138</v>
      </c>
    </row>
    <row r="34" spans="2:11" hidden="1" x14ac:dyDescent="0.25">
      <c r="B34" t="s">
        <v>203</v>
      </c>
      <c r="H34">
        <v>0.25</v>
      </c>
      <c r="I34" t="s">
        <v>138</v>
      </c>
      <c r="J34" t="s">
        <v>138</v>
      </c>
      <c r="K34" t="s">
        <v>138</v>
      </c>
    </row>
    <row r="35" spans="2:11" x14ac:dyDescent="0.25">
      <c r="B35" t="s">
        <v>145</v>
      </c>
      <c r="D35">
        <v>0.5</v>
      </c>
    </row>
    <row r="36" spans="2:11" x14ac:dyDescent="0.25">
      <c r="B36" t="s">
        <v>241</v>
      </c>
      <c r="I36">
        <v>0.5</v>
      </c>
      <c r="J36">
        <v>0.5</v>
      </c>
      <c r="K36">
        <v>0.5</v>
      </c>
    </row>
    <row r="37" spans="2:11" x14ac:dyDescent="0.25">
      <c r="B37" t="s">
        <v>67</v>
      </c>
      <c r="C37">
        <v>0.5</v>
      </c>
      <c r="D37">
        <v>1</v>
      </c>
      <c r="I37">
        <v>0.5</v>
      </c>
      <c r="J37">
        <v>0.5</v>
      </c>
      <c r="K37">
        <v>0.5</v>
      </c>
    </row>
    <row r="38" spans="2:11" hidden="1" x14ac:dyDescent="0.25">
      <c r="B38" t="s">
        <v>68</v>
      </c>
      <c r="C38">
        <v>0.25</v>
      </c>
      <c r="D38">
        <v>0.25</v>
      </c>
      <c r="I38" t="s">
        <v>138</v>
      </c>
      <c r="J38" t="s">
        <v>138</v>
      </c>
      <c r="K38" t="s">
        <v>138</v>
      </c>
    </row>
    <row r="39" spans="2:11" x14ac:dyDescent="0.25">
      <c r="B39" t="s">
        <v>30</v>
      </c>
      <c r="C39">
        <v>0.25</v>
      </c>
    </row>
    <row r="40" spans="2:11" hidden="1" x14ac:dyDescent="0.25">
      <c r="B40" t="s">
        <v>38</v>
      </c>
      <c r="D40">
        <v>0.5</v>
      </c>
      <c r="I40" t="s">
        <v>138</v>
      </c>
      <c r="J40" t="s">
        <v>138</v>
      </c>
      <c r="K40" t="s">
        <v>138</v>
      </c>
    </row>
    <row r="41" spans="2:11" hidden="1" x14ac:dyDescent="0.25">
      <c r="B41" t="s">
        <v>39</v>
      </c>
      <c r="D41">
        <v>0.5</v>
      </c>
      <c r="I41" t="s">
        <v>138</v>
      </c>
      <c r="J41" t="s">
        <v>138</v>
      </c>
      <c r="K41" t="s">
        <v>138</v>
      </c>
    </row>
    <row r="42" spans="2:11" x14ac:dyDescent="0.25">
      <c r="B42" t="s">
        <v>35</v>
      </c>
      <c r="D42">
        <v>0.5</v>
      </c>
    </row>
    <row r="43" spans="2:11" hidden="1" x14ac:dyDescent="0.25">
      <c r="B43" t="s">
        <v>40</v>
      </c>
      <c r="D43">
        <v>0.5</v>
      </c>
      <c r="I43" t="s">
        <v>138</v>
      </c>
      <c r="J43" t="s">
        <v>138</v>
      </c>
      <c r="K43" t="s">
        <v>138</v>
      </c>
    </row>
    <row r="44" spans="2:11" x14ac:dyDescent="0.25">
      <c r="B44" t="s">
        <v>32</v>
      </c>
      <c r="C44">
        <v>0.25</v>
      </c>
    </row>
    <row r="45" spans="2:11" x14ac:dyDescent="0.25">
      <c r="B45" t="s">
        <v>41</v>
      </c>
    </row>
    <row r="46" spans="2:11" x14ac:dyDescent="0.25">
      <c r="B46" t="s">
        <v>33</v>
      </c>
      <c r="C46">
        <v>0.25</v>
      </c>
    </row>
    <row r="47" spans="2:11" x14ac:dyDescent="0.25">
      <c r="B47" t="s">
        <v>42</v>
      </c>
      <c r="C47">
        <v>0.25</v>
      </c>
    </row>
    <row r="48" spans="2:11" x14ac:dyDescent="0.25">
      <c r="B48" t="s">
        <v>43</v>
      </c>
      <c r="D48">
        <v>0.5</v>
      </c>
    </row>
    <row r="49" spans="2:11" x14ac:dyDescent="0.25">
      <c r="B49" t="s">
        <v>44</v>
      </c>
      <c r="C49">
        <v>0.25</v>
      </c>
    </row>
    <row r="50" spans="2:11" x14ac:dyDescent="0.25">
      <c r="B50" t="s">
        <v>45</v>
      </c>
      <c r="C50">
        <v>0.25</v>
      </c>
    </row>
    <row r="51" spans="2:11" hidden="1" x14ac:dyDescent="0.25">
      <c r="B51" t="s">
        <v>69</v>
      </c>
      <c r="C51">
        <v>2</v>
      </c>
      <c r="D51">
        <v>0.5</v>
      </c>
      <c r="I51">
        <v>2</v>
      </c>
      <c r="J51" t="s">
        <v>138</v>
      </c>
      <c r="K51" t="s">
        <v>138</v>
      </c>
    </row>
    <row r="52" spans="2:11" hidden="1" x14ac:dyDescent="0.25">
      <c r="B52" t="s">
        <v>71</v>
      </c>
      <c r="C52">
        <v>4</v>
      </c>
      <c r="D52">
        <v>4</v>
      </c>
      <c r="J52" t="s">
        <v>138</v>
      </c>
      <c r="K52" t="s">
        <v>138</v>
      </c>
    </row>
    <row r="53" spans="2:11" hidden="1" x14ac:dyDescent="0.25">
      <c r="B53" t="s">
        <v>596</v>
      </c>
      <c r="J53" t="s">
        <v>138</v>
      </c>
      <c r="K53" t="s">
        <v>138</v>
      </c>
    </row>
    <row r="54" spans="2:11" x14ac:dyDescent="0.25">
      <c r="B54" t="s">
        <v>687</v>
      </c>
      <c r="K54">
        <v>0.3</v>
      </c>
    </row>
    <row r="55" spans="2:11" hidden="1" x14ac:dyDescent="0.25">
      <c r="B55" t="s">
        <v>603</v>
      </c>
      <c r="J55">
        <v>0.25</v>
      </c>
      <c r="K55" t="s">
        <v>138</v>
      </c>
    </row>
    <row r="56" spans="2:11" hidden="1" x14ac:dyDescent="0.25">
      <c r="B56" t="s">
        <v>629</v>
      </c>
      <c r="K56" t="s">
        <v>138</v>
      </c>
    </row>
    <row r="57" spans="2:11" hidden="1" x14ac:dyDescent="0.25">
      <c r="B57" t="s">
        <v>604</v>
      </c>
      <c r="J57">
        <v>0.25</v>
      </c>
      <c r="K57" t="s">
        <v>138</v>
      </c>
    </row>
    <row r="58" spans="2:11" hidden="1" x14ac:dyDescent="0.25">
      <c r="B58" t="s">
        <v>627</v>
      </c>
      <c r="K58" t="s">
        <v>138</v>
      </c>
    </row>
    <row r="59" spans="2:11" hidden="1" x14ac:dyDescent="0.25">
      <c r="B59" t="s">
        <v>628</v>
      </c>
      <c r="K59" t="s">
        <v>138</v>
      </c>
    </row>
    <row r="60" spans="2:11" x14ac:dyDescent="0.25">
      <c r="B60" t="s">
        <v>597</v>
      </c>
      <c r="J60">
        <v>0.25</v>
      </c>
      <c r="K60">
        <v>0.2</v>
      </c>
    </row>
    <row r="61" spans="2:11" x14ac:dyDescent="0.25">
      <c r="B61" t="s">
        <v>602</v>
      </c>
      <c r="J61">
        <v>0.25</v>
      </c>
      <c r="K61">
        <v>0.2</v>
      </c>
    </row>
    <row r="62" spans="2:11" x14ac:dyDescent="0.25">
      <c r="B62" t="s">
        <v>754</v>
      </c>
      <c r="K62">
        <v>0.2</v>
      </c>
    </row>
    <row r="63" spans="2:11" x14ac:dyDescent="0.25">
      <c r="B63" t="s">
        <v>600</v>
      </c>
      <c r="J63">
        <v>0.5</v>
      </c>
      <c r="K63">
        <v>0.3</v>
      </c>
    </row>
    <row r="64" spans="2:11" x14ac:dyDescent="0.25">
      <c r="B64" t="s">
        <v>595</v>
      </c>
      <c r="J64">
        <v>0.25</v>
      </c>
      <c r="K64">
        <v>0.1</v>
      </c>
    </row>
    <row r="65" spans="2:11" x14ac:dyDescent="0.25">
      <c r="B65" t="s">
        <v>599</v>
      </c>
      <c r="J65">
        <v>0.25</v>
      </c>
      <c r="K65">
        <v>0.25</v>
      </c>
    </row>
    <row r="66" spans="2:11" x14ac:dyDescent="0.25">
      <c r="B66" t="s">
        <v>598</v>
      </c>
      <c r="J66">
        <v>0.5</v>
      </c>
      <c r="K66">
        <v>0.5</v>
      </c>
    </row>
    <row r="67" spans="2:11" x14ac:dyDescent="0.25">
      <c r="B67" t="s">
        <v>594</v>
      </c>
      <c r="J67">
        <v>1</v>
      </c>
      <c r="K67">
        <v>1</v>
      </c>
    </row>
    <row r="68" spans="2:11" x14ac:dyDescent="0.25">
      <c r="B68" t="s">
        <v>636</v>
      </c>
      <c r="K68">
        <v>0.2</v>
      </c>
    </row>
    <row r="69" spans="2:11" x14ac:dyDescent="0.25">
      <c r="B69" t="s">
        <v>593</v>
      </c>
      <c r="J69">
        <v>0.5</v>
      </c>
      <c r="K69">
        <v>0.5</v>
      </c>
    </row>
    <row r="70" spans="2:11" x14ac:dyDescent="0.25">
      <c r="B70" t="s">
        <v>72</v>
      </c>
      <c r="C70">
        <v>3</v>
      </c>
      <c r="D70">
        <v>3</v>
      </c>
      <c r="J70">
        <v>2</v>
      </c>
      <c r="K70">
        <v>2</v>
      </c>
    </row>
    <row r="72" spans="2:11" x14ac:dyDescent="0.25">
      <c r="B72" s="28">
        <f>0+C72+D72</f>
        <v>26</v>
      </c>
      <c r="C72" s="29">
        <f>SUM(C18:C70)</f>
        <v>11.5</v>
      </c>
      <c r="D72" s="30">
        <f>SUM(D18:D70)</f>
        <v>14.5</v>
      </c>
      <c r="F72" s="18">
        <f t="shared" ref="F72:K72" si="0">SUMIF(F18:F71,"",$C18:$C71)+SUMIF(F18:F71,"",$D18:$D71)+SUBTOTAL(109,F18:F71)</f>
        <v>24.5</v>
      </c>
      <c r="G72" s="18">
        <f t="shared" si="0"/>
        <v>23.75</v>
      </c>
      <c r="H72" s="18">
        <f t="shared" si="0"/>
        <v>24</v>
      </c>
      <c r="I72" s="18">
        <f t="shared" si="0"/>
        <v>19</v>
      </c>
      <c r="J72" s="18">
        <f t="shared" si="0"/>
        <v>10.5</v>
      </c>
      <c r="K72" s="18">
        <f t="shared" si="0"/>
        <v>10.75</v>
      </c>
    </row>
    <row r="75" spans="2:11" x14ac:dyDescent="0.25">
      <c r="B75" t="s">
        <v>46</v>
      </c>
    </row>
  </sheetData>
  <autoFilter ref="F17:K72" xr:uid="{00379212-E3CF-4218-9FEE-9E59D27F5740}">
    <filterColumn colId="5">
      <filters blank="1">
        <filter val="0,1"/>
        <filter val="0,2"/>
        <filter val="0,25"/>
        <filter val="0,3"/>
        <filter val="0,5"/>
        <filter val="1"/>
        <filter val="10,55"/>
        <filter val="2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81"/>
  <sheetViews>
    <sheetView workbookViewId="0">
      <selection activeCell="C12" sqref="C12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84</v>
      </c>
    </row>
    <row r="4" spans="1:3" outlineLevel="1" x14ac:dyDescent="0.25">
      <c r="B4" t="s">
        <v>220</v>
      </c>
    </row>
    <row r="5" spans="1:3" outlineLevel="1" x14ac:dyDescent="0.25">
      <c r="B5" t="s">
        <v>221</v>
      </c>
    </row>
    <row r="6" spans="1:3" outlineLevel="1" x14ac:dyDescent="0.25">
      <c r="B6" t="s">
        <v>222</v>
      </c>
    </row>
    <row r="7" spans="1:3" outlineLevel="1" x14ac:dyDescent="0.25">
      <c r="B7" t="s">
        <v>513</v>
      </c>
    </row>
    <row r="8" spans="1:3" outlineLevel="1" x14ac:dyDescent="0.25"/>
    <row r="11" spans="1:3" x14ac:dyDescent="0.25">
      <c r="A11" t="s">
        <v>624</v>
      </c>
      <c r="B11" t="s">
        <v>625</v>
      </c>
      <c r="C11" t="s">
        <v>626</v>
      </c>
    </row>
    <row r="12" spans="1:3" outlineLevel="1" x14ac:dyDescent="0.25">
      <c r="B12" t="s">
        <v>502</v>
      </c>
    </row>
    <row r="13" spans="1:3" outlineLevel="1" x14ac:dyDescent="0.25">
      <c r="B13" t="s">
        <v>503</v>
      </c>
    </row>
    <row r="14" spans="1:3" outlineLevel="1" x14ac:dyDescent="0.25">
      <c r="B14" t="s">
        <v>504</v>
      </c>
    </row>
    <row r="15" spans="1:3" outlineLevel="1" x14ac:dyDescent="0.25"/>
    <row r="16" spans="1:3" outlineLevel="1" x14ac:dyDescent="0.25"/>
    <row r="19" spans="1:3" collapsed="1" x14ac:dyDescent="0.25">
      <c r="A19" t="s">
        <v>247</v>
      </c>
      <c r="B19" t="s">
        <v>248</v>
      </c>
      <c r="C19" t="s">
        <v>249</v>
      </c>
    </row>
    <row r="20" spans="1:3" hidden="1" outlineLevel="1" x14ac:dyDescent="0.25">
      <c r="B20" t="s">
        <v>502</v>
      </c>
    </row>
    <row r="21" spans="1:3" hidden="1" outlineLevel="1" x14ac:dyDescent="0.25">
      <c r="B21" t="s">
        <v>503</v>
      </c>
    </row>
    <row r="22" spans="1:3" hidden="1" outlineLevel="1" x14ac:dyDescent="0.25">
      <c r="B22" t="s">
        <v>504</v>
      </c>
    </row>
    <row r="23" spans="1:3" hidden="1" outlineLevel="1" x14ac:dyDescent="0.25"/>
    <row r="24" spans="1:3" hidden="1" outlineLevel="1" x14ac:dyDescent="0.25"/>
    <row r="26" spans="1:3" collapsed="1" x14ac:dyDescent="0.25">
      <c r="A26" t="s">
        <v>246</v>
      </c>
      <c r="B26" t="s">
        <v>227</v>
      </c>
      <c r="C26" t="s">
        <v>243</v>
      </c>
    </row>
    <row r="27" spans="1:3" hidden="1" outlineLevel="1" x14ac:dyDescent="0.25"/>
    <row r="28" spans="1:3" hidden="1" outlineLevel="1" x14ac:dyDescent="0.25"/>
    <row r="29" spans="1:3" hidden="1" outlineLevel="1" x14ac:dyDescent="0.25"/>
    <row r="31" spans="1:3" collapsed="1" x14ac:dyDescent="0.25">
      <c r="A31" t="s">
        <v>242</v>
      </c>
      <c r="B31" t="s">
        <v>227</v>
      </c>
      <c r="C31" t="s">
        <v>243</v>
      </c>
    </row>
    <row r="32" spans="1:3" hidden="1" outlineLevel="1" x14ac:dyDescent="0.25">
      <c r="B32" t="s">
        <v>244</v>
      </c>
    </row>
    <row r="33" spans="1:3" hidden="1" outlineLevel="1" x14ac:dyDescent="0.25">
      <c r="B33" t="s">
        <v>245</v>
      </c>
    </row>
    <row r="34" spans="1:3" hidden="1" outlineLevel="1" x14ac:dyDescent="0.25"/>
    <row r="36" spans="1:3" collapsed="1" x14ac:dyDescent="0.25">
      <c r="A36" t="s">
        <v>226</v>
      </c>
      <c r="B36" t="s">
        <v>227</v>
      </c>
      <c r="C36" t="s">
        <v>80</v>
      </c>
    </row>
    <row r="37" spans="1:3" hidden="1" outlineLevel="1" x14ac:dyDescent="0.25">
      <c r="B37" t="s">
        <v>232</v>
      </c>
    </row>
    <row r="38" spans="1:3" hidden="1" outlineLevel="1" x14ac:dyDescent="0.25">
      <c r="B38" t="s">
        <v>233</v>
      </c>
    </row>
    <row r="39" spans="1:3" hidden="1" outlineLevel="1" x14ac:dyDescent="0.25">
      <c r="B39" t="s">
        <v>234</v>
      </c>
    </row>
    <row r="40" spans="1:3" hidden="1" outlineLevel="1" x14ac:dyDescent="0.25">
      <c r="B40" t="s">
        <v>240</v>
      </c>
    </row>
    <row r="41" spans="1:3" hidden="1" outlineLevel="1" x14ac:dyDescent="0.25"/>
    <row r="43" spans="1:3" collapsed="1" x14ac:dyDescent="0.25">
      <c r="A43" t="s">
        <v>210</v>
      </c>
      <c r="B43" t="s">
        <v>211</v>
      </c>
      <c r="C43" t="s">
        <v>224</v>
      </c>
    </row>
    <row r="44" spans="1:3" hidden="1" outlineLevel="1" x14ac:dyDescent="0.25">
      <c r="B44" t="s">
        <v>214</v>
      </c>
    </row>
    <row r="45" spans="1:3" hidden="1" outlineLevel="1" x14ac:dyDescent="0.25">
      <c r="B45" t="s">
        <v>212</v>
      </c>
    </row>
    <row r="46" spans="1:3" hidden="1" outlineLevel="1" x14ac:dyDescent="0.25">
      <c r="B46" t="s">
        <v>213</v>
      </c>
    </row>
    <row r="47" spans="1:3" hidden="1" outlineLevel="1" x14ac:dyDescent="0.25"/>
    <row r="49" spans="1:3" collapsed="1" x14ac:dyDescent="0.25">
      <c r="A49" t="s">
        <v>215</v>
      </c>
      <c r="B49" t="s">
        <v>216</v>
      </c>
      <c r="C49" t="s">
        <v>225</v>
      </c>
    </row>
    <row r="50" spans="1:3" hidden="1" outlineLevel="1" x14ac:dyDescent="0.25">
      <c r="B50" t="s">
        <v>217</v>
      </c>
    </row>
    <row r="51" spans="1:3" hidden="1" outlineLevel="1" x14ac:dyDescent="0.25"/>
    <row r="52" spans="1:3" hidden="1" outlineLevel="1" x14ac:dyDescent="0.25"/>
    <row r="53" spans="1:3" hidden="1" outlineLevel="1" x14ac:dyDescent="0.25"/>
    <row r="56" spans="1:3" collapsed="1" x14ac:dyDescent="0.25">
      <c r="A56" t="s">
        <v>139</v>
      </c>
    </row>
    <row r="57" spans="1:3" hidden="1" outlineLevel="1" collapsed="1" x14ac:dyDescent="0.25">
      <c r="B57" t="s">
        <v>223</v>
      </c>
    </row>
    <row r="58" spans="1:3" hidden="1" outlineLevel="2" x14ac:dyDescent="0.25">
      <c r="B58" t="s">
        <v>117</v>
      </c>
    </row>
    <row r="59" spans="1:3" hidden="1" outlineLevel="2" x14ac:dyDescent="0.25"/>
    <row r="60" spans="1:3" hidden="1" outlineLevel="2" x14ac:dyDescent="0.25">
      <c r="B60" t="s">
        <v>118</v>
      </c>
    </row>
    <row r="61" spans="1:3" hidden="1" outlineLevel="2" x14ac:dyDescent="0.25"/>
    <row r="62" spans="1:3" hidden="1" outlineLevel="2" x14ac:dyDescent="0.25">
      <c r="B62" t="s">
        <v>119</v>
      </c>
    </row>
    <row r="63" spans="1:3" hidden="1" outlineLevel="2" x14ac:dyDescent="0.25">
      <c r="B63" t="s">
        <v>120</v>
      </c>
    </row>
    <row r="64" spans="1:3" hidden="1" outlineLevel="2" x14ac:dyDescent="0.25">
      <c r="B64" t="s">
        <v>121</v>
      </c>
    </row>
    <row r="65" spans="2:2" hidden="1" outlineLevel="2" x14ac:dyDescent="0.25">
      <c r="B65" t="s">
        <v>122</v>
      </c>
    </row>
    <row r="66" spans="2:2" hidden="1" outlineLevel="2" x14ac:dyDescent="0.25">
      <c r="B66" t="s">
        <v>123</v>
      </c>
    </row>
    <row r="67" spans="2:2" hidden="1" outlineLevel="2" x14ac:dyDescent="0.25">
      <c r="B67" t="s">
        <v>124</v>
      </c>
    </row>
    <row r="68" spans="2:2" hidden="1" outlineLevel="2" x14ac:dyDescent="0.25"/>
    <row r="69" spans="2:2" hidden="1" outlineLevel="2" x14ac:dyDescent="0.25">
      <c r="B69" t="s">
        <v>125</v>
      </c>
    </row>
    <row r="70" spans="2:2" hidden="1" outlineLevel="2" x14ac:dyDescent="0.25">
      <c r="B70" t="s">
        <v>126</v>
      </c>
    </row>
    <row r="71" spans="2:2" hidden="1" outlineLevel="2" x14ac:dyDescent="0.25"/>
    <row r="72" spans="2:2" hidden="1" outlineLevel="2" x14ac:dyDescent="0.25">
      <c r="B72" t="s">
        <v>127</v>
      </c>
    </row>
    <row r="73" spans="2:2" hidden="1" outlineLevel="2" x14ac:dyDescent="0.25">
      <c r="B73" t="s">
        <v>128</v>
      </c>
    </row>
    <row r="74" spans="2:2" hidden="1" outlineLevel="2" x14ac:dyDescent="0.25">
      <c r="B74" t="s">
        <v>129</v>
      </c>
    </row>
    <row r="75" spans="2:2" hidden="1" outlineLevel="2" x14ac:dyDescent="0.25">
      <c r="B75" t="s">
        <v>130</v>
      </c>
    </row>
    <row r="76" spans="2:2" hidden="1" outlineLevel="2" x14ac:dyDescent="0.25">
      <c r="B76" t="s">
        <v>131</v>
      </c>
    </row>
    <row r="77" spans="2:2" hidden="1" outlineLevel="2" x14ac:dyDescent="0.25">
      <c r="B77" t="s">
        <v>132</v>
      </c>
    </row>
    <row r="78" spans="2:2" hidden="1" outlineLevel="2" x14ac:dyDescent="0.25">
      <c r="B78" t="s">
        <v>133</v>
      </c>
    </row>
    <row r="79" spans="2:2" hidden="1" outlineLevel="1" x14ac:dyDescent="0.25"/>
    <row r="80" spans="2:2" hidden="1" outlineLevel="1" collapsed="1" x14ac:dyDescent="0.25">
      <c r="B80" t="s">
        <v>140</v>
      </c>
    </row>
    <row r="81" spans="3:3" hidden="1" outlineLevel="2" x14ac:dyDescent="0.25">
      <c r="C81" t="s">
        <v>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14"/>
  <sheetViews>
    <sheetView topLeftCell="A90" workbookViewId="0">
      <selection activeCell="G16" sqref="G16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12</v>
      </c>
      <c r="L1" t="s">
        <v>56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157</v>
      </c>
      <c r="B6" s="2"/>
      <c r="C6" s="3"/>
      <c r="D6" s="3"/>
      <c r="E6" s="2" t="s">
        <v>63</v>
      </c>
      <c r="F6" s="2" t="s">
        <v>63</v>
      </c>
      <c r="G6" s="2" t="s">
        <v>158</v>
      </c>
      <c r="H6" s="2" t="s">
        <v>159</v>
      </c>
    </row>
    <row r="7" spans="1:12" x14ac:dyDescent="0.25">
      <c r="A7" s="2" t="s">
        <v>160</v>
      </c>
      <c r="B7" s="2"/>
      <c r="C7" s="3"/>
      <c r="D7" s="3"/>
      <c r="E7" s="2"/>
      <c r="F7" s="2"/>
      <c r="G7" s="2" t="s">
        <v>161</v>
      </c>
      <c r="H7" s="2" t="s">
        <v>168</v>
      </c>
    </row>
    <row r="8" spans="1:12" x14ac:dyDescent="0.25">
      <c r="A8" s="2" t="s">
        <v>162</v>
      </c>
      <c r="B8" s="2"/>
      <c r="C8" s="3"/>
      <c r="D8" s="3"/>
      <c r="E8" s="2"/>
      <c r="F8" s="2"/>
      <c r="G8" s="2" t="s">
        <v>163</v>
      </c>
      <c r="H8" s="2" t="s">
        <v>164</v>
      </c>
    </row>
    <row r="9" spans="1:12" x14ac:dyDescent="0.25">
      <c r="A9" s="2" t="s">
        <v>167</v>
      </c>
      <c r="B9" s="2"/>
      <c r="C9" s="3"/>
      <c r="D9" s="3"/>
      <c r="E9" s="2"/>
      <c r="F9" s="2"/>
      <c r="G9" s="2" t="s">
        <v>169</v>
      </c>
      <c r="H9" s="2" t="s">
        <v>170</v>
      </c>
    </row>
    <row r="10" spans="1:12" x14ac:dyDescent="0.25">
      <c r="A10" s="2" t="s">
        <v>53</v>
      </c>
      <c r="B10" s="2" t="s">
        <v>165</v>
      </c>
      <c r="C10" s="3" t="s">
        <v>166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57</v>
      </c>
      <c r="B11" s="2" t="s">
        <v>63</v>
      </c>
      <c r="C11" s="2" t="s">
        <v>63</v>
      </c>
      <c r="D11" s="2" t="s">
        <v>63</v>
      </c>
      <c r="E11" s="2" t="s">
        <v>63</v>
      </c>
      <c r="F11" s="2" t="s">
        <v>63</v>
      </c>
      <c r="G11" s="2" t="s">
        <v>58</v>
      </c>
      <c r="H11" s="2" t="s">
        <v>59</v>
      </c>
    </row>
    <row r="12" spans="1:12" x14ac:dyDescent="0.25">
      <c r="A12" s="2" t="s">
        <v>60</v>
      </c>
      <c r="B12" s="2" t="s">
        <v>63</v>
      </c>
      <c r="C12" s="2" t="s">
        <v>63</v>
      </c>
      <c r="D12" s="2" t="s">
        <v>63</v>
      </c>
      <c r="E12" s="2" t="s">
        <v>63</v>
      </c>
      <c r="F12" s="2" t="s">
        <v>63</v>
      </c>
      <c r="G12" s="2" t="s">
        <v>62</v>
      </c>
      <c r="H12" s="2" t="s">
        <v>61</v>
      </c>
    </row>
    <row r="13" spans="1:12" x14ac:dyDescent="0.25">
      <c r="A13" s="2" t="s">
        <v>49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50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51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52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171</v>
      </c>
      <c r="B18" s="2"/>
      <c r="C18" s="2"/>
      <c r="D18" s="2"/>
      <c r="E18" s="2"/>
      <c r="F18" s="2"/>
      <c r="G18" s="2" t="s">
        <v>499</v>
      </c>
      <c r="H18" s="2" t="s">
        <v>237</v>
      </c>
    </row>
    <row r="19" spans="1:8" x14ac:dyDescent="0.25">
      <c r="A19" s="2" t="s">
        <v>172</v>
      </c>
      <c r="B19" s="2"/>
      <c r="C19" s="2"/>
      <c r="D19" s="2"/>
      <c r="E19" s="2"/>
      <c r="F19" s="2"/>
      <c r="G19" s="2" t="s">
        <v>174</v>
      </c>
      <c r="H19" s="2" t="s">
        <v>173</v>
      </c>
    </row>
    <row r="20" spans="1:8" x14ac:dyDescent="0.25">
      <c r="A20" s="2" t="s">
        <v>175</v>
      </c>
      <c r="B20" s="2"/>
      <c r="C20" s="2"/>
      <c r="D20" s="2"/>
      <c r="E20" s="2"/>
      <c r="F20" s="2"/>
      <c r="G20" s="2" t="s">
        <v>115</v>
      </c>
      <c r="H20" s="2" t="s">
        <v>65</v>
      </c>
    </row>
    <row r="21" spans="1:8" x14ac:dyDescent="0.25">
      <c r="A21" s="2" t="s">
        <v>75</v>
      </c>
      <c r="B21" s="2"/>
      <c r="C21" s="2"/>
      <c r="D21" s="2"/>
      <c r="E21" s="2"/>
      <c r="F21" s="2"/>
      <c r="G21" s="2" t="s">
        <v>76</v>
      </c>
      <c r="H21" s="2" t="s">
        <v>77</v>
      </c>
    </row>
    <row r="22" spans="1:8" x14ac:dyDescent="0.25">
      <c r="A22" s="2" t="s">
        <v>93</v>
      </c>
      <c r="B22" s="2"/>
      <c r="C22" s="2"/>
      <c r="D22" s="2"/>
      <c r="E22" s="2"/>
      <c r="F22" s="2"/>
      <c r="G22" s="2" t="s">
        <v>0</v>
      </c>
      <c r="H22" s="2" t="s">
        <v>0</v>
      </c>
    </row>
    <row r="23" spans="1:8" x14ac:dyDescent="0.25">
      <c r="A23" s="2" t="s">
        <v>73</v>
      </c>
      <c r="B23" s="2"/>
      <c r="C23" s="2"/>
      <c r="D23" s="2"/>
      <c r="E23" s="2"/>
      <c r="F23" s="2"/>
      <c r="G23" s="2" t="s">
        <v>20</v>
      </c>
      <c r="H23" s="2" t="s">
        <v>47</v>
      </c>
    </row>
    <row r="24" spans="1:8" x14ac:dyDescent="0.25">
      <c r="A24" s="2" t="s">
        <v>105</v>
      </c>
      <c r="B24" s="2"/>
      <c r="C24" s="2"/>
      <c r="D24" s="2"/>
      <c r="E24" s="2"/>
      <c r="F24" s="2"/>
      <c r="G24" s="2" t="s">
        <v>28</v>
      </c>
      <c r="H24" s="2" t="s">
        <v>107</v>
      </c>
    </row>
    <row r="25" spans="1:8" x14ac:dyDescent="0.25">
      <c r="A25" s="2" t="s">
        <v>103</v>
      </c>
      <c r="B25" s="2"/>
      <c r="C25" s="2"/>
      <c r="D25" s="2"/>
      <c r="E25" s="2"/>
      <c r="F25" s="2"/>
      <c r="G25" s="2" t="s">
        <v>104</v>
      </c>
      <c r="H25" s="2" t="s">
        <v>48</v>
      </c>
    </row>
    <row r="26" spans="1:8" x14ac:dyDescent="0.25">
      <c r="A26" s="2" t="s">
        <v>74</v>
      </c>
      <c r="B26" s="2"/>
      <c r="C26" s="2"/>
      <c r="D26" s="2"/>
      <c r="E26" s="2"/>
      <c r="F26" s="2"/>
      <c r="G26" s="2" t="s">
        <v>54</v>
      </c>
      <c r="H26" s="2" t="s">
        <v>55</v>
      </c>
    </row>
    <row r="27" spans="1:8" x14ac:dyDescent="0.25">
      <c r="A27" s="2" t="s">
        <v>87</v>
      </c>
      <c r="B27" s="2"/>
      <c r="C27" s="2"/>
      <c r="D27" s="2"/>
      <c r="E27" s="2"/>
      <c r="F27" s="2"/>
      <c r="G27" s="2" t="s">
        <v>88</v>
      </c>
      <c r="H27" s="2" t="s">
        <v>89</v>
      </c>
    </row>
    <row r="28" spans="1:8" x14ac:dyDescent="0.25">
      <c r="A28" s="2" t="s">
        <v>83</v>
      </c>
      <c r="B28" s="2"/>
      <c r="C28" s="2"/>
      <c r="D28" s="2"/>
      <c r="E28" s="2"/>
      <c r="F28" s="2"/>
      <c r="G28" s="2" t="s">
        <v>79</v>
      </c>
      <c r="H28" s="2" t="s">
        <v>81</v>
      </c>
    </row>
    <row r="29" spans="1:8" x14ac:dyDescent="0.25">
      <c r="A29" s="2" t="s">
        <v>78</v>
      </c>
      <c r="B29" s="2"/>
      <c r="C29" s="2"/>
      <c r="D29" s="2"/>
      <c r="E29" s="2"/>
      <c r="F29" s="2"/>
      <c r="G29" s="2" t="s">
        <v>80</v>
      </c>
      <c r="H29" s="2" t="s">
        <v>82</v>
      </c>
    </row>
    <row r="30" spans="1:8" x14ac:dyDescent="0.25">
      <c r="A30" s="27" t="s">
        <v>146</v>
      </c>
      <c r="B30" s="2"/>
      <c r="C30" s="2"/>
      <c r="D30" s="2"/>
      <c r="E30" s="2"/>
      <c r="F30" s="2"/>
      <c r="G30" s="2" t="s">
        <v>181</v>
      </c>
      <c r="H30" s="2" t="s">
        <v>182</v>
      </c>
    </row>
    <row r="31" spans="1:8" x14ac:dyDescent="0.25">
      <c r="A31" s="27" t="s">
        <v>147</v>
      </c>
      <c r="B31" s="2"/>
      <c r="C31" s="2"/>
      <c r="D31" s="2"/>
      <c r="E31" s="2"/>
      <c r="F31" s="2"/>
      <c r="G31" s="2" t="s">
        <v>45</v>
      </c>
      <c r="H31" s="2" t="s">
        <v>183</v>
      </c>
    </row>
    <row r="32" spans="1:8" x14ac:dyDescent="0.25">
      <c r="A32" s="27" t="s">
        <v>148</v>
      </c>
      <c r="B32" s="2"/>
      <c r="C32" s="2"/>
      <c r="D32" s="2"/>
      <c r="E32" s="2"/>
      <c r="F32" s="2"/>
      <c r="G32" s="2" t="s">
        <v>184</v>
      </c>
      <c r="H32" s="2" t="s">
        <v>185</v>
      </c>
    </row>
    <row r="33" spans="1:8" x14ac:dyDescent="0.25">
      <c r="A33" s="27" t="s">
        <v>180</v>
      </c>
      <c r="B33" s="2"/>
      <c r="C33" s="2"/>
      <c r="D33" s="2"/>
      <c r="E33" s="2"/>
      <c r="F33" s="2"/>
      <c r="G33" s="2" t="s">
        <v>685</v>
      </c>
      <c r="H33" s="2" t="s">
        <v>686</v>
      </c>
    </row>
    <row r="34" spans="1:8" x14ac:dyDescent="0.25">
      <c r="A34" s="27" t="s">
        <v>150</v>
      </c>
      <c r="B34" s="2"/>
      <c r="C34" s="2"/>
      <c r="D34" s="2"/>
      <c r="E34" s="2"/>
      <c r="F34" s="2"/>
      <c r="G34" s="2" t="s">
        <v>186</v>
      </c>
      <c r="H34" s="2" t="s">
        <v>188</v>
      </c>
    </row>
    <row r="35" spans="1:8" x14ac:dyDescent="0.25">
      <c r="A35" s="27" t="s">
        <v>151</v>
      </c>
      <c r="B35" s="2"/>
      <c r="C35" s="2"/>
      <c r="D35" s="2"/>
      <c r="E35" s="2"/>
      <c r="F35" s="2"/>
      <c r="G35" s="2" t="s">
        <v>187</v>
      </c>
      <c r="H35" s="2" t="s">
        <v>189</v>
      </c>
    </row>
    <row r="36" spans="1:8" x14ac:dyDescent="0.25">
      <c r="A36" s="2" t="s">
        <v>134</v>
      </c>
      <c r="B36" s="2"/>
      <c r="C36" s="2"/>
      <c r="D36" s="2"/>
      <c r="E36" s="2"/>
      <c r="F36" s="2"/>
      <c r="G36" s="2" t="s">
        <v>209</v>
      </c>
      <c r="H36" s="2" t="s">
        <v>190</v>
      </c>
    </row>
    <row r="37" spans="1:8" x14ac:dyDescent="0.25">
      <c r="A37" s="27" t="s">
        <v>199</v>
      </c>
      <c r="B37" s="2"/>
      <c r="C37" s="2"/>
      <c r="D37" s="2"/>
      <c r="E37" s="2"/>
      <c r="F37" s="2"/>
      <c r="G37" s="2" t="s">
        <v>19</v>
      </c>
      <c r="H37" s="2" t="s">
        <v>19</v>
      </c>
    </row>
    <row r="38" spans="1:8" x14ac:dyDescent="0.25">
      <c r="A38" s="27" t="s">
        <v>197</v>
      </c>
      <c r="B38" s="2"/>
      <c r="C38" s="2"/>
      <c r="D38" s="2"/>
      <c r="E38" s="2"/>
      <c r="F38" s="2"/>
      <c r="G38" s="2" t="s">
        <v>201</v>
      </c>
      <c r="H38" s="2" t="s">
        <v>200</v>
      </c>
    </row>
    <row r="39" spans="1:8" x14ac:dyDescent="0.25">
      <c r="A39" s="27" t="s">
        <v>198</v>
      </c>
      <c r="B39" s="2"/>
      <c r="C39" s="2"/>
      <c r="D39" s="2"/>
      <c r="E39" s="2"/>
      <c r="F39" s="2"/>
      <c r="G39" s="2" t="s">
        <v>34</v>
      </c>
      <c r="H39" s="2" t="s">
        <v>202</v>
      </c>
    </row>
    <row r="40" spans="1:8" x14ac:dyDescent="0.25">
      <c r="A40" s="37" t="s">
        <v>378</v>
      </c>
      <c r="B40" s="2"/>
      <c r="C40" s="2"/>
      <c r="D40" s="2"/>
      <c r="E40" s="2"/>
      <c r="F40" s="2"/>
      <c r="G40" s="2" t="s">
        <v>476</v>
      </c>
      <c r="H40" s="2" t="s">
        <v>17</v>
      </c>
    </row>
    <row r="41" spans="1:8" x14ac:dyDescent="0.25">
      <c r="A41" s="37" t="s">
        <v>379</v>
      </c>
      <c r="B41" s="2"/>
      <c r="C41" s="2"/>
      <c r="D41" s="2"/>
      <c r="E41" s="2"/>
      <c r="F41" s="2"/>
      <c r="G41" s="2" t="s">
        <v>477</v>
      </c>
      <c r="H41" s="2" t="s">
        <v>478</v>
      </c>
    </row>
    <row r="42" spans="1:8" x14ac:dyDescent="0.25">
      <c r="A42" s="36" t="s">
        <v>323</v>
      </c>
      <c r="B42" s="2"/>
      <c r="C42" s="2"/>
      <c r="D42" s="2"/>
      <c r="E42" s="2"/>
      <c r="F42" s="2"/>
      <c r="G42" s="2" t="s">
        <v>479</v>
      </c>
      <c r="H42" s="2" t="s">
        <v>480</v>
      </c>
    </row>
    <row r="43" spans="1:8" x14ac:dyDescent="0.25">
      <c r="A43" s="37" t="s">
        <v>456</v>
      </c>
      <c r="B43" s="2"/>
      <c r="C43" s="2"/>
      <c r="D43" s="2"/>
      <c r="E43" s="2"/>
      <c r="F43" s="2"/>
      <c r="G43" s="2" t="s">
        <v>481</v>
      </c>
      <c r="H43" s="40" t="s">
        <v>489</v>
      </c>
    </row>
    <row r="44" spans="1:8" x14ac:dyDescent="0.25">
      <c r="A44" s="37" t="s">
        <v>457</v>
      </c>
      <c r="B44" s="2"/>
      <c r="C44" s="2"/>
      <c r="D44" s="2"/>
      <c r="E44" s="2"/>
      <c r="F44" s="2"/>
      <c r="G44" s="2" t="s">
        <v>485</v>
      </c>
      <c r="H44" s="2" t="s">
        <v>487</v>
      </c>
    </row>
    <row r="45" spans="1:8" x14ac:dyDescent="0.25">
      <c r="A45" s="37" t="s">
        <v>458</v>
      </c>
      <c r="B45" s="2"/>
      <c r="C45" s="2"/>
      <c r="D45" s="2"/>
      <c r="E45" s="2"/>
      <c r="F45" s="2"/>
      <c r="G45" s="2" t="s">
        <v>482</v>
      </c>
      <c r="H45" s="40" t="s">
        <v>490</v>
      </c>
    </row>
    <row r="46" spans="1:8" x14ac:dyDescent="0.25">
      <c r="A46" s="37" t="s">
        <v>459</v>
      </c>
      <c r="B46" s="2"/>
      <c r="C46" s="2"/>
      <c r="D46" s="2"/>
      <c r="E46" s="2"/>
      <c r="F46" s="2"/>
      <c r="G46" s="2" t="s">
        <v>486</v>
      </c>
      <c r="H46" s="2" t="s">
        <v>488</v>
      </c>
    </row>
    <row r="47" spans="1:8" x14ac:dyDescent="0.25">
      <c r="A47" s="37" t="s">
        <v>460</v>
      </c>
      <c r="B47" s="2"/>
      <c r="C47" s="2"/>
      <c r="D47" s="2"/>
      <c r="E47" s="2"/>
      <c r="F47" s="2"/>
      <c r="G47" s="2" t="s">
        <v>491</v>
      </c>
      <c r="H47" s="2" t="s">
        <v>492</v>
      </c>
    </row>
    <row r="48" spans="1:8" x14ac:dyDescent="0.25">
      <c r="A48" s="37" t="s">
        <v>461</v>
      </c>
      <c r="B48" s="2"/>
      <c r="C48" s="2"/>
      <c r="D48" s="2"/>
      <c r="E48" s="2"/>
      <c r="F48" s="2"/>
      <c r="G48" s="2" t="s">
        <v>493</v>
      </c>
      <c r="H48" s="2" t="s">
        <v>494</v>
      </c>
    </row>
    <row r="49" spans="1:8" x14ac:dyDescent="0.25">
      <c r="A49" s="37" t="s">
        <v>462</v>
      </c>
      <c r="B49" s="2"/>
      <c r="C49" s="2"/>
      <c r="D49" s="2"/>
      <c r="E49" s="2"/>
      <c r="F49" s="2"/>
      <c r="G49" s="2" t="s">
        <v>483</v>
      </c>
      <c r="H49" s="2" t="s">
        <v>495</v>
      </c>
    </row>
    <row r="50" spans="1:8" x14ac:dyDescent="0.25">
      <c r="A50" s="37" t="s">
        <v>463</v>
      </c>
      <c r="B50" s="2"/>
      <c r="C50" s="2"/>
      <c r="D50" s="2"/>
      <c r="E50" s="2"/>
      <c r="F50" s="2"/>
      <c r="G50" s="2" t="s">
        <v>496</v>
      </c>
      <c r="H50" s="2" t="s">
        <v>497</v>
      </c>
    </row>
    <row r="51" spans="1:8" x14ac:dyDescent="0.25">
      <c r="A51" s="37" t="s">
        <v>464</v>
      </c>
      <c r="B51" s="2"/>
      <c r="C51" s="2"/>
      <c r="D51" s="2"/>
      <c r="E51" s="2"/>
      <c r="F51" s="2"/>
      <c r="G51" s="2" t="s">
        <v>484</v>
      </c>
      <c r="H51" s="2" t="s">
        <v>498</v>
      </c>
    </row>
    <row r="52" spans="1:8" x14ac:dyDescent="0.25">
      <c r="A52" s="37" t="s">
        <v>465</v>
      </c>
      <c r="B52" s="2"/>
      <c r="C52" s="2"/>
      <c r="D52" s="2"/>
      <c r="E52" s="2"/>
      <c r="F52" s="2"/>
      <c r="G52" s="37" t="s">
        <v>630</v>
      </c>
      <c r="H52" s="37" t="s">
        <v>631</v>
      </c>
    </row>
    <row r="53" spans="1:8" x14ac:dyDescent="0.25">
      <c r="A53" s="37" t="s">
        <v>466</v>
      </c>
      <c r="B53" s="2"/>
      <c r="C53" s="2"/>
      <c r="D53" s="2"/>
      <c r="E53" s="2"/>
      <c r="F53" s="2"/>
      <c r="G53" s="37" t="s">
        <v>633</v>
      </c>
      <c r="H53" s="37" t="s">
        <v>632</v>
      </c>
    </row>
    <row r="54" spans="1:8" x14ac:dyDescent="0.25">
      <c r="A54" s="37" t="s">
        <v>467</v>
      </c>
      <c r="B54" s="2"/>
      <c r="C54" s="2"/>
      <c r="D54" s="2"/>
      <c r="E54" s="2"/>
      <c r="F54" s="2"/>
      <c r="G54" s="37" t="s">
        <v>634</v>
      </c>
      <c r="H54" s="37" t="s">
        <v>635</v>
      </c>
    </row>
    <row r="55" spans="1:8" x14ac:dyDescent="0.25">
      <c r="A55" s="37" t="s">
        <v>468</v>
      </c>
      <c r="B55" s="2"/>
      <c r="C55" s="2"/>
      <c r="D55" s="2"/>
      <c r="E55" s="2"/>
      <c r="F55" s="2"/>
      <c r="G55" s="37" t="s">
        <v>637</v>
      </c>
      <c r="H55" s="37" t="s">
        <v>638</v>
      </c>
    </row>
    <row r="56" spans="1:8" x14ac:dyDescent="0.25">
      <c r="A56" s="37" t="s">
        <v>469</v>
      </c>
      <c r="B56" s="2"/>
      <c r="C56" s="2"/>
      <c r="D56" s="2"/>
      <c r="E56" s="2"/>
      <c r="F56" s="2"/>
      <c r="G56" s="37" t="s">
        <v>639</v>
      </c>
      <c r="H56" s="37" t="s">
        <v>641</v>
      </c>
    </row>
    <row r="57" spans="1:8" x14ac:dyDescent="0.25">
      <c r="A57" s="37" t="s">
        <v>470</v>
      </c>
      <c r="B57" s="2"/>
      <c r="C57" s="2"/>
      <c r="D57" s="2"/>
      <c r="E57" s="2"/>
      <c r="F57" s="2"/>
      <c r="G57" s="37" t="s">
        <v>640</v>
      </c>
      <c r="H57" s="37" t="s">
        <v>642</v>
      </c>
    </row>
    <row r="58" spans="1:8" x14ac:dyDescent="0.25">
      <c r="A58" s="37" t="s">
        <v>471</v>
      </c>
      <c r="B58" s="2"/>
      <c r="C58" s="2"/>
      <c r="D58" s="2"/>
      <c r="E58" s="2"/>
      <c r="F58" s="2"/>
      <c r="G58" s="37" t="s">
        <v>643</v>
      </c>
      <c r="H58" s="37" t="s">
        <v>644</v>
      </c>
    </row>
    <row r="59" spans="1:8" x14ac:dyDescent="0.25">
      <c r="A59" s="37" t="s">
        <v>472</v>
      </c>
      <c r="B59" s="2"/>
      <c r="C59" s="2"/>
      <c r="D59" s="2"/>
      <c r="E59" s="2"/>
      <c r="F59" s="2"/>
      <c r="G59" s="37" t="s">
        <v>645</v>
      </c>
      <c r="H59" s="37" t="s">
        <v>646</v>
      </c>
    </row>
    <row r="60" spans="1:8" x14ac:dyDescent="0.25">
      <c r="A60" s="37" t="s">
        <v>473</v>
      </c>
      <c r="B60" s="2"/>
      <c r="C60" s="2"/>
      <c r="D60" s="2"/>
      <c r="E60" s="2"/>
      <c r="F60" s="2"/>
      <c r="G60" s="37" t="s">
        <v>647</v>
      </c>
      <c r="H60" s="37" t="s">
        <v>648</v>
      </c>
    </row>
    <row r="61" spans="1:8" x14ac:dyDescent="0.25">
      <c r="A61" s="37" t="s">
        <v>474</v>
      </c>
      <c r="B61" s="2"/>
      <c r="C61" s="2"/>
      <c r="D61" s="2"/>
      <c r="E61" s="2"/>
      <c r="F61" s="2"/>
      <c r="G61" s="37" t="s">
        <v>649</v>
      </c>
      <c r="H61" s="37" t="s">
        <v>650</v>
      </c>
    </row>
    <row r="62" spans="1:8" x14ac:dyDescent="0.25">
      <c r="A62" s="37" t="s">
        <v>475</v>
      </c>
      <c r="B62" s="2"/>
      <c r="C62" s="2"/>
      <c r="D62" s="2"/>
      <c r="E62" s="2"/>
      <c r="F62" s="2"/>
      <c r="G62" s="37" t="s">
        <v>651</v>
      </c>
      <c r="H62" s="37" t="s">
        <v>652</v>
      </c>
    </row>
    <row r="63" spans="1:8" x14ac:dyDescent="0.25">
      <c r="A63" s="36" t="s">
        <v>324</v>
      </c>
      <c r="B63" s="2"/>
      <c r="C63" s="2"/>
      <c r="D63" s="2"/>
      <c r="E63" s="2"/>
      <c r="F63" s="2"/>
      <c r="G63" s="36" t="s">
        <v>34</v>
      </c>
      <c r="H63" s="36" t="s">
        <v>202</v>
      </c>
    </row>
    <row r="64" spans="1:8" x14ac:dyDescent="0.25">
      <c r="A64" s="36" t="s">
        <v>325</v>
      </c>
      <c r="B64" s="2"/>
      <c r="C64" s="2"/>
      <c r="D64" s="2"/>
      <c r="E64" s="2"/>
      <c r="F64" s="2"/>
      <c r="G64" s="36" t="s">
        <v>653</v>
      </c>
      <c r="H64" s="36" t="s">
        <v>654</v>
      </c>
    </row>
    <row r="65" spans="1:8" x14ac:dyDescent="0.25">
      <c r="A65" s="37" t="s">
        <v>413</v>
      </c>
      <c r="B65" s="2"/>
      <c r="C65" s="2"/>
      <c r="D65" s="2"/>
      <c r="E65" s="2"/>
      <c r="F65" s="2"/>
      <c r="G65" s="37" t="s">
        <v>655</v>
      </c>
      <c r="H65" s="37" t="s">
        <v>656</v>
      </c>
    </row>
    <row r="66" spans="1:8" x14ac:dyDescent="0.25">
      <c r="A66" s="37" t="s">
        <v>414</v>
      </c>
      <c r="B66" s="2"/>
      <c r="C66" s="2"/>
      <c r="D66" s="2"/>
      <c r="E66" s="2"/>
      <c r="F66" s="2"/>
      <c r="G66" s="37" t="s">
        <v>657</v>
      </c>
      <c r="H66" s="37" t="s">
        <v>658</v>
      </c>
    </row>
    <row r="67" spans="1:8" x14ac:dyDescent="0.25">
      <c r="A67" s="37" t="s">
        <v>415</v>
      </c>
      <c r="B67" s="2"/>
      <c r="C67" s="2"/>
      <c r="D67" s="2"/>
      <c r="E67" s="2"/>
      <c r="F67" s="2"/>
      <c r="G67" s="37" t="s">
        <v>659</v>
      </c>
      <c r="H67" s="37" t="s">
        <v>660</v>
      </c>
    </row>
    <row r="68" spans="1:8" x14ac:dyDescent="0.25">
      <c r="A68" s="37" t="s">
        <v>416</v>
      </c>
      <c r="B68" s="2"/>
      <c r="C68" s="2"/>
      <c r="D68" s="2"/>
      <c r="E68" s="2"/>
      <c r="F68" s="2"/>
      <c r="G68" s="37" t="s">
        <v>661</v>
      </c>
      <c r="H68" s="37" t="s">
        <v>662</v>
      </c>
    </row>
    <row r="69" spans="1:8" x14ac:dyDescent="0.25">
      <c r="A69" s="36" t="s">
        <v>326</v>
      </c>
      <c r="B69" s="2"/>
      <c r="C69" s="2"/>
      <c r="D69" s="2"/>
      <c r="E69" s="2"/>
      <c r="F69" s="2"/>
      <c r="G69" s="36" t="s">
        <v>663</v>
      </c>
      <c r="H69" s="36" t="s">
        <v>664</v>
      </c>
    </row>
    <row r="70" spans="1:8" x14ac:dyDescent="0.25">
      <c r="A70" s="37" t="s">
        <v>417</v>
      </c>
      <c r="B70" s="2"/>
      <c r="C70" s="2"/>
      <c r="D70" s="2"/>
      <c r="E70" s="2"/>
      <c r="F70" s="2"/>
      <c r="G70" s="37" t="s">
        <v>665</v>
      </c>
      <c r="H70" s="37" t="s">
        <v>671</v>
      </c>
    </row>
    <row r="71" spans="1:8" x14ac:dyDescent="0.25">
      <c r="A71" s="37" t="s">
        <v>418</v>
      </c>
      <c r="B71" s="2"/>
      <c r="C71" s="2"/>
      <c r="D71" s="2"/>
      <c r="E71" s="2"/>
      <c r="F71" s="2"/>
      <c r="G71" s="37" t="s">
        <v>668</v>
      </c>
      <c r="H71" s="37" t="s">
        <v>672</v>
      </c>
    </row>
    <row r="72" spans="1:8" x14ac:dyDescent="0.25">
      <c r="A72" s="37" t="s">
        <v>419</v>
      </c>
      <c r="B72" s="2"/>
      <c r="C72" s="2"/>
      <c r="D72" s="2"/>
      <c r="E72" s="2"/>
      <c r="F72" s="2"/>
      <c r="G72" s="37" t="s">
        <v>669</v>
      </c>
      <c r="H72" s="37" t="s">
        <v>673</v>
      </c>
    </row>
    <row r="73" spans="1:8" x14ac:dyDescent="0.25">
      <c r="A73" s="37" t="s">
        <v>420</v>
      </c>
      <c r="B73" s="2"/>
      <c r="C73" s="2"/>
      <c r="D73" s="2"/>
      <c r="E73" s="2"/>
      <c r="F73" s="2"/>
      <c r="G73" s="37" t="s">
        <v>670</v>
      </c>
      <c r="H73" s="37" t="s">
        <v>674</v>
      </c>
    </row>
    <row r="74" spans="1:8" x14ac:dyDescent="0.25">
      <c r="A74" s="36" t="s">
        <v>327</v>
      </c>
      <c r="B74" s="2"/>
      <c r="C74" s="2"/>
      <c r="D74" s="2"/>
      <c r="E74" s="2"/>
      <c r="F74" s="2"/>
      <c r="G74" s="36" t="s">
        <v>666</v>
      </c>
      <c r="H74" s="36" t="s">
        <v>667</v>
      </c>
    </row>
    <row r="75" spans="1:8" x14ac:dyDescent="0.25">
      <c r="A75" s="37" t="s">
        <v>251</v>
      </c>
      <c r="B75" s="2"/>
      <c r="C75" s="2"/>
      <c r="D75" s="2"/>
      <c r="E75" s="2"/>
      <c r="F75" s="2"/>
      <c r="G75" s="37" t="s">
        <v>251</v>
      </c>
      <c r="H75" s="37" t="s">
        <v>251</v>
      </c>
    </row>
    <row r="76" spans="1:8" x14ac:dyDescent="0.25">
      <c r="A76" s="37" t="s">
        <v>421</v>
      </c>
      <c r="B76" s="2"/>
      <c r="C76" s="2"/>
      <c r="D76" s="2"/>
      <c r="E76" s="2"/>
      <c r="F76" s="2"/>
      <c r="G76" s="37" t="s">
        <v>675</v>
      </c>
      <c r="H76" s="37" t="s">
        <v>676</v>
      </c>
    </row>
    <row r="77" spans="1:8" x14ac:dyDescent="0.25">
      <c r="A77" s="37" t="s">
        <v>422</v>
      </c>
      <c r="B77" s="2"/>
      <c r="C77" s="2"/>
      <c r="D77" s="2"/>
      <c r="E77" s="2"/>
      <c r="F77" s="2"/>
      <c r="G77" s="37" t="s">
        <v>677</v>
      </c>
      <c r="H77" s="37" t="s">
        <v>678</v>
      </c>
    </row>
    <row r="78" spans="1:8" x14ac:dyDescent="0.25">
      <c r="A78" s="36" t="s">
        <v>364</v>
      </c>
      <c r="B78" s="2"/>
      <c r="C78" s="2"/>
      <c r="D78" s="2"/>
      <c r="E78" s="2"/>
      <c r="F78" s="2"/>
      <c r="G78" s="36" t="s">
        <v>479</v>
      </c>
      <c r="H78" s="36" t="s">
        <v>480</v>
      </c>
    </row>
    <row r="79" spans="1:8" x14ac:dyDescent="0.25">
      <c r="A79" s="37" t="s">
        <v>423</v>
      </c>
      <c r="B79" s="2"/>
      <c r="C79" s="2"/>
      <c r="D79" s="2"/>
      <c r="E79" s="2"/>
      <c r="F79" s="2"/>
      <c r="G79" s="2" t="s">
        <v>481</v>
      </c>
      <c r="H79" s="40" t="s">
        <v>489</v>
      </c>
    </row>
    <row r="80" spans="1:8" x14ac:dyDescent="0.25">
      <c r="A80" s="37" t="s">
        <v>442</v>
      </c>
      <c r="B80" s="2"/>
      <c r="C80" s="2"/>
      <c r="D80" s="2"/>
      <c r="E80" s="2"/>
      <c r="F80" s="2"/>
      <c r="G80" s="2" t="s">
        <v>485</v>
      </c>
      <c r="H80" s="2" t="s">
        <v>487</v>
      </c>
    </row>
    <row r="81" spans="1:8" x14ac:dyDescent="0.25">
      <c r="A81" s="37" t="s">
        <v>424</v>
      </c>
      <c r="B81" s="2"/>
      <c r="C81" s="2"/>
      <c r="D81" s="2"/>
      <c r="E81" s="2"/>
      <c r="F81" s="2"/>
      <c r="G81" s="2" t="s">
        <v>482</v>
      </c>
      <c r="H81" s="40" t="s">
        <v>490</v>
      </c>
    </row>
    <row r="82" spans="1:8" x14ac:dyDescent="0.25">
      <c r="A82" s="37" t="s">
        <v>455</v>
      </c>
      <c r="B82" s="2"/>
      <c r="C82" s="2"/>
      <c r="D82" s="2"/>
      <c r="E82" s="2"/>
      <c r="F82" s="2"/>
      <c r="G82" s="2" t="s">
        <v>486</v>
      </c>
      <c r="H82" s="2" t="s">
        <v>488</v>
      </c>
    </row>
    <row r="83" spans="1:8" x14ac:dyDescent="0.25">
      <c r="A83" s="37" t="s">
        <v>425</v>
      </c>
      <c r="B83" s="2"/>
      <c r="C83" s="2"/>
      <c r="D83" s="2"/>
      <c r="E83" s="2"/>
      <c r="F83" s="2"/>
      <c r="G83" s="2" t="s">
        <v>491</v>
      </c>
      <c r="H83" s="2" t="s">
        <v>492</v>
      </c>
    </row>
    <row r="84" spans="1:8" x14ac:dyDescent="0.25">
      <c r="A84" s="37" t="s">
        <v>443</v>
      </c>
      <c r="B84" s="2"/>
      <c r="C84" s="2"/>
      <c r="D84" s="2"/>
      <c r="E84" s="2"/>
      <c r="F84" s="2"/>
      <c r="G84" s="2" t="s">
        <v>493</v>
      </c>
      <c r="H84" s="2" t="s">
        <v>494</v>
      </c>
    </row>
    <row r="85" spans="1:8" x14ac:dyDescent="0.25">
      <c r="A85" s="37" t="s">
        <v>426</v>
      </c>
      <c r="B85" s="2"/>
      <c r="C85" s="2"/>
      <c r="D85" s="2"/>
      <c r="E85" s="2"/>
      <c r="F85" s="2"/>
      <c r="G85" s="2" t="s">
        <v>483</v>
      </c>
      <c r="H85" s="2" t="s">
        <v>495</v>
      </c>
    </row>
    <row r="86" spans="1:8" x14ac:dyDescent="0.25">
      <c r="A86" s="37" t="s">
        <v>427</v>
      </c>
      <c r="B86" s="2"/>
      <c r="C86" s="2"/>
      <c r="D86" s="2"/>
      <c r="E86" s="2"/>
      <c r="F86" s="2"/>
      <c r="G86" s="2" t="s">
        <v>496</v>
      </c>
      <c r="H86" s="2" t="s">
        <v>497</v>
      </c>
    </row>
    <row r="87" spans="1:8" x14ac:dyDescent="0.25">
      <c r="A87" s="37" t="s">
        <v>428</v>
      </c>
      <c r="B87" s="2"/>
      <c r="C87" s="2"/>
      <c r="D87" s="2"/>
      <c r="E87" s="2"/>
      <c r="F87" s="2"/>
      <c r="G87" s="2" t="s">
        <v>484</v>
      </c>
      <c r="H87" s="2" t="s">
        <v>498</v>
      </c>
    </row>
    <row r="88" spans="1:8" x14ac:dyDescent="0.25">
      <c r="A88" s="37" t="s">
        <v>429</v>
      </c>
      <c r="B88" s="2"/>
      <c r="C88" s="2"/>
      <c r="D88" s="2"/>
      <c r="E88" s="2"/>
      <c r="F88" s="2"/>
      <c r="G88" s="37" t="s">
        <v>630</v>
      </c>
      <c r="H88" s="37" t="s">
        <v>631</v>
      </c>
    </row>
    <row r="89" spans="1:8" x14ac:dyDescent="0.25">
      <c r="A89" s="37" t="s">
        <v>444</v>
      </c>
      <c r="B89" s="2"/>
      <c r="C89" s="2"/>
      <c r="D89" s="2"/>
      <c r="E89" s="2"/>
      <c r="F89" s="2"/>
      <c r="G89" s="37" t="s">
        <v>633</v>
      </c>
      <c r="H89" s="37" t="s">
        <v>632</v>
      </c>
    </row>
    <row r="90" spans="1:8" x14ac:dyDescent="0.25">
      <c r="A90" s="37" t="s">
        <v>430</v>
      </c>
      <c r="B90" s="2"/>
      <c r="C90" s="2"/>
      <c r="D90" s="2"/>
      <c r="E90" s="2"/>
      <c r="F90" s="2"/>
      <c r="G90" s="37" t="s">
        <v>634</v>
      </c>
      <c r="H90" s="37" t="s">
        <v>635</v>
      </c>
    </row>
    <row r="91" spans="1:8" x14ac:dyDescent="0.25">
      <c r="A91" s="37" t="s">
        <v>445</v>
      </c>
      <c r="B91" s="2"/>
      <c r="C91" s="2"/>
      <c r="D91" s="2"/>
      <c r="E91" s="2"/>
      <c r="F91" s="2"/>
      <c r="G91" s="37" t="s">
        <v>637</v>
      </c>
      <c r="H91" s="37" t="s">
        <v>638</v>
      </c>
    </row>
    <row r="92" spans="1:8" x14ac:dyDescent="0.25">
      <c r="A92" s="37" t="s">
        <v>431</v>
      </c>
      <c r="B92" s="2"/>
      <c r="C92" s="2"/>
      <c r="D92" s="2"/>
      <c r="E92" s="2"/>
      <c r="F92" s="2"/>
      <c r="G92" s="37" t="s">
        <v>639</v>
      </c>
      <c r="H92" s="37" t="s">
        <v>641</v>
      </c>
    </row>
    <row r="93" spans="1:8" x14ac:dyDescent="0.25">
      <c r="A93" s="37" t="s">
        <v>432</v>
      </c>
      <c r="B93" s="2"/>
      <c r="C93" s="2"/>
      <c r="D93" s="2"/>
      <c r="E93" s="2"/>
      <c r="F93" s="2"/>
      <c r="G93" s="37" t="s">
        <v>640</v>
      </c>
      <c r="H93" s="37" t="s">
        <v>642</v>
      </c>
    </row>
    <row r="94" spans="1:8" x14ac:dyDescent="0.25">
      <c r="A94" s="37" t="s">
        <v>446</v>
      </c>
      <c r="B94" s="2"/>
      <c r="C94" s="2"/>
      <c r="D94" s="2"/>
      <c r="E94" s="2"/>
      <c r="F94" s="2"/>
      <c r="G94" s="37" t="s">
        <v>643</v>
      </c>
      <c r="H94" s="37" t="s">
        <v>644</v>
      </c>
    </row>
    <row r="95" spans="1:8" x14ac:dyDescent="0.25">
      <c r="A95" s="37" t="s">
        <v>433</v>
      </c>
      <c r="B95" s="2"/>
      <c r="C95" s="2"/>
      <c r="D95" s="2"/>
      <c r="E95" s="2"/>
      <c r="F95" s="2"/>
      <c r="G95" s="37" t="s">
        <v>645</v>
      </c>
      <c r="H95" s="37" t="s">
        <v>646</v>
      </c>
    </row>
    <row r="96" spans="1:8" x14ac:dyDescent="0.25">
      <c r="A96" s="37" t="s">
        <v>434</v>
      </c>
      <c r="B96" s="2"/>
      <c r="C96" s="2"/>
      <c r="D96" s="2"/>
      <c r="E96" s="2"/>
      <c r="F96" s="2"/>
      <c r="G96" s="37" t="s">
        <v>647</v>
      </c>
      <c r="H96" s="37" t="s">
        <v>648</v>
      </c>
    </row>
    <row r="97" spans="1:8" x14ac:dyDescent="0.25">
      <c r="A97" s="37" t="s">
        <v>435</v>
      </c>
      <c r="B97" s="2"/>
      <c r="C97" s="2"/>
      <c r="D97" s="2"/>
      <c r="E97" s="2"/>
      <c r="F97" s="2"/>
      <c r="G97" s="37" t="s">
        <v>649</v>
      </c>
      <c r="H97" s="37" t="s">
        <v>650</v>
      </c>
    </row>
    <row r="98" spans="1:8" x14ac:dyDescent="0.25">
      <c r="A98" s="37" t="s">
        <v>436</v>
      </c>
      <c r="B98" s="2"/>
      <c r="C98" s="2"/>
      <c r="D98" s="2"/>
      <c r="E98" s="2"/>
      <c r="F98" s="2"/>
      <c r="G98" s="37" t="s">
        <v>651</v>
      </c>
      <c r="H98" s="37" t="s">
        <v>652</v>
      </c>
    </row>
    <row r="99" spans="1:8" x14ac:dyDescent="0.25">
      <c r="A99" s="36" t="s">
        <v>365</v>
      </c>
      <c r="B99" s="2"/>
      <c r="C99" s="2"/>
      <c r="D99" s="2"/>
      <c r="E99" s="2"/>
      <c r="F99" s="2"/>
      <c r="G99" s="36" t="s">
        <v>34</v>
      </c>
      <c r="H99" s="36" t="s">
        <v>202</v>
      </c>
    </row>
    <row r="100" spans="1:8" x14ac:dyDescent="0.25">
      <c r="A100" s="37" t="s">
        <v>437</v>
      </c>
      <c r="B100" s="2"/>
      <c r="C100" s="2"/>
      <c r="D100" s="2"/>
      <c r="E100" s="2"/>
      <c r="F100" s="2"/>
      <c r="G100" s="36" t="s">
        <v>683</v>
      </c>
      <c r="H100" s="36" t="s">
        <v>684</v>
      </c>
    </row>
    <row r="101" spans="1:8" x14ac:dyDescent="0.25">
      <c r="A101" s="37" t="s">
        <v>438</v>
      </c>
      <c r="B101" s="2"/>
      <c r="C101" s="2"/>
      <c r="D101" s="2"/>
      <c r="E101" s="2"/>
      <c r="F101" s="2"/>
      <c r="G101" s="37" t="s">
        <v>184</v>
      </c>
      <c r="H101" s="37" t="s">
        <v>185</v>
      </c>
    </row>
    <row r="102" spans="1:8" x14ac:dyDescent="0.25">
      <c r="A102" s="37" t="s">
        <v>439</v>
      </c>
      <c r="B102" s="2"/>
      <c r="C102" s="2"/>
      <c r="D102" s="2"/>
      <c r="E102" s="2"/>
      <c r="F102" s="2"/>
      <c r="G102" s="37" t="s">
        <v>685</v>
      </c>
      <c r="H102" s="37" t="s">
        <v>686</v>
      </c>
    </row>
    <row r="103" spans="1:8" x14ac:dyDescent="0.25">
      <c r="A103" s="36" t="s">
        <v>366</v>
      </c>
      <c r="B103" s="2"/>
      <c r="C103" s="2"/>
      <c r="D103" s="2"/>
      <c r="E103" s="2"/>
      <c r="F103" s="2"/>
      <c r="G103" s="36" t="s">
        <v>653</v>
      </c>
      <c r="H103" s="36" t="s">
        <v>654</v>
      </c>
    </row>
    <row r="104" spans="1:8" x14ac:dyDescent="0.25">
      <c r="A104" s="37" t="s">
        <v>440</v>
      </c>
      <c r="B104" s="2"/>
      <c r="C104" s="2"/>
      <c r="D104" s="2"/>
      <c r="E104" s="2"/>
      <c r="F104" s="2"/>
      <c r="G104" s="36" t="s">
        <v>681</v>
      </c>
      <c r="H104" s="36" t="s">
        <v>682</v>
      </c>
    </row>
    <row r="105" spans="1:8" x14ac:dyDescent="0.25">
      <c r="A105" s="37" t="s">
        <v>447</v>
      </c>
      <c r="B105" s="2"/>
      <c r="C105" s="2"/>
      <c r="D105" s="2"/>
      <c r="E105" s="2"/>
      <c r="F105" s="2"/>
      <c r="G105" s="37" t="s">
        <v>655</v>
      </c>
      <c r="H105" s="37" t="s">
        <v>656</v>
      </c>
    </row>
    <row r="106" spans="1:8" x14ac:dyDescent="0.25">
      <c r="A106" s="37" t="s">
        <v>453</v>
      </c>
      <c r="B106" s="2"/>
      <c r="C106" s="2"/>
      <c r="D106" s="2"/>
      <c r="E106" s="2"/>
      <c r="F106" s="2"/>
      <c r="G106" s="37" t="s">
        <v>657</v>
      </c>
      <c r="H106" s="37" t="s">
        <v>658</v>
      </c>
    </row>
    <row r="107" spans="1:8" x14ac:dyDescent="0.25">
      <c r="A107" s="37" t="s">
        <v>454</v>
      </c>
      <c r="B107" s="2"/>
      <c r="C107" s="2"/>
      <c r="D107" s="2"/>
      <c r="E107" s="2"/>
      <c r="F107" s="2"/>
      <c r="G107" s="37" t="s">
        <v>659</v>
      </c>
      <c r="H107" s="37" t="s">
        <v>660</v>
      </c>
    </row>
    <row r="108" spans="1:8" x14ac:dyDescent="0.25">
      <c r="A108" s="37" t="s">
        <v>448</v>
      </c>
      <c r="B108" s="2"/>
      <c r="C108" s="2"/>
      <c r="D108" s="2"/>
      <c r="E108" s="2"/>
      <c r="F108" s="2"/>
      <c r="G108" s="37" t="s">
        <v>661</v>
      </c>
      <c r="H108" s="37" t="s">
        <v>662</v>
      </c>
    </row>
    <row r="109" spans="1:8" x14ac:dyDescent="0.25">
      <c r="A109" s="36" t="s">
        <v>367</v>
      </c>
      <c r="B109" s="2"/>
      <c r="C109" s="2"/>
      <c r="D109" s="2"/>
      <c r="E109" s="2"/>
      <c r="F109" s="2"/>
      <c r="G109" s="36" t="s">
        <v>663</v>
      </c>
      <c r="H109" s="36" t="s">
        <v>664</v>
      </c>
    </row>
    <row r="110" spans="1:8" x14ac:dyDescent="0.25">
      <c r="A110" s="37" t="s">
        <v>441</v>
      </c>
      <c r="B110" s="2"/>
      <c r="C110" s="2"/>
      <c r="D110" s="2"/>
      <c r="E110" s="2"/>
      <c r="F110" s="2"/>
      <c r="G110" s="36" t="s">
        <v>679</v>
      </c>
      <c r="H110" s="36" t="s">
        <v>680</v>
      </c>
    </row>
    <row r="111" spans="1:8" x14ac:dyDescent="0.25">
      <c r="A111" s="37" t="s">
        <v>449</v>
      </c>
      <c r="B111" s="2"/>
      <c r="C111" s="2"/>
      <c r="D111" s="2"/>
      <c r="E111" s="2"/>
      <c r="F111" s="2"/>
      <c r="G111" s="37" t="s">
        <v>665</v>
      </c>
      <c r="H111" s="37" t="s">
        <v>671</v>
      </c>
    </row>
    <row r="112" spans="1:8" x14ac:dyDescent="0.25">
      <c r="A112" s="37" t="s">
        <v>450</v>
      </c>
      <c r="B112" s="2"/>
      <c r="C112" s="2"/>
      <c r="D112" s="2"/>
      <c r="E112" s="2"/>
      <c r="F112" s="2"/>
      <c r="G112" s="37" t="s">
        <v>668</v>
      </c>
      <c r="H112" s="37" t="s">
        <v>672</v>
      </c>
    </row>
    <row r="113" spans="1:8" x14ac:dyDescent="0.25">
      <c r="A113" s="37" t="s">
        <v>451</v>
      </c>
      <c r="B113" s="2"/>
      <c r="C113" s="2"/>
      <c r="D113" s="2"/>
      <c r="E113" s="2"/>
      <c r="F113" s="2"/>
      <c r="G113" s="37" t="s">
        <v>669</v>
      </c>
      <c r="H113" s="37" t="s">
        <v>673</v>
      </c>
    </row>
    <row r="114" spans="1:8" x14ac:dyDescent="0.25">
      <c r="A114" s="37" t="s">
        <v>452</v>
      </c>
      <c r="B114" s="2"/>
      <c r="C114" s="2"/>
      <c r="D114" s="2"/>
      <c r="E114" s="2"/>
      <c r="F114" s="2"/>
      <c r="G114" s="37" t="s">
        <v>670</v>
      </c>
      <c r="H114" s="37" t="s">
        <v>674</v>
      </c>
    </row>
  </sheetData>
  <phoneticPr fontId="1" type="noConversion"/>
  <dataValidations count="1">
    <dataValidation type="list" showInputMessage="1" promptTitle="Langue" prompt="Choisir une langue" sqref="J1" xr:uid="{E2A3CC03-0584-44A0-B887-DC35A31957F0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S91"/>
  <sheetViews>
    <sheetView topLeftCell="A30" zoomScale="82" zoomScaleNormal="82" workbookViewId="0">
      <selection activeCell="N40" sqref="N40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51.42578125" bestFit="1" customWidth="1"/>
    <col min="8" max="8" width="12.7109375" customWidth="1"/>
    <col min="9" max="9" width="11.42578125" bestFit="1" customWidth="1"/>
    <col min="10" max="10" width="30.85546875" bestFit="1" customWidth="1"/>
    <col min="11" max="11" width="16.5703125" customWidth="1"/>
    <col min="12" max="12" width="19.140625" bestFit="1" customWidth="1"/>
    <col min="13" max="13" width="9.7109375" bestFit="1" customWidth="1"/>
    <col min="14" max="14" width="9.7109375" customWidth="1"/>
    <col min="15" max="15" width="12.5703125" bestFit="1" customWidth="1"/>
    <col min="16" max="16" width="12.5703125" customWidth="1"/>
    <col min="17" max="17" width="31.5703125" customWidth="1"/>
    <col min="18" max="18" width="23.28515625" bestFit="1" customWidth="1"/>
    <col min="19" max="19" width="12.5703125" customWidth="1"/>
  </cols>
  <sheetData>
    <row r="1" spans="2:19" x14ac:dyDescent="0.25">
      <c r="B1" t="s">
        <v>114</v>
      </c>
      <c r="J1" s="10"/>
    </row>
    <row r="3" spans="2:19" x14ac:dyDescent="0.25">
      <c r="B3" t="s">
        <v>90</v>
      </c>
      <c r="C3" t="s">
        <v>112</v>
      </c>
      <c r="D3" t="s">
        <v>110</v>
      </c>
      <c r="E3" t="s">
        <v>136</v>
      </c>
      <c r="F3" t="s">
        <v>688</v>
      </c>
      <c r="G3" t="s">
        <v>97</v>
      </c>
      <c r="H3" t="s">
        <v>100</v>
      </c>
      <c r="I3" t="s">
        <v>135</v>
      </c>
      <c r="J3" t="s">
        <v>91</v>
      </c>
      <c r="K3" t="s">
        <v>155</v>
      </c>
      <c r="L3" t="s">
        <v>154</v>
      </c>
      <c r="M3" t="s">
        <v>196</v>
      </c>
      <c r="N3" t="s">
        <v>690</v>
      </c>
      <c r="O3" t="s">
        <v>92</v>
      </c>
      <c r="P3" t="s">
        <v>111</v>
      </c>
      <c r="Q3" s="41" t="s">
        <v>116</v>
      </c>
      <c r="R3" t="s">
        <v>108</v>
      </c>
      <c r="S3" t="s">
        <v>322</v>
      </c>
    </row>
    <row r="4" spans="2:19" ht="30" x14ac:dyDescent="0.25">
      <c r="B4" s="14" t="s">
        <v>501</v>
      </c>
      <c r="C4" s="15" t="s">
        <v>113</v>
      </c>
      <c r="D4" s="15" t="s">
        <v>94</v>
      </c>
      <c r="E4" s="15" t="s">
        <v>137</v>
      </c>
      <c r="F4" s="15" t="s">
        <v>96</v>
      </c>
      <c r="G4" s="15" t="s">
        <v>0</v>
      </c>
      <c r="H4" s="15" t="s">
        <v>98</v>
      </c>
      <c r="I4" s="15" t="s">
        <v>94</v>
      </c>
      <c r="J4" s="15" t="s">
        <v>93</v>
      </c>
      <c r="K4" s="15"/>
      <c r="L4" s="15"/>
      <c r="M4" s="15">
        <v>1</v>
      </c>
      <c r="N4" s="15">
        <v>14</v>
      </c>
      <c r="O4" s="15" t="s">
        <v>94</v>
      </c>
      <c r="P4" s="15" t="s">
        <v>87</v>
      </c>
      <c r="Q4" s="16" t="s">
        <v>177</v>
      </c>
      <c r="R4" s="15" t="s">
        <v>106</v>
      </c>
      <c r="S4" s="15"/>
    </row>
    <row r="5" spans="2:19" ht="30" x14ac:dyDescent="0.25">
      <c r="B5" s="15"/>
      <c r="C5" s="15"/>
      <c r="D5" s="15"/>
      <c r="E5" s="15"/>
      <c r="F5" s="15"/>
      <c r="G5" s="15" t="s">
        <v>47</v>
      </c>
      <c r="H5" s="15" t="s">
        <v>101</v>
      </c>
      <c r="I5" s="15" t="s">
        <v>94</v>
      </c>
      <c r="J5" s="15" t="s">
        <v>73</v>
      </c>
      <c r="K5" s="15"/>
      <c r="L5" s="15"/>
      <c r="M5" s="15">
        <v>1</v>
      </c>
      <c r="N5" s="15">
        <v>14</v>
      </c>
      <c r="O5" s="15" t="s">
        <v>96</v>
      </c>
      <c r="P5" s="15" t="s">
        <v>83</v>
      </c>
      <c r="Q5" s="16" t="s">
        <v>178</v>
      </c>
      <c r="R5" s="15" t="s">
        <v>109</v>
      </c>
      <c r="S5" s="15"/>
    </row>
    <row r="6" spans="2:19" ht="30" x14ac:dyDescent="0.25">
      <c r="B6" s="15"/>
      <c r="C6" s="15"/>
      <c r="D6" s="15"/>
      <c r="E6" s="15"/>
      <c r="F6" s="15"/>
      <c r="G6" s="15" t="s">
        <v>102</v>
      </c>
      <c r="H6" s="15" t="s">
        <v>101</v>
      </c>
      <c r="I6" s="15" t="s">
        <v>94</v>
      </c>
      <c r="J6" s="15" t="s">
        <v>103</v>
      </c>
      <c r="K6" s="15"/>
      <c r="L6" s="15"/>
      <c r="M6" s="15">
        <v>1</v>
      </c>
      <c r="N6" s="15">
        <v>14</v>
      </c>
      <c r="O6" s="15" t="s">
        <v>96</v>
      </c>
      <c r="P6" s="15" t="s">
        <v>78</v>
      </c>
      <c r="Q6" s="16" t="s">
        <v>178</v>
      </c>
      <c r="R6" s="15" t="s">
        <v>109</v>
      </c>
      <c r="S6" s="15"/>
    </row>
    <row r="7" spans="2:19" x14ac:dyDescent="0.25">
      <c r="B7" s="15"/>
      <c r="C7" s="15"/>
      <c r="D7" s="15"/>
      <c r="E7" s="15"/>
      <c r="F7" s="15"/>
      <c r="G7" s="15" t="s">
        <v>95</v>
      </c>
      <c r="H7" s="15" t="s">
        <v>99</v>
      </c>
      <c r="I7" s="15" t="s">
        <v>96</v>
      </c>
      <c r="J7" s="15" t="s">
        <v>74</v>
      </c>
      <c r="K7" s="15"/>
      <c r="L7" s="15" t="s">
        <v>156</v>
      </c>
      <c r="M7" s="15">
        <v>1</v>
      </c>
      <c r="N7" s="15">
        <v>28</v>
      </c>
      <c r="O7" s="15" t="s">
        <v>96</v>
      </c>
      <c r="P7" s="15"/>
      <c r="Q7" s="16"/>
      <c r="R7" s="15"/>
      <c r="S7" s="15"/>
    </row>
    <row r="8" spans="2:19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6"/>
      <c r="R8" s="15"/>
      <c r="S8" s="15"/>
    </row>
    <row r="9" spans="2:19" ht="30" x14ac:dyDescent="0.25">
      <c r="B9" s="14" t="s">
        <v>500</v>
      </c>
      <c r="C9" s="15" t="s">
        <v>239</v>
      </c>
      <c r="D9" s="15" t="s">
        <v>94</v>
      </c>
      <c r="E9" s="16" t="s">
        <v>601</v>
      </c>
      <c r="F9" s="16" t="s">
        <v>94</v>
      </c>
      <c r="G9" s="15" t="s">
        <v>689</v>
      </c>
      <c r="H9" s="15"/>
      <c r="I9" s="15"/>
      <c r="J9" s="15" t="s">
        <v>199</v>
      </c>
      <c r="K9" s="15"/>
      <c r="L9" s="15"/>
      <c r="M9" s="15">
        <v>1</v>
      </c>
      <c r="N9" s="15">
        <v>5</v>
      </c>
      <c r="O9" s="15"/>
      <c r="P9" s="15" t="s">
        <v>134</v>
      </c>
      <c r="Q9" s="16" t="s">
        <v>605</v>
      </c>
      <c r="R9" s="15" t="s">
        <v>106</v>
      </c>
      <c r="S9" s="15"/>
    </row>
    <row r="10" spans="2:19" x14ac:dyDescent="0.25">
      <c r="B10" s="15"/>
      <c r="C10" s="15"/>
      <c r="D10" s="15"/>
      <c r="E10" s="15"/>
      <c r="F10" s="15"/>
      <c r="G10" s="34" t="s">
        <v>191</v>
      </c>
      <c r="H10" s="34" t="s">
        <v>101</v>
      </c>
      <c r="I10" s="34" t="s">
        <v>94</v>
      </c>
      <c r="J10" s="33" t="s">
        <v>73</v>
      </c>
      <c r="K10" s="33" t="s">
        <v>368</v>
      </c>
      <c r="L10" s="34"/>
      <c r="M10" s="34">
        <v>4</v>
      </c>
      <c r="N10" s="34">
        <v>9</v>
      </c>
      <c r="O10" s="34" t="s">
        <v>96</v>
      </c>
      <c r="P10" s="35"/>
      <c r="Q10" s="42"/>
      <c r="R10" s="35"/>
      <c r="S10" s="34" t="s">
        <v>250</v>
      </c>
    </row>
    <row r="11" spans="2:19" x14ac:dyDescent="0.25">
      <c r="B11" s="15"/>
      <c r="C11" s="15"/>
      <c r="D11" s="15"/>
      <c r="E11" s="15"/>
      <c r="F11" s="15"/>
      <c r="G11" s="34" t="s">
        <v>192</v>
      </c>
      <c r="H11" s="34" t="s">
        <v>101</v>
      </c>
      <c r="I11" s="34" t="s">
        <v>94</v>
      </c>
      <c r="J11" s="33" t="s">
        <v>103</v>
      </c>
      <c r="K11" s="34" t="s">
        <v>369</v>
      </c>
      <c r="L11" s="34"/>
      <c r="M11" s="34">
        <v>4</v>
      </c>
      <c r="N11" s="34">
        <v>9</v>
      </c>
      <c r="O11" s="34" t="s">
        <v>96</v>
      </c>
      <c r="P11" s="35"/>
      <c r="Q11" s="42"/>
      <c r="R11" s="35"/>
      <c r="S11" s="34" t="s">
        <v>281</v>
      </c>
    </row>
    <row r="12" spans="2:19" x14ac:dyDescent="0.25">
      <c r="B12" s="15"/>
      <c r="C12" s="15"/>
      <c r="D12" s="15"/>
      <c r="E12" s="15"/>
      <c r="F12" s="15"/>
      <c r="G12" s="34" t="s">
        <v>193</v>
      </c>
      <c r="H12" s="34" t="s">
        <v>101</v>
      </c>
      <c r="I12" s="34" t="s">
        <v>94</v>
      </c>
      <c r="J12" s="33" t="s">
        <v>105</v>
      </c>
      <c r="K12" s="34" t="s">
        <v>370</v>
      </c>
      <c r="L12" s="34"/>
      <c r="M12" s="34">
        <v>4</v>
      </c>
      <c r="N12" s="34">
        <v>9</v>
      </c>
      <c r="O12" s="34" t="s">
        <v>96</v>
      </c>
      <c r="P12" s="35"/>
      <c r="Q12" s="42"/>
      <c r="R12" s="35"/>
      <c r="S12" s="34" t="s">
        <v>282</v>
      </c>
    </row>
    <row r="13" spans="2:19" x14ac:dyDescent="0.25">
      <c r="B13" s="15"/>
      <c r="C13" s="15"/>
      <c r="D13" s="15"/>
      <c r="E13" s="15"/>
      <c r="F13" s="15"/>
      <c r="G13" s="34" t="s">
        <v>380</v>
      </c>
      <c r="H13" s="34" t="s">
        <v>99</v>
      </c>
      <c r="I13" s="34" t="s">
        <v>94</v>
      </c>
      <c r="J13" s="34" t="s">
        <v>378</v>
      </c>
      <c r="K13" s="34"/>
      <c r="L13" s="33" t="s">
        <v>194</v>
      </c>
      <c r="M13" s="34">
        <v>4</v>
      </c>
      <c r="N13" s="34">
        <v>21</v>
      </c>
      <c r="O13" s="34" t="s">
        <v>96</v>
      </c>
      <c r="P13" s="35"/>
      <c r="Q13" s="42"/>
      <c r="R13" s="35"/>
      <c r="S13" s="34" t="s">
        <v>283</v>
      </c>
    </row>
    <row r="14" spans="2:19" x14ac:dyDescent="0.25">
      <c r="B14" s="15"/>
      <c r="C14" s="15"/>
      <c r="D14" s="15"/>
      <c r="E14" s="15"/>
      <c r="F14" s="15"/>
      <c r="G14" s="34" t="s">
        <v>381</v>
      </c>
      <c r="H14" s="34" t="s">
        <v>99</v>
      </c>
      <c r="I14" s="34" t="s">
        <v>94</v>
      </c>
      <c r="J14" s="34" t="s">
        <v>379</v>
      </c>
      <c r="K14" s="34"/>
      <c r="L14" s="33" t="s">
        <v>194</v>
      </c>
      <c r="M14" s="34">
        <v>4</v>
      </c>
      <c r="N14" s="34">
        <v>21</v>
      </c>
      <c r="O14" s="34" t="s">
        <v>96</v>
      </c>
      <c r="P14" s="35"/>
      <c r="Q14" s="42"/>
      <c r="R14" s="35"/>
      <c r="S14" s="34" t="s">
        <v>284</v>
      </c>
    </row>
    <row r="15" spans="2:19" x14ac:dyDescent="0.25">
      <c r="B15" s="15"/>
      <c r="C15" s="15"/>
      <c r="D15" s="15"/>
      <c r="E15" s="15"/>
      <c r="F15" s="15"/>
      <c r="G15" s="33" t="s">
        <v>195</v>
      </c>
      <c r="H15" s="33"/>
      <c r="I15" s="34"/>
      <c r="J15" s="33" t="s">
        <v>327</v>
      </c>
      <c r="K15" s="33"/>
      <c r="L15" s="33"/>
      <c r="M15" s="33">
        <v>2</v>
      </c>
      <c r="N15" s="44">
        <v>5</v>
      </c>
      <c r="O15" s="34"/>
      <c r="P15" s="35"/>
      <c r="Q15" s="42"/>
      <c r="R15" s="35"/>
      <c r="S15" s="34"/>
    </row>
    <row r="16" spans="2:19" x14ac:dyDescent="0.25">
      <c r="B16" s="15"/>
      <c r="C16" s="15"/>
      <c r="D16" s="15"/>
      <c r="E16" s="15"/>
      <c r="F16" s="15"/>
      <c r="G16" s="33" t="s">
        <v>195</v>
      </c>
      <c r="H16" s="33"/>
      <c r="I16" s="34"/>
      <c r="J16" s="33" t="s">
        <v>323</v>
      </c>
      <c r="K16" s="33"/>
      <c r="L16" s="33"/>
      <c r="M16" s="33">
        <v>2</v>
      </c>
      <c r="N16" s="44">
        <v>5</v>
      </c>
      <c r="O16" s="34"/>
      <c r="P16" s="35"/>
      <c r="Q16" s="42"/>
      <c r="R16" s="35"/>
      <c r="S16" s="34"/>
    </row>
    <row r="17" spans="2:19" x14ac:dyDescent="0.25">
      <c r="B17" s="15"/>
      <c r="C17" s="15"/>
      <c r="D17" s="15"/>
      <c r="E17" s="15"/>
      <c r="F17" s="15"/>
      <c r="G17" s="34" t="s">
        <v>382</v>
      </c>
      <c r="H17" s="34" t="s">
        <v>149</v>
      </c>
      <c r="I17" s="34" t="s">
        <v>96</v>
      </c>
      <c r="J17" s="34" t="s">
        <v>456</v>
      </c>
      <c r="K17" s="34"/>
      <c r="L17" s="34"/>
      <c r="M17" s="34">
        <v>4</v>
      </c>
      <c r="N17" s="34">
        <v>9</v>
      </c>
      <c r="O17" s="34" t="s">
        <v>96</v>
      </c>
      <c r="P17" s="35"/>
      <c r="Q17" s="42"/>
      <c r="R17" s="35"/>
      <c r="S17" s="34" t="s">
        <v>252</v>
      </c>
    </row>
    <row r="18" spans="2:19" x14ac:dyDescent="0.25">
      <c r="B18" s="15"/>
      <c r="C18" s="15"/>
      <c r="D18" s="15"/>
      <c r="E18" s="15"/>
      <c r="F18" s="15"/>
      <c r="G18" s="34" t="s">
        <v>383</v>
      </c>
      <c r="H18" s="34" t="s">
        <v>101</v>
      </c>
      <c r="I18" s="34" t="s">
        <v>96</v>
      </c>
      <c r="J18" s="34" t="s">
        <v>457</v>
      </c>
      <c r="K18" s="34" t="s">
        <v>371</v>
      </c>
      <c r="L18" s="34"/>
      <c r="M18" s="34">
        <v>4</v>
      </c>
      <c r="N18" s="34">
        <v>9</v>
      </c>
      <c r="O18" s="34" t="s">
        <v>96</v>
      </c>
      <c r="P18" s="35"/>
      <c r="Q18" s="42"/>
      <c r="R18" s="35"/>
      <c r="S18" s="34" t="s">
        <v>253</v>
      </c>
    </row>
    <row r="19" spans="2:19" x14ac:dyDescent="0.25">
      <c r="B19" s="15"/>
      <c r="C19" s="15"/>
      <c r="D19" s="15"/>
      <c r="E19" s="15"/>
      <c r="F19" s="15"/>
      <c r="G19" s="34" t="s">
        <v>384</v>
      </c>
      <c r="H19" s="34" t="s">
        <v>149</v>
      </c>
      <c r="I19" s="34" t="s">
        <v>96</v>
      </c>
      <c r="J19" s="34" t="s">
        <v>458</v>
      </c>
      <c r="K19" s="34"/>
      <c r="L19" s="34"/>
      <c r="M19" s="34">
        <v>4</v>
      </c>
      <c r="N19" s="34">
        <v>9</v>
      </c>
      <c r="O19" s="34" t="s">
        <v>96</v>
      </c>
      <c r="P19" s="35"/>
      <c r="Q19" s="42"/>
      <c r="R19" s="35"/>
      <c r="S19" s="34" t="s">
        <v>254</v>
      </c>
    </row>
    <row r="20" spans="2:19" x14ac:dyDescent="0.25">
      <c r="B20" s="15"/>
      <c r="C20" s="15"/>
      <c r="D20" s="15"/>
      <c r="E20" s="15"/>
      <c r="F20" s="15"/>
      <c r="G20" s="34" t="s">
        <v>385</v>
      </c>
      <c r="H20" s="34" t="s">
        <v>101</v>
      </c>
      <c r="I20" s="34" t="s">
        <v>96</v>
      </c>
      <c r="J20" s="34" t="s">
        <v>459</v>
      </c>
      <c r="K20" s="34" t="s">
        <v>371</v>
      </c>
      <c r="L20" s="34"/>
      <c r="M20" s="34">
        <v>4</v>
      </c>
      <c r="N20" s="34">
        <v>9</v>
      </c>
      <c r="O20" s="34" t="s">
        <v>96</v>
      </c>
      <c r="P20" s="35"/>
      <c r="Q20" s="42"/>
      <c r="R20" s="35"/>
      <c r="S20" s="34" t="s">
        <v>255</v>
      </c>
    </row>
    <row r="21" spans="2:19" x14ac:dyDescent="0.25">
      <c r="B21" s="15"/>
      <c r="C21" s="15"/>
      <c r="D21" s="15"/>
      <c r="E21" s="15"/>
      <c r="F21" s="15"/>
      <c r="G21" s="34" t="s">
        <v>386</v>
      </c>
      <c r="H21" s="34" t="s">
        <v>149</v>
      </c>
      <c r="I21" s="34" t="s">
        <v>96</v>
      </c>
      <c r="J21" s="34" t="s">
        <v>460</v>
      </c>
      <c r="K21" s="34"/>
      <c r="L21" s="34"/>
      <c r="M21" s="34">
        <v>4</v>
      </c>
      <c r="N21" s="34">
        <v>9</v>
      </c>
      <c r="O21" s="34" t="s">
        <v>96</v>
      </c>
      <c r="P21" s="35"/>
      <c r="Q21" s="42"/>
      <c r="R21" s="35"/>
      <c r="S21" s="34" t="s">
        <v>256</v>
      </c>
    </row>
    <row r="22" spans="2:19" x14ac:dyDescent="0.25">
      <c r="B22" s="15"/>
      <c r="C22" s="15"/>
      <c r="D22" s="15"/>
      <c r="E22" s="15"/>
      <c r="F22" s="15"/>
      <c r="G22" s="34" t="s">
        <v>387</v>
      </c>
      <c r="H22" s="34" t="s">
        <v>101</v>
      </c>
      <c r="I22" s="34" t="s">
        <v>96</v>
      </c>
      <c r="J22" s="34" t="s">
        <v>461</v>
      </c>
      <c r="K22" s="34" t="s">
        <v>372</v>
      </c>
      <c r="L22" s="34"/>
      <c r="M22" s="34">
        <v>4</v>
      </c>
      <c r="N22" s="34">
        <v>9</v>
      </c>
      <c r="O22" s="34" t="s">
        <v>96</v>
      </c>
      <c r="P22" s="35"/>
      <c r="Q22" s="42"/>
      <c r="R22" s="35"/>
      <c r="S22" s="34" t="s">
        <v>257</v>
      </c>
    </row>
    <row r="23" spans="2:19" x14ac:dyDescent="0.25">
      <c r="B23" s="15"/>
      <c r="C23" s="15"/>
      <c r="D23" s="15"/>
      <c r="E23" s="15"/>
      <c r="F23" s="15"/>
      <c r="G23" s="34" t="s">
        <v>388</v>
      </c>
      <c r="H23" s="34" t="s">
        <v>149</v>
      </c>
      <c r="I23" s="34" t="s">
        <v>96</v>
      </c>
      <c r="J23" s="34" t="s">
        <v>462</v>
      </c>
      <c r="K23" s="34"/>
      <c r="L23" s="34"/>
      <c r="M23" s="34">
        <v>4</v>
      </c>
      <c r="N23" s="34">
        <v>9</v>
      </c>
      <c r="O23" s="34" t="s">
        <v>96</v>
      </c>
      <c r="P23" s="35"/>
      <c r="Q23" s="42"/>
      <c r="R23" s="35"/>
      <c r="S23" s="34" t="s">
        <v>258</v>
      </c>
    </row>
    <row r="24" spans="2:19" x14ac:dyDescent="0.25">
      <c r="B24" s="15"/>
      <c r="C24" s="15"/>
      <c r="D24" s="15"/>
      <c r="E24" s="15"/>
      <c r="F24" s="15"/>
      <c r="G24" s="34" t="s">
        <v>389</v>
      </c>
      <c r="H24" s="34" t="s">
        <v>98</v>
      </c>
      <c r="I24" s="34" t="s">
        <v>96</v>
      </c>
      <c r="J24" s="34" t="s">
        <v>463</v>
      </c>
      <c r="K24" s="34"/>
      <c r="L24" s="34"/>
      <c r="M24" s="34">
        <v>4</v>
      </c>
      <c r="N24" s="34">
        <v>9</v>
      </c>
      <c r="O24" s="34" t="s">
        <v>96</v>
      </c>
      <c r="P24" s="35"/>
      <c r="Q24" s="42"/>
      <c r="R24" s="35"/>
      <c r="S24" s="34" t="s">
        <v>259</v>
      </c>
    </row>
    <row r="25" spans="2:19" x14ac:dyDescent="0.25">
      <c r="B25" s="15"/>
      <c r="C25" s="15"/>
      <c r="D25" s="15"/>
      <c r="E25" s="15"/>
      <c r="F25" s="15"/>
      <c r="G25" s="34" t="s">
        <v>390</v>
      </c>
      <c r="H25" s="34" t="s">
        <v>149</v>
      </c>
      <c r="I25" s="34" t="s">
        <v>96</v>
      </c>
      <c r="J25" s="34" t="s">
        <v>464</v>
      </c>
      <c r="K25" s="34"/>
      <c r="L25" s="34"/>
      <c r="M25" s="34">
        <v>4</v>
      </c>
      <c r="N25" s="34">
        <v>9</v>
      </c>
      <c r="O25" s="34" t="s">
        <v>96</v>
      </c>
      <c r="P25" s="35"/>
      <c r="Q25" s="42"/>
      <c r="R25" s="35"/>
      <c r="S25" s="34" t="s">
        <v>260</v>
      </c>
    </row>
    <row r="26" spans="2:19" x14ac:dyDescent="0.25">
      <c r="B26" s="15"/>
      <c r="C26" s="15"/>
      <c r="D26" s="15"/>
      <c r="E26" s="15"/>
      <c r="F26" s="15"/>
      <c r="G26" s="34" t="s">
        <v>391</v>
      </c>
      <c r="H26" s="34" t="s">
        <v>149</v>
      </c>
      <c r="I26" s="34" t="s">
        <v>96</v>
      </c>
      <c r="J26" s="34" t="s">
        <v>465</v>
      </c>
      <c r="K26" s="34"/>
      <c r="L26" s="34"/>
      <c r="M26" s="34">
        <v>4</v>
      </c>
      <c r="N26" s="34">
        <v>9</v>
      </c>
      <c r="O26" s="34" t="s">
        <v>96</v>
      </c>
      <c r="P26" s="35"/>
      <c r="Q26" s="42"/>
      <c r="R26" s="35"/>
      <c r="S26" s="34" t="s">
        <v>261</v>
      </c>
    </row>
    <row r="27" spans="2:19" x14ac:dyDescent="0.25">
      <c r="B27" s="15"/>
      <c r="C27" s="15"/>
      <c r="D27" s="15"/>
      <c r="E27" s="15"/>
      <c r="F27" s="15"/>
      <c r="G27" s="34" t="s">
        <v>392</v>
      </c>
      <c r="H27" s="34" t="s">
        <v>98</v>
      </c>
      <c r="I27" s="34" t="s">
        <v>96</v>
      </c>
      <c r="J27" s="34" t="s">
        <v>466</v>
      </c>
      <c r="K27" s="34" t="s">
        <v>373</v>
      </c>
      <c r="L27" s="34"/>
      <c r="M27" s="34">
        <v>4</v>
      </c>
      <c r="N27" s="34">
        <v>9</v>
      </c>
      <c r="O27" s="34" t="s">
        <v>96</v>
      </c>
      <c r="P27" s="35"/>
      <c r="Q27" s="42"/>
      <c r="R27" s="35"/>
      <c r="S27" s="34" t="s">
        <v>262</v>
      </c>
    </row>
    <row r="28" spans="2:19" x14ac:dyDescent="0.25">
      <c r="B28" s="15"/>
      <c r="C28" s="15"/>
      <c r="D28" s="15"/>
      <c r="E28" s="15"/>
      <c r="F28" s="15"/>
      <c r="G28" s="34" t="s">
        <v>393</v>
      </c>
      <c r="H28" s="34" t="s">
        <v>149</v>
      </c>
      <c r="I28" s="34" t="s">
        <v>96</v>
      </c>
      <c r="J28" s="34" t="s">
        <v>467</v>
      </c>
      <c r="K28" s="34"/>
      <c r="L28" s="34"/>
      <c r="M28" s="34">
        <v>4</v>
      </c>
      <c r="N28" s="34">
        <v>9</v>
      </c>
      <c r="O28" s="34" t="s">
        <v>96</v>
      </c>
      <c r="P28" s="35"/>
      <c r="Q28" s="42"/>
      <c r="R28" s="35"/>
      <c r="S28" s="34" t="s">
        <v>263</v>
      </c>
    </row>
    <row r="29" spans="2:19" x14ac:dyDescent="0.25">
      <c r="B29" s="15"/>
      <c r="C29" s="15"/>
      <c r="D29" s="15"/>
      <c r="E29" s="15"/>
      <c r="F29" s="15"/>
      <c r="G29" s="34" t="s">
        <v>394</v>
      </c>
      <c r="H29" s="34" t="s">
        <v>101</v>
      </c>
      <c r="I29" s="34" t="s">
        <v>96</v>
      </c>
      <c r="J29" s="34" t="s">
        <v>468</v>
      </c>
      <c r="K29" s="34" t="s">
        <v>374</v>
      </c>
      <c r="L29" s="34"/>
      <c r="M29" s="34">
        <v>4</v>
      </c>
      <c r="N29" s="34">
        <v>9</v>
      </c>
      <c r="O29" s="34" t="s">
        <v>96</v>
      </c>
      <c r="P29" s="35"/>
      <c r="Q29" s="42"/>
      <c r="R29" s="35"/>
      <c r="S29" s="34" t="s">
        <v>264</v>
      </c>
    </row>
    <row r="30" spans="2:19" x14ac:dyDescent="0.25">
      <c r="B30" s="15"/>
      <c r="C30" s="15"/>
      <c r="D30" s="15"/>
      <c r="E30" s="15"/>
      <c r="F30" s="15"/>
      <c r="G30" s="34" t="s">
        <v>395</v>
      </c>
      <c r="H30" s="34" t="s">
        <v>149</v>
      </c>
      <c r="I30" s="34" t="s">
        <v>96</v>
      </c>
      <c r="J30" s="34" t="s">
        <v>469</v>
      </c>
      <c r="K30" s="34"/>
      <c r="L30" s="34"/>
      <c r="M30" s="34">
        <v>4</v>
      </c>
      <c r="N30" s="34">
        <v>9</v>
      </c>
      <c r="O30" s="34" t="s">
        <v>96</v>
      </c>
      <c r="P30" s="35"/>
      <c r="Q30" s="42"/>
      <c r="R30" s="35"/>
      <c r="S30" s="34" t="s">
        <v>265</v>
      </c>
    </row>
    <row r="31" spans="2:19" x14ac:dyDescent="0.25">
      <c r="B31" s="15"/>
      <c r="C31" s="15"/>
      <c r="D31" s="15"/>
      <c r="E31" s="15"/>
      <c r="F31" s="15"/>
      <c r="G31" s="34" t="s">
        <v>396</v>
      </c>
      <c r="H31" s="34" t="s">
        <v>149</v>
      </c>
      <c r="I31" s="34" t="s">
        <v>96</v>
      </c>
      <c r="J31" s="34" t="s">
        <v>470</v>
      </c>
      <c r="K31" s="34"/>
      <c r="L31" s="34"/>
      <c r="M31" s="34">
        <v>4</v>
      </c>
      <c r="N31" s="34">
        <v>9</v>
      </c>
      <c r="O31" s="34" t="s">
        <v>96</v>
      </c>
      <c r="P31" s="35"/>
      <c r="Q31" s="42"/>
      <c r="R31" s="35"/>
      <c r="S31" s="34" t="s">
        <v>266</v>
      </c>
    </row>
    <row r="32" spans="2:19" x14ac:dyDescent="0.25">
      <c r="B32" s="15"/>
      <c r="C32" s="15"/>
      <c r="D32" s="15"/>
      <c r="E32" s="15"/>
      <c r="F32" s="15"/>
      <c r="G32" s="34" t="s">
        <v>397</v>
      </c>
      <c r="H32" s="34" t="s">
        <v>101</v>
      </c>
      <c r="I32" s="34" t="s">
        <v>96</v>
      </c>
      <c r="J32" s="34" t="s">
        <v>471</v>
      </c>
      <c r="K32" s="34" t="s">
        <v>368</v>
      </c>
      <c r="L32" s="34"/>
      <c r="M32" s="34">
        <v>4</v>
      </c>
      <c r="N32" s="34">
        <v>9</v>
      </c>
      <c r="O32" s="34" t="s">
        <v>96</v>
      </c>
      <c r="P32" s="35"/>
      <c r="Q32" s="42"/>
      <c r="R32" s="35"/>
      <c r="S32" s="34" t="s">
        <v>267</v>
      </c>
    </row>
    <row r="33" spans="2:19" x14ac:dyDescent="0.25">
      <c r="B33" s="15"/>
      <c r="C33" s="15"/>
      <c r="D33" s="15"/>
      <c r="E33" s="15"/>
      <c r="F33" s="15"/>
      <c r="G33" s="34" t="s">
        <v>398</v>
      </c>
      <c r="H33" s="34" t="s">
        <v>101</v>
      </c>
      <c r="I33" s="34" t="s">
        <v>96</v>
      </c>
      <c r="J33" s="34" t="s">
        <v>472</v>
      </c>
      <c r="K33" s="34"/>
      <c r="L33" s="34"/>
      <c r="M33" s="34">
        <v>4</v>
      </c>
      <c r="N33" s="34">
        <v>9</v>
      </c>
      <c r="O33" s="34" t="s">
        <v>96</v>
      </c>
      <c r="P33" s="35"/>
      <c r="Q33" s="42"/>
      <c r="R33" s="35"/>
      <c r="S33" s="34" t="s">
        <v>268</v>
      </c>
    </row>
    <row r="34" spans="2:19" x14ac:dyDescent="0.25">
      <c r="B34" s="15"/>
      <c r="C34" s="15"/>
      <c r="D34" s="15"/>
      <c r="E34" s="15"/>
      <c r="F34" s="15"/>
      <c r="G34" s="34" t="s">
        <v>399</v>
      </c>
      <c r="H34" s="34" t="s">
        <v>101</v>
      </c>
      <c r="I34" s="34" t="s">
        <v>96</v>
      </c>
      <c r="J34" s="34" t="s">
        <v>473</v>
      </c>
      <c r="K34" s="34"/>
      <c r="L34" s="34"/>
      <c r="M34" s="34">
        <v>4</v>
      </c>
      <c r="N34" s="34">
        <v>9</v>
      </c>
      <c r="O34" s="34" t="s">
        <v>96</v>
      </c>
      <c r="P34" s="35"/>
      <c r="Q34" s="42"/>
      <c r="R34" s="35"/>
      <c r="S34" s="34" t="s">
        <v>269</v>
      </c>
    </row>
    <row r="35" spans="2:19" x14ac:dyDescent="0.25">
      <c r="B35" s="15"/>
      <c r="C35" s="15"/>
      <c r="D35" s="15"/>
      <c r="E35" s="15"/>
      <c r="F35" s="15"/>
      <c r="G35" s="34" t="s">
        <v>400</v>
      </c>
      <c r="H35" s="34" t="s">
        <v>101</v>
      </c>
      <c r="I35" s="34" t="s">
        <v>96</v>
      </c>
      <c r="J35" s="34" t="s">
        <v>474</v>
      </c>
      <c r="K35" s="34"/>
      <c r="L35" s="34"/>
      <c r="M35" s="34">
        <v>4</v>
      </c>
      <c r="N35" s="34">
        <v>9</v>
      </c>
      <c r="O35" s="34" t="s">
        <v>96</v>
      </c>
      <c r="P35" s="35"/>
      <c r="Q35" s="42"/>
      <c r="R35" s="35"/>
      <c r="S35" s="34" t="s">
        <v>270</v>
      </c>
    </row>
    <row r="36" spans="2:19" x14ac:dyDescent="0.25">
      <c r="B36" s="15"/>
      <c r="C36" s="15"/>
      <c r="D36" s="15"/>
      <c r="E36" s="15"/>
      <c r="F36" s="15"/>
      <c r="G36" s="34" t="s">
        <v>401</v>
      </c>
      <c r="H36" s="34" t="s">
        <v>101</v>
      </c>
      <c r="I36" s="34" t="s">
        <v>96</v>
      </c>
      <c r="J36" s="34" t="s">
        <v>475</v>
      </c>
      <c r="K36" s="34"/>
      <c r="L36" s="34"/>
      <c r="M36" s="34">
        <v>4</v>
      </c>
      <c r="N36" s="34">
        <v>9</v>
      </c>
      <c r="O36" s="34" t="s">
        <v>96</v>
      </c>
      <c r="P36" s="35"/>
      <c r="Q36" s="42"/>
      <c r="R36" s="35"/>
      <c r="S36" s="34" t="s">
        <v>271</v>
      </c>
    </row>
    <row r="37" spans="2:19" x14ac:dyDescent="0.25">
      <c r="B37" s="15"/>
      <c r="C37" s="15"/>
      <c r="D37" s="15"/>
      <c r="E37" s="15"/>
      <c r="F37" s="15"/>
      <c r="G37" s="33" t="s">
        <v>689</v>
      </c>
      <c r="H37" s="33"/>
      <c r="I37" s="34"/>
      <c r="J37" s="33" t="s">
        <v>324</v>
      </c>
      <c r="K37" s="33"/>
      <c r="L37" s="33"/>
      <c r="M37" s="33">
        <v>2</v>
      </c>
      <c r="N37" s="34">
        <v>5</v>
      </c>
      <c r="O37" s="34"/>
      <c r="P37" s="35"/>
      <c r="Q37" s="42"/>
      <c r="R37" s="35"/>
      <c r="S37" s="34"/>
    </row>
    <row r="38" spans="2:19" x14ac:dyDescent="0.25">
      <c r="B38" s="15"/>
      <c r="C38" s="15"/>
      <c r="D38" s="15"/>
      <c r="E38" s="15"/>
      <c r="F38" s="15"/>
      <c r="G38" s="34" t="s">
        <v>402</v>
      </c>
      <c r="H38" s="34" t="s">
        <v>99</v>
      </c>
      <c r="I38" s="34" t="s">
        <v>96</v>
      </c>
      <c r="J38" s="33" t="s">
        <v>148</v>
      </c>
      <c r="K38" s="34"/>
      <c r="L38" s="33" t="s">
        <v>194</v>
      </c>
      <c r="M38" s="34">
        <v>4</v>
      </c>
      <c r="N38" s="34">
        <v>21</v>
      </c>
      <c r="O38" s="34" t="s">
        <v>96</v>
      </c>
      <c r="P38" s="35"/>
      <c r="Q38" s="42"/>
      <c r="R38" s="35"/>
      <c r="S38" s="34" t="s">
        <v>272</v>
      </c>
    </row>
    <row r="39" spans="2:19" x14ac:dyDescent="0.25">
      <c r="B39" s="15"/>
      <c r="C39" s="15"/>
      <c r="D39" s="15"/>
      <c r="E39" s="15"/>
      <c r="F39" s="15"/>
      <c r="G39" s="34" t="s">
        <v>403</v>
      </c>
      <c r="H39" s="34" t="s">
        <v>149</v>
      </c>
      <c r="I39" s="34" t="s">
        <v>96</v>
      </c>
      <c r="J39" s="33" t="s">
        <v>180</v>
      </c>
      <c r="K39" s="34"/>
      <c r="L39" s="34"/>
      <c r="M39" s="34">
        <v>4</v>
      </c>
      <c r="N39" s="34">
        <v>10</v>
      </c>
      <c r="O39" s="34" t="s">
        <v>96</v>
      </c>
      <c r="P39" s="35"/>
      <c r="Q39" s="42"/>
      <c r="R39" s="35"/>
      <c r="S39" s="34" t="s">
        <v>138</v>
      </c>
    </row>
    <row r="40" spans="2:19" x14ac:dyDescent="0.25">
      <c r="B40" s="15"/>
      <c r="C40" s="15"/>
      <c r="D40" s="15"/>
      <c r="E40" s="15"/>
      <c r="F40" s="15"/>
      <c r="G40" s="33" t="s">
        <v>195</v>
      </c>
      <c r="H40" s="33"/>
      <c r="I40" s="34"/>
      <c r="J40" s="33" t="s">
        <v>325</v>
      </c>
      <c r="K40" s="33"/>
      <c r="L40" s="33"/>
      <c r="M40" s="33">
        <v>3</v>
      </c>
      <c r="N40" s="34">
        <v>5</v>
      </c>
      <c r="O40" s="34"/>
      <c r="P40" s="35"/>
      <c r="Q40" s="42"/>
      <c r="R40" s="35"/>
      <c r="S40" s="34"/>
    </row>
    <row r="41" spans="2:19" x14ac:dyDescent="0.25">
      <c r="B41" s="15"/>
      <c r="C41" s="15"/>
      <c r="D41" s="15"/>
      <c r="E41" s="15"/>
      <c r="F41" s="15"/>
      <c r="G41" s="34" t="s">
        <v>404</v>
      </c>
      <c r="H41" s="34" t="s">
        <v>149</v>
      </c>
      <c r="I41" s="34" t="s">
        <v>96</v>
      </c>
      <c r="J41" s="34" t="s">
        <v>413</v>
      </c>
      <c r="K41" s="34"/>
      <c r="L41" s="34"/>
      <c r="M41" s="34">
        <v>4</v>
      </c>
      <c r="N41" s="34">
        <v>9</v>
      </c>
      <c r="O41" s="34" t="s">
        <v>96</v>
      </c>
      <c r="P41" s="35"/>
      <c r="Q41" s="42"/>
      <c r="R41" s="35"/>
      <c r="S41" s="34" t="s">
        <v>273</v>
      </c>
    </row>
    <row r="42" spans="2:19" x14ac:dyDescent="0.25">
      <c r="B42" s="15"/>
      <c r="C42" s="15"/>
      <c r="D42" s="15"/>
      <c r="E42" s="15"/>
      <c r="F42" s="15"/>
      <c r="G42" s="34" t="s">
        <v>405</v>
      </c>
      <c r="H42" s="34" t="s">
        <v>149</v>
      </c>
      <c r="I42" s="34" t="s">
        <v>96</v>
      </c>
      <c r="J42" s="34" t="s">
        <v>414</v>
      </c>
      <c r="K42" s="34"/>
      <c r="L42" s="34"/>
      <c r="M42" s="34">
        <v>4</v>
      </c>
      <c r="N42" s="34">
        <v>9</v>
      </c>
      <c r="O42" s="34" t="s">
        <v>96</v>
      </c>
      <c r="P42" s="35"/>
      <c r="Q42" s="42"/>
      <c r="R42" s="35"/>
      <c r="S42" s="34" t="s">
        <v>274</v>
      </c>
    </row>
    <row r="43" spans="2:19" x14ac:dyDescent="0.25">
      <c r="B43" s="15"/>
      <c r="C43" s="15"/>
      <c r="D43" s="15"/>
      <c r="E43" s="15"/>
      <c r="F43" s="15"/>
      <c r="G43" s="34" t="s">
        <v>406</v>
      </c>
      <c r="H43" s="34" t="s">
        <v>149</v>
      </c>
      <c r="I43" s="34" t="s">
        <v>96</v>
      </c>
      <c r="J43" s="34" t="s">
        <v>415</v>
      </c>
      <c r="K43" s="34"/>
      <c r="L43" s="34"/>
      <c r="M43" s="34">
        <v>4</v>
      </c>
      <c r="N43" s="34">
        <v>9</v>
      </c>
      <c r="O43" s="34" t="s">
        <v>96</v>
      </c>
      <c r="P43" s="35"/>
      <c r="Q43" s="42"/>
      <c r="R43" s="35"/>
      <c r="S43" s="34" t="s">
        <v>275</v>
      </c>
    </row>
    <row r="44" spans="2:19" x14ac:dyDescent="0.25">
      <c r="B44" s="15"/>
      <c r="C44" s="15"/>
      <c r="D44" s="15"/>
      <c r="E44" s="15"/>
      <c r="F44" s="15"/>
      <c r="G44" s="34" t="s">
        <v>407</v>
      </c>
      <c r="H44" s="34" t="s">
        <v>98</v>
      </c>
      <c r="I44" s="34" t="s">
        <v>96</v>
      </c>
      <c r="J44" s="34" t="s">
        <v>416</v>
      </c>
      <c r="K44" s="34"/>
      <c r="L44" s="34"/>
      <c r="M44" s="34">
        <v>4</v>
      </c>
      <c r="N44" s="34">
        <v>9</v>
      </c>
      <c r="O44" s="34" t="s">
        <v>96</v>
      </c>
      <c r="P44" s="35"/>
      <c r="Q44" s="42"/>
      <c r="R44" s="35"/>
      <c r="S44" s="34" t="s">
        <v>276</v>
      </c>
    </row>
    <row r="45" spans="2:19" x14ac:dyDescent="0.25">
      <c r="B45" s="15"/>
      <c r="C45" s="15"/>
      <c r="D45" s="15"/>
      <c r="E45" s="15"/>
      <c r="F45" s="15"/>
      <c r="G45" s="33" t="s">
        <v>195</v>
      </c>
      <c r="H45" s="33"/>
      <c r="I45" s="34"/>
      <c r="J45" s="33" t="s">
        <v>326</v>
      </c>
      <c r="K45" s="33"/>
      <c r="L45" s="33"/>
      <c r="M45" s="33">
        <v>3</v>
      </c>
      <c r="N45" s="34">
        <v>5</v>
      </c>
      <c r="O45" s="34"/>
      <c r="P45" s="35"/>
      <c r="Q45" s="42"/>
      <c r="R45" s="35"/>
      <c r="S45" s="34"/>
    </row>
    <row r="46" spans="2:19" x14ac:dyDescent="0.25">
      <c r="B46" s="15"/>
      <c r="C46" s="15"/>
      <c r="D46" s="15"/>
      <c r="E46" s="15"/>
      <c r="F46" s="15"/>
      <c r="G46" s="34" t="s">
        <v>408</v>
      </c>
      <c r="H46" s="34" t="s">
        <v>149</v>
      </c>
      <c r="I46" s="34" t="s">
        <v>96</v>
      </c>
      <c r="J46" s="34" t="s">
        <v>417</v>
      </c>
      <c r="K46" s="34"/>
      <c r="L46" s="34"/>
      <c r="M46" s="34">
        <v>4</v>
      </c>
      <c r="N46" s="34">
        <v>9</v>
      </c>
      <c r="O46" s="34" t="s">
        <v>96</v>
      </c>
      <c r="P46" s="35"/>
      <c r="Q46" s="42"/>
      <c r="R46" s="35"/>
      <c r="S46" s="34" t="s">
        <v>277</v>
      </c>
    </row>
    <row r="47" spans="2:19" x14ac:dyDescent="0.25">
      <c r="B47" s="15"/>
      <c r="C47" s="15"/>
      <c r="D47" s="15"/>
      <c r="E47" s="15"/>
      <c r="F47" s="15"/>
      <c r="G47" s="34" t="s">
        <v>409</v>
      </c>
      <c r="H47" s="34" t="s">
        <v>149</v>
      </c>
      <c r="I47" s="34" t="s">
        <v>96</v>
      </c>
      <c r="J47" s="34" t="s">
        <v>418</v>
      </c>
      <c r="K47" s="34"/>
      <c r="L47" s="34"/>
      <c r="M47" s="34">
        <v>4</v>
      </c>
      <c r="N47" s="34">
        <v>9</v>
      </c>
      <c r="O47" s="34" t="s">
        <v>96</v>
      </c>
      <c r="P47" s="35"/>
      <c r="Q47" s="42"/>
      <c r="R47" s="35"/>
      <c r="S47" s="34" t="s">
        <v>278</v>
      </c>
    </row>
    <row r="48" spans="2:19" x14ac:dyDescent="0.25">
      <c r="B48" s="15"/>
      <c r="C48" s="15"/>
      <c r="D48" s="15"/>
      <c r="E48" s="15"/>
      <c r="F48" s="15"/>
      <c r="G48" s="34" t="s">
        <v>410</v>
      </c>
      <c r="H48" s="34" t="s">
        <v>149</v>
      </c>
      <c r="I48" s="34" t="s">
        <v>96</v>
      </c>
      <c r="J48" s="34" t="s">
        <v>419</v>
      </c>
      <c r="K48" s="34"/>
      <c r="L48" s="34"/>
      <c r="M48" s="34">
        <v>4</v>
      </c>
      <c r="N48" s="34">
        <v>9</v>
      </c>
      <c r="O48" s="34" t="s">
        <v>96</v>
      </c>
      <c r="P48" s="35"/>
      <c r="Q48" s="42"/>
      <c r="R48" s="35"/>
      <c r="S48" s="34" t="s">
        <v>279</v>
      </c>
    </row>
    <row r="49" spans="2:19" x14ac:dyDescent="0.25">
      <c r="B49" s="15"/>
      <c r="C49" s="15"/>
      <c r="D49" s="15"/>
      <c r="E49" s="15"/>
      <c r="F49" s="15"/>
      <c r="G49" s="34" t="s">
        <v>411</v>
      </c>
      <c r="H49" s="34" t="s">
        <v>98</v>
      </c>
      <c r="I49" s="34" t="s">
        <v>96</v>
      </c>
      <c r="J49" s="34" t="s">
        <v>420</v>
      </c>
      <c r="K49" s="34"/>
      <c r="L49" s="34"/>
      <c r="M49" s="34">
        <v>4</v>
      </c>
      <c r="N49" s="34">
        <v>9</v>
      </c>
      <c r="O49" s="34" t="s">
        <v>96</v>
      </c>
      <c r="P49" s="35"/>
      <c r="Q49" s="42"/>
      <c r="R49" s="35"/>
      <c r="S49" s="34" t="s">
        <v>280</v>
      </c>
    </row>
    <row r="50" spans="2:19" x14ac:dyDescent="0.25">
      <c r="B50" s="15"/>
      <c r="C50" s="15"/>
      <c r="D50" s="15"/>
      <c r="E50" s="15"/>
      <c r="F50" s="15"/>
      <c r="G50" s="33" t="s">
        <v>689</v>
      </c>
      <c r="H50" s="33"/>
      <c r="I50" s="34"/>
      <c r="J50" s="33" t="s">
        <v>146</v>
      </c>
      <c r="K50" s="33"/>
      <c r="L50" s="33"/>
      <c r="M50" s="33">
        <v>1</v>
      </c>
      <c r="N50" s="34">
        <v>5</v>
      </c>
      <c r="O50" s="34"/>
      <c r="P50" s="35"/>
      <c r="Q50" s="42"/>
      <c r="R50" s="35"/>
      <c r="S50" s="34"/>
    </row>
    <row r="51" spans="2:19" x14ac:dyDescent="0.25">
      <c r="B51" s="15"/>
      <c r="C51" s="15"/>
      <c r="D51" s="15"/>
      <c r="E51" s="15"/>
      <c r="F51" s="15"/>
      <c r="G51" s="34" t="s">
        <v>181</v>
      </c>
      <c r="H51" s="34" t="s">
        <v>101</v>
      </c>
      <c r="I51" s="34" t="s">
        <v>94</v>
      </c>
      <c r="J51" s="33" t="s">
        <v>197</v>
      </c>
      <c r="K51" s="34" t="s">
        <v>375</v>
      </c>
      <c r="L51" s="34"/>
      <c r="M51" s="34">
        <v>4</v>
      </c>
      <c r="N51" s="34">
        <v>9</v>
      </c>
      <c r="O51" s="34" t="s">
        <v>96</v>
      </c>
      <c r="P51" s="35"/>
      <c r="Q51" s="42"/>
      <c r="R51" s="35"/>
      <c r="S51" s="34" t="s">
        <v>285</v>
      </c>
    </row>
    <row r="52" spans="2:19" x14ac:dyDescent="0.25">
      <c r="B52" s="15"/>
      <c r="C52" s="15"/>
      <c r="D52" s="15"/>
      <c r="E52" s="15"/>
      <c r="F52" s="15"/>
      <c r="G52" s="34" t="s">
        <v>328</v>
      </c>
      <c r="H52" s="34" t="s">
        <v>101</v>
      </c>
      <c r="I52" s="34" t="s">
        <v>94</v>
      </c>
      <c r="J52" s="33" t="s">
        <v>147</v>
      </c>
      <c r="K52" s="34" t="s">
        <v>376</v>
      </c>
      <c r="L52" s="34"/>
      <c r="M52" s="34">
        <v>4</v>
      </c>
      <c r="N52" s="34">
        <v>9</v>
      </c>
      <c r="O52" s="34" t="s">
        <v>96</v>
      </c>
      <c r="P52" s="35"/>
      <c r="Q52" s="42"/>
      <c r="R52" s="35"/>
      <c r="S52" s="34" t="s">
        <v>286</v>
      </c>
    </row>
    <row r="53" spans="2:19" x14ac:dyDescent="0.25">
      <c r="B53" s="15"/>
      <c r="C53" s="15"/>
      <c r="D53" s="15"/>
      <c r="E53" s="15"/>
      <c r="F53" s="15"/>
      <c r="G53" s="34" t="s">
        <v>329</v>
      </c>
      <c r="H53" s="34" t="s">
        <v>101</v>
      </c>
      <c r="I53" s="34" t="s">
        <v>94</v>
      </c>
      <c r="J53" s="34" t="s">
        <v>421</v>
      </c>
      <c r="K53" s="34" t="s">
        <v>377</v>
      </c>
      <c r="L53" s="34"/>
      <c r="M53" s="34">
        <v>4</v>
      </c>
      <c r="N53" s="34">
        <v>9</v>
      </c>
      <c r="O53" s="34" t="s">
        <v>96</v>
      </c>
      <c r="P53" s="35"/>
      <c r="Q53" s="42"/>
      <c r="R53" s="35"/>
      <c r="S53" s="34" t="s">
        <v>287</v>
      </c>
    </row>
    <row r="54" spans="2:19" x14ac:dyDescent="0.25">
      <c r="B54" s="15"/>
      <c r="C54" s="15"/>
      <c r="D54" s="15"/>
      <c r="E54" s="15"/>
      <c r="F54" s="15"/>
      <c r="G54" s="34" t="s">
        <v>330</v>
      </c>
      <c r="H54" s="34" t="s">
        <v>101</v>
      </c>
      <c r="I54" s="34" t="s">
        <v>94</v>
      </c>
      <c r="J54" s="34" t="s">
        <v>422</v>
      </c>
      <c r="K54" s="34" t="s">
        <v>377</v>
      </c>
      <c r="L54" s="34"/>
      <c r="M54" s="34">
        <v>4</v>
      </c>
      <c r="N54" s="34">
        <v>9</v>
      </c>
      <c r="O54" s="34" t="s">
        <v>96</v>
      </c>
      <c r="P54" s="35"/>
      <c r="Q54" s="42"/>
      <c r="R54" s="35"/>
      <c r="S54" s="34" t="s">
        <v>288</v>
      </c>
    </row>
    <row r="55" spans="2:19" x14ac:dyDescent="0.25">
      <c r="B55" s="15"/>
      <c r="C55" s="15"/>
      <c r="D55" s="15"/>
      <c r="E55" s="15"/>
      <c r="F55" s="15"/>
      <c r="G55" s="33" t="s">
        <v>195</v>
      </c>
      <c r="H55" s="33"/>
      <c r="I55" s="34"/>
      <c r="J55" s="33" t="s">
        <v>364</v>
      </c>
      <c r="K55" s="33"/>
      <c r="L55" s="33"/>
      <c r="M55" s="33">
        <v>2</v>
      </c>
      <c r="N55" s="34">
        <v>5</v>
      </c>
      <c r="O55" s="34"/>
      <c r="P55" s="35"/>
      <c r="Q55" s="42"/>
      <c r="R55" s="35"/>
      <c r="S55" s="34"/>
    </row>
    <row r="56" spans="2:19" x14ac:dyDescent="0.25">
      <c r="B56" s="15"/>
      <c r="C56" s="15"/>
      <c r="D56" s="15"/>
      <c r="E56" s="15"/>
      <c r="F56" s="15"/>
      <c r="G56" s="34" t="s">
        <v>331</v>
      </c>
      <c r="H56" s="34" t="s">
        <v>149</v>
      </c>
      <c r="I56" s="34" t="s">
        <v>96</v>
      </c>
      <c r="J56" s="34" t="s">
        <v>423</v>
      </c>
      <c r="K56" s="34"/>
      <c r="L56" s="34"/>
      <c r="M56" s="34">
        <v>4</v>
      </c>
      <c r="N56" s="34">
        <v>9</v>
      </c>
      <c r="O56" s="34" t="s">
        <v>96</v>
      </c>
      <c r="P56" s="35"/>
      <c r="Q56" s="42"/>
      <c r="R56" s="35"/>
      <c r="S56" s="34" t="s">
        <v>289</v>
      </c>
    </row>
    <row r="57" spans="2:19" x14ac:dyDescent="0.25">
      <c r="B57" s="15"/>
      <c r="C57" s="15"/>
      <c r="D57" s="15"/>
      <c r="E57" s="15"/>
      <c r="F57" s="15"/>
      <c r="G57" s="34" t="s">
        <v>332</v>
      </c>
      <c r="H57" s="34" t="s">
        <v>101</v>
      </c>
      <c r="I57" s="34" t="s">
        <v>96</v>
      </c>
      <c r="J57" s="34" t="s">
        <v>442</v>
      </c>
      <c r="K57" s="34" t="s">
        <v>371</v>
      </c>
      <c r="L57" s="34"/>
      <c r="M57" s="34">
        <v>4</v>
      </c>
      <c r="N57" s="34">
        <v>9</v>
      </c>
      <c r="O57" s="34" t="s">
        <v>96</v>
      </c>
      <c r="P57" s="35"/>
      <c r="Q57" s="42"/>
      <c r="R57" s="35"/>
      <c r="S57" s="34" t="s">
        <v>290</v>
      </c>
    </row>
    <row r="58" spans="2:19" x14ac:dyDescent="0.25">
      <c r="B58" s="15"/>
      <c r="C58" s="15"/>
      <c r="D58" s="15"/>
      <c r="E58" s="15"/>
      <c r="F58" s="15"/>
      <c r="G58" s="34" t="s">
        <v>333</v>
      </c>
      <c r="H58" s="34" t="s">
        <v>149</v>
      </c>
      <c r="I58" s="34" t="s">
        <v>96</v>
      </c>
      <c r="J58" s="34" t="s">
        <v>424</v>
      </c>
      <c r="K58" s="34"/>
      <c r="L58" s="34"/>
      <c r="M58" s="34">
        <v>4</v>
      </c>
      <c r="N58" s="34">
        <v>9</v>
      </c>
      <c r="O58" s="34" t="s">
        <v>96</v>
      </c>
      <c r="P58" s="35"/>
      <c r="Q58" s="42"/>
      <c r="R58" s="35"/>
      <c r="S58" s="34" t="s">
        <v>291</v>
      </c>
    </row>
    <row r="59" spans="2:19" x14ac:dyDescent="0.25">
      <c r="B59" s="15"/>
      <c r="C59" s="15"/>
      <c r="D59" s="15"/>
      <c r="E59" s="15"/>
      <c r="F59" s="15"/>
      <c r="G59" s="34" t="s">
        <v>334</v>
      </c>
      <c r="H59" s="34" t="s">
        <v>101</v>
      </c>
      <c r="I59" s="34" t="s">
        <v>96</v>
      </c>
      <c r="J59" s="34" t="s">
        <v>455</v>
      </c>
      <c r="K59" s="34" t="s">
        <v>371</v>
      </c>
      <c r="L59" s="34"/>
      <c r="M59" s="34">
        <v>4</v>
      </c>
      <c r="N59" s="34">
        <v>9</v>
      </c>
      <c r="O59" s="34" t="s">
        <v>96</v>
      </c>
      <c r="P59" s="35"/>
      <c r="Q59" s="42"/>
      <c r="R59" s="35"/>
      <c r="S59" s="34" t="s">
        <v>292</v>
      </c>
    </row>
    <row r="60" spans="2:19" x14ac:dyDescent="0.25">
      <c r="B60" s="15"/>
      <c r="C60" s="15"/>
      <c r="D60" s="15"/>
      <c r="E60" s="15"/>
      <c r="F60" s="15"/>
      <c r="G60" s="34" t="s">
        <v>335</v>
      </c>
      <c r="H60" s="34" t="s">
        <v>149</v>
      </c>
      <c r="I60" s="34" t="s">
        <v>96</v>
      </c>
      <c r="J60" s="34" t="s">
        <v>425</v>
      </c>
      <c r="K60" s="34"/>
      <c r="L60" s="34"/>
      <c r="M60" s="34">
        <v>4</v>
      </c>
      <c r="N60" s="34">
        <v>9</v>
      </c>
      <c r="O60" s="34" t="s">
        <v>96</v>
      </c>
      <c r="P60" s="35"/>
      <c r="Q60" s="42"/>
      <c r="R60" s="35"/>
      <c r="S60" s="34" t="s">
        <v>293</v>
      </c>
    </row>
    <row r="61" spans="2:19" x14ac:dyDescent="0.25">
      <c r="B61" s="15"/>
      <c r="C61" s="15"/>
      <c r="D61" s="15"/>
      <c r="E61" s="15"/>
      <c r="F61" s="15"/>
      <c r="G61" s="34" t="s">
        <v>336</v>
      </c>
      <c r="H61" s="34" t="s">
        <v>101</v>
      </c>
      <c r="I61" s="34" t="s">
        <v>96</v>
      </c>
      <c r="J61" s="34" t="s">
        <v>443</v>
      </c>
      <c r="K61" s="34" t="s">
        <v>372</v>
      </c>
      <c r="L61" s="34"/>
      <c r="M61" s="34">
        <v>4</v>
      </c>
      <c r="N61" s="34">
        <v>9</v>
      </c>
      <c r="O61" s="34" t="s">
        <v>96</v>
      </c>
      <c r="P61" s="35"/>
      <c r="Q61" s="42"/>
      <c r="R61" s="35"/>
      <c r="S61" s="34" t="s">
        <v>294</v>
      </c>
    </row>
    <row r="62" spans="2:19" x14ac:dyDescent="0.25">
      <c r="B62" s="15"/>
      <c r="C62" s="15"/>
      <c r="D62" s="15"/>
      <c r="E62" s="15"/>
      <c r="F62" s="15"/>
      <c r="G62" s="34" t="s">
        <v>337</v>
      </c>
      <c r="H62" s="34" t="s">
        <v>149</v>
      </c>
      <c r="I62" s="34" t="s">
        <v>96</v>
      </c>
      <c r="J62" s="34" t="s">
        <v>426</v>
      </c>
      <c r="K62" s="34"/>
      <c r="L62" s="34"/>
      <c r="M62" s="34">
        <v>4</v>
      </c>
      <c r="N62" s="34">
        <v>9</v>
      </c>
      <c r="O62" s="34" t="s">
        <v>96</v>
      </c>
      <c r="P62" s="35"/>
      <c r="Q62" s="42"/>
      <c r="R62" s="35"/>
      <c r="S62" s="34" t="s">
        <v>295</v>
      </c>
    </row>
    <row r="63" spans="2:19" x14ac:dyDescent="0.25">
      <c r="B63" s="15"/>
      <c r="C63" s="15"/>
      <c r="D63" s="15"/>
      <c r="E63" s="15"/>
      <c r="F63" s="15"/>
      <c r="G63" s="34" t="s">
        <v>338</v>
      </c>
      <c r="H63" s="34" t="s">
        <v>98</v>
      </c>
      <c r="I63" s="34" t="s">
        <v>96</v>
      </c>
      <c r="J63" s="34" t="s">
        <v>427</v>
      </c>
      <c r="K63" s="34"/>
      <c r="L63" s="34"/>
      <c r="M63" s="34">
        <v>4</v>
      </c>
      <c r="N63" s="34">
        <v>9</v>
      </c>
      <c r="O63" s="34" t="s">
        <v>96</v>
      </c>
      <c r="P63" s="35"/>
      <c r="Q63" s="42"/>
      <c r="R63" s="35"/>
      <c r="S63" s="34" t="s">
        <v>296</v>
      </c>
    </row>
    <row r="64" spans="2:19" x14ac:dyDescent="0.25">
      <c r="B64" s="15"/>
      <c r="C64" s="15"/>
      <c r="D64" s="15"/>
      <c r="E64" s="15"/>
      <c r="F64" s="15"/>
      <c r="G64" s="34" t="s">
        <v>339</v>
      </c>
      <c r="H64" s="34" t="s">
        <v>149</v>
      </c>
      <c r="I64" s="34" t="s">
        <v>96</v>
      </c>
      <c r="J64" s="34" t="s">
        <v>428</v>
      </c>
      <c r="K64" s="34"/>
      <c r="L64" s="34"/>
      <c r="M64" s="34">
        <v>4</v>
      </c>
      <c r="N64" s="34">
        <v>9</v>
      </c>
      <c r="O64" s="34" t="s">
        <v>96</v>
      </c>
      <c r="P64" s="35"/>
      <c r="Q64" s="42"/>
      <c r="R64" s="35"/>
      <c r="S64" s="34" t="s">
        <v>297</v>
      </c>
    </row>
    <row r="65" spans="2:19" x14ac:dyDescent="0.25">
      <c r="B65" s="15"/>
      <c r="C65" s="15"/>
      <c r="D65" s="15"/>
      <c r="E65" s="15"/>
      <c r="F65" s="15"/>
      <c r="G65" s="34" t="s">
        <v>340</v>
      </c>
      <c r="H65" s="34" t="s">
        <v>149</v>
      </c>
      <c r="I65" s="34" t="s">
        <v>96</v>
      </c>
      <c r="J65" s="34" t="s">
        <v>429</v>
      </c>
      <c r="K65" s="34"/>
      <c r="L65" s="34"/>
      <c r="M65" s="34">
        <v>4</v>
      </c>
      <c r="N65" s="34">
        <v>9</v>
      </c>
      <c r="O65" s="34" t="s">
        <v>96</v>
      </c>
      <c r="P65" s="35"/>
      <c r="Q65" s="42"/>
      <c r="R65" s="35"/>
      <c r="S65" s="34" t="s">
        <v>298</v>
      </c>
    </row>
    <row r="66" spans="2:19" x14ac:dyDescent="0.25">
      <c r="B66" s="15"/>
      <c r="C66" s="15"/>
      <c r="D66" s="15"/>
      <c r="E66" s="15"/>
      <c r="F66" s="15"/>
      <c r="G66" s="34" t="s">
        <v>341</v>
      </c>
      <c r="H66" s="34" t="s">
        <v>98</v>
      </c>
      <c r="I66" s="34" t="s">
        <v>96</v>
      </c>
      <c r="J66" s="34" t="s">
        <v>444</v>
      </c>
      <c r="K66" s="34" t="s">
        <v>373</v>
      </c>
      <c r="L66" s="34"/>
      <c r="M66" s="34">
        <v>4</v>
      </c>
      <c r="N66" s="34">
        <v>9</v>
      </c>
      <c r="O66" s="34" t="s">
        <v>96</v>
      </c>
      <c r="P66" s="35"/>
      <c r="Q66" s="42"/>
      <c r="R66" s="35"/>
      <c r="S66" s="34" t="s">
        <v>299</v>
      </c>
    </row>
    <row r="67" spans="2:19" x14ac:dyDescent="0.25">
      <c r="B67" s="15"/>
      <c r="C67" s="15"/>
      <c r="D67" s="15"/>
      <c r="E67" s="15"/>
      <c r="F67" s="15"/>
      <c r="G67" s="34" t="s">
        <v>342</v>
      </c>
      <c r="H67" s="34" t="s">
        <v>149</v>
      </c>
      <c r="I67" s="34" t="s">
        <v>96</v>
      </c>
      <c r="J67" s="34" t="s">
        <v>430</v>
      </c>
      <c r="K67" s="34"/>
      <c r="L67" s="34"/>
      <c r="M67" s="34">
        <v>4</v>
      </c>
      <c r="N67" s="34">
        <v>9</v>
      </c>
      <c r="O67" s="34" t="s">
        <v>96</v>
      </c>
      <c r="P67" s="35"/>
      <c r="Q67" s="42"/>
      <c r="R67" s="35"/>
      <c r="S67" s="34" t="s">
        <v>300</v>
      </c>
    </row>
    <row r="68" spans="2:19" x14ac:dyDescent="0.25">
      <c r="B68" s="15"/>
      <c r="C68" s="15"/>
      <c r="D68" s="15"/>
      <c r="E68" s="15"/>
      <c r="F68" s="15"/>
      <c r="G68" s="34" t="s">
        <v>343</v>
      </c>
      <c r="H68" s="34" t="s">
        <v>101</v>
      </c>
      <c r="I68" s="34" t="s">
        <v>96</v>
      </c>
      <c r="J68" s="34" t="s">
        <v>445</v>
      </c>
      <c r="K68" s="34" t="s">
        <v>374</v>
      </c>
      <c r="L68" s="34"/>
      <c r="M68" s="34">
        <v>4</v>
      </c>
      <c r="N68" s="34">
        <v>9</v>
      </c>
      <c r="O68" s="34" t="s">
        <v>96</v>
      </c>
      <c r="P68" s="35"/>
      <c r="Q68" s="42"/>
      <c r="R68" s="35"/>
      <c r="S68" s="34" t="s">
        <v>301</v>
      </c>
    </row>
    <row r="69" spans="2:19" x14ac:dyDescent="0.25">
      <c r="B69" s="15"/>
      <c r="C69" s="15"/>
      <c r="D69" s="15"/>
      <c r="E69" s="15"/>
      <c r="F69" s="15"/>
      <c r="G69" s="34" t="s">
        <v>344</v>
      </c>
      <c r="H69" s="34" t="s">
        <v>149</v>
      </c>
      <c r="I69" s="34" t="s">
        <v>96</v>
      </c>
      <c r="J69" s="34" t="s">
        <v>431</v>
      </c>
      <c r="K69" s="34"/>
      <c r="L69" s="34"/>
      <c r="M69" s="34">
        <v>4</v>
      </c>
      <c r="N69" s="34">
        <v>9</v>
      </c>
      <c r="O69" s="34" t="s">
        <v>96</v>
      </c>
      <c r="P69" s="35"/>
      <c r="Q69" s="42"/>
      <c r="R69" s="35"/>
      <c r="S69" s="34" t="s">
        <v>302</v>
      </c>
    </row>
    <row r="70" spans="2:19" x14ac:dyDescent="0.25">
      <c r="B70" s="15"/>
      <c r="C70" s="15"/>
      <c r="D70" s="15"/>
      <c r="E70" s="15"/>
      <c r="F70" s="15"/>
      <c r="G70" s="34" t="s">
        <v>345</v>
      </c>
      <c r="H70" s="34" t="s">
        <v>149</v>
      </c>
      <c r="I70" s="34" t="s">
        <v>96</v>
      </c>
      <c r="J70" s="34" t="s">
        <v>432</v>
      </c>
      <c r="K70" s="34"/>
      <c r="L70" s="34"/>
      <c r="M70" s="34">
        <v>4</v>
      </c>
      <c r="N70" s="34">
        <v>9</v>
      </c>
      <c r="O70" s="34" t="s">
        <v>96</v>
      </c>
      <c r="P70" s="35"/>
      <c r="Q70" s="42"/>
      <c r="R70" s="35"/>
      <c r="S70" s="34" t="s">
        <v>303</v>
      </c>
    </row>
    <row r="71" spans="2:19" x14ac:dyDescent="0.25">
      <c r="B71" s="15"/>
      <c r="C71" s="15"/>
      <c r="D71" s="15"/>
      <c r="E71" s="15"/>
      <c r="F71" s="15"/>
      <c r="G71" s="34" t="s">
        <v>346</v>
      </c>
      <c r="H71" s="34" t="s">
        <v>101</v>
      </c>
      <c r="I71" s="34" t="s">
        <v>96</v>
      </c>
      <c r="J71" s="34" t="s">
        <v>446</v>
      </c>
      <c r="K71" s="34" t="s">
        <v>368</v>
      </c>
      <c r="L71" s="34"/>
      <c r="M71" s="34">
        <v>4</v>
      </c>
      <c r="N71" s="34">
        <v>9</v>
      </c>
      <c r="O71" s="34" t="s">
        <v>96</v>
      </c>
      <c r="P71" s="35"/>
      <c r="Q71" s="42"/>
      <c r="R71" s="35"/>
      <c r="S71" s="34" t="s">
        <v>304</v>
      </c>
    </row>
    <row r="72" spans="2:19" x14ac:dyDescent="0.25">
      <c r="B72" s="15"/>
      <c r="C72" s="15"/>
      <c r="D72" s="15"/>
      <c r="E72" s="15"/>
      <c r="F72" s="15"/>
      <c r="G72" s="34" t="s">
        <v>347</v>
      </c>
      <c r="H72" s="34" t="s">
        <v>101</v>
      </c>
      <c r="I72" s="34" t="s">
        <v>96</v>
      </c>
      <c r="J72" s="34" t="s">
        <v>433</v>
      </c>
      <c r="K72" s="34"/>
      <c r="L72" s="34"/>
      <c r="M72" s="34">
        <v>4</v>
      </c>
      <c r="N72" s="34">
        <v>9</v>
      </c>
      <c r="O72" s="34" t="s">
        <v>96</v>
      </c>
      <c r="P72" s="35"/>
      <c r="Q72" s="42"/>
      <c r="R72" s="35"/>
      <c r="S72" s="34" t="s">
        <v>305</v>
      </c>
    </row>
    <row r="73" spans="2:19" x14ac:dyDescent="0.25">
      <c r="B73" s="15"/>
      <c r="C73" s="15"/>
      <c r="D73" s="15"/>
      <c r="E73" s="15"/>
      <c r="F73" s="15"/>
      <c r="G73" s="34" t="s">
        <v>348</v>
      </c>
      <c r="H73" s="34" t="s">
        <v>101</v>
      </c>
      <c r="I73" s="34" t="s">
        <v>96</v>
      </c>
      <c r="J73" s="34" t="s">
        <v>434</v>
      </c>
      <c r="K73" s="34"/>
      <c r="L73" s="34"/>
      <c r="M73" s="34">
        <v>4</v>
      </c>
      <c r="N73" s="34">
        <v>9</v>
      </c>
      <c r="O73" s="34" t="s">
        <v>96</v>
      </c>
      <c r="P73" s="35"/>
      <c r="Q73" s="42"/>
      <c r="R73" s="35"/>
      <c r="S73" s="34" t="s">
        <v>306</v>
      </c>
    </row>
    <row r="74" spans="2:19" x14ac:dyDescent="0.25">
      <c r="B74" s="15"/>
      <c r="C74" s="15"/>
      <c r="D74" s="15"/>
      <c r="E74" s="15"/>
      <c r="F74" s="15"/>
      <c r="G74" s="34" t="s">
        <v>349</v>
      </c>
      <c r="H74" s="34" t="s">
        <v>101</v>
      </c>
      <c r="I74" s="34" t="s">
        <v>96</v>
      </c>
      <c r="J74" s="34" t="s">
        <v>435</v>
      </c>
      <c r="K74" s="34"/>
      <c r="L74" s="34"/>
      <c r="M74" s="34">
        <v>4</v>
      </c>
      <c r="N74" s="34">
        <v>9</v>
      </c>
      <c r="O74" s="34" t="s">
        <v>96</v>
      </c>
      <c r="P74" s="35"/>
      <c r="Q74" s="42"/>
      <c r="R74" s="35"/>
      <c r="S74" s="34" t="s">
        <v>307</v>
      </c>
    </row>
    <row r="75" spans="2:19" x14ac:dyDescent="0.25">
      <c r="B75" s="15"/>
      <c r="C75" s="15"/>
      <c r="D75" s="15"/>
      <c r="E75" s="15"/>
      <c r="F75" s="15"/>
      <c r="G75" s="34" t="s">
        <v>350</v>
      </c>
      <c r="H75" s="34" t="s">
        <v>101</v>
      </c>
      <c r="I75" s="34" t="s">
        <v>96</v>
      </c>
      <c r="J75" s="34" t="s">
        <v>436</v>
      </c>
      <c r="K75" s="34"/>
      <c r="L75" s="34"/>
      <c r="M75" s="34">
        <v>4</v>
      </c>
      <c r="N75" s="34">
        <v>9</v>
      </c>
      <c r="O75" s="34" t="s">
        <v>96</v>
      </c>
      <c r="P75" s="35"/>
      <c r="Q75" s="42"/>
      <c r="R75" s="35"/>
      <c r="S75" s="34" t="s">
        <v>308</v>
      </c>
    </row>
    <row r="76" spans="2:19" x14ac:dyDescent="0.25">
      <c r="B76" s="15"/>
      <c r="C76" s="15"/>
      <c r="D76" s="15"/>
      <c r="E76" s="15"/>
      <c r="F76" s="15"/>
      <c r="G76" s="33" t="s">
        <v>689</v>
      </c>
      <c r="H76" s="33"/>
      <c r="I76" s="34"/>
      <c r="J76" s="33" t="s">
        <v>365</v>
      </c>
      <c r="K76" s="33"/>
      <c r="L76" s="33"/>
      <c r="M76" s="33">
        <v>2</v>
      </c>
      <c r="N76" s="34">
        <v>5</v>
      </c>
      <c r="O76" s="34"/>
      <c r="P76" s="35"/>
      <c r="Q76" s="42"/>
      <c r="R76" s="35"/>
      <c r="S76" s="34"/>
    </row>
    <row r="77" spans="2:19" x14ac:dyDescent="0.25">
      <c r="B77" s="15"/>
      <c r="C77" s="15"/>
      <c r="D77" s="15"/>
      <c r="E77" s="15"/>
      <c r="F77" s="15"/>
      <c r="G77" s="34" t="s">
        <v>351</v>
      </c>
      <c r="H77" s="34" t="s">
        <v>149</v>
      </c>
      <c r="I77" s="34" t="s">
        <v>96</v>
      </c>
      <c r="J77" s="34" t="s">
        <v>437</v>
      </c>
      <c r="K77" s="34"/>
      <c r="L77" s="34"/>
      <c r="M77" s="34">
        <v>4</v>
      </c>
      <c r="N77" s="34">
        <v>10</v>
      </c>
      <c r="O77" s="34" t="s">
        <v>96</v>
      </c>
      <c r="P77" s="35"/>
      <c r="Q77" s="42"/>
      <c r="R77" s="35"/>
      <c r="S77" s="34" t="s">
        <v>309</v>
      </c>
    </row>
    <row r="78" spans="2:19" x14ac:dyDescent="0.25">
      <c r="B78" s="15"/>
      <c r="C78" s="15"/>
      <c r="D78" s="15"/>
      <c r="E78" s="15"/>
      <c r="F78" s="15"/>
      <c r="G78" s="34" t="s">
        <v>352</v>
      </c>
      <c r="H78" s="34" t="s">
        <v>99</v>
      </c>
      <c r="I78" s="34" t="s">
        <v>96</v>
      </c>
      <c r="J78" s="34" t="s">
        <v>438</v>
      </c>
      <c r="K78" s="34"/>
      <c r="L78" s="33" t="s">
        <v>194</v>
      </c>
      <c r="M78" s="34">
        <v>4</v>
      </c>
      <c r="N78" s="34">
        <v>21</v>
      </c>
      <c r="O78" s="34" t="s">
        <v>96</v>
      </c>
      <c r="P78" s="35"/>
      <c r="Q78" s="42"/>
      <c r="R78" s="35"/>
      <c r="S78" s="34" t="s">
        <v>310</v>
      </c>
    </row>
    <row r="79" spans="2:19" x14ac:dyDescent="0.25">
      <c r="B79" s="15"/>
      <c r="C79" s="15"/>
      <c r="D79" s="15"/>
      <c r="E79" s="15"/>
      <c r="F79" s="15"/>
      <c r="G79" s="34" t="s">
        <v>353</v>
      </c>
      <c r="H79" s="34" t="s">
        <v>149</v>
      </c>
      <c r="I79" s="34" t="s">
        <v>96</v>
      </c>
      <c r="J79" s="34" t="s">
        <v>439</v>
      </c>
      <c r="K79" s="34"/>
      <c r="L79" s="34"/>
      <c r="M79" s="34">
        <v>4</v>
      </c>
      <c r="N79" s="34">
        <v>10</v>
      </c>
      <c r="O79" s="34" t="s">
        <v>96</v>
      </c>
      <c r="P79" s="35"/>
      <c r="Q79" s="42"/>
      <c r="R79" s="35"/>
      <c r="S79" s="34" t="s">
        <v>311</v>
      </c>
    </row>
    <row r="80" spans="2:19" x14ac:dyDescent="0.25">
      <c r="B80" s="15"/>
      <c r="C80" s="15"/>
      <c r="D80" s="15"/>
      <c r="E80" s="15"/>
      <c r="F80" s="15"/>
      <c r="G80" s="33" t="s">
        <v>195</v>
      </c>
      <c r="H80" s="33"/>
      <c r="I80" s="34"/>
      <c r="J80" s="33" t="s">
        <v>366</v>
      </c>
      <c r="K80" s="33"/>
      <c r="L80" s="33"/>
      <c r="M80" s="33">
        <v>3</v>
      </c>
      <c r="N80" s="34">
        <v>5</v>
      </c>
      <c r="O80" s="34"/>
      <c r="P80" s="35"/>
      <c r="Q80" s="42"/>
      <c r="R80" s="35"/>
      <c r="S80" s="34"/>
    </row>
    <row r="81" spans="2:19" x14ac:dyDescent="0.25">
      <c r="B81" s="15"/>
      <c r="C81" s="15"/>
      <c r="D81" s="15"/>
      <c r="E81" s="15"/>
      <c r="F81" s="15"/>
      <c r="G81" s="34" t="s">
        <v>354</v>
      </c>
      <c r="H81" s="34" t="s">
        <v>149</v>
      </c>
      <c r="I81" s="34" t="s">
        <v>96</v>
      </c>
      <c r="J81" s="34" t="s">
        <v>440</v>
      </c>
      <c r="K81" s="34"/>
      <c r="L81" s="34"/>
      <c r="M81" s="34">
        <v>4</v>
      </c>
      <c r="N81" s="34">
        <v>9</v>
      </c>
      <c r="O81" s="34" t="s">
        <v>96</v>
      </c>
      <c r="P81" s="35"/>
      <c r="Q81" s="42"/>
      <c r="R81" s="35"/>
      <c r="S81" s="34" t="s">
        <v>312</v>
      </c>
    </row>
    <row r="82" spans="2:19" x14ac:dyDescent="0.25">
      <c r="B82" s="15"/>
      <c r="C82" s="15"/>
      <c r="D82" s="15"/>
      <c r="E82" s="15"/>
      <c r="F82" s="15"/>
      <c r="G82" s="34" t="s">
        <v>355</v>
      </c>
      <c r="H82" s="34" t="s">
        <v>149</v>
      </c>
      <c r="I82" s="34" t="s">
        <v>96</v>
      </c>
      <c r="J82" s="34" t="s">
        <v>447</v>
      </c>
      <c r="K82" s="34"/>
      <c r="L82" s="34"/>
      <c r="M82" s="34">
        <v>4</v>
      </c>
      <c r="N82" s="34">
        <v>9</v>
      </c>
      <c r="O82" s="34" t="s">
        <v>96</v>
      </c>
      <c r="P82" s="35"/>
      <c r="Q82" s="42"/>
      <c r="R82" s="35"/>
      <c r="S82" s="34" t="s">
        <v>313</v>
      </c>
    </row>
    <row r="83" spans="2:19" x14ac:dyDescent="0.25">
      <c r="B83" s="15"/>
      <c r="C83" s="15"/>
      <c r="D83" s="15"/>
      <c r="E83" s="15"/>
      <c r="F83" s="15"/>
      <c r="G83" s="34" t="s">
        <v>356</v>
      </c>
      <c r="H83" s="34" t="s">
        <v>149</v>
      </c>
      <c r="I83" s="34" t="s">
        <v>96</v>
      </c>
      <c r="J83" s="34" t="s">
        <v>453</v>
      </c>
      <c r="K83" s="34"/>
      <c r="L83" s="34"/>
      <c r="M83" s="34">
        <v>4</v>
      </c>
      <c r="N83" s="34">
        <v>9</v>
      </c>
      <c r="O83" s="34" t="s">
        <v>96</v>
      </c>
      <c r="P83" s="35"/>
      <c r="Q83" s="42"/>
      <c r="R83" s="35"/>
      <c r="S83" s="34" t="s">
        <v>314</v>
      </c>
    </row>
    <row r="84" spans="2:19" x14ac:dyDescent="0.25">
      <c r="B84" s="15"/>
      <c r="C84" s="15"/>
      <c r="D84" s="15"/>
      <c r="E84" s="15"/>
      <c r="F84" s="15"/>
      <c r="G84" s="34" t="s">
        <v>357</v>
      </c>
      <c r="H84" s="34" t="s">
        <v>149</v>
      </c>
      <c r="I84" s="34" t="s">
        <v>96</v>
      </c>
      <c r="J84" s="34" t="s">
        <v>454</v>
      </c>
      <c r="K84" s="34"/>
      <c r="L84" s="34"/>
      <c r="M84" s="34">
        <v>4</v>
      </c>
      <c r="N84" s="34">
        <v>9</v>
      </c>
      <c r="O84" s="34" t="s">
        <v>96</v>
      </c>
      <c r="P84" s="35"/>
      <c r="Q84" s="42"/>
      <c r="R84" s="35"/>
      <c r="S84" s="34" t="s">
        <v>315</v>
      </c>
    </row>
    <row r="85" spans="2:19" x14ac:dyDescent="0.25">
      <c r="B85" s="15"/>
      <c r="C85" s="15"/>
      <c r="D85" s="15"/>
      <c r="E85" s="15"/>
      <c r="F85" s="15"/>
      <c r="G85" s="34" t="s">
        <v>358</v>
      </c>
      <c r="H85" s="34" t="s">
        <v>98</v>
      </c>
      <c r="I85" s="34" t="s">
        <v>96</v>
      </c>
      <c r="J85" s="34" t="s">
        <v>448</v>
      </c>
      <c r="K85" s="34"/>
      <c r="L85" s="34"/>
      <c r="M85" s="34">
        <v>4</v>
      </c>
      <c r="N85" s="34">
        <v>9</v>
      </c>
      <c r="O85" s="34" t="s">
        <v>96</v>
      </c>
      <c r="P85" s="35"/>
      <c r="Q85" s="42"/>
      <c r="R85" s="35"/>
      <c r="S85" s="34" t="s">
        <v>316</v>
      </c>
    </row>
    <row r="86" spans="2:19" x14ac:dyDescent="0.25">
      <c r="B86" s="15"/>
      <c r="C86" s="15"/>
      <c r="D86" s="15"/>
      <c r="E86" s="15"/>
      <c r="F86" s="15"/>
      <c r="G86" s="33" t="s">
        <v>195</v>
      </c>
      <c r="H86" s="33"/>
      <c r="I86" s="34"/>
      <c r="J86" s="33" t="s">
        <v>367</v>
      </c>
      <c r="K86" s="33"/>
      <c r="L86" s="33"/>
      <c r="M86" s="33">
        <v>3</v>
      </c>
      <c r="N86" s="34">
        <v>5</v>
      </c>
      <c r="O86" s="34"/>
      <c r="P86" s="35"/>
      <c r="Q86" s="42"/>
      <c r="R86" s="35"/>
      <c r="S86" s="34"/>
    </row>
    <row r="87" spans="2:19" x14ac:dyDescent="0.25">
      <c r="B87" s="15"/>
      <c r="C87" s="15"/>
      <c r="D87" s="15"/>
      <c r="E87" s="15"/>
      <c r="F87" s="15"/>
      <c r="G87" s="34" t="s">
        <v>359</v>
      </c>
      <c r="H87" s="34" t="s">
        <v>149</v>
      </c>
      <c r="I87" s="34" t="s">
        <v>96</v>
      </c>
      <c r="J87" s="34" t="s">
        <v>441</v>
      </c>
      <c r="K87" s="34"/>
      <c r="L87" s="34"/>
      <c r="M87" s="34">
        <v>4</v>
      </c>
      <c r="N87" s="34">
        <v>9</v>
      </c>
      <c r="O87" s="34" t="s">
        <v>96</v>
      </c>
      <c r="P87" s="35"/>
      <c r="Q87" s="42"/>
      <c r="R87" s="35"/>
      <c r="S87" s="34" t="s">
        <v>317</v>
      </c>
    </row>
    <row r="88" spans="2:19" x14ac:dyDescent="0.25">
      <c r="B88" s="15"/>
      <c r="C88" s="15"/>
      <c r="D88" s="15"/>
      <c r="E88" s="15"/>
      <c r="F88" s="15"/>
      <c r="G88" s="34" t="s">
        <v>360</v>
      </c>
      <c r="H88" s="34" t="s">
        <v>149</v>
      </c>
      <c r="I88" s="34" t="s">
        <v>96</v>
      </c>
      <c r="J88" s="34" t="s">
        <v>449</v>
      </c>
      <c r="K88" s="34"/>
      <c r="L88" s="34"/>
      <c r="M88" s="34">
        <v>4</v>
      </c>
      <c r="N88" s="34">
        <v>9</v>
      </c>
      <c r="O88" s="34" t="s">
        <v>96</v>
      </c>
      <c r="P88" s="35"/>
      <c r="Q88" s="42"/>
      <c r="R88" s="35"/>
      <c r="S88" s="34" t="s">
        <v>318</v>
      </c>
    </row>
    <row r="89" spans="2:19" x14ac:dyDescent="0.25">
      <c r="B89" s="15"/>
      <c r="C89" s="15"/>
      <c r="D89" s="15"/>
      <c r="E89" s="15"/>
      <c r="F89" s="15"/>
      <c r="G89" s="34" t="s">
        <v>361</v>
      </c>
      <c r="H89" s="34" t="s">
        <v>149</v>
      </c>
      <c r="I89" s="34" t="s">
        <v>96</v>
      </c>
      <c r="J89" s="34" t="s">
        <v>450</v>
      </c>
      <c r="K89" s="34"/>
      <c r="L89" s="34"/>
      <c r="M89" s="34">
        <v>4</v>
      </c>
      <c r="N89" s="34">
        <v>9</v>
      </c>
      <c r="O89" s="34" t="s">
        <v>96</v>
      </c>
      <c r="P89" s="35"/>
      <c r="Q89" s="42"/>
      <c r="R89" s="35"/>
      <c r="S89" s="34" t="s">
        <v>319</v>
      </c>
    </row>
    <row r="90" spans="2:19" x14ac:dyDescent="0.25">
      <c r="B90" s="15"/>
      <c r="C90" s="15"/>
      <c r="D90" s="15"/>
      <c r="E90" s="15"/>
      <c r="F90" s="15"/>
      <c r="G90" s="34" t="s">
        <v>362</v>
      </c>
      <c r="H90" s="34" t="s">
        <v>149</v>
      </c>
      <c r="I90" s="34" t="s">
        <v>96</v>
      </c>
      <c r="J90" s="34" t="s">
        <v>451</v>
      </c>
      <c r="K90" s="34"/>
      <c r="L90" s="34"/>
      <c r="M90" s="34">
        <v>4</v>
      </c>
      <c r="N90" s="34">
        <v>9</v>
      </c>
      <c r="O90" s="34" t="s">
        <v>96</v>
      </c>
      <c r="P90" s="35"/>
      <c r="Q90" s="42"/>
      <c r="R90" s="35"/>
      <c r="S90" s="34" t="s">
        <v>320</v>
      </c>
    </row>
    <row r="91" spans="2:19" x14ac:dyDescent="0.25">
      <c r="B91" s="15"/>
      <c r="C91" s="15"/>
      <c r="D91" s="15"/>
      <c r="E91" s="15"/>
      <c r="F91" s="15"/>
      <c r="G91" s="34" t="s">
        <v>363</v>
      </c>
      <c r="H91" s="34" t="s">
        <v>98</v>
      </c>
      <c r="I91" s="34" t="s">
        <v>96</v>
      </c>
      <c r="J91" s="34" t="s">
        <v>452</v>
      </c>
      <c r="K91" s="34"/>
      <c r="L91" s="34"/>
      <c r="M91" s="34">
        <v>4</v>
      </c>
      <c r="N91" s="34">
        <v>9</v>
      </c>
      <c r="O91" s="34" t="s">
        <v>96</v>
      </c>
      <c r="P91" s="35"/>
      <c r="Q91" s="42"/>
      <c r="R91" s="35"/>
      <c r="S91" s="34" t="s">
        <v>321</v>
      </c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B1:Q7"/>
  <sheetViews>
    <sheetView topLeftCell="A68" zoomScale="82" zoomScaleNormal="82" workbookViewId="0">
      <selection activeCell="A95" sqref="A95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2:17" x14ac:dyDescent="0.25">
      <c r="B1" t="s">
        <v>114</v>
      </c>
      <c r="I1" s="10"/>
    </row>
    <row r="3" spans="2:17" x14ac:dyDescent="0.25">
      <c r="B3" t="s">
        <v>90</v>
      </c>
      <c r="C3" t="s">
        <v>112</v>
      </c>
      <c r="D3" t="s">
        <v>110</v>
      </c>
      <c r="E3" t="s">
        <v>136</v>
      </c>
      <c r="F3" t="s">
        <v>97</v>
      </c>
      <c r="G3" t="s">
        <v>100</v>
      </c>
      <c r="H3" t="s">
        <v>135</v>
      </c>
      <c r="I3" t="s">
        <v>91</v>
      </c>
      <c r="J3" t="s">
        <v>155</v>
      </c>
      <c r="K3" t="s">
        <v>154</v>
      </c>
      <c r="L3" t="s">
        <v>196</v>
      </c>
      <c r="M3" t="s">
        <v>92</v>
      </c>
      <c r="N3" t="s">
        <v>111</v>
      </c>
      <c r="O3" t="s">
        <v>116</v>
      </c>
      <c r="P3" t="s">
        <v>108</v>
      </c>
      <c r="Q3" t="s">
        <v>322</v>
      </c>
    </row>
    <row r="4" spans="2:17" x14ac:dyDescent="0.25">
      <c r="B4" s="14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</row>
    <row r="7" spans="2:17" x14ac:dyDescent="0.25">
      <c r="B7" s="15"/>
      <c r="C7" s="15"/>
      <c r="D7" s="15"/>
      <c r="E7" s="15"/>
      <c r="F7" s="34" t="s">
        <v>412</v>
      </c>
      <c r="G7" s="34" t="s">
        <v>101</v>
      </c>
      <c r="H7" s="34" t="s">
        <v>96</v>
      </c>
      <c r="I7" s="34" t="s">
        <v>512</v>
      </c>
      <c r="J7" s="34"/>
      <c r="K7" s="34"/>
      <c r="L7" s="34">
        <v>3</v>
      </c>
      <c r="M7" s="34" t="s">
        <v>96</v>
      </c>
      <c r="N7" s="35"/>
      <c r="O7" s="35"/>
      <c r="P7" s="35"/>
      <c r="Q7" s="34" t="s">
        <v>511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9</vt:i4>
      </vt:variant>
    </vt:vector>
  </HeadingPairs>
  <TitlesOfParts>
    <vt:vector size="17" baseType="lpstr">
      <vt:lpstr>Liste des reportings</vt:lpstr>
      <vt:lpstr>A - 2000.12</vt:lpstr>
      <vt:lpstr>CACHE</vt:lpstr>
      <vt:lpstr>Planning</vt:lpstr>
      <vt:lpstr>History</vt:lpstr>
      <vt:lpstr>I18N</vt:lpstr>
      <vt:lpstr>JSON</vt:lpstr>
      <vt:lpstr>JSON (2)</vt:lpstr>
      <vt:lpstr>'JSON (2)'!cell_JSON_Param</vt:lpstr>
      <vt:lpstr>cell_JSON_Param</vt:lpstr>
      <vt:lpstr>cellLanguage</vt:lpstr>
      <vt:lpstr>lCategory</vt:lpstr>
      <vt:lpstr>lCategoryVersion</vt:lpstr>
      <vt:lpstr>lFolders</vt:lpstr>
      <vt:lpstr>tReporting52428888___RF_Save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Pierre</cp:lastModifiedBy>
  <dcterms:created xsi:type="dcterms:W3CDTF">2015-06-05T18:19:34Z</dcterms:created>
  <dcterms:modified xsi:type="dcterms:W3CDTF">2021-03-08T19:09:08Z</dcterms:modified>
</cp:coreProperties>
</file>