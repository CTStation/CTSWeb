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ierre\Documents\GitHub\CTSWeb\Client\"/>
    </mc:Choice>
  </mc:AlternateContent>
  <xr:revisionPtr revIDLastSave="0" documentId="13_ncr:1_{C97D3119-7847-4639-B377-2CA6C3C87BA5}" xr6:coauthVersionLast="46" xr6:coauthVersionMax="46" xr10:uidLastSave="{00000000-0000-0000-0000-000000000000}"/>
  <bookViews>
    <workbookView xWindow="-28920" yWindow="-4815" windowWidth="29040" windowHeight="17640" tabRatio="723" activeTab="4" xr2:uid="{00000000-000D-0000-FFFF-FFFF00000000}"/>
  </bookViews>
  <sheets>
    <sheet name="Reporting List" sheetId="6" r:id="rId1"/>
    <sheet name="A - 2000.11" sheetId="15" r:id="rId2"/>
    <sheet name="A - 2000.12" sheetId="14" r:id="rId3"/>
    <sheet name="CACHE" sheetId="10" r:id="rId4"/>
    <sheet name="Planning" sheetId="4" r:id="rId5"/>
    <sheet name="History" sheetId="7" r:id="rId6"/>
    <sheet name="I18N" sheetId="2" r:id="rId7"/>
    <sheet name="JSON" sheetId="8" r:id="rId8"/>
    <sheet name="JSON (2)" sheetId="13" r:id="rId9"/>
  </sheets>
  <functionGroups builtInGroupCount="19"/>
  <definedNames>
    <definedName name="_xlnm._FilterDatabase" localSheetId="4" hidden="1">Planning!$F$17:$L$73</definedName>
    <definedName name="_xlnm._FilterDatabase" localSheetId="0" hidden="1">'Reporting List'!$C$10:$E$14</definedName>
    <definedName name="cell_JSON_Param" localSheetId="8">'JSON (2)'!$I$1</definedName>
    <definedName name="cell_JSON_Param">JSON!$J$1</definedName>
    <definedName name="cellLanguage">I18N!$J$1</definedName>
    <definedName name="JSON_MetadataQuery">JSON!$Q$1</definedName>
    <definedName name="lCategory">Planning!$B$3:$B$5</definedName>
    <definedName name="lCategoryVersion">Planning!$B$9</definedName>
    <definedName name="lFolders">Planning!$B$12:$B$13</definedName>
    <definedName name="tReporting52428888___RF_Save">'A - 2000.12'!$B$2</definedName>
    <definedName name="tReportingNew5___RF_Save">'A - 2000.11'!$B$2</definedName>
    <definedName name="tReportings____ROWS_">'Reporting List'!$H$14:$I$41</definedName>
    <definedName name="tReportings___RF_Refresh">'Reporting List'!$D$10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11" i="6" l="1"/>
  <c r="K73" i="4"/>
  <c r="C3" i="15"/>
  <c r="C3" i="14"/>
  <c r="CD4" i="15"/>
  <c r="BU4" i="15"/>
  <c r="BE4" i="15"/>
  <c r="AO4" i="15"/>
  <c r="Y4" i="15"/>
  <c r="I4" i="15"/>
  <c r="BY4" i="14"/>
  <c r="BI4" i="14"/>
  <c r="AS4" i="14"/>
  <c r="AC4" i="14"/>
  <c r="M4" i="14"/>
  <c r="CB4" i="15"/>
  <c r="BL4" i="15"/>
  <c r="AV4" i="15"/>
  <c r="AF4" i="15"/>
  <c r="P4" i="15"/>
  <c r="CF4" i="14"/>
  <c r="BP4" i="14"/>
  <c r="AZ4" i="14"/>
  <c r="AJ4" i="14"/>
  <c r="T4" i="14"/>
  <c r="H4" i="14"/>
  <c r="BS4" i="15"/>
  <c r="BC4" i="15"/>
  <c r="AM4" i="15"/>
  <c r="W4" i="15"/>
  <c r="G4" i="15"/>
  <c r="BW4" i="14"/>
  <c r="BG4" i="14"/>
  <c r="AQ4" i="14"/>
  <c r="AA4" i="14"/>
  <c r="K4" i="14"/>
  <c r="BR4" i="15"/>
  <c r="BB4" i="15"/>
  <c r="AL4" i="15"/>
  <c r="V4" i="15"/>
  <c r="F4" i="15"/>
  <c r="BV4" i="14"/>
  <c r="BF4" i="14"/>
  <c r="AP4" i="14"/>
  <c r="Z4" i="14"/>
  <c r="J4" i="14"/>
  <c r="BQ4" i="15"/>
  <c r="BA4" i="15"/>
  <c r="AK4" i="15"/>
  <c r="U4" i="15"/>
  <c r="E4" i="15"/>
  <c r="BU4" i="14"/>
  <c r="BE4" i="14"/>
  <c r="AO4" i="14"/>
  <c r="Y4" i="14"/>
  <c r="I4" i="14"/>
  <c r="BX4" i="15"/>
  <c r="BH4" i="15"/>
  <c r="AR4" i="15"/>
  <c r="AB4" i="15"/>
  <c r="L4" i="15"/>
  <c r="CB4" i="14"/>
  <c r="BL4" i="14"/>
  <c r="AV4" i="14"/>
  <c r="AF4" i="14"/>
  <c r="P4" i="14"/>
  <c r="D4" i="14"/>
  <c r="BO4" i="15"/>
  <c r="AY4" i="15"/>
  <c r="AI4" i="15"/>
  <c r="S4" i="15"/>
  <c r="C4" i="15"/>
  <c r="BS4" i="14"/>
  <c r="BC4" i="14"/>
  <c r="AM4" i="14"/>
  <c r="W4" i="14"/>
  <c r="G4" i="14"/>
  <c r="BN4" i="15"/>
  <c r="AX4" i="15"/>
  <c r="AH4" i="15"/>
  <c r="R4" i="15"/>
  <c r="B4" i="15"/>
  <c r="BR4" i="14"/>
  <c r="BB4" i="14"/>
  <c r="AL4" i="14"/>
  <c r="V4" i="14"/>
  <c r="F4" i="14"/>
  <c r="BM4" i="15"/>
  <c r="AW4" i="15"/>
  <c r="AG4" i="15"/>
  <c r="Q4" i="15"/>
  <c r="B2" i="15"/>
  <c r="BQ4" i="14"/>
  <c r="BA4" i="14"/>
  <c r="AK4" i="14"/>
  <c r="U4" i="14"/>
  <c r="E4" i="14"/>
  <c r="BT4" i="15"/>
  <c r="BD4" i="15"/>
  <c r="AN4" i="15"/>
  <c r="X4" i="15"/>
  <c r="H4" i="15"/>
  <c r="BX4" i="14"/>
  <c r="BH4" i="14"/>
  <c r="AR4" i="14"/>
  <c r="AB4" i="14"/>
  <c r="CF4" i="15"/>
  <c r="CA4" i="15"/>
  <c r="BK4" i="15"/>
  <c r="AU4" i="15"/>
  <c r="AE4" i="15"/>
  <c r="O4" i="15"/>
  <c r="CE4" i="14"/>
  <c r="BO4" i="14"/>
  <c r="AY4" i="14"/>
  <c r="AI4" i="14"/>
  <c r="S4" i="14"/>
  <c r="C4" i="14"/>
  <c r="BJ4" i="15"/>
  <c r="AT4" i="15"/>
  <c r="AD4" i="15"/>
  <c r="N4" i="15"/>
  <c r="CD4" i="14"/>
  <c r="BN4" i="14"/>
  <c r="AX4" i="14"/>
  <c r="AH4" i="14"/>
  <c r="R4" i="14"/>
  <c r="B4" i="14"/>
  <c r="BI4" i="15"/>
  <c r="AS4" i="15"/>
  <c r="AC4" i="15"/>
  <c r="BZ4" i="15"/>
  <c r="CC4" i="15"/>
  <c r="BY4" i="15"/>
  <c r="M4" i="15"/>
  <c r="AG4" i="14"/>
  <c r="AZ4" i="15"/>
  <c r="BT4" i="14"/>
  <c r="L4" i="14"/>
  <c r="AA4" i="15"/>
  <c r="AU4" i="14"/>
  <c r="BF4" i="15"/>
  <c r="BZ4" i="14"/>
  <c r="N4" i="14"/>
  <c r="AT4" i="14"/>
  <c r="BP4" i="15"/>
  <c r="X4" i="14"/>
  <c r="J4" i="15"/>
  <c r="CC4" i="14"/>
  <c r="Q4" i="14"/>
  <c r="AJ4" i="15"/>
  <c r="BD4" i="14"/>
  <c r="BW4" i="15"/>
  <c r="K4" i="15"/>
  <c r="AE4" i="14"/>
  <c r="AP4" i="15"/>
  <c r="BJ4" i="14"/>
  <c r="CE4" i="15"/>
  <c r="Z4" i="15"/>
  <c r="AW4" i="14"/>
  <c r="BK4" i="14"/>
  <c r="AD4" i="14"/>
  <c r="BM4" i="14"/>
  <c r="B2" i="14"/>
  <c r="T4" i="15"/>
  <c r="AN4" i="14"/>
  <c r="BG4" i="15"/>
  <c r="CA4" i="14"/>
  <c r="O4" i="14"/>
  <c r="D4" i="15"/>
  <c r="AQ4" i="15"/>
  <c r="BV4" i="15"/>
  <c r="I41" i="6"/>
  <c r="I39" i="6"/>
  <c r="I37" i="6"/>
  <c r="I35" i="6"/>
  <c r="I33" i="6"/>
  <c r="I31" i="6"/>
  <c r="I29" i="6"/>
  <c r="I27" i="6"/>
  <c r="I25" i="6"/>
  <c r="I23" i="6"/>
  <c r="I21" i="6"/>
  <c r="I19" i="6"/>
  <c r="I17" i="6"/>
  <c r="I15" i="6"/>
  <c r="I38" i="6"/>
  <c r="I34" i="6"/>
  <c r="I32" i="6"/>
  <c r="I26" i="6"/>
  <c r="I22" i="6"/>
  <c r="I18" i="6"/>
  <c r="H40" i="6"/>
  <c r="H34" i="6"/>
  <c r="H30" i="6"/>
  <c r="H26" i="6"/>
  <c r="H22" i="6"/>
  <c r="H18" i="6"/>
  <c r="H41" i="6"/>
  <c r="H39" i="6"/>
  <c r="H37" i="6"/>
  <c r="H35" i="6"/>
  <c r="H33" i="6"/>
  <c r="H31" i="6"/>
  <c r="H29" i="6"/>
  <c r="H27" i="6"/>
  <c r="H25" i="6"/>
  <c r="H23" i="6"/>
  <c r="H21" i="6"/>
  <c r="H19" i="6"/>
  <c r="H17" i="6"/>
  <c r="H15" i="6"/>
  <c r="I40" i="6"/>
  <c r="I36" i="6"/>
  <c r="I30" i="6"/>
  <c r="I28" i="6"/>
  <c r="I24" i="6"/>
  <c r="I20" i="6"/>
  <c r="I16" i="6"/>
  <c r="H38" i="6"/>
  <c r="H36" i="6"/>
  <c r="H32" i="6"/>
  <c r="H28" i="6"/>
  <c r="H24" i="6"/>
  <c r="H20" i="6"/>
  <c r="H16" i="6"/>
  <c r="I14" i="6"/>
  <c r="H14" i="6"/>
  <c r="F12" i="6"/>
  <c r="E12" i="6"/>
  <c r="D12" i="6"/>
  <c r="C12" i="6"/>
  <c r="D10" i="6"/>
  <c r="L73" i="4" l="1"/>
  <c r="J73" i="4"/>
  <c r="I73" i="4" l="1"/>
  <c r="H73" i="4"/>
  <c r="F73" i="4" l="1"/>
  <c r="G73" i="4"/>
  <c r="D73" i="4"/>
  <c r="C73" i="4"/>
  <c r="I4" i="6" a="1"/>
  <c r="B73" i="4" l="1"/>
  <c r="I4" i="6"/>
  <c r="G10" i="2"/>
  <c r="H10" i="2" l="1"/>
  <c r="G17" i="2" l="1"/>
  <c r="H17" i="2"/>
  <c r="B4" i="6" a="1"/>
  <c r="B4" i="6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<sst xmlns="http://schemas.openxmlformats.org/spreadsheetml/2006/main" count="1652" uniqueCount="786">
  <si>
    <t>ID</t>
  </si>
  <si>
    <t>Param1</t>
  </si>
  <si>
    <t>Param2</t>
  </si>
  <si>
    <t>Param3</t>
  </si>
  <si>
    <t>Param4</t>
  </si>
  <si>
    <t>Param5</t>
  </si>
  <si>
    <t>Start time</t>
  </si>
  <si>
    <t>Source</t>
  </si>
  <si>
    <t>Message</t>
  </si>
  <si>
    <t>Start</t>
  </si>
  <si>
    <t>LOG_End</t>
  </si>
  <si>
    <t>en_US</t>
  </si>
  <si>
    <t>fr_FR</t>
  </si>
  <si>
    <t>Français</t>
  </si>
  <si>
    <t>Anglais</t>
  </si>
  <si>
    <t>French</t>
  </si>
  <si>
    <t>English</t>
  </si>
  <si>
    <t>Début</t>
  </si>
  <si>
    <t>Heure de début</t>
  </si>
  <si>
    <t>Reporting</t>
  </si>
  <si>
    <t>Category</t>
  </si>
  <si>
    <t>A</t>
  </si>
  <si>
    <t>C</t>
  </si>
  <si>
    <t>B</t>
  </si>
  <si>
    <t>Actual</t>
  </si>
  <si>
    <t>F</t>
  </si>
  <si>
    <t>Forecast</t>
  </si>
  <si>
    <t>Budget</t>
  </si>
  <si>
    <t>Category version</t>
  </si>
  <si>
    <t>Current</t>
  </si>
  <si>
    <t>Folders</t>
  </si>
  <si>
    <t>P-A</t>
  </si>
  <si>
    <t>Set of controls</t>
  </si>
  <si>
    <t>Restrictions</t>
  </si>
  <si>
    <t>Operation</t>
  </si>
  <si>
    <t>List of entities</t>
  </si>
  <si>
    <t>P-JV</t>
  </si>
  <si>
    <t>Todo</t>
  </si>
  <si>
    <t>Date picker</t>
  </si>
  <si>
    <t>Text entry</t>
  </si>
  <si>
    <t>Reporting period picker</t>
  </si>
  <si>
    <t>Level of control</t>
  </si>
  <si>
    <t>List of flows</t>
  </si>
  <si>
    <t>List of periods</t>
  </si>
  <si>
    <t>Site</t>
  </si>
  <si>
    <t>Currency</t>
  </si>
  <si>
    <t>Impasse sur le workflow</t>
  </si>
  <si>
    <t>Phase</t>
  </si>
  <si>
    <t>Exercice</t>
  </si>
  <si>
    <t>LOG_StartTime</t>
  </si>
  <si>
    <t>LOG_Source</t>
  </si>
  <si>
    <t>LOG_Message</t>
  </si>
  <si>
    <t>LOG_Start</t>
  </si>
  <si>
    <t>I18N_Version</t>
  </si>
  <si>
    <t>Created</t>
  </si>
  <si>
    <t>Date de création</t>
  </si>
  <si>
    <t>https://www.flaticon.com/</t>
  </si>
  <si>
    <t>I18N_CellValLanguage</t>
  </si>
  <si>
    <t>Language</t>
  </si>
  <si>
    <t>Langue</t>
  </si>
  <si>
    <t>I18N_CellValTip</t>
  </si>
  <si>
    <t>Choisir une langue</t>
  </si>
  <si>
    <t>Choose a language</t>
  </si>
  <si>
    <t/>
  </si>
  <si>
    <t>Tarik</t>
  </si>
  <si>
    <t>Liste des reportings</t>
  </si>
  <si>
    <t>Pierre</t>
  </si>
  <si>
    <t>Category (généralisé à toutes les dimensions)</t>
  </si>
  <si>
    <t>Category version (dépend de la catégory)</t>
  </si>
  <si>
    <t>Duplication</t>
  </si>
  <si>
    <t>JSON</t>
  </si>
  <si>
    <t>Gestion des erreurs</t>
  </si>
  <si>
    <t>Packaging et tests</t>
  </si>
  <si>
    <t>RF_Phase</t>
  </si>
  <si>
    <t>RF_CreationDate</t>
  </si>
  <si>
    <t>RF_Title</t>
  </si>
  <si>
    <t>CTS Reporting Factory</t>
  </si>
  <si>
    <t>Génération des reportings</t>
  </si>
  <si>
    <t>RF_Duplicate</t>
  </si>
  <si>
    <t>Modify</t>
  </si>
  <si>
    <t>Duplicate</t>
  </si>
  <si>
    <t>Modifier</t>
  </si>
  <si>
    <t>Dupliquer</t>
  </si>
  <si>
    <t>RF_Modify</t>
  </si>
  <si>
    <t>TODO</t>
  </si>
  <si>
    <t>Fonction de traduction des dates, avec formats par defaut pour long et court et nom des jours</t>
  </si>
  <si>
    <t>Tri des tableaux</t>
  </si>
  <si>
    <t>RF_Refresh</t>
  </si>
  <si>
    <t>Refresh list</t>
  </si>
  <si>
    <t>Mettre à jour la liste</t>
  </si>
  <si>
    <t>Query</t>
  </si>
  <si>
    <t>Title</t>
  </si>
  <si>
    <t>Hidden</t>
  </si>
  <si>
    <t>RF_ID</t>
  </si>
  <si>
    <t>Yes</t>
  </si>
  <si>
    <t>CreationDate</t>
  </si>
  <si>
    <t>No</t>
  </si>
  <si>
    <t>JSON Column</t>
  </si>
  <si>
    <t>Int</t>
  </si>
  <si>
    <t>Date</t>
  </si>
  <si>
    <t>JSON Type</t>
  </si>
  <si>
    <t>String</t>
  </si>
  <si>
    <t>UpdatePeriod</t>
  </si>
  <si>
    <t>RF_UpdatePeriod</t>
  </si>
  <si>
    <t>Update Period</t>
  </si>
  <si>
    <t>RF_FrameworkVersion</t>
  </si>
  <si>
    <t>Header</t>
  </si>
  <si>
    <t>Version de référentiel</t>
  </si>
  <si>
    <t>Position</t>
  </si>
  <si>
    <t>Row</t>
  </si>
  <si>
    <t>I18N</t>
  </si>
  <si>
    <t>Command</t>
  </si>
  <si>
    <t>Table</t>
  </si>
  <si>
    <t>tReportings</t>
  </si>
  <si>
    <t>Leave at least one empty line between one query and the next</t>
  </si>
  <si>
    <t>Reporting List</t>
  </si>
  <si>
    <t>Params</t>
  </si>
  <si>
    <t>The MIT License (MIT)</t>
  </si>
  <si>
    <t>Copyright (c) 2016 Tim Hall</t>
  </si>
  <si>
    <t>Permission is hereby granted, free of charge, to any person obtaining a copy</t>
  </si>
  <si>
    <t>of this software and associated documentation files (the "Software"), to deal</t>
  </si>
  <si>
    <t>in the Software without restriction, including without limitation the rights</t>
  </si>
  <si>
    <t>to use, copy, modify, merge, publish, distribute, sublicense, and/or sell</t>
  </si>
  <si>
    <t>copies of the Software, and to permit persons to whom the Software is</t>
  </si>
  <si>
    <t>furnished to do so, subject to the following conditions:</t>
  </si>
  <si>
    <t>The above copyright notice and this permission notice shall be included in all</t>
  </si>
  <si>
    <t>copies or substantial portions of the Software.</t>
  </si>
  <si>
    <t>THE SOFTWARE IS PROVIDED "AS IS", WITHOUT WARRANTY OF ANY KIND, EXPRESS OR</t>
  </si>
  <si>
    <t>IMPLIED, INCLUDING BUT NOT LIMITED TO THE WARRANTIES OF MERCHANTABILITY,</t>
  </si>
  <si>
    <t>FITNESS FOR A PARTICULAR PURPOSE AND NONINFRINGEMENT. IN NO EVENT SHALL THE</t>
  </si>
  <si>
    <t>AUTHORS OR COPYRIGHT HOLDERS BE LIABLE FOR ANY CLAIM, DAMAGES OR OTHER</t>
  </si>
  <si>
    <t>LIABILITY, WHETHER IN AN ACTION OF CONTRACT, TORT OR OTHERWISE, ARISING FROM,</t>
  </si>
  <si>
    <t>OUT OF OR IN CONNECTION WITH THE SOFTWARE OR THE USE OR OTHER DEALINGS IN THE</t>
  </si>
  <si>
    <t>SOFTWARE.</t>
  </si>
  <si>
    <t>RF_Save</t>
  </si>
  <si>
    <t>Required</t>
  </si>
  <si>
    <t>JSON Row Array</t>
  </si>
  <si>
    <t>Data</t>
  </si>
  <si>
    <t>x</t>
  </si>
  <si>
    <t>Credits</t>
  </si>
  <si>
    <t>icons</t>
  </si>
  <si>
    <t>Actions en ligne</t>
  </si>
  <si>
    <t>Traduction des feuilles</t>
  </si>
  <si>
    <t>Cacher la barre de formules</t>
  </si>
  <si>
    <t>Fenêtre d'atente</t>
  </si>
  <si>
    <t>Traduire les erreurs</t>
  </si>
  <si>
    <t>RF_Entity</t>
  </si>
  <si>
    <t>RF_InputCurrency</t>
  </si>
  <si>
    <t>RF_CutoffDate</t>
  </si>
  <si>
    <t>Boolean</t>
  </si>
  <si>
    <t>RF_AfterPublication</t>
  </si>
  <si>
    <t>RF_AfterTransfer</t>
  </si>
  <si>
    <t>Sélection après création</t>
  </si>
  <si>
    <t>Passage d'argument dans les commandes</t>
  </si>
  <si>
    <t>Format</t>
  </si>
  <si>
    <t>Editor</t>
  </si>
  <si>
    <t>LongDate</t>
  </si>
  <si>
    <t>I18N_Months</t>
  </si>
  <si>
    <t>Jan. Feb. Mar. Apr. May June July Aug. Sep. Oct. Nov. Dec. January February March April May June July August September October November December</t>
  </si>
  <si>
    <t>jan. fév. mars ajr. mai juin juil. août sep. oct. nov. déc. janvier février mars avril mai june juillet août septembre octobre novembre décembre</t>
  </si>
  <si>
    <t>I18N_Days</t>
  </si>
  <si>
    <t>Sun Mon Tue Wed Thu Fri Sat Sunday Monday Tuesday Wednesday Thursday Friday Saturday</t>
  </si>
  <si>
    <t>I18N_YesNo</t>
  </si>
  <si>
    <t>Yes No</t>
  </si>
  <si>
    <t>Oui Non</t>
  </si>
  <si>
    <t>01</t>
  </si>
  <si>
    <t>10 12 15</t>
  </si>
  <si>
    <t>I18N_DateFormats</t>
  </si>
  <si>
    <t>Dim Lun Mar Mer Jeu Ven Sam Dimanche Lundi Mardi Mercredi Jeudi Vendredi Samedi</t>
  </si>
  <si>
    <t>mm/dd/yy|ddd mmm dd, yyyy|dddd mmmm dd, yyyy</t>
  </si>
  <si>
    <t>dd mm yy|ddd dd mmm yyyy|dddd dd mmmm yyyy</t>
  </si>
  <si>
    <t>RF_UpdateData</t>
  </si>
  <si>
    <t>RF_UpdateDataTitle</t>
  </si>
  <si>
    <t>Connection au serveur</t>
  </si>
  <si>
    <t>Connect to server</t>
  </si>
  <si>
    <t>RF_I18N_Sheet</t>
  </si>
  <si>
    <t>Proposer de changer de server sur timeout</t>
  </si>
  <si>
    <t>{"CodeName": "RF_I18N_Sheet", "Cell": "C10"}</t>
  </si>
  <si>
    <t>{"RF_ID":"?","RF_Phase":"?","RF_UpdatePeriod":"?"}</t>
  </si>
  <si>
    <t>Données dans feuille et relecture</t>
  </si>
  <si>
    <t>RF_EarlyPublishing</t>
  </si>
  <si>
    <t>Entity</t>
  </si>
  <si>
    <t>Unité</t>
  </si>
  <si>
    <t>Devise</t>
  </si>
  <si>
    <t>Cutoff Date</t>
  </si>
  <si>
    <t>Date limite</t>
  </si>
  <si>
    <t>Integrate after publication</t>
  </si>
  <si>
    <t>Integrate after transfer</t>
  </si>
  <si>
    <t>Intégrer après publication</t>
  </si>
  <si>
    <t>Intégrer après transfert</t>
  </si>
  <si>
    <t>Sauvegarder</t>
  </si>
  <si>
    <t>/Data/Phase</t>
  </si>
  <si>
    <t>/Data/UpdatePeriod</t>
  </si>
  <si>
    <t>/Data/FrameworkVersion</t>
  </si>
  <si>
    <t>yyyy-mm-dd hh:mm</t>
  </si>
  <si>
    <t>#Group</t>
  </si>
  <si>
    <t>Level</t>
  </si>
  <si>
    <t>RF_Entity2</t>
  </si>
  <si>
    <t>RF_Operation</t>
  </si>
  <si>
    <t>RF_Reporting</t>
  </si>
  <si>
    <t>Code</t>
  </si>
  <si>
    <t>Name</t>
  </si>
  <si>
    <t>Exploitation</t>
  </si>
  <si>
    <t>Colonnes à cacher dans feuille</t>
  </si>
  <si>
    <t xml:space="preserve"> 1</t>
  </si>
  <si>
    <t xml:space="preserve"> 2</t>
  </si>
  <si>
    <t xml:space="preserve"> 3</t>
  </si>
  <si>
    <t xml:space="preserve"> 4</t>
  </si>
  <si>
    <t xml:space="preserve">Gérer l'erreur 408 </t>
  </si>
  <si>
    <t>Save changes</t>
  </si>
  <si>
    <t>Version 0.7</t>
  </si>
  <si>
    <t>29 07 2020</t>
  </si>
  <si>
    <t>Corrige Save Changes (manquait un n)</t>
  </si>
  <si>
    <t>Prépare les suggestions de Bruno</t>
  </si>
  <si>
    <t>Adapté au 64 bits</t>
  </si>
  <si>
    <t>Version 0.6</t>
  </si>
  <si>
    <t>27 07 2020</t>
  </si>
  <si>
    <t>Première diffusion pour revue</t>
  </si>
  <si>
    <t>Dans le dialogue de duplication, ajouter la deadline et les dates de début et de fin</t>
  </si>
  <si>
    <t>Autoriser plusieurs reprtings dans une même feuille</t>
  </si>
  <si>
    <t>Tâches de consolidation et de pré consolidation</t>
  </si>
  <si>
    <t>Définitions de consolidation</t>
  </si>
  <si>
    <t>Chargement des taux</t>
  </si>
  <si>
    <t>Web Access</t>
  </si>
  <si>
    <t>64 bits</t>
  </si>
  <si>
    <t>Première diffusion</t>
  </si>
  <si>
    <t>Version 0.8</t>
  </si>
  <si>
    <t>29 11 2020</t>
  </si>
  <si>
    <t>Séparer l'adresse du serveur du reste des requêtes</t>
  </si>
  <si>
    <t>Content</t>
  </si>
  <si>
    <t>JSON Query</t>
  </si>
  <si>
    <t>Next ID</t>
  </si>
  <si>
    <t>Gère la dupication</t>
  </si>
  <si>
    <t>Cache les données</t>
  </si>
  <si>
    <t>Gère l'ouverture de plusieurs reportings</t>
  </si>
  <si>
    <t>Direction</t>
  </si>
  <si>
    <t>Timestamp</t>
  </si>
  <si>
    <t>Voulez-vous vous connecter au serveur et mettre à jour la liste des reportings ?</t>
  </si>
  <si>
    <t>Key</t>
  </si>
  <si>
    <t>tReporting{ID}</t>
  </si>
  <si>
    <t>Le serveur ne fait pas partie de l'identifiant des données, donc des comparaisons entre serveurs exigent deux fichiers</t>
  </si>
  <si>
    <t>Traduire les forms</t>
  </si>
  <si>
    <t>Version 0.9</t>
  </si>
  <si>
    <t>Bug fix</t>
  </si>
  <si>
    <t>Supprime la référence aux contrôles SP4</t>
  </si>
  <si>
    <t>Cache le quadrillage dans les détails</t>
  </si>
  <si>
    <t>Version 0.91</t>
  </si>
  <si>
    <t>Version 0.92.1</t>
  </si>
  <si>
    <t>28 02 2021</t>
  </si>
  <si>
    <t>Full info</t>
  </si>
  <si>
    <t>aj</t>
  </si>
  <si>
    <t>FlatDesc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</si>
  <si>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</si>
  <si>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</si>
  <si>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</si>
  <si>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</si>
  <si>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</si>
  <si>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</si>
  <si>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</si>
  <si>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</si>
  <si>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</si>
  <si>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</si>
  <si>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</si>
  <si>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</si>
  <si>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</si>
  <si>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</si>
  <si>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</si>
  <si>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</si>
  <si>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</si>
  <si>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</si>
  <si>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</si>
  <si>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</si>
  <si>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w</t>
  </si>
  <si>
    <t>z</t>
  </si>
  <si>
    <t>aa</t>
  </si>
  <si>
    <t>ab</t>
  </si>
  <si>
    <t>ac</t>
  </si>
  <si>
    <t>ae</t>
  </si>
  <si>
    <t>af</t>
  </si>
  <si>
    <t>ag</t>
  </si>
  <si>
    <t>ah</t>
  </si>
  <si>
    <t>ak</t>
  </si>
  <si>
    <t>al</t>
  </si>
  <si>
    <t>am</t>
  </si>
  <si>
    <t>an</t>
  </si>
  <si>
    <t>ca</t>
  </si>
  <si>
    <t>cb</t>
  </si>
  <si>
    <t>cc</t>
  </si>
  <si>
    <t>cd</t>
  </si>
  <si>
    <t>ce</t>
  </si>
  <si>
    <t>cf</t>
  </si>
  <si>
    <t>cg</t>
  </si>
  <si>
    <t>ch</t>
  </si>
  <si>
    <t>ci</t>
  </si>
  <si>
    <t>cj</t>
  </si>
  <si>
    <t>ck</t>
  </si>
  <si>
    <t>cl</t>
  </si>
  <si>
    <t>cm</t>
  </si>
  <si>
    <t>cn</t>
  </si>
  <si>
    <t>co</t>
  </si>
  <si>
    <t>cp</t>
  </si>
  <si>
    <t>cq</t>
  </si>
  <si>
    <t>cr</t>
  </si>
  <si>
    <t>cs</t>
  </si>
  <si>
    <t>ct</t>
  </si>
  <si>
    <t>cu</t>
  </si>
  <si>
    <t>cv</t>
  </si>
  <si>
    <t>cw</t>
  </si>
  <si>
    <t>cx</t>
  </si>
  <si>
    <t>cy</t>
  </si>
  <si>
    <t>cz</t>
  </si>
  <si>
    <t>da</t>
  </si>
  <si>
    <t>db</t>
  </si>
  <si>
    <t>dc</t>
  </si>
  <si>
    <t>dd</t>
  </si>
  <si>
    <t>de</t>
  </si>
  <si>
    <t>df</t>
  </si>
  <si>
    <t>dg</t>
  </si>
  <si>
    <t>dh</t>
  </si>
  <si>
    <t>di</t>
  </si>
  <si>
    <t>dj</t>
  </si>
  <si>
    <t>dk</t>
  </si>
  <si>
    <t>ReturnCol</t>
  </si>
  <si>
    <t>RF_RepPack</t>
  </si>
  <si>
    <t>RF_RepOp</t>
  </si>
  <si>
    <t>RF_RepOpAftPub</t>
  </si>
  <si>
    <t>RF_RepOpAftTran</t>
  </si>
  <si>
    <t>RF_RepDesc</t>
  </si>
  <si>
    <t>InputCurrency</t>
  </si>
  <si>
    <t>InputSite</t>
  </si>
  <si>
    <t>PublicationSite</t>
  </si>
  <si>
    <t>PackPackage/UseDefaultWindowsFolder</t>
  </si>
  <si>
    <t>PackPackage/WindowsFolder</t>
  </si>
  <si>
    <t>PackPackage/UseDefaultInternetFolder</t>
  </si>
  <si>
    <t>PackPackage/InternetFolder</t>
  </si>
  <si>
    <t>PackPackage/UseDefaultSetOfControls</t>
  </si>
  <si>
    <t>PackPackage/SetOfControls</t>
  </si>
  <si>
    <t>PackPackage/UseDefaultLevel</t>
  </si>
  <si>
    <t>PackPackage/LevelToReach</t>
  </si>
  <si>
    <t>PackPackage/Blocking</t>
  </si>
  <si>
    <t>PackPackage/UseDefaultLock</t>
  </si>
  <si>
    <t>PackPackage/LockOnPublication</t>
  </si>
  <si>
    <t>PackPackage/UseDefaultRuleSet</t>
  </si>
  <si>
    <t>PackPackage/RuleSet</t>
  </si>
  <si>
    <t>PackPackage/UseDefaultOpbal</t>
  </si>
  <si>
    <t>PackPackage/HasOpBal</t>
  </si>
  <si>
    <t>PackPackage/OpbPhase</t>
  </si>
  <si>
    <t>PackPackage/OpbUpdatePeriod</t>
  </si>
  <si>
    <t>PackPackage/OpbScope</t>
  </si>
  <si>
    <t>PackPackage/OpbVariant</t>
  </si>
  <si>
    <t>PackPackage/OpbConsCurrency</t>
  </si>
  <si>
    <t>PackOperation/UseDefaultPublish</t>
  </si>
  <si>
    <t>PackOperation/PackPublishingCutOffDate</t>
  </si>
  <si>
    <t>PackOperation/AllowEarlyPublishing</t>
  </si>
  <si>
    <t>PackOperation/UseDefaultAfterPub</t>
  </si>
  <si>
    <t>PackOperation/AfterPublication/Standard</t>
  </si>
  <si>
    <t>PackOperation/AfterPublication/Special</t>
  </si>
  <si>
    <t>PackOperation/AfterPublication/Advanced</t>
  </si>
  <si>
    <t>PackOperation/AfterPublication/Level</t>
  </si>
  <si>
    <t>PackOperation/UseDefaultAfterTran</t>
  </si>
  <si>
    <t>PackOperation/AfterTransfer/Standard</t>
  </si>
  <si>
    <t>PackOperation/AfterTransfer/Special</t>
  </si>
  <si>
    <t>PackOperation/AfterTransfer/Advanced</t>
  </si>
  <si>
    <t>PackOperation/AfterTransfer/Level</t>
  </si>
  <si>
    <t>RF_EntPack</t>
  </si>
  <si>
    <t>RF_EntOp</t>
  </si>
  <si>
    <t>RF_EntOpAftPub</t>
  </si>
  <si>
    <t>RF_EntOpAftTran</t>
  </si>
  <si>
    <t>Folder</t>
  </si>
  <si>
    <t>Lock</t>
  </si>
  <si>
    <t>SetOfRules</t>
  </si>
  <si>
    <t>Recipient</t>
  </si>
  <si>
    <t>RF_Start</t>
  </si>
  <si>
    <t>RF_End</t>
  </si>
  <si>
    <t>/Data/ReportingStartDate</t>
  </si>
  <si>
    <t>/Data/ReportingEndDate</t>
  </si>
  <si>
    <t>/Data/DefaultPackage/UseDefaultWindowsFolder</t>
  </si>
  <si>
    <t>/Data/DefaultPackage/WindowsFolder</t>
  </si>
  <si>
    <t>/Data/DefaultPackage/UseDefaultInternetFolder</t>
  </si>
  <si>
    <t>/Data/DefaultPackage/InternetFolder</t>
  </si>
  <si>
    <t>/Data/DefaultPackage/UseDefaultSetOfControls</t>
  </si>
  <si>
    <t>/Data/DefaultPackage/SetOfControls</t>
  </si>
  <si>
    <t>/Data/DefaultPackage/UseDefaultLevel</t>
  </si>
  <si>
    <t>/Data/DefaultPackage/LevelToReach</t>
  </si>
  <si>
    <t>/Data/DefaultPackage/Blocking</t>
  </si>
  <si>
    <t>/Data/DefaultPackage/UseDefaultLock</t>
  </si>
  <si>
    <t>/Data/DefaultPackage/LockOnPublication</t>
  </si>
  <si>
    <t>/Data/DefaultPackage/UseDefaultRuleSet</t>
  </si>
  <si>
    <t>/Data/DefaultPackage/RuleSet</t>
  </si>
  <si>
    <t>/Data/DefaultPackage/UseDefaultOpbal</t>
  </si>
  <si>
    <t>/Data/DefaultPackage/HasOpBal</t>
  </si>
  <si>
    <t>/Data/DefaultPackage/OpbPhase</t>
  </si>
  <si>
    <t>/Data/DefaultPackage/OpbUpdatePeriod</t>
  </si>
  <si>
    <t>/Data/DefaultPackage/OpbScope</t>
  </si>
  <si>
    <t>/Data/DefaultPackage/OpbVariant</t>
  </si>
  <si>
    <t>/Data/DefaultPackage/OpbConsCurrency</t>
  </si>
  <si>
    <t>/Data/DefaultOperation/PackPublishingCutOffDate</t>
  </si>
  <si>
    <t>/Data/DefaultOperation/AllowEarlyPublishing</t>
  </si>
  <si>
    <t>/Data/DefaultOperation/AfterPublication/Standard</t>
  </si>
  <si>
    <t>/Data/DefaultOperation/AfterPublication/Special</t>
  </si>
  <si>
    <t>/Data/DefaultOperation/AfterPublication/Advanced</t>
  </si>
  <si>
    <t>/Data/DefaultOperation/AfterPublication/Level</t>
  </si>
  <si>
    <t>/Data/DefaultOperation/AfterTransfer/Standard</t>
  </si>
  <si>
    <t>/Data/DefaultOperation/AfterTransfer/Special</t>
  </si>
  <si>
    <t>/Data/DefaultOperation/AfterTransfer/Advanced</t>
  </si>
  <si>
    <t>/Data/DefaultOperation/AfterTransfer/Level</t>
  </si>
  <si>
    <t>/Data/Descriptions</t>
  </si>
  <si>
    <t>RF_RepOpAftPubStd</t>
  </si>
  <si>
    <t>RF_RepOpAftPubSpe</t>
  </si>
  <si>
    <t>RF_RepOpAftPubAdv</t>
  </si>
  <si>
    <t>RF_RepOpAftPubLvl</t>
  </si>
  <si>
    <t>RF_RepOpAftTranStd</t>
  </si>
  <si>
    <t>RF_RepOpAftTranSpe</t>
  </si>
  <si>
    <t>RF_RepOpAftTranAdv</t>
  </si>
  <si>
    <t>RF_RepOpAftTranLvl</t>
  </si>
  <si>
    <t>RF_InputSite</t>
  </si>
  <si>
    <t>RF_PublicationSite</t>
  </si>
  <si>
    <t>RF_EntUseDefaultWindowsFolder</t>
  </si>
  <si>
    <t>RF_EntUseDefaultInternetFolder</t>
  </si>
  <si>
    <t>RF_EntUseDefaultSetOfControls</t>
  </si>
  <si>
    <t>RF_EntUseDefaultLevel</t>
  </si>
  <si>
    <t>RF_EntLevelToReach</t>
  </si>
  <si>
    <t>RF_EntBlocking</t>
  </si>
  <si>
    <t>RF_EntUseDefaultLock</t>
  </si>
  <si>
    <t>RF_EntUseDefaultRuleSet</t>
  </si>
  <si>
    <t>RF_EntUseDefaultOpbal</t>
  </si>
  <si>
    <t>RF_EntHasOpBal</t>
  </si>
  <si>
    <t>RF_EntOpbUpdatePeriod</t>
  </si>
  <si>
    <t>RF_EntOpbScope</t>
  </si>
  <si>
    <t>RF_EntOpbVariant</t>
  </si>
  <si>
    <t>RF_EntOpbConsCurrency</t>
  </si>
  <si>
    <t>RF_EntUseDefaultPublish</t>
  </si>
  <si>
    <t>RF_EntPackPublishingCutOffDate</t>
  </si>
  <si>
    <t>RF_EntAllowEarlyPublishing</t>
  </si>
  <si>
    <t>RF_EntUseDefaultAfterPub</t>
  </si>
  <si>
    <t>RF_EntUseDefaultAfterTran</t>
  </si>
  <si>
    <t>RF_EntWindowsFolder</t>
  </si>
  <si>
    <t>RF_EntSetOfControls</t>
  </si>
  <si>
    <t>RF_EntLockOnPublication</t>
  </si>
  <si>
    <t>RF_EntRuleSet</t>
  </si>
  <si>
    <t>RF_EntOpbPhase</t>
  </si>
  <si>
    <t>RF_EntAftPubStandard</t>
  </si>
  <si>
    <t>RF_EntAftPubLevel</t>
  </si>
  <si>
    <t>RF_EntAftTranStandard</t>
  </si>
  <si>
    <t>RF_EntAftTranSpecial</t>
  </si>
  <si>
    <t>RF_EntAftTranAdvanced</t>
  </si>
  <si>
    <t>RF_EntAftTranLevel</t>
  </si>
  <si>
    <t>RF_EntAftPubSpecial</t>
  </si>
  <si>
    <t>RF_EntAftPubAdvanced</t>
  </si>
  <si>
    <t>RF_EntInternetFolder</t>
  </si>
  <si>
    <t>RF_UseDefaultWindowsFolder</t>
  </si>
  <si>
    <t>RF_WindowsFolder</t>
  </si>
  <si>
    <t>RF_UseDefaultInternetFolder</t>
  </si>
  <si>
    <t>RF_InternetFolder</t>
  </si>
  <si>
    <t>RF_UseDefaultSetOfControls</t>
  </si>
  <si>
    <t>RF_SetOfControls</t>
  </si>
  <si>
    <t>RF_UseDefaultLevel</t>
  </si>
  <si>
    <t>RF_LevelToReach</t>
  </si>
  <si>
    <t>RF_Blocking</t>
  </si>
  <si>
    <t>RF_UseDefaultLock</t>
  </si>
  <si>
    <t>RF_LockOnPublication</t>
  </si>
  <si>
    <t>RF_UseDefaultRuleSet</t>
  </si>
  <si>
    <t>RF_RuleSet</t>
  </si>
  <si>
    <t>RF_UseDefaultOpbal</t>
  </si>
  <si>
    <t>RF_HasOpBal</t>
  </si>
  <si>
    <t>RF_OpbPhase</t>
  </si>
  <si>
    <t>RF_OpbUpdatePeriod</t>
  </si>
  <si>
    <t>RF_OpbScope</t>
  </si>
  <si>
    <t>RF_OpbVariant</t>
  </si>
  <si>
    <t>RF_OpbConsCurrency</t>
  </si>
  <si>
    <t>Start date</t>
  </si>
  <si>
    <t>End date</t>
  </si>
  <si>
    <t>Fin</t>
  </si>
  <si>
    <t>Package</t>
  </si>
  <si>
    <t>Liasse</t>
  </si>
  <si>
    <t>Default Windows Folder?</t>
  </si>
  <si>
    <t>Default Internet Folder?</t>
  </si>
  <si>
    <t>Default Level?</t>
  </si>
  <si>
    <t>Blocking?</t>
  </si>
  <si>
    <t>Windows folder</t>
  </si>
  <si>
    <t>Internet folder</t>
  </si>
  <si>
    <t>Cahier Windows</t>
  </si>
  <si>
    <t>Cahier Internet</t>
  </si>
  <si>
    <t>Cahier Windows: défaut?</t>
  </si>
  <si>
    <t>Cahier Internet: défaut?</t>
  </si>
  <si>
    <t>Control Set: default?</t>
  </si>
  <si>
    <t>Jeu de contrôles: défaut?</t>
  </si>
  <si>
    <t>Control Set</t>
  </si>
  <si>
    <t>Jeu de contrôles</t>
  </si>
  <si>
    <t>Niveau de contrôle: défaut?</t>
  </si>
  <si>
    <t>Control Level</t>
  </si>
  <si>
    <t>Niveau de contrôle</t>
  </si>
  <si>
    <t>Bloquant?</t>
  </si>
  <si>
    <t>Connect to  server and refresh the reporting list?</t>
  </si>
  <si>
    <t>/api/reporting/{ID}</t>
  </si>
  <si>
    <t>/api/reportings</t>
  </si>
  <si>
    <t>Lacks restriction</t>
  </si>
  <si>
    <t>Lacks BFC Dim picker</t>
  </si>
  <si>
    <t>Bug on opening balance generation</t>
  </si>
  <si>
    <t>172.31.38.85</t>
  </si>
  <si>
    <t>SAPFCSQLSERVER</t>
  </si>
  <si>
    <t>ADMIN</t>
  </si>
  <si>
    <t>fr-FR</t>
  </si>
  <si>
    <t>en-US</t>
  </si>
  <si>
    <t>https://localhost:44304</t>
  </si>
  <si>
    <t>auLDescfr_FR</t>
  </si>
  <si>
    <t>RF_DescFr</t>
  </si>
  <si>
    <t>Multilang desc</t>
  </si>
  <si>
    <t>Serveur: Nettoyer le Save</t>
  </si>
  <si>
    <t>Serveur: A nouveaux</t>
  </si>
  <si>
    <t>Vider le cache en cas de changement de user/datasource</t>
  </si>
  <si>
    <t>Supprimer la copie cachée</t>
  </si>
  <si>
    <t>Afficher les libellés</t>
  </si>
  <si>
    <t>Jeton de session</t>
  </si>
  <si>
    <t>Liste des langues et erreurs dans la connexion</t>
  </si>
  <si>
    <t>Présenter les messages</t>
  </si>
  <si>
    <t>Data/EntityReportings</t>
  </si>
  <si>
    <t>Commande Add description</t>
  </si>
  <si>
    <t>Protéger la query de liste des reportings</t>
  </si>
  <si>
    <t>Largeur des cols</t>
  </si>
  <si>
    <t>{"Post":"/api/Reporting"}</t>
  </si>
  <si>
    <t>In</t>
  </si>
  <si>
    <t>{"Data":[{"Phase":"A","UpdatePeriod":"2000.12","FrameworkVersion":"C","ReportingStartDate":"2021-02-24T10:02:00Z","ReportingEndDate":"2021-02-27T10:02:00Z","OwnerSite":100,"OwnerWorkgroup":0,"CreationDate":"2021-03-01T16:55:21Z","Author":-524286,"UpdateDate":"2021-03-01T18:28:25Z","UpdateAuthor":-524286,"Descriptions":[{"CultureName":"fr-FR","Texts":{"LDesc":"Test"}},{"CultureName":"en-US","Texts":{"LDesc":"Actual - 2000.12"}}],"ID":52428888,"LDesc":"Test","Name":"A - 2000.12"},{"Phase":"A","UpdatePeriod":"2001.11","FrameworkVersion":"C","ReportingStartDate":"2021-02-23T15:52:39Z","ReportingEndDate":"2021-04-25T16:00:10Z","OwnerSite":100,"OwnerWorkgroup":0,"CreationDate":"2021-02-23T14:52:39Z","Author":-524286,"UpdateDate":"2021-02-25T15:00:10Z","UpdateAuthor":-524286,"Descriptions":[{"CultureName":"fr-FR","Texts":{"LDesc":"Réel - 2001.11"}},{"CultureName":"en-US","Texts":{"LDesc":"Actual - 2001.11"}}],"ID":52428859,"LDesc":"Réel - 2001.11","Name":"A - 2001.11"},{"Phase":"A","UpdatePeriod":"2001.12","FrameworkVersion":"C","ReportingStartDate":"2021-02-23T15:12:48Z","ReportingEndDate":"2021-04-23T15:12:48Z","OwnerSite":100,"OwnerWorkgroup":0,"CreationDate":"2021-02-23T14:13:08Z","Author":-524286,"UpdateDate":"2021-02-23T14:13:08Z","UpdateAuthor":-524286,"Descriptions":[{"CultureName":"fr-FR","Texts":{"LDesc":"Réel - 2001.12"}},{"CultureName":"en-US","Texts":{"LDesc":"Actual - 2001.12"}}],"ID":52428858,"LDesc":"Réel - 2001.12","Name":"A - 2001.12"},{"Phase":"A","UpdatePeriod":"2002.01","FrameworkVersion":"C","ReportingStartDate":"2021-02-18T20:47:58Z","ReportingEndDate":"2021-03-20T20:47:58Z","OwnerSite":100,"OwnerWorkgroup":0,"CreationDate":"2021-02-18T20:47:58Z","Author":-524286,"UpdateDate":"2021-02-18T20:47:58Z","UpdateAuthor":-524286,"Descriptions":[{"CultureName":"fr-FR","Texts":{"LDesc":""}},{"CultureName":"en-US","Texts":{"LDesc":""}}],"ID":52428847,"LDesc":null,"Name":"A - 2002.01"},{"Phase":"A","UpdatePeriod":"2002.02","FrameworkVersion":"C","ReportingStartDate":"2021-02-23T15:02:13Z","ReportingEndDate":"2021-04-23T15:03:23Z","OwnerSite":100,"OwnerWorkgroup":0,"CreationDate":"2021-02-23T14:02:13Z","Author":-524286,"UpdateDate":"2021-02-23T14:04:19Z","UpdateAuthor":-524286,"Descriptions":[{"CultureName":"fr-FR","Texts":{"LDesc":""}},{"CultureName":"en-US","Texts":{"LDesc":""}}],"ID":52428855,"LDesc":null,"Name":"A - 2002.02"},{"Phase":"A","UpdatePeriod":"2002.03","FrameworkVersion":"C","ReportingStartDate":"2021-02-23T11:30:37Z","ReportingEndDate":"2021-03-25T11:30:37Z","OwnerSite":100,"OwnerWorkgroup":0,"CreationDate":"2021-02-23T11:30:51Z","Author":-524286,"UpdateDate":"2021-02-23T11:30:51Z","UpdateAuthor":-524286,"Descriptions":[{"CultureName":"fr-FR","Texts":{"LDesc":""}},{"CultureName":"en-US","Texts":{"LDesc":""}}],"ID":52428853,"LDesc":null,"Name":"A - 2002.03"},{"Phase":"A","UpdatePeriod":"2002.04","FrameworkVersion":"C","ReportingStartDate":"2021-02-23T12:13:56Z","ReportingEndDate":"2021-04-23T12:13:50Z","OwnerSite":100,"OwnerWorkgroup":0,"CreationDate":"2021-02-23T11:15:06Z","Author":-524286,"UpdateDate":"2021-02-23T11:15:06Z","UpdateAuthor":-524286,"Descriptions":[{"CultureName":"fr-FR","Texts":{"LDesc":""}},{"CultureName":"en-US","Texts":{"LDesc":""}}],"ID":52428851,"LDesc":null,"Name":"A - 2002.04"},{"Phase":"A","UpdatePeriod":"2002.05","FrameworkVersion":"C","ReportingStartDate":"2021-02-23T11:36:13Z","ReportingEndDate":"2021-04-23T11:36:13Z","OwnerSite":100,"OwnerWorkgroup":0,"CreationDate":"2021-02-23T10:36:13Z","Author":-524286,"UpdateDate":"2021-02-23T10:36:13Z","UpdateAuthor":-524286,"Descriptions":[{"CultureName":"fr-FR","Texts":{"LDesc":""}},{"CultureName":"en-US","Texts":{"LDesc":""}}],"ID":52428848,"LDesc":null,"Name":"A - 2002.05"},{"Phase":"A","UpdatePeriod":"2002.06","FrameworkVersion":"C","ReportingStartDate":"2021-02-16T18:37:45Z","ReportingEndDate":"2021-02-22T11:41:54Z","OwnerSite":100,"OwnerWorkgroup":0,"CreationDate":"2021-02-16T18:37:46Z","Author":-524286,"UpdateDate":"2021-02-22T10:41:55Z","UpdateAuthor":-524286,"Descriptions":[{"CultureName":"fr-FR","Texts":{"LDesc":""}},{"CultureName":"en-US","Texts":{"LDesc":""}}],"ID":52428841,"LDesc":null,"Name":"A - 2002.06"},{"Phase":"A","UpdatePeriod":"2002.07","FrameworkVersion":"C","ReportingStartDate":"2021-02-16T18:32:13Z","ReportingEndDate":"2021-03-18T18:32:13Z","OwnerSite":100,"OwnerWorkgroup":0,"CreationDate":"2021-02-16T18:33:41Z","Author":-524286,"UpdateDate":"2021-02-16T18:36:47Z","UpdateAuthor":-524286,"Descriptions":[{"CultureName":"fr-FR","Texts":{"LDesc":""}},{"CultureName":"en-US","Texts":{"LDesc":""}}],"ID":52428840,"LDesc":null,"Name":"A - 2002.07"},{"Phase":"A","UpdatePeriod":"2002.08","FrameworkVersion":"C","ReportingStartDate":"2021-02-16T18:23:18Z","ReportingEndDate":"2021-03-18T18:23:18Z","OwnerSite":100,"OwnerWorkgroup":0,"CreationDate":"2021-02-16T18:23:18Z","Author":-524286,"UpdateDate":"2021-02-16T18:23:18Z","UpdateAuthor":-524286,"Descriptions":[{"CultureName":"fr-FR","Texts":{"LDesc":""}},{"CultureName":"en-US","Texts":{"LDesc":""}}],"ID":52428838,"LDesc":null,"Name":"A - 2002.08"},{"Phase":"A","UpdatePeriod":"2002.09","FrameworkVersion":"C","ReportingStartDate":"2021-02-16T14:59:17Z","ReportingEndDate":"2021-03-18T14:59:17Z","OwnerSite":100,"OwnerWorkgroup":0,"CreationDate":"2021-02-16T14:59:23Z","Author":-524286,"UpdateDate":"2021-02-16T14:59:23Z","UpdateAuthor":-524286,"Descriptions":[{"CultureName":"fr-FR","Texts":{"LDesc":""}},{"CultureName":"en-US","Texts":{"LDesc":""}}],"ID":52428832,"LDesc":null,"Name":"A - 2002.09"},{"Phase":"A","UpdatePeriod":"2002.10","FrameworkVersion":"C","ReportingStartDate":"2021-02-16T14:53:29Z","ReportingEndDate":"2021-03-18T14:53:29Z","OwnerSite":100,"OwnerWorkgroup":0,"CreationDate":"2021-02-16T14:53:29Z","Author":-524286,"UpdateDate":"2021-02-16T14:53:29Z","UpdateAuthor":-524286,"Descriptions":[{"CultureName":"fr-FR","Texts":{"LDesc":"Réel 2002.10"}},{"CultureName":"en-US","Texts":{"LDesc":"Actual 2002.10"}}],"ID":52428830,"LDesc":"Réel 2002.10","Name":"A - 2002.10"},{"Phase":"A","UpdatePeriod":"2002.11","FrameworkVersion":"C","ReportingStartDate":"2021-02-16T14:50:29Z","ReportingEndDate":"2021-03-18T14:50:29Z","OwnerSite":100,"OwnerWorkgroup":0,"CreationDate":"2021-02-16T14:50:30Z","Author":-524286,"UpdateDate":"2021-02-16T14:50:30Z","UpdateAuthor":-524286,"Descriptions":[{"CultureName":"fr-FR","Texts":{"LDesc":"a"}},{"CultureName":"en-US","Texts":{"LDesc":"a"}}],"ID":52428829,"LDesc":"a","Name":"A - 2002.11"},{"Phase":"A","UpdatePeriod":"2002.12","FrameworkVersion":"C","ReportingStartDate":"2015-08-28T12:16:14Z","ReportingEndDate":"2015-09-25T12:16:14Z","OwnerSite":100,"OwnerWorkgroup":0,"CreationDate":"2021-02-15T14:11:42Z","Author":-524286,"UpdateDate":"2021-02-19T09:46:39Z","UpdateAuthor":-524286,"Descriptions":[{"CultureName":"fr-FR","Texts":{"LDesc":"Réel 2002.12"}},{"CultureName":"en-US","Texts":{"LDesc":"Actual - 2002.12"}}],"ID":52428827,"LDesc":"Réel 2002.12","Name":"A - 2002.12"},{"Phase":"A","UpdatePeriod":"2003.12","FrameworkVersion":"C","ReportingStartDate":"2015-08-28T12:16:14Z","ReportingEndDate":"2015-09-27T12:16:14Z","OwnerSite":100,"OwnerWorkgroup":0,"CreationDate":"2015-08-28T12:16:28Z","Author":-524286,"UpdateDate":"2021-02-22T17:22:39Z","UpdateAuthor":-524286,"Descriptions":[{"CultureName":"fr-FR","Texts":{"LDesc":"Réel 2003.12"}},{"CultureName":"en-US","Texts":{"LDesc":"Actual - 2003.12"}}],"ID":79,"LDesc":"Réel 2003.12","Name":"A - 2003.12"},{"Phase":"A","UpdatePeriod":"2004.12","FrameworkVersion":"C","ReportingStartDate":"2015-08-28T12:09:34Z","ReportingEndDate":"2015-09-27T12:09:34Z","OwnerSite":100,"OwnerWorkgroup":0,"CreationDate":"2015-08-28T12:10:05Z","Author":-524286,"UpdateDate":"2015-08-28T13:48:52Z","UpdateAuthor":-524286,"Descriptions":[{"CultureName":"fr-FR","Texts":{"LDesc":"Réel 2004.12"}},{"CultureName":"en-US","Texts":{"LDesc":"Actual - 2004.12"}}],"ID":77,"LDesc":"Réel 2004.12","Name":"A - 2004.12"},{"Phase":"A","UpdatePeriod":"2010.12","FrameworkVersion":"C","ReportingStartDate":"2010-05-03T11:21:32Z","ReportingEndDate":"2010-06-02T11:21:32Z","OwnerSite":100,"OwnerWorkgroup":0,"CreationDate":"2010-05-03T11:22:35Z","Author":-524286,"UpdateDate":"2010-08-16T12:39:18Z","UpdateAuthor":-524286,"Descriptions":[{"CultureName":"fr-FR","Texts":{"LDesc":"Réel 2010.12"}},{"CultureName":"en-US","Texts":{"LDesc":"Actual - 2010.12"}}],"ID":55,"LDesc":"Réel 2010.12","Name":"A - 2010.12"},{"Phase":"A","UpdatePeriod":"2011.03","FrameworkVersion":"C","ReportingStartDate":"2011-01-03T11:00:00Z","ReportingEndDate":"2011-03-31T11:00:00Z","OwnerSite":100,"OwnerWorkgroup":0,"CreationDate":"2010-11-25T13:09:22Z","Author":-524286,"UpdateDate":"2021-02-22T12:34:16Z","UpdateAuthor":-524286,"Descriptions":[{"CultureName":"fr-FR","Texts":{"LDesc":"Réel 2011.03"}},{"CultureName":"en-US","Texts":{"LDesc":"Actual - 2011.03"}}],"ID":67,"LDesc":"Réel 2011.03","Name":"A - 2011.03"},{"Phase":"A","UpdatePeriod":"2011.06","FrameworkVersion":"C","ReportingStartDate":"2011-04-04T11:00:00Z","ReportingEndDate":"2011-06-30T11:00:00Z","OwnerSite":100,"OwnerWorkgroup":0,"CreationDate":"2010-11-29T10:06:57Z","Author":-524286,"UpdateDate":"2010-11-29T10:10:31Z","UpdateAuthor":-524286,"Descriptions":[{"CultureName":"fr-FR","Texts":{"LDesc":"Réel 2011.06"}},{"CultureName":"en-US","Texts":{"LDesc":"Actual - 2011.06"}}],"ID":68,"LDesc":"Réel 2011.06","Name":"A - 2011.06"},{"Phase":"A","UpdatePeriod":"2011.09","FrameworkVersion":"C","ReportingStartDate":"2011-07-01T11:00:00Z","ReportingEndDate":"2011-09-30T11:00:00Z","OwnerSite":100,"OwnerWorkgroup":0,"CreationDate":"2010-11-29T10:10:44Z","Author":-524286,"UpdateDate":"2010-11-29T10:11:37Z","UpdateAuthor":-524286,"Descriptions":[{"CultureName":"fr-FR","Texts":{"LDesc":"Réel 2011.09"}},{"CultureName":"en-US","Texts":{"LDesc":"Actual - 2011.09"}}],"ID":69,"LDesc":"Réel 2011.09","Name":"A - 2011.09"},{"Phase":"A","UpdatePeriod":"2011.12","FrameworkVersion":"C","ReportingStartDate":"2010-05-04T07:09:13Z","ReportingEndDate":"2010-06-03T07:09:13Z","OwnerSite":100,"OwnerWorkgroup":0,"CreationDate":"2010-05-04T07:10:01Z","Author":-524286,"UpdateDate":"2010-08-16T12:40:04Z","UpdateAuthor":-524286,"Descriptions":[{"CultureName":"fr-FR","Texts":{"LDesc":"Réel 2011.12"}},{"CultureName":"en-US","Texts":{"LDesc":"Actual - 2011.12"}}],"ID":56,"LDesc":"Réel 2011.12","Name":"A - 2011.12"},{"Phase":"A","UpdatePeriod":"2013.01","FrameworkVersion":"C","ReportingStartDate":"2013-03-29T09:53:07Z","ReportingEndDate":"2013-04-28T09:53:07Z","OwnerSite":100,"OwnerWorkgroup":0,"CreationDate":"2021-01-28T10:06:48Z","Author":-524286,"UpdateDate":"2021-01-28T10:06:48Z","UpdateAuthor":-524286,"Descriptions":[{"CultureName":"fr-FR","Texts":{"LDesc":"Réel 2013.01"}},{"CultureName":"en-US","Texts":{"LDesc":"Actual - 2013.01"}}],"ID":52428802,"LDesc":"Réel 2013.01","Name":"A - 2013.01"},{"Phase":"A","UpdatePeriod":"2013.12","FrameworkVersion":"C","ReportingStartDate":"2013-03-15T09:53:07Z","ReportingEndDate":"2013-04-28T09:53:07Z","OwnerSite":100,"OwnerWorkgroup":0,"CreationDate":"2013-03-29T09:53:41Z","Author":-524286,"UpdateDate":"2021-01-28T10:25:51Z","UpdateAuthor":-524286,"Descriptions":[{"CultureName":"fr-FR","Texts":{"LDesc":"Réel 2013.12"}},{"CultureName":"en-US","Texts":{"LDesc":"Actual - 2013.12"}}],"ID":71,"LDesc":"Réel 2013.12","Name":"A - 2013.12"},{"Phase":"A","UpdatePeriod":"2014.12","FrameworkVersion":"C","ReportingStartDate":"2014-04-07T09:30:55Z","ReportingEndDate":"2014-05-07T09:30:55Z","OwnerSite":100,"OwnerWorkgroup":0,"CreationDate":"2014-04-07T09:31:33Z","Author":-524286,"UpdateDate":"2014-04-07T09:31:33Z","UpdateAuthor":-524286,"Descriptions":[{"CultureName":"fr-FR","Texts":{"LDesc":"Réel 2014.12"}},{"CultureName":"en-US","Texts":{"LDesc":"Actual - 2014.12"}}],"ID":73,"LDesc":"Réel 2014.12","Name":"A - 2014.12"},{"Phase":"A","UpdatePeriod":"2019.12","FrameworkVersion":"C","ReportingStartDate":"2010-09-02T09:16:58Z","ReportingEndDate":"2010-10-02T09:16:58Z","OwnerSite":100,"OwnerWorkgroup":0,"CreationDate":"2010-09-02T09:17:44Z","Author":-524286,"UpdateDate":"2010-09-02T09:17:44Z","UpdateAuthor":-524286,"Descriptions":[{"CultureName":"fr-FR","Texts":{"LDesc":"Réel 2019.12"}},{"CultureName":"en-US","Texts":{"LDesc":"Actual - 2019.12"}}],"ID":61,"LDesc":"Réel 2019.12","Name":"A - 2019.12"},{"Phase":"A","UpdatePeriod":"2020.12","FrameworkVersion":"C","ReportingStartDate":"2010-08-31T12:51:32Z","ReportingEndDate":"2010-09-30T12:51:32Z","OwnerSite":100,"OwnerWorkgroup":0,"CreationDate":"2010-08-31T12:52:12Z","Author":-524286,"UpdateDate":"2010-09-03T07:54:58Z","UpdateAuthor":-524286,"Descriptions":[{"CultureName":"fr-FR","Texts":{"LDesc":"Réel 2020.12"}},{"CultureName":"en-US","Texts":{"LDesc":"Actual - 2020.12"}}],"ID":59,"LDesc":"Réel 2020.12","Name":"A - 2020.12"},{"Phase":"A","UpdatePeriod":"2021.12","FrameworkVersion":"C","ReportingStartDate":"2010-08-31T12:56:46Z","ReportingEndDate":"2010-09-30T12:56:46Z","OwnerSite":100,"OwnerWorkgroup":0,"CreationDate":"2010-08-31T12:57:27Z","Author":-524286,"UpdateDate":"2012-07-05T07:50:54Z","UpdateAuthor":-524286,"Descriptions":[{"CultureName":"fr-FR","Texts":{"LDesc":"Réel 2021.12"}},{"CultureName":"en-US","Texts":{"LDesc":"Actual - 2021.12"}}],"ID":60,"LDesc":"Réel 2021.12","Name":"A - 2021.12"}],"Messages":null}</t>
  </si>
  <si>
    <t>/api/Reporting</t>
  </si>
  <si>
    <t>Post#tReporting52428888</t>
  </si>
  <si>
    <t>Out</t>
  </si>
  <si>
    <t>{"Table":[{"aj":"A","ak":"2000.12","al":"C","am":"2021-02-24T10:02:00.000Z","an":"2021-02-27T10:02:00.000Z","b":true,"c":"","d":true,"e":"","f":true,"g":"","h":true,"i":0,"j":false,"k":true,"l":0,"m":true,"n":"","o":true,"p":false,"q":"","r":"","s":"","t":"","u":"","w":"2021-02-26T10:02:00.000Z","x":true,"z":true,"aa":true,"ab":true,"ac":2,"ae":false,"af":true,"ag":false,"ah":0,"ca":"S001","cb":"EUR","cc":"0000.TOP","cd":"0000.TOP","ce":true,"cf":"","cg":true,"ch":"","ci":true,"cj":"","ck":true,"cl":0,"cm":false,"cn":true,"co":0,"cp":true,"cq":"","cr":true,"cs":false,"ct":"","cu":"","cv":"","cw":"","cx":"","cy":true,"cz":"2021-02-26T00:00:00.000Z","da":false,"db":true,"dc":false,"dd":false,"de":false,"df":0,"dg":true,"dh":false,"di":false,"dj":false,"dk":0}]}</t>
  </si>
  <si>
    <t>PostResponse#tReporting52428888</t>
  </si>
  <si>
    <t>{"Data":[{"Framework":{"Phase":"A","Version":"C","Status":5,"ControlSets":{"P-A":{"ID":8,"LDesc":null,"Name":"P-A"},"P-E":{"ID":10,"LDesc":null,"Name":"P-E"}},"ControlLevels":{"1":{"Descriptions":[{"CultureName":"fr-FR","Texts":{"LDesc":"Analyse en solde"}},{"CultureName":"en-US","Texts":{"LDesc":"Balance analysis"}}],"ID":1,"LDesc":null,"Rank":1,"Name":"LEV1"},"2":{"Descriptions":[{"CultureName":"fr-FR","Texts":{"LDesc":"Analyse en flux"}},{"CultureName":"en-US","Texts":{"LDesc":"Flow analysis"}}],"ID":4,"LDesc":null,"Rank":2,"Name":"LEV2"}},"ID":1,"LDesc":null,"Name":"A - C"},"DefaultPackage":{"UseDefaultWindowsFolder":true,"WindowsFolder":"","UseDefaultInternetFolder":true,"InternetFolder":"","UseDefaultSetOfControls":true,"SetOfControls":"","UseDefaultLevel":true,"LevelToReach":0,"Blocking":false,"UseDefaultLock":true,"LockOnPublication":0,"UseDefaultRuleSet":true,"RuleSet":"","UseDefaultOpbal":true,"HasOpBal":false,"OpbPhase":"","OpbUpdatePeriod":"","OpbScope":"","OpbVariant":"","OpbConsCurrency":""},"DefaultRestriction":{},"DefaultOperation":{"UseDefaultPublish":false,"PackPublishingCutOffDate":"2021-02-26T10:02:00Z","AllowEarlyPublishing":true,"UseDefaultAfterPub":false,"AfterPublication":{"Standard":true,"Special":true,"Advanced":true,"Level":2},"UseDefaultAfterTran":false,"AfterTransfer":{"Standard":false,"Special":true,"Advanced":false,"Level":0}},"EntityReportings":[{"Reporting":{"Phase":"A","UpdatePeriod":"2000.12","FrameworkVersion":"C","ReportingStartDate":"2021-02-24T10:02:00Z","ReportingEndDate":"2021-02-27T10:02:00Z","OwnerSite":100,"OwnerWorkgroup":0,"CreationDate":"2021-03-01T16:55:21Z","Author":-524286,"UpdateDate":"2021-03-01T18:28:25Z","UpdateAuthor":-524286,"Descriptions":[{"CultureName":"fr-FR","Texts":{"SDesc":"","LDesc":"Test"}},{"CultureName":"en-US","Texts":{"SDesc":"","LDesc":"Actual - 2000.12"}}],"ID":52428888,"LDesc":null,"Name":"A - 2000.12"},"Entity":"S001","InputCurrency":"EUR","InputSite":"0000.TOP","PublicationSite":"0000.TOP","PackPackage":{"UseDefaultWindowsFolder":true,"WindowsFolder":"","UseDefaultInternetFolder":true,"InternetFolder":"","UseDefaultSetOfControls":true,"SetOfControls":"","UseDefaultLevel":true,"LevelToReach":0,"Blocking":false,"UseDefaultLock":true,"LockOnPublication":0,"UseDefaultRuleSet":true,"RuleSet":"","UseDefaultOpbal":true,"HasOpBal":false,"OpbPhase":"","OpbUpdatePeriod":"","OpbScope":"","OpbVariant":"","OpbConsCurrency":""},"PackRestriction":{},"PackOperation":{"UseDefaultPublish":true,"PackPublishingCutOffDate":"2021-02-26T00:00:00Z","AllowEarlyPublishing":false,"UseDefaultAfterPub":true,"AfterPublication":{"Standard":false,"Special":false,"Advanced":false,"Level":0},"UseDefaultAfterTran":true,"AfterTransfer":{"Standard":false,"Special":false,"Advanced":false,"Level":0}},"ID":-2147483618,"LDesc":null,"Name":null}],"Phase":"A","UpdatePeriod":"2000.12","FrameworkVersion":"C","ReportingStartDate":"2021-02-24T10:02:00Z","ReportingEndDate":"2021-02-27T10:02:00Z","OwnerSite":0,"OwnerWorkgroup":0,"CreationDate":"0001-01-01T00:00:00Z","Author":0,"UpdateDate":"0001-01-01T00:00:00Z","UpdateAuthor":0,"Descriptions":[],"ID":52428888,"LDesc":null,"Name":"A - 2000.12"}],"Messages":{"Messages":[{"Code":"RF0451","Severity":8,"Description":"Impossible d'ouvrir l'objet 'A - 2000.12' de type Reporting en écriture","SourceRow":0,"SourceCol":0}],"UsedHints":{"RF0451":"L'objet est peut-être en cours d'édition dans une autre session FC"}}}</t>
  </si>
  <si>
    <t>/api/reporting/52428888</t>
  </si>
  <si>
    <t>tReporting52428888</t>
  </si>
  <si>
    <t>{"Data":{"Framework":{"Phase":"A","Version":"C","Status":5,"ControlSets":{"P-A":{"ID":8,"LDesc":"Jeu de contrôle de la liasse de consolidation statutaire","Name":"P-A"},"P-E":{"ID":10,"LDesc":"Jeu de contrôle pour les unités mises en équivalence","Name":"P-E"}},"ControlLevels":{"1":{"Descriptions":[{"CultureName":"fr-FR","Texts":{"LDesc":"Analyse en solde"}},{"CultureName":"en-US","Texts":{"LDesc":"Balance analysis"}}],"ID":1,"LDesc":"Analyse en solde","Rank":1,"Name":"LEV1"},"2":{"Descriptions":[{"CultureName":"fr-FR","Texts":{"LDesc":"Analyse en flux"}},{"CultureName":"en-US","Texts":{"LDesc":"Flow analysis"}}],"ID":4,"LDesc":"Analyse en flux","Rank":2,"Name":"LEV2"}},"ID":1,"LDesc":"Réel","Name":"A - C"},"DefaultPackage":{"UseDefaultWindowsFolder":true,"WindowsFolder":null,"UseDefaultInternetFolder":true,"InternetFolder":null,"UseDefaultSetOfControls":true,"SetOfControls":null,"UseDefaultLevel":true,"LevelToReach":null,"Blocking":false,"UseDefaultLock":true,"LockOnPublication":0,"UseDefaultRuleSet":true,"RuleSet":null,"UseDefaultOpbal":true,"HasOpBal":false,"OpbPhase":null,"OpbUpdatePeriod":null,"OpbScope":null,"OpbVariant":null,"OpbConsCurrency":null},"DefaultRestriction":{},"DefaultOperation":{"UseDefaultPublish":false,"PackPublishingCutOffDate":"2021-02-26T10:02:00Z","AllowEarlyPublishing":true,"UseDefaultAfterPub":false,"AfterPublication":{"Standard":true,"Special":true,"Advanced":true,"Level":2},"UseDefaultAfterTran":false,"AfterTransfer":{"Standard":false,"Special":true,"Advanced":false,"Level":null}},"EntityReportings":[{"Reporting":{"Phase":"A","UpdatePeriod":"2000.12","FrameworkVersion":"C","ReportingStartDate":"2021-02-24T10:02:00Z","ReportingEndDate":"2021-02-27T10:02:00Z","OwnerSite":100,"OwnerWorkgroup":0,"CreationDate":"2021-03-01T16:55:21Z","Author":-524286,"UpdateDate":"2021-03-01T18:28:25Z","UpdateAuthor":-524286,"Descriptions":[{"CultureName":"fr-FR","Texts":{"SDesc":"","LDesc":"Test"}},{"CultureName":"en-US","Texts":{"SDesc":"","LDesc":"Actual - 2000.12"}}],"ID":52428888,"LDesc":null,"Name":"A - 2000.12"},"Entity":"S001","InputCurrency":"EUR","InputSite":"0000.TOP","PublicationSite":"0000.TOP","PackPackage":{"UseDefaultWindowsFolder":true,"WindowsFolder":null,"UseDefaultInternetFolder":true,"InternetFolder":null,"UseDefaultSetOfControls":true,"SetOfControls":null,"UseDefaultLevel":true,"LevelToReach":null,"Blocking":false,"UseDefaultLock":true,"LockOnPublication":0,"UseDefaultRuleSet":true,"RuleSet":null,"UseDefaultOpbal":true,"HasOpBal":false,"OpbPhase":null,"OpbUpdatePeriod":null,"OpbScope":null,"OpbVariant":null,"OpbConsCurrency":null},"PackRestriction":{},"PackOperation":{"UseDefaultPublish":true,"PackPublishingCutOffDate":"0001-01-01T00:00:00Z","AllowEarlyPublishing":false,"UseDefaultAfterPub":true,"AfterPublication":{"Standard":false,"Special":false,"Advanced":false,"Level":null},"UseDefaultAfterTran":true,"AfterTransfer":{"Standard":false,"Special":false,"Advanced":false,"Level":null}},"ID":-2147483618,"LDesc":null,"Name":"{A - 2000.12 - S001}"}],"Phase":"A","UpdatePeriod":"2000.12","FrameworkVersion":"C","ReportingStartDate":"2021-02-24T10:02:00Z","ReportingEndDate":"2021-02-27T10:02:00Z","OwnerSite":100,"OwnerWorkgroup":0,"CreationDate":"2021-03-01T16:55:21Z","Author":-524286,"UpdateDate":"2021-03-01T18:28:25Z","UpdateAuthor":-524286,"Descriptions":[{"CultureName":"fr-FR","Texts":{"SDesc":"","LDesc":"Test"}},{"CultureName":"en-US","Texts":{"SDesc":"","LDesc":"Actual - 2000.12"}}],"ID":52428888,"LDesc":"Test","Name":"A - 2000.12"},"Messages":{"Messages":[],"UsedHints":{}}}</t>
  </si>
  <si>
    <t>{"Table":[{"aj":"A","ak":"2000.12","al":"C","am":"2021-02-24T10:02:00.000Z","an":"2021-02-27T10:02:00.000Z","b":true,"c":"","d":true,"e":"","f":true,"g":"","h":true,"i":0,"j":false,"k":true,"l":0,"m":true,"n":"","o":true,"p":false,"q":"","r":"","s":"","t":"","u":"","w":"2021-02-26T10:02:00.000Z","x":true,"z":true,"aa":true,"ab":true,"ac":2,"ae":false,"af":true,"ag":false,"ah":0,"ca":"S001","cb":"EUR","cc":"0000.TOP","cd":"0000.TOP","ce":true,"cf":"","cg":true,"ch":"","ci":true,"cj":"","ck":true,"cl":0,"cm":false,"cn":true,"co":0,"cp":true,"cq":"","cr":true,"cs":false,"ct":"","cu":"","cv":"","cw":"","cx":"","cy":true,"cz":"2001-01-01T00:00:00.000Z","da":false,"db":true,"dc":false,"dd":false,"de":false,"df":0,"dg":true,"dh":false,"di":false,"dj":false,"dk":0}]}</t>
  </si>
  <si>
    <t>{"Data":[{"Framework":{"Phase":"A","Version":"C","Status":5,"ControlSets":{"P-A":{"ID":8,"LDesc":null,"Name":"P-A"},"P-E":{"ID":10,"LDesc":null,"Name":"P-E"}},"ControlLevels":{"1":{"Descriptions":[{"CultureName":"fr-FR","Texts":{"LDesc":"Analyse en solde"}},{"CultureName":"en-US","Texts":{"LDesc":"Balance analysis"}}],"ID":1,"LDesc":null,"Rank":1,"Name":"LEV1"},"2":{"Descriptions":[{"CultureName":"fr-FR","Texts":{"LDesc":"Analyse en flux"}},{"CultureName":"en-US","Texts":{"LDesc":"Flow analysis"}}],"ID":4,"LDesc":null,"Rank":2,"Name":"LEV2"}},"ID":1,"LDesc":null,"Name":"A - C"},"DefaultPackage":{"UseDefaultWindowsFolder":true,"WindowsFolder":"","UseDefaultInternetFolder":true,"InternetFolder":"","UseDefaultSetOfControls":true,"SetOfControls":"","UseDefaultLevel":true,"LevelToReach":0,"Blocking":false,"UseDefaultLock":true,"LockOnPublication":0,"UseDefaultRuleSet":true,"RuleSet":"","UseDefaultOpbal":true,"HasOpBal":false,"OpbPhase":"","OpbUpdatePeriod":"","OpbScope":"","OpbVariant":"","OpbConsCurrency":""},"DefaultRestriction":{},"DefaultOperation":{"UseDefaultPublish":false,"PackPublishingCutOffDate":"2021-02-26T10:02:00Z","AllowEarlyPublishing":true,"UseDefaultAfterPub":false,"AfterPublication":{"Standard":true,"Special":true,"Advanced":true,"Level":2},"UseDefaultAfterTran":false,"AfterTransfer":{"Standard":false,"Special":true,"Advanced":false,"Level":0}},"EntityReportings":[{"Entity":"S001","InputCurrency":"EUR","InputSite":"0000.TOP","PublicationSite":"0000.TOP","PackPackage":{"UseDefaultWindowsFolder":true,"WindowsFolder":"","UseDefaultInternetFolder":true,"InternetFolder":"","UseDefaultSetOfControls":true,"SetOfControls":"","UseDefaultLevel":true,"LevelToReach":0,"Blocking":false,"UseDefaultLock":true,"LockOnPublication":0,"UseDefaultRuleSet":true,"RuleSet":"","UseDefaultOpbal":true,"HasOpBal":false,"OpbPhase":"","OpbUpdatePeriod":"","OpbScope":"","OpbVariant":"","OpbConsCurrency":""},"PackRestriction":{},"PackOperation":{"UseDefaultPublish":true,"PackPublishingCutOffDate":"2001-01-01T00:00:00Z","AllowEarlyPublishing":false,"UseDefaultAfterPub":true,"AfterPublication":{"Standard":false,"Special":false,"Advanced":false,"Level":0},"UseDefaultAfterTran":true,"AfterTransfer":{"Standard":false,"Special":false,"Advanced":false,"Level":0}},"ID":-2147483618,"LDesc":null,"Name":null}],"Phase":"A","UpdatePeriod":"2000.12","FrameworkVersion":"C","ReportingStartDate":"2021-02-24T10:02:00Z","ReportingEndDate":"2021-02-27T10:02:00Z","OwnerSite":0,"OwnerWorkgroup":0,"CreationDate":"0001-01-01T00:00:00Z","Author":0,"UpdateDate":"0001-01-01T00:00:00Z","UpdateAuthor":0,"Descriptions":[],"ID":52428888,"LDesc":null,"Name":"A - 2000.12"}],"Messages":{"Messages":[{"Code":"RF0512","Severity":8,"Description":"La date butoir de remise des liasses doit être entre les dates de début et de fin pour l'unité S001","SourceRow":0,"SourceCol":0},{"Code":"RF0515","Severity":8,"Description":"Enité S001: Dans l'intégration automatique après publicaton, un niveau de contrôle doit être spécifié si et seulementsi le mode Avancé est choisi","SourceRow":0,"SourceCol":0},{"Code":"RF0516","Severity":8,"Description":"Enité S001: Dans l'intégration automatique après pilotage, un niveau de contrôle doit être spécifié si et seulementsi le mode Avancé est choisi","SourceRow":0,"SourceCol":0},{"Code":"RF0512","Severity":8,"Description":"La date butoir de remise des liasses doit être entre les dates de début et de fin pour l'unité S001","SourceRow":0,"SourceCol":0},{"Code":"RF0515","Severity":8,"Description":"Enité S001: Dans l'intégration automatique après publicaton, un niveau de contrôle doit être spécifié si et seulementsi le mode Avancé est choisi","SourceRow":0,"SourceCol":0},{"Code":"RF0516","Severity":8,"Description":"Enité S001: Dans l'intégration automatique après pilotage, un niveau de contrôle doit être spécifié si et seulementsi le mode Avancé est choisi","SourceRow":0,"SourceCol":0}],"UsedHints":{"RF0512":"Corrigez les dates","RF0515":"Corrigez les paramètres d'exploitation","RF0516":"Corrigez les paramètres d'exploitation"}}}</t>
  </si>
  <si>
    <t>{"Table":[{"aj":"A","ak":"2000.12","al":"C","am":"2021-02-24T10:02:00.000Z","an":"2021-02-27T10:02:00.000Z","b":true,"c":"","d":true,"e":"","f":true,"g":"","h":true,"i":0,"j":false,"k":true,"l":0,"m":true,"n":"","o":true,"p":false,"q":"","r":"","s":"","t":"","u":"","w":"2021-02-26T10:02:00.000Z","x":true,"z":true,"aa":true,"ab":true,"ac":2,"ae":false,"af":true,"ag":false,"ah":0,"ca":"S001","cb":"EUR","cc":"0000.TOP","cd":"0000.TOP","ce":true,"cf":"","cg":true,"ch":"","ci":true,"cj":"","ck":true,"cl":0,"cm":false,"cn":true,"co":0,"cp":true,"cq":"","cr":true,"cs":false,"ct":"","cu":"","cv":"","cw":"","cx":"","cy":true,"cz":"2021-02-26T10:02:00.000Z","da":false,"db":true,"dc":false,"dd":false,"de":false,"df":0,"dg":true,"dh":false,"di":false,"dj":false,"dk":0}]}</t>
  </si>
  <si>
    <t>{"Data":[{"Framework":{"Phase":"A","Version":"C","Status":5,"ControlSets":{"P-A":{"ID":8,"LDesc":null,"Name":"P-A"},"P-E":{"ID":10,"LDesc":null,"Name":"P-E"}},"ControlLevels":{"1":{"Descriptions":[{"CultureName":"fr-FR","Texts":{"LDesc":"Analyse en solde"}},{"CultureName":"en-US","Texts":{"LDesc":"Balance analysis"}}],"ID":1,"LDesc":null,"Rank":1,"Name":"LEV1"},"2":{"Descriptions":[{"CultureName":"fr-FR","Texts":{"LDesc":"Analyse en flux"}},{"CultureName":"en-US","Texts":{"LDesc":"Flow analysis"}}],"ID":4,"LDesc":null,"Rank":2,"Name":"LEV2"}},"ID":1,"LDesc":null,"Name":"A - C"},"DefaultPackage":{"UseDefaultWindowsFolder":true,"WindowsFolder":"","UseDefaultInternetFolder":true,"InternetFolder":"","UseDefaultSetOfControls":true,"SetOfControls":"","UseDefaultLevel":true,"LevelToReach":0,"Blocking":false,"UseDefaultLock":true,"LockOnPublication":0,"UseDefaultRuleSet":true,"RuleSet":"","UseDefaultOpbal":true,"HasOpBal":false,"OpbPhase":"","OpbUpdatePeriod":"","OpbScope":"","OpbVariant":"","OpbConsCurrency":""},"DefaultRestriction":{},"DefaultOperation":{"UseDefaultPublish":false,"PackPublishingCutOffDate":"2021-02-26T10:02:00Z","AllowEarlyPublishing":true,"UseDefaultAfterPub":false,"AfterPublication":{"Standard":true,"Special":true,"Advanced":true,"Level":2},"UseDefaultAfterTran":false,"AfterTransfer":{"Standard":false,"Special":true,"Advanced":false,"Level":0}},"EntityReportings":[{"Reporting":{"Phase":"A","UpdatePeriod":"2000.12","FrameworkVersion":"C","ReportingStartDate":"2021-02-24T10:02:00Z","ReportingEndDate":"2021-02-27T10:02:00Z","OwnerSite":100,"OwnerWorkgroup":0,"CreationDate":"2021-03-01T16:55:21Z","Author":-524286,"UpdateDate":"2021-03-01T18:28:25Z","UpdateAuthor":-524286,"Descriptions":[{"CultureName":"fr-FR","Texts":{"SDesc":"","LDesc":"Test"}},{"CultureName":"en-US","Texts":{"SDesc":"","LDesc":"Actual - 2000.12"}}],"ID":52428888,"LDesc":null,"Name":"A - 2000.12"},"Entity":"S001","InputCurrency":"EUR","InputSite":"0000.TOP","PublicationSite":"0000.TOP","PackPackage":{"UseDefaultWindowsFolder":true,"WindowsFolder":"","UseDefaultInternetFolder":true,"InternetFolder":"","UseDefaultSetOfControls":true,"SetOfControls":"","UseDefaultLevel":true,"LevelToReach":0,"Blocking":false,"UseDefaultLock":true,"LockOnPublication":0,"UseDefaultRuleSet":true,"RuleSet":"","UseDefaultOpbal":true,"HasOpBal":false,"OpbPhase":"","OpbUpdatePeriod":"","OpbScope":"","OpbVariant":"","OpbConsCurrency":""},"PackRestriction":{},"PackOperation":{"UseDefaultPublish":true,"PackPublishingCutOffDate":"2021-02-26T10:02:00Z","AllowEarlyPublishing":false,"UseDefaultAfterPub":true,"AfterPublication":{"Standard":false,"Special":false,"Advanced":false,"Level":0},"UseDefaultAfterTran":true,"AfterTransfer":{"Standard":false,"Special":false,"Advanced":false,"Level":0}},"ID":-2147483618,"LDesc":null,"Name":null}],"Phase":"A","UpdatePeriod":"2000.12","FrameworkVersion":"C","ReportingStartDate":"2021-02-24T10:02:00Z","ReportingEndDate":"2021-02-27T10:02:00Z","OwnerSite":0,"OwnerWorkgroup":0,"CreationDate":"0001-01-01T00:00:00Z","Author":0,"UpdateDate":"0001-01-01T00:00:00Z","UpdateAuthor":0,"Descriptions":[],"ID":52428888,"LDesc":null,"Name":"A - 2000.12"}],"Messages":{"Messages":[{"Code":"RF0451","Severity":8,"Description":"Impossible d'ouvrir l'objet 'A - 2000.12' de type Reporting en écriture","SourceRow":0,"SourceCol":0}],"UsedHints":{"RF0451":"L'objet est peut-être en cours d'édition dans une autre session FC"}}}</t>
  </si>
  <si>
    <t>{"Data":[{"Phase":"A","UpdatePeriod":"2000.12","FrameworkVersion":"C","ReportingStartDate":"2021-02-24T10:02:00Z","ReportingEndDate":"2021-02-27T10:02:00Z","OwnerSite":100,"OwnerWorkgroup":0,"CreationDate":"2021-03-01T16:55:21Z","Author":-524286,"UpdateDate":"2021-03-01T18:28:25Z","UpdateAuthor":-524286,"Descriptions":[{"CultureName":"fr-FR","Texts":{"SDesc":"","LDesc":"Test"}},{"CultureName":"en-US","Texts":{"SDesc":"","LDesc":"Actual - 2000.12"}}],"ID":52428888,"LDesc":null,"Name":"A - 2000.12"},{"Phase":"A","UpdatePeriod":"2001.11","FrameworkVersion":"C","ReportingStartDate":"2021-02-23T15:52:39Z","ReportingEndDate":"2021-04-25T16:00:10Z","OwnerSite":100,"OwnerWorkgroup":0,"CreationDate":"2021-02-23T14:52:39Z","Author":-524286,"UpdateDate":"2021-02-25T15:00:10Z","UpdateAuthor":-524286,"Descriptions":[{"CultureName":"fr-FR","Texts":{"SDesc":"","LDesc":"Réel - 2001.11"}},{"CultureName":"en-US","Texts":{"SDesc":"","LDesc":"Actual - 2001.11"}}],"ID":52428859,"LDesc":null,"Name":"A - 2001.11"},{"Phase":"A","UpdatePeriod":"2001.12","FrameworkVersion":"C","ReportingStartDate":"2021-02-23T15:12:48Z","ReportingEndDate":"2021-04-23T15:12:48Z","OwnerSite":100,"OwnerWorkgroup":0,"CreationDate":"2021-02-23T14:13:08Z","Author":-524286,"UpdateDate":"2021-02-23T14:13:08Z","UpdateAuthor":-524286,"Descriptions":[{"CultureName":"fr-FR","Texts":{"SDesc":"","LDesc":"Réel - 2001.12"}},{"CultureName":"en-US","Texts":{"SDesc":"","LDesc":"Actual - 2001.12"}}],"ID":52428858,"LDesc":null,"Name":"A - 2001.12"},{"Phase":"A","UpdatePeriod":"2002.01","FrameworkVersion":"C","ReportingStartDate":"2021-02-18T20:47:58Z","ReportingEndDate":"2021-03-20T20:47:58Z","OwnerSite":100,"OwnerWorkgroup":0,"CreationDate":"2021-02-18T20:47:58Z","Author":-524286,"UpdateDate":"2021-02-18T20:47:58Z","UpdateAuthor":-524286,"Descriptions":[{"CultureName":"fr-FR","Texts":{"SDesc":"","LDesc":""}},{"CultureName":"en-US","Texts":{"SDesc":"","LDesc":""}}],"ID":52428847,"LDesc":null,"Name":"A - 2002.01"},{"Phase":"A","UpdatePeriod":"2002.02","FrameworkVersion":"C","ReportingStartDate":"2021-02-23T15:02:13Z","ReportingEndDate":"2021-04-23T15:03:23Z","OwnerSite":100,"OwnerWorkgroup":0,"CreationDate":"2021-02-23T14:02:13Z","Author":-524286,"UpdateDate":"2021-02-23T14:04:19Z","UpdateAuthor":-524286,"Descriptions":[{"CultureName":"fr-FR","Texts":{"SDesc":"","LDesc":""}},{"CultureName":"en-US","Texts":{"SDesc":"","LDesc":""}}],"ID":52428855,"LDesc":null,"Name":"A - 2002.02"},{"Phase":"A","UpdatePeriod":"2002.03","FrameworkVersion":"C","ReportingStartDate":"2021-02-23T11:30:37Z","ReportingEndDate":"2021-03-25T11:30:37Z","OwnerSite":100,"OwnerWorkgroup":0,"CreationDate":"2021-02-23T11:30:51Z","Author":-524286,"UpdateDate":"2021-02-23T11:30:51Z","UpdateAuthor":-524286,"Descriptions":[{"CultureName":"fr-FR","Texts":{"SDesc":"","LDesc":""}},{"CultureName":"en-US","Texts":{"SDesc":"","LDesc":""}}],"ID":52428853,"LDesc":null,"Name":"A - 2002.03"},{"Phase":"A","UpdatePeriod":"2002.04","FrameworkVersion":"C","ReportingStartDate":"2021-02-23T12:13:56Z","ReportingEndDate":"2021-04-23T12:13:50Z","OwnerSite":100,"OwnerWorkgroup":0,"CreationDate":"2021-02-23T11:15:06Z","Author":-524286,"UpdateDate":"2021-02-23T11:15:06Z","UpdateAuthor":-524286,"Descriptions":[{"CultureName":"fr-FR","Texts":{"SDesc":"","LDesc":""}},{"CultureName":"en-US","Texts":{"SDesc":"","LDesc":""}}],"ID":52428851,"LDesc":null,"Name":"A - 2002.04"},{"Phase":"A","UpdatePeriod":"2002.05","FrameworkVersion":"C","ReportingStartDate":"2021-02-23T11:36:13Z","ReportingEndDate":"2021-04-23T11:36:13Z","OwnerSite":100,"OwnerWorkgroup":0,"CreationDate":"2021-02-23T10:36:13Z","Author":-524286,"UpdateDate":"2021-02-23T10:36:13Z","UpdateAuthor":-524286,"Descriptions":[{"CultureName":"fr-FR","Texts":{"SDesc":"","LDesc":""}},{"CultureName":"en-US","Texts":{"SDesc":"","LDesc":""}}],"ID":52428848,"LDesc":null,"Name":"A - 2002.05"},{"Phase":"A","UpdatePeriod":"2002.06","FrameworkVersion":"C","ReportingStartDate":"2021-02-16T18:37:45Z","ReportingEndDate":"2021-02-22T11:41:54Z","OwnerSite":100,"OwnerWorkgroup":0,"CreationDate":"2021-02-16T18:37:46Z","Author":-524286,"UpdateDate":"2021-02-22T10:41:55Z","UpdateAuthor":-524286,"Descriptions":[{"CultureName":"fr-FR","Texts":{"SDesc":"","LDesc":""}},{"CultureName":"en-US","Texts":{"SDesc":"","LDesc":""}}],"ID":52428841,"LDesc":null,"Name":"A - 2002.06"},{"Phase":"A","UpdatePeriod":"2002.07","FrameworkVersion":"C","ReportingStartDate":"2021-02-16T18:32:13Z","ReportingEndDate":"2021-03-18T18:32:13Z","OwnerSite":100,"OwnerWorkgroup":0,"CreationDate":"2021-02-16T18:33:41Z","Author":-524286,"UpdateDate":"2021-02-16T18:36:47Z","UpdateAuthor":-524286,"Descriptions":[{"CultureName":"fr-FR","Texts":{"SDesc":"","LDesc":""}},{"CultureName":"en-US","Texts":{"SDesc":"","LDesc":""}}],"ID":52428840,"LDesc":null,"Name":"A - 2002.07"},{"Phase":"A","UpdatePeriod":"2002.08","FrameworkVersion":"C","ReportingStartDate":"2021-02-16T18:23:18Z","ReportingEndDate":"2021-03-18T18:23:18Z","OwnerSite":100,"OwnerWorkgroup":0,"CreationDate":"2021-02-16T18:23:18Z","Author":-524286,"UpdateDate":"2021-02-16T18:23:18Z","UpdateAuthor":-524286,"Descriptions":[{"CultureName":"fr-FR","Texts":{"SDesc":"","LDesc":""}},{"CultureName":"en-US","Texts":{"SDesc":"","LDesc":""}}],"ID":52428838,"LDesc":null,"Name":"A - 2002.08"},{"Phase":"A","UpdatePeriod":"2002.09","FrameworkVersion":"C","ReportingStartDate":"2021-02-16T14:59:17Z","ReportingEndDate":"2021-03-18T14:59:17Z","OwnerSite":100,"OwnerWorkgroup":0,"CreationDate":"2021-02-16T14:59:23Z","Author":-524286,"UpdateDate":"2021-02-16T14:59:23Z","UpdateAuthor":-524286,"Descriptions":[{"CultureName":"fr-FR","Texts":{"SDesc":"","LDesc":""}},{"CultureName":"en-US","Texts":{"SDesc":"","LDesc":""}}],"ID":52428832,"LDesc":null,"Name":"A - 2002.09"},{"Phase":"A","UpdatePeriod":"2002.10","FrameworkVersion":"C","ReportingStartDate":"2021-02-16T14:53:29Z","ReportingEndDate":"2021-03-18T14:53:29Z","OwnerSite":100,"OwnerWorkgroup":0,"CreationDate":"2021-02-16T14:53:29Z","Author":-524286,"UpdateDate":"2021-02-16T14:53:29Z","UpdateAuthor":-524286,"Descriptions":[{"CultureName":"fr-FR","Texts":{"SDesc":"","LDesc":"Réel 2002.10"}},{"CultureName":"en-US","Texts":{"SDesc":"","LDesc":"Actual 2002.10"}}],"ID":52428830,"LDesc":null,"Name":"A - 2002.10"},{"Phase":"A","UpdatePeriod":"2002.11","FrameworkVersion":"C","ReportingStartDate":"2021-02-16T14:50:29Z","ReportingEndDate":"2021-03-18T14:50:29Z","OwnerSite":100,"OwnerWorkgroup":0,"CreationDate":"2021-02-16T14:50:30Z","Author":-524286,"UpdateDate":"2021-02-16T14:50:30Z","UpdateAuthor":-524286,"Descriptions":[{"CultureName":"fr-FR","Texts":{"SDesc":"a","LDesc":"a"}},{"CultureName":"en-US","Texts":{"SDesc":"a","LDesc":"a"}}],"ID":52428829,"LDesc":null,"Name":"A - 2002.11"},{"Phase":"A","UpdatePeriod":"2002.12","FrameworkVersion":"C","ReportingStartDate":"2015-08-28T12:16:14Z","ReportingEndDate":"2015-09-25T12:16:14Z","OwnerSite":100,"OwnerWorkgroup":0,"CreationDate":"2021-02-15T14:11:42Z","Author":-524286,"UpdateDate":"2021-02-19T09:46:39Z","UpdateAuthor":-524286,"Descriptions":[{"CultureName":"fr-FR","Texts":{"SDesc":"","LDesc":"Réel 2002.12"}},{"CultureName":"en-US","Texts":{"SDesc":"ff","LDesc":"Actual - 2002.12"}}],"ID":52428827,"LDesc":null,"Name":"A - 2002.12"},{"Phase":"A","UpdatePeriod":"2003.12","FrameworkVersion":"C","ReportingStartDate":"2015-08-28T12:16:14Z","ReportingEndDate":"2015-09-27T12:16:14Z","OwnerSite":100,"OwnerWorkgroup":0,"CreationDate":"2015-08-28T12:16:28Z","Author":-524286,"UpdateDate":"2021-02-22T17:22:39Z","UpdateAuthor":-524286,"Descriptions":[{"CultureName":"fr-FR","Texts":{"SDesc":"","LDesc":"Réel 2003.12"}},{"CultureName":"en-US","Texts":{"SDesc":"","LDesc":"Actual - 2003.12"}}],"ID":79,"LDesc":null,"Name":"A - 2003.12"},{"Phase":"A","UpdatePeriod":"2004.12","FrameworkVersion":"C","ReportingStartDate":"2015-08-28T12:09:34Z","ReportingEndDate":"2015-09-27T12:09:34Z","OwnerSite":100,"OwnerWorkgroup":0,"CreationDate":"2015-08-28T12:10:05Z","Author":-524286,"UpdateDate":"2015-08-28T13:48:52Z","UpdateAuthor":-524286,"Descriptions":[{"CultureName":"fr-FR","Texts":{"SDesc":"","LDesc":"Réel 2004.12"}},{"CultureName":"en-US","Texts":{"SDesc":"","LDesc":"Actual - 2004.12"}}],"ID":77,"LDesc":null,"Name":"A - 2004.12"},{"Phase":"A","UpdatePeriod":"2010.12","FrameworkVersion":"C","ReportingStartDate":"2010-05-03T11:21:32Z","ReportingEndDate":"2010-06-02T11:21:32Z","OwnerSite":100,"OwnerWorkgroup":0,"CreationDate":"2010-05-03T11:22:35Z","Author":-524286,"UpdateDate":"2010-08-16T12:39:18Z","UpdateAuthor":-524286,"Descriptions":[{"CultureName":"fr-FR","Texts":{"SDesc":"","LDesc":"Réel 2010.12"}},{"CultureName":"en-US","Texts":{"SDesc":"Actual 2010.12","LDesc":"Actual - 2010.12"}}],"ID":55,"LDesc":null,"Name":"A - 2010.12"},{"Phase":"A","UpdatePeriod":"2011.03","FrameworkVersion":"C","ReportingStartDate":"2011-01-03T11:00:00Z","ReportingEndDate":"2011-03-31T11:00:00Z","OwnerSite":100,"OwnerWorkgroup":0,"CreationDate":"2010-11-25T13:09:22Z","Author":-524286,"UpdateDate":"2021-02-22T12:34:16Z","UpdateAuthor":-524286,"Descriptions":[{"CultureName":"fr-FR","Texts":{"SDesc":"","LDesc":"Réel 2011.03"}},{"CultureName":"en-US","Texts":{"SDesc":"","LDesc":"Actual - 2011.03"}}],"ID":67,"LDesc":null,"Name":"A - 2011.03"},{"Phase":"A","UpdatePeriod":"2011.06","FrameworkVersion":"C","ReportingStartDate":"2011-04-04T11:00:00Z","ReportingEndDate":"2011-06-30T11:00:00Z","OwnerSite":100,"OwnerWorkgroup":0,"CreationDate":"2010-11-29T10:06:57Z","Author":-524286,"UpdateDate":"2010-11-29T10:10:31Z","UpdateAuthor":-524286,"Descriptions":[{"CultureName":"fr-FR","Texts":{"SDesc":"","LDesc":"Réel 2011.06"}},{"CultureName":"en-US","Texts":{"SDesc":"","LDesc":"Actual - 2011.06"}}],"ID":68,"LDesc":null,"Name":"A - 2011.06"},{"Phase":"A","UpdatePeriod":"2011.09","FrameworkVersion":"C","ReportingStartDate":"2011-07-01T11:00:00Z","ReportingEndDate":"2011-09-30T11:00:00Z","OwnerSite":100,"OwnerWorkgroup":0,"CreationDate":"2010-11-29T10:10:44Z","Author":-524286,"UpdateDate":"2010-11-29T10:11:37Z","UpdateAuthor":-524286,"Descriptions":[{"CultureName":"fr-FR","Texts":{"SDesc":"","LDesc":"Réel 2011.09"}},{"CultureName":"en-US","Texts":{"SDesc":"","LDesc":"Actual - 2011.09"}}],"ID":69,"LDesc":null,"Name":"A - 2011.09"},{"Phase":"A","UpdatePeriod":"2011.12","FrameworkVersion":"C","ReportingStartDate":"2010-05-04T07:09:13Z","ReportingEndDate":"2010-06-03T07:09:13Z","OwnerSite":100,"OwnerWorkgroup":0,"CreationDate":"2010-05-04T07:10:01Z","Author":-524286,"UpdateDate":"2010-08-16T12:40:04Z","UpdateAuthor":-524286,"Descriptions":[{"CultureName":"fr-FR","Texts":{"SDesc":"","LDesc":"Réel 2011.12"}},{"CultureName":"en-US","Texts":{"SDesc":"","LDesc":"Actual - 2011.12"}}],"ID":56,"LDesc":null,"Name":"A - 2011.12"},{"Phase":"A","UpdatePeriod":"2013.01","FrameworkVersion":"C","ReportingStartDate":"2013-03-29T09:53:07Z","ReportingEndDate":"2013-04-28T09:53:07Z","OwnerSite":100,"OwnerWorkgroup":0,"CreationDate":"2021-01-28T10:06:48Z","Author":-524286,"UpdateDate":"2021-01-28T10:06:48Z","UpdateAuthor":-524286,"Descriptions":[{"CultureName":"fr-FR","Texts":{"SDesc":"","LDesc":"Réel 2013.01"}},{"CultureName":"en-US","Texts":{"SDesc":"","LDesc":"Actual - 2013.01"}}],"ID":52428802,"LDesc":null,"Name":"A - 2013.01"},{"Phase":"A","UpdatePeriod":"2013.12","FrameworkVersion":"C","ReportingStartDate":"2013-03-15T09:53:07Z","ReportingEndDate":"2013-04-28T09:53:07Z","OwnerSite":100,"OwnerWorkgroup":0,"CreationDate":"2013-03-29T09:53:41Z","Author":-524286,"UpdateDate":"2021-01-28T10:25:51Z","UpdateAuthor":-524286,"Descriptions":[{"CultureName":"fr-FR","Texts":{"SDesc":"","LDesc":"Réel 2013.12"}},{"CultureName":"en-US","Texts":{"SDesc":"","LDesc":"Actual - 2013.12"}}],"ID":71,"LDesc":null,"Name":"A - 2013.12"},{"Phase":"A","UpdatePeriod":"2014.12","FrameworkVersion":"C","ReportingStartDate":"2014-04-07T09:30:55Z","ReportingEndDate":"2014-05-07T09:30:55Z","OwnerSite":100,"OwnerWorkgroup":0,"CreationDate":"2014-04-07T09:31:33Z","Author":-524286,"UpdateDate":"2014-04-07T09:31:33Z","UpdateAuthor":-524286,"Descriptions":[{"CultureName":"fr-FR","Texts":{"SDesc":"","LDesc":"Réel 2014.12"}},{"CultureName":"en-US","Texts":{"SDesc":"","LDesc":"Actual - 2014.12"}}],"ID":73,"LDesc":null,"Name":"A - 2014.12"},{"Phase":"A","UpdatePeriod":"2019.12","FrameworkVersion":"C","ReportingStartDate":"2010-09-02T09:16:58Z","ReportingEndDate":"2010-10-02T09:16:58Z","OwnerSite":100,"OwnerWorkgroup":0,"CreationDate":"2010-09-02T09:17:44Z","Author":-524286,"UpdateDate":"2010-09-02T09:17:44Z","UpdateAuthor":-524286,"Descriptions":[{"CultureName":"fr-FR","Texts":{"SDesc":"","LDesc":"Réel 2019.12"}},{"CultureName":"en-US","Texts":{"SDesc":"","LDesc":"Actual - 2019.12"}}],"ID":61,"LDesc":null,"Name":"A - 2019.12"},{"Phase":"A","UpdatePeriod":"2020.12","FrameworkVersion":"C","ReportingStartDate":"2010-08-31T12:51:32Z","ReportingEndDate":"2010-09-30T12:51:32Z","OwnerSite":100,"OwnerWorkgroup":0,"CreationDate":"2010-08-31T12:52:12Z","Author":-524286,"UpdateDate":"2010-09-03T07:54:58Z","UpdateAuthor":-524286,"Descriptions":[{"CultureName":"fr-FR","Texts":{"SDesc":"","LDesc":"Réel 2020.12"}},{"CultureName":"en-US","Texts":{"SDesc":"","LDesc":"Actual - 2020.12"}}],"ID":59,"LDesc":null,"Name":"A - 2020.12"},{"Phase":"A","UpdatePeriod":"2021.12","FrameworkVersion":"C","ReportingStartDate":"2010-08-31T12:56:46Z","ReportingEndDate":"2010-09-30T12:56:46Z","OwnerSite":100,"OwnerWorkgroup":0,"CreationDate":"2010-08-31T12:57:27Z","Author":-524286,"UpdateDate":"2012-07-05T07:50:54Z","UpdateAuthor":-524286,"Descriptions":[{"CultureName":"fr-FR","Texts":{"SDesc":"","LDesc":"Réel 2021.12"}},{"CultureName":"en-US","Texts":{"SDesc":"","LDesc":"Actual - 2021.12"}}],"ID":60,"LDesc":null,"Name":"A - 2021.12"}],"Messages":null}</t>
  </si>
  <si>
    <t>{"Data":[{"Phase":"A","UpdatePeriod":"2000.12","FrameworkVersion":"C","ReportingStartDate":"2021-02-24T10:02:00Z","ReportingEndDate":"2021-02-27T10:02:00Z","OwnerSite":100,"OwnerWorkgroup":0,"CreationDate":"2021-03-01T16:55:21Z","Author":-524286,"UpdateDate":"2021-03-07T18:51:46Z","UpdateAuthor":-524286,"Descriptions":[{"CultureName":"fr-FR","Texts":{"SDesc":"","LDesc":"Test"}},{"CultureName":"en-US","Texts":{"SDesc":"","LDesc":"Actual - 2000.12"}}],"ID":52428888,"LDesc":null,"Name":"A - 2000.12"},{"Phase":"A","UpdatePeriod":"2001.11","FrameworkVersion":"C","ReportingStartDate":"2021-02-23T15:52:39Z","ReportingEndDate":"2021-04-25T16:00:10Z","OwnerSite":100,"OwnerWorkgroup":0,"CreationDate":"2021-02-23T14:52:39Z","Author":-524286,"UpdateDate":"2021-02-25T15:00:10Z","UpdateAuthor":-524286,"Descriptions":[{"CultureName":"fr-FR","Texts":{"SDesc":"","LDesc":"Réel - 2001.11"}},{"CultureName":"en-US","Texts":{"SDesc":"","LDesc":"Actual - 2001.11"}}],"ID":52428859,"LDesc":null,"Name":"A - 2001.11"},{"Phase":"A","UpdatePeriod":"2001.12","FrameworkVersion":"C","ReportingStartDate":"2021-02-23T15:12:48Z","ReportingEndDate":"2021-04-23T15:12:48Z","OwnerSite":100,"OwnerWorkgroup":0,"CreationDate":"2021-02-23T14:13:08Z","Author":-524286,"UpdateDate":"2021-02-23T14:13:08Z","UpdateAuthor":-524286,"Descriptions":[{"CultureName":"fr-FR","Texts":{"SDesc":"","LDesc":"Réel - 2001.12"}},{"CultureName":"en-US","Texts":{"SDesc":"","LDesc":"Actual - 2001.12"}}],"ID":52428858,"LDesc":null,"Name":"A - 2001.12"},{"Phase":"A","UpdatePeriod":"2002.01","FrameworkVersion":"C","ReportingStartDate":"2021-02-18T20:47:58Z","ReportingEndDate":"2021-03-20T20:47:58Z","OwnerSite":100,"OwnerWorkgroup":0,"CreationDate":"2021-02-18T20:47:58Z","Author":-524286,"UpdateDate":"2021-02-18T20:47:58Z","UpdateAuthor":-524286,"Descriptions":[{"CultureName":"fr-FR","Texts":{"SDesc":"","LDesc":""}},{"CultureName":"en-US","Texts":{"SDesc":"","LDesc":""}}],"ID":52428847,"LDesc":null,"Name":"A - 2002.01"},{"Phase":"A","UpdatePeriod":"2002.02","FrameworkVersion":"C","ReportingStartDate":"2021-02-23T15:02:13Z","ReportingEndDate":"2021-04-23T15:03:23Z","OwnerSite":100,"OwnerWorkgroup":0,"CreationDate":"2021-02-23T14:02:13Z","Author":-524286,"UpdateDate":"2021-02-23T14:04:19Z","UpdateAuthor":-524286,"Descriptions":[{"CultureName":"fr-FR","Texts":{"SDesc":"","LDesc":""}},{"CultureName":"en-US","Texts":{"SDesc":"","LDesc":""}}],"ID":52428855,"LDesc":null,"Name":"A - 2002.02"},{"Phase":"A","UpdatePeriod":"2002.03","FrameworkVersion":"C","ReportingStartDate":"2021-02-23T11:30:37Z","ReportingEndDate":"2021-03-25T11:30:37Z","OwnerSite":100,"OwnerWorkgroup":0,"CreationDate":"2021-02-23T11:30:51Z","Author":-524286,"UpdateDate":"2021-02-23T11:30:51Z","UpdateAuthor":-524286,"Descriptions":[{"CultureName":"fr-FR","Texts":{"SDesc":"","LDesc":""}},{"CultureName":"en-US","Texts":{"SDesc":"","LDesc":""}}],"ID":52428853,"LDesc":null,"Name":"A - 2002.03"},{"Phase":"A","UpdatePeriod":"2002.04","FrameworkVersion":"C","ReportingStartDate":"2021-02-23T12:13:56Z","ReportingEndDate":"2021-04-23T12:13:50Z","OwnerSite":100,"OwnerWorkgroup":0,"CreationDate":"2021-02-23T11:15:06Z","Author":-524286,"UpdateDate":"2021-02-23T11:15:06Z","UpdateAuthor":-524286,"Descriptions":[{"CultureName":"fr-FR","Texts":{"SDesc":"","LDesc":""}},{"CultureName":"en-US","Texts":{"SDesc":"","LDesc":""}}],"ID":52428851,"LDesc":null,"Name":"A - 2002.04"},{"Phase":"A","UpdatePeriod":"2002.05","FrameworkVersion":"C","ReportingStartDate":"2021-02-23T11:36:13Z","ReportingEndDate":"2021-04-23T11:36:13Z","OwnerSite":100,"OwnerWorkgroup":0,"CreationDate":"2021-02-23T10:36:13Z","Author":-524286,"UpdateDate":"2021-02-23T10:36:13Z","UpdateAuthor":-524286,"Descriptions":[{"CultureName":"fr-FR","Texts":{"SDesc":"","LDesc":""}},{"CultureName":"en-US","Texts":{"SDesc":"","LDesc":""}}],"ID":52428848,"LDesc":null,"Name":"A - 2002.05"},{"Phase":"A","UpdatePeriod":"2002.06","FrameworkVersion":"C","ReportingStartDate":"2021-02-16T18:37:45Z","ReportingEndDate":"2021-02-22T11:41:54Z","OwnerSite":100,"OwnerWorkgroup":0,"CreationDate":"2021-02-16T18:37:46Z","Author":-524286,"UpdateDate":"2021-02-22T10:41:55Z","UpdateAuthor":-524286,"Descriptions":[{"CultureName":"fr-FR","Texts":{"SDesc":"","LDesc":""}},{"CultureName":"en-US","Texts":{"SDesc":"","LDesc":""}}],"ID":52428841,"LDesc":null,"Name":"A - 2002.06"},{"Phase":"A","UpdatePeriod":"2002.07","FrameworkVersion":"C","ReportingStartDate":"2021-02-16T18:32:13Z","ReportingEndDate":"2021-03-18T18:32:13Z","OwnerSite":100,"OwnerWorkgroup":0,"CreationDate":"2021-02-16T18:33:41Z","Author":-524286,"UpdateDate":"2021-02-16T18:36:47Z","UpdateAuthor":-524286,"Descriptions":[{"CultureName":"fr-FR","Texts":{"SDesc":"","LDesc":""}},{"CultureName":"en-US","Texts":{"SDesc":"","LDesc":""}}],"ID":52428840,"LDesc":null,"Name":"A - 2002.07"},{"Phase":"A","UpdatePeriod":"2002.08","FrameworkVersion":"C","ReportingStartDate":"2021-02-16T18:23:18Z","ReportingEndDate":"2021-03-18T18:23:18Z","OwnerSite":100,"OwnerWorkgroup":0,"CreationDate":"2021-02-16T18:23:18Z","Author":-524286,"UpdateDate":"2021-02-16T18:23:18Z","UpdateAuthor":-524286,"Descriptions":[{"CultureName":"fr-FR","Texts":{"SDesc":"","LDesc":""}},{"CultureName":"en-US","Texts":{"SDesc":"","LDesc":""}}],"ID":52428838,"LDesc":null,"Name":"A - 2002.08"},{"Phase":"A","UpdatePeriod":"2002.09","FrameworkVersion":"C","ReportingStartDate":"2021-02-16T14:59:17Z","ReportingEndDate":"2021-03-18T14:59:17Z","OwnerSite":100,"OwnerWorkgroup":0,"CreationDate":"2021-02-16T14:59:23Z","Author":-524286,"UpdateDate":"2021-02-16T14:59:23Z","UpdateAuthor":-524286,"Descriptions":[{"CultureName":"fr-FR","Texts":{"SDesc":"","LDesc":""}},{"CultureName":"en-US","Texts":{"SDesc":"","LDesc":""}}],"ID":52428832,"LDesc":null,"Name":"A - 2002.09"},{"Phase":"A","UpdatePeriod":"2002.10","FrameworkVersion":"C","ReportingStartDate":"2021-02-16T14:53:29Z","ReportingEndDate":"2021-03-18T14:53:29Z","OwnerSite":100,"OwnerWorkgroup":0,"CreationDate":"2021-02-16T14:53:29Z","Author":-524286,"UpdateDate":"2021-02-16T14:53:29Z","UpdateAuthor":-524286,"Descriptions":[{"CultureName":"fr-FR","Texts":{"SDesc":"","LDesc":"Réel 2002.10"}},{"CultureName":"en-US","Texts":{"SDesc":"","LDesc":"Actual 2002.10"}}],"ID":52428830,"LDesc":null,"Name":"A - 2002.10"},{"Phase":"A","UpdatePeriod":"2002.11","FrameworkVersion":"C","ReportingStartDate":"2021-02-16T14:50:29Z","ReportingEndDate":"2021-03-18T14:50:29Z","OwnerSite":100,"OwnerWorkgroup":0,"CreationDate":"2021-02-16T14:50:30Z","Author":-524286,"UpdateDate":"2021-02-16T14:50:30Z","UpdateAuthor":-524286,"Descriptions":[{"CultureName":"fr-FR","Texts":{"SDesc":"a","LDesc":"a"}},{"CultureName":"en-US","Texts":{"SDesc":"a","LDesc":"a"}}],"ID":52428829,"LDesc":null,"Name":"A - 2002.11"},{"Phase":"A","UpdatePeriod":"2002.12","FrameworkVersion":"C","ReportingStartDate":"2015-08-28T12:16:14Z","ReportingEndDate":"2015-09-25T12:16:14Z","OwnerSite":100,"OwnerWorkgroup":0,"CreationDate":"2021-02-15T14:11:42Z","Author":-524286,"UpdateDate":"2021-02-19T09:46:39Z","UpdateAuthor":-524286,"Descriptions":[{"CultureName":"fr-FR","Texts":{"SDesc":"","LDesc":"Réel 2002.12"}},{"CultureName":"en-US","Texts":{"SDesc":"ff","LDesc":"Actual - 2002.12"}}],"ID":52428827,"LDesc":null,"Name":"A - 2002.12"},{"Phase":"A","UpdatePeriod":"2003.12","FrameworkVersion":"C","ReportingStartDate":"2015-08-28T12:16:14Z","ReportingEndDate":"2015-09-27T12:16:14Z","OwnerSite":100,"OwnerWorkgroup":0,"CreationDate":"2015-08-28T12:16:28Z","Author":-524286,"UpdateDate":"2021-02-22T17:22:39Z","UpdateAuthor":-524286,"Descriptions":[{"CultureName":"fr-FR","Texts":{"SDesc":"","LDesc":"Réel 2003.12"}},{"CultureName":"en-US","Texts":{"SDesc":"","LDesc":"Actual - 2003.12"}}],"ID":79,"LDesc":null,"Name":"A - 2003.12"},{"Phase":"A","UpdatePeriod":"2004.12","FrameworkVersion":"C","ReportingStartDate":"2015-08-28T12:09:34Z","ReportingEndDate":"2015-09-27T12:09:34Z","OwnerSite":100,"OwnerWorkgroup":0,"CreationDate":"2015-08-28T12:10:05Z","Author":-524286,"UpdateDate":"2015-08-28T13:48:52Z","UpdateAuthor":-524286,"Descriptions":[{"CultureName":"fr-FR","Texts":{"SDesc":"","LDesc":"Réel 2004.12"}},{"CultureName":"en-US","Texts":{"SDesc":"","LDesc":"Actual - 2004.12"}}],"ID":77,"LDesc":null,"Name":"A - 2004.12"},{"Phase":"A","UpdatePeriod":"2010.12","FrameworkVersion":"C","ReportingStartDate":"2010-05-03T11:21:32Z","ReportingEndDate":"2010-06-02T11:21:32Z","OwnerSite":100,"OwnerWorkgroup":0,"CreationDate":"2010-05-03T11:22:35Z","Author":-524286,"UpdateDate":"2010-08-16T12:39:18Z","UpdateAuthor":-524286,"Descriptions":[{"CultureName":"fr-FR","Texts":{"SDesc":"","LDesc":"Réel 2010.12"}},{"CultureName":"en-US","Texts":{"SDesc":"Actual 2010.12","LDesc":"Actual - 2010.12"}}],"ID":55,"LDesc":null,"Name":"A - 2010.12"},{"Phase":"A","UpdatePeriod":"2011.03","FrameworkVersion":"C","ReportingStartDate":"2011-01-03T11:00:00Z","ReportingEndDate":"2011-03-31T11:00:00Z","OwnerSite":100,"OwnerWorkgroup":0,"CreationDate":"2010-11-25T13:09:22Z","Author":-524286,"UpdateDate":"2021-02-22T12:34:16Z","UpdateAuthor":-524286,"Descriptions":[{"CultureName":"fr-FR","Texts":{"SDesc":"","LDesc":"Réel 2011.03"}},{"CultureName":"en-US","Texts":{"SDesc":"","LDesc":"Actual - 2011.03"}}],"ID":67,"LDesc":null,"Name":"A - 2011.03"},{"Phase":"A","UpdatePeriod":"2011.06","FrameworkVersion":"C","ReportingStartDate":"2011-04-04T11:00:00Z","ReportingEndDate":"2011-06-30T11:00:00Z","OwnerSite":100,"OwnerWorkgroup":0,"CreationDate":"2010-11-29T10:06:57Z","Author":-524286,"UpdateDate":"2010-11-29T10:10:31Z","UpdateAuthor":-524286,"Descriptions":[{"CultureName":"fr-FR","Texts":{"SDesc":"","LDesc":"Réel 2011.06"}},{"CultureName":"en-US","Texts":{"SDesc":"","LDesc":"Actual - 2011.06"}}],"ID":68,"LDesc":null,"Name":"A - 2011.06"},{"Phase":"A","UpdatePeriod":"2011.09","FrameworkVersion":"C","ReportingStartDate":"2011-07-01T11:00:00Z","ReportingEndDate":"2011-09-30T11:00:00Z","OwnerSite":100,"OwnerWorkgroup":0,"CreationDate":"2010-11-29T10:10:44Z","Author":-524286,"UpdateDate":"2010-11-29T10:11:37Z","UpdateAuthor":-524286,"Descriptions":[{"CultureName":"fr-FR","Texts":{"SDesc":"","LDesc":"Réel 2011.09"}},{"CultureName":"en-US","Texts":{"SDesc":"","LDesc":"Actual - 2011.09"}}],"ID":69,"LDesc":null,"Name":"A - 2011.09"},{"Phase":"A","UpdatePeriod":"2011.12","FrameworkVersion":"C","ReportingStartDate":"2010-05-04T07:09:13Z","ReportingEndDate":"2010-06-03T07:09:13Z","OwnerSite":100,"OwnerWorkgroup":0,"CreationDate":"2010-05-04T07:10:01Z","Author":-524286,"UpdateDate":"2010-08-16T12:40:04Z","UpdateAuthor":-524286,"Descriptions":[{"CultureName":"fr-FR","Texts":{"SDesc":"","LDesc":"Réel 2011.12"}},{"CultureName":"en-US","Texts":{"SDesc":"","LDesc":"Actual - 2011.12"}}],"ID":56,"LDesc":null,"Name":"A - 2011.12"},{"Phase":"A","UpdatePeriod":"2013.01","FrameworkVersion":"C","ReportingStartDate":"2013-03-29T09:53:07Z","ReportingEndDate":"2013-04-28T09:53:07Z","OwnerSite":100,"OwnerWorkgroup":0,"CreationDate":"2021-01-28T10:06:48Z","Author":-524286,"UpdateDate":"2021-01-28T10:06:48Z","UpdateAuthor":-524286,"Descriptions":[{"CultureName":"fr-FR","Texts":{"SDesc":"","LDesc":"Réel 2013.01"}},{"CultureName":"en-US","Texts":{"SDesc":"","LDesc":"Actual - 2013.01"}}],"ID":52428802,"LDesc":null,"Name":"A - 2013.01"},{"Phase":"A","UpdatePeriod":"2013.12","FrameworkVersion":"C","ReportingStartDate":"2013-03-15T09:53:07Z","ReportingEndDate":"2013-04-28T09:53:07Z","OwnerSite":100,"OwnerWorkgroup":0,"CreationDate":"2013-03-29T09:53:41Z","Author":-524286,"UpdateDate":"2021-01-28T10:25:51Z","UpdateAuthor":-524286,"Descriptions":[{"CultureName":"fr-FR","Texts":{"SDesc":"","LDesc":"Réel 2013.12"}},{"CultureName":"en-US","Texts":{"SDesc":"","LDesc":"Actual - 2013.12"}}],"ID":71,"LDesc":null,"Name":"A - 2013.12"},{"Phase":"A","UpdatePeriod":"2014.12","FrameworkVersion":"C","ReportingStartDate":"2014-04-07T09:30:55Z","ReportingEndDate":"2014-05-07T09:30:55Z","OwnerSite":100,"OwnerWorkgroup":0,"CreationDate":"2014-04-07T09:31:33Z","Author":-524286,"UpdateDate":"2014-04-07T09:31:33Z","UpdateAuthor":-524286,"Descriptions":[{"CultureName":"fr-FR","Texts":{"SDesc":"","LDesc":"Réel 2014.12"}},{"CultureName":"en-US","Texts":{"SDesc":"","LDesc":"Actual - 2014.12"}}],"ID":73,"LDesc":null,"Name":"A - 2014.12"},{"Phase":"A","UpdatePeriod":"2019.12","FrameworkVersion":"C","ReportingStartDate":"2010-09-02T09:16:58Z","ReportingEndDate":"2010-10-02T09:16:58Z","OwnerSite":100,"OwnerWorkgroup":0,"CreationDate":"2010-09-02T09:17:44Z","Author":-524286,"UpdateDate":"2010-09-02T09:17:44Z","UpdateAuthor":-524286,"Descriptions":[{"CultureName":"fr-FR","Texts":{"SDesc":"","LDesc":"Réel 2019.12"}},{"CultureName":"en-US","Texts":{"SDesc":"","LDesc":"Actual - 2019.12"}}],"ID":61,"LDesc":null,"Name":"A - 2019.12"},{"Phase":"A","UpdatePeriod":"2020.12","FrameworkVersion":"C","ReportingStartDate":"2010-08-31T12:51:32Z","ReportingEndDate":"2010-09-30T12:51:32Z","OwnerSite":100,"OwnerWorkgroup":0,"CreationDate":"2010-08-31T12:52:12Z","Author":-524286,"UpdateDate":"2010-09-03T07:54:58Z","UpdateAuthor":-524286,"Descriptions":[{"CultureName":"fr-FR","Texts":{"SDesc":"","LDesc":"Réel 2020.12"}},{"CultureName":"en-US","Texts":{"SDesc":"","LDesc":"Actual - 2020.12"}}],"ID":59,"LDesc":null,"Name":"A - 2020.12"},{"Phase":"A","UpdatePeriod":"2021.12","FrameworkVersion":"C","ReportingStartDate":"2010-08-31T12:56:46Z","ReportingEndDate":"2010-09-30T12:56:46Z","OwnerSite":100,"OwnerWorkgroup":0,"CreationDate":"2010-08-31T12:57:27Z","Author":-524286,"UpdateDate":"2012-07-05T07:50:54Z","UpdateAuthor":-524286,"Descriptions":[{"CultureName":"fr-FR","Texts":{"SDesc":"","LDesc":"Réel 2021.12"}},{"CultureName":"en-US","Texts":{"SDesc":"","LDesc":"Actual - 2021.12"}}],"ID":60,"LDesc":null,"Name":"A - 2021.12"}],"Messages":null}</t>
  </si>
  <si>
    <t>{"Data":[{"Framework":{"Phase":"A","Version":"C","Status":5,"ControlSets":{"P-A":{"ID":8,"LDesc":null,"Name":"P-A"},"P-E":{"ID":10,"LDesc":null,"Name":"P-E"}},"ControlLevels":{"1":{"Descriptions":[{"CultureName":"fr-FR","Texts":{"LDesc":"Analyse en solde"}},{"CultureName":"en-US","Texts":{"LDesc":"Balance analysis"}}],"ID":1,"LDesc":null,"Rank":1,"Name":"LEV1"},"2":{"Descriptions":[{"CultureName":"fr-FR","Texts":{"LDesc":"Analyse en flux"}},{"CultureName":"en-US","Texts":{"LDesc":"Flow analysis"}}],"ID":4,"LDesc":null,"Rank":2,"Name":"LEV2"}},"ID":1,"LDesc":null,"Name":"A - C"},"DefaultPackage":{"UseDefaultWindowsFolder":true,"WindowsFolder":"","UseDefaultInternetFolder":true,"InternetFolder":"","UseDefaultSetOfControls":true,"SetOfControls":"","UseDefaultLevel":true,"LevelToReach":0,"Blocking":false,"UseDefaultLock":true,"LockOnPublication":0,"UseDefaultRuleSet":true,"RuleSet":"","UseDefaultOpbal":true,"HasOpBal":false,"OpbPhase":"","OpbUpdatePeriod":"","OpbScope":"","OpbVariant":"","OpbConsCurrency":""},"DefaultRestriction":{},"DefaultOperation":{"UseDefaultPublish":false,"PackPublishingCutOffDate":"2021-02-26T10:02:00Z","AllowEarlyPublishing":true,"UseDefaultAfterPub":false,"AfterPublication":{"Standard":true,"Special":true,"Advanced":true,"Level":2},"UseDefaultAfterTran":false,"AfterTransfer":{"Standard":false,"Special":true,"Advanced":false,"Level":0}},"EntityReportings":[{"Reporting":{"Phase":"A","UpdatePeriod":"2000.12","FrameworkVersion":"C","ReportingStartDate":"2021-02-24T10:02:00Z","ReportingEndDate":"2021-02-27T10:02:00Z","OwnerSite":100,"OwnerWorkgroup":0,"CreationDate":"2021-03-01T16:55:21Z","Author":-524286,"UpdateDate":"2021-03-07T18:52:37.408Z","UpdateAuthor":-524286,"Descriptions":[{"CultureName":"fr-FR","Texts":{"SDesc":"","LDesc":"Test"}},{"CultureName":"en-US","Texts":{"SDesc":"","LDesc":"Actual - 2000.12"}}],"ID":52428888,"LDesc":null,"Name":"A - 2000.12"},"Entity":"S001","InputCurrency":"EUR","InputSite":"0000.TOP","PublicationSite":"0000.TOP","PackPackage":{"UseDefaultWindowsFolder":true,"WindowsFolder":"","UseDefaultInternetFolder":true,"InternetFolder":"","UseDefaultSetOfControls":true,"SetOfControls":"","UseDefaultLevel":true,"LevelToReach":0,"Blocking":false,"UseDefaultLock":true,"LockOnPublication":0,"UseDefaultRuleSet":true,"RuleSet":"","UseDefaultOpbal":true,"HasOpBal":false,"OpbPhase":"","OpbUpdatePeriod":"","OpbScope":"","OpbVariant":"","OpbConsCurrency":""},"PackRestriction":{},"PackOperation":{"UseDefaultPublish":true,"PackPublishingCutOffDate":"2021-02-26T10:02:00Z","AllowEarlyPublishing":false,"UseDefaultAfterPub":true,"AfterPublication":{"Standard":false,"Special":false,"Advanced":false,"Level":0},"UseDefaultAfterTran":true,"AfterTransfer":{"Standard":false,"Special":false,"Advanced":false,"Level":0}},"ID":-2147483618,"LDesc":null,"Name":null}],"Phase":"A","UpdatePeriod":"2000.12","FrameworkVersion":"C","ReportingStartDate":"2021-02-24T10:02:00Z","ReportingEndDate":"2021-02-27T10:02:00Z","OwnerSite":0,"OwnerWorkgroup":0,"CreationDate":"0001-01-01T00:00:00Z","Author":0,"UpdateDate":"0001-01-01T00:00:00Z","UpdateAuthor":0,"Descriptions":[],"ID":52428888,"LDesc":null,"Name":"A - 2000.12"}],"Messages":{"Messages":[],"UsedHints":{}}}</t>
  </si>
  <si>
    <t>Version 0.93.1</t>
  </si>
  <si>
    <t>08 03 2021</t>
  </si>
  <si>
    <t>Saves reporting</t>
  </si>
  <si>
    <t>Placer sur une cellule visible</t>
  </si>
  <si>
    <t>Ouvrir et fermer les groupes au départ</t>
  </si>
  <si>
    <t>Changer l'ordre de plan quand juste des hidden</t>
  </si>
  <si>
    <t>Lock: default?</t>
  </si>
  <si>
    <t>Verrouillage: défaut?</t>
  </si>
  <si>
    <t>Verrouillage</t>
  </si>
  <si>
    <t>Lock on publication</t>
  </si>
  <si>
    <t>Rule Set: default?</t>
  </si>
  <si>
    <t>Jeu de règles: défaut?</t>
  </si>
  <si>
    <t>Tester le jeu de règles</t>
  </si>
  <si>
    <t>Rule Set</t>
  </si>
  <si>
    <t>Jeu de règles</t>
  </si>
  <si>
    <t>Opening balance: default?</t>
  </si>
  <si>
    <t>Opening balance?</t>
  </si>
  <si>
    <t>A-nouveaux: défaut?</t>
  </si>
  <si>
    <t>A-nouveaux?</t>
  </si>
  <si>
    <t>OB Category</t>
  </si>
  <si>
    <t>AN Phase</t>
  </si>
  <si>
    <t>OB Update Period</t>
  </si>
  <si>
    <t>AN Exercice</t>
  </si>
  <si>
    <t>OB Scope</t>
  </si>
  <si>
    <t>AN Périmètre</t>
  </si>
  <si>
    <t>OB Variant</t>
  </si>
  <si>
    <t>AN Variante</t>
  </si>
  <si>
    <t>OB Currency</t>
  </si>
  <si>
    <t>AN Devise</t>
  </si>
  <si>
    <t>After publication</t>
  </si>
  <si>
    <t>Après publication</t>
  </si>
  <si>
    <t>Standard pub.</t>
  </si>
  <si>
    <t>Publication standard</t>
  </si>
  <si>
    <t>Special pub.</t>
  </si>
  <si>
    <t>Publication spéciale</t>
  </si>
  <si>
    <t>Advanced pub.</t>
  </si>
  <si>
    <t>Publication avancée</t>
  </si>
  <si>
    <t>After pub. Level</t>
  </si>
  <si>
    <t>Niveau après pub.</t>
  </si>
  <si>
    <t>After transfert</t>
  </si>
  <si>
    <t>Après transfert</t>
  </si>
  <si>
    <t>Standard tran.</t>
  </si>
  <si>
    <t>Descriptions</t>
  </si>
  <si>
    <t>Libellés</t>
  </si>
  <si>
    <t>Special tran.</t>
  </si>
  <si>
    <t>Advanced tran.</t>
  </si>
  <si>
    <t>After tran. Level</t>
  </si>
  <si>
    <t>Transfert standard</t>
  </si>
  <si>
    <t>Transfert spécial</t>
  </si>
  <si>
    <t>Transfert avancé</t>
  </si>
  <si>
    <t>Niveau après tran.</t>
  </si>
  <si>
    <t>Input Site</t>
  </si>
  <si>
    <t>Site de saisie</t>
  </si>
  <si>
    <t>Publication Site</t>
  </si>
  <si>
    <t>Site de publication</t>
  </si>
  <si>
    <t>After transfert: default?</t>
  </si>
  <si>
    <t>Après transfert: défaut?</t>
  </si>
  <si>
    <t>After publication: default?</t>
  </si>
  <si>
    <t>Après publication: défaut?</t>
  </si>
  <si>
    <t>Operation: default?</t>
  </si>
  <si>
    <t>Exploitation: défaut?</t>
  </si>
  <si>
    <t>Early publishing?</t>
  </si>
  <si>
    <t>Publication anticipée?</t>
  </si>
  <si>
    <t>Date picker 64b</t>
  </si>
  <si>
    <t>Editable?</t>
  </si>
  <si>
    <t>#Group#Open</t>
  </si>
  <si>
    <t>Width</t>
  </si>
  <si>
    <t>2000.12</t>
  </si>
  <si>
    <t>3/1/2021  5:55:21 PM</t>
  </si>
  <si>
    <t>2001.11</t>
  </si>
  <si>
    <t>2/23/2021  3:52:39 PM</t>
  </si>
  <si>
    <t>2001.12</t>
  </si>
  <si>
    <t>2/23/2021  3:13:08 PM</t>
  </si>
  <si>
    <t>2002.01</t>
  </si>
  <si>
    <t>2/18/2021  9:47:58 PM</t>
  </si>
  <si>
    <t>2002.02</t>
  </si>
  <si>
    <t>2/23/2021  3:02:13 PM</t>
  </si>
  <si>
    <t>2002.03</t>
  </si>
  <si>
    <t>2/23/2021  12:30:51 PM</t>
  </si>
  <si>
    <t>2002.04</t>
  </si>
  <si>
    <t>2/23/2021  12:15:06 PM</t>
  </si>
  <si>
    <t>2002.05</t>
  </si>
  <si>
    <t>2/23/2021  11:36:13 AM</t>
  </si>
  <si>
    <t>2002.06</t>
  </si>
  <si>
    <t>2/16/2021  7:37:46 PM</t>
  </si>
  <si>
    <t>2002.07</t>
  </si>
  <si>
    <t>2/16/2021  7:33:41 PM</t>
  </si>
  <si>
    <t>2002.08</t>
  </si>
  <si>
    <t>2/16/2021  7:23:18 PM</t>
  </si>
  <si>
    <t>2002.09</t>
  </si>
  <si>
    <t>2/16/2021  3:59:23 PM</t>
  </si>
  <si>
    <t>2002.10</t>
  </si>
  <si>
    <t>2/16/2021  3:53:29 PM</t>
  </si>
  <si>
    <t>2002.11</t>
  </si>
  <si>
    <t>2/16/2021  3:50:30 PM</t>
  </si>
  <si>
    <t>2002.12</t>
  </si>
  <si>
    <t>2/15/2021  3:11:42 PM</t>
  </si>
  <si>
    <t>2003.12</t>
  </si>
  <si>
    <t>8/28/2015  2:16:28 PM</t>
  </si>
  <si>
    <t>2004.12</t>
  </si>
  <si>
    <t>8/28/2015  2:10:05 PM</t>
  </si>
  <si>
    <t>2010.12</t>
  </si>
  <si>
    <t>5/3/2010  1:22:35 PM</t>
  </si>
  <si>
    <t>2011.03</t>
  </si>
  <si>
    <t>11/25/2010  2:09:22 PM</t>
  </si>
  <si>
    <t>2011.06</t>
  </si>
  <si>
    <t>11/29/2010  11:06:57 AM</t>
  </si>
  <si>
    <t>2011.09</t>
  </si>
  <si>
    <t>11/29/2010  11:10:44 AM</t>
  </si>
  <si>
    <t>2011.12</t>
  </si>
  <si>
    <t>5/4/2010  9:10:01 AM</t>
  </si>
  <si>
    <t>2013.01</t>
  </si>
  <si>
    <t>1/28/2021  11:06:48 AM</t>
  </si>
  <si>
    <t>2013.12</t>
  </si>
  <si>
    <t>3/29/2013  10:53:41 AM</t>
  </si>
  <si>
    <t>2014.12</t>
  </si>
  <si>
    <t>4/7/2014  11:31:33 AM</t>
  </si>
  <si>
    <t>2019.12</t>
  </si>
  <si>
    <t>9/2/2010  11:17:44 AM</t>
  </si>
  <si>
    <t>2020.12</t>
  </si>
  <si>
    <t>8/31/2010  2:52:12 PM</t>
  </si>
  <si>
    <t>2021.12</t>
  </si>
  <si>
    <t>8/31/2010  2:57:27 PM</t>
  </si>
  <si>
    <t>Commande Add entities</t>
  </si>
  <si>
    <t>/api/reporting/New3</t>
  </si>
  <si>
    <t>tReportingNew3</t>
  </si>
  <si>
    <t>{"Data":{"Framework":{"Phase":"A","Version":"C","Status":5,"ControlSets":{"P-A":{"ID":8,"LDesc":"Jeu de contr\u00F4le de la liasse de consolidation statutaire","Name":"P-A"},"P-E":{"ID":10,"LDesc":"Jeu de contr\u00F4le pour les unit\u00E9s mises en \u00E9quivalence","Name":"P-E"}},"ControlLevels":{"1":{"Descriptions":[{"CultureName":"fr-FR","Texts":{"LDesc":"Analyse en solde"}},{"CultureName":"en-US","Texts":{"LDesc":"Balance analysis"}}],"ID":1,"LDesc":"Analyse en solde","Rank":1,"Name":"LEV1"},"2":{"Descriptions":[{"CultureName":"fr-FR","Texts":{"LDesc":"Analyse en flux"}},{"CultureName":"en-US","Texts":{"LDesc":"Flow analysis"}}],"ID":4,"LDesc":"Analyse en flux","Rank":2,"Name":"LEV2"}},"ID":1,"LDesc":"R\u00E9el","Name":"A - C"},"DefaultPackage":{"UseDefaultWindowsFolder":true,"WindowsFolder":null,"UseDefaultInternetFolder":true,"InternetFolder":null,"UseDefaultSetOfControls":true,"SetOfControls":null,"UseDefaultLevel":true,"LevelToReach":null,"Blocking":false,"UseDefaultLock":true,"LockOnPublication":0,"UseDefaultRuleSet":true,"RuleSet":null,"UseDefaultOpbal":true,"HasOpBal":false,"OpbPhase":null,"OpbUpdatePeriod":null,"OpbScope":null,"OpbVariant":null,"OpbConsCurrency":null},"DefaultRestriction":{},"DefaultOperation":{"UseDefaultPublish":false,"PackPublishingCutOffDate":"2021-03-12T23:00:00.000Z","AllowEarlyPublishing":true,"UseDefaultAfterPub":false,"AfterPublication":{"Standard":true,"Special":true,"Advanced":true,"Level":2},"UseDefaultAfterTran":false,"AfterTransfer":{"Standard":false,"Special":true,"Advanced":false,"Level":null}},"EntityReportings":[{"Reporting":{"Phase":"A","UpdatePeriod":"2000.12","FrameworkVersion":"C","ReportingStartDate":"2021-02-24T10:02:00Z","ReportingEndDate":"2021-02-27T10:02:00Z","OwnerSite":100,"OwnerWorkgroup":0,"CreationDate":"2021-03-01T16:55:21Z","Author":-524286,"UpdateDate":"2021-03-01T18:28:25Z","UpdateAuthor":-524286,"Descriptions":[{"CultureName":"fr-FR","Texts":{"SDesc":"","LDesc":"Test"}},{"CultureName":"en-US","Texts":{"SDesc":"","LDesc":"Actual - 2000.12"}}],"ID":52428888,"LDesc":null,"Name":"A - 2000.12"},"Entity":"S001","InputCurrency":"EUR","InputSite":"0000.TOP","PublicationSite":"0000.TOP","PackPackage":{"UseDefaultWindowsFolder":true,"WindowsFolder":null,"UseDefaultInternetFolder":true,"InternetFolder":null,"UseDefaultSetOfControls":true,"SetOfControls":null,"UseDefaultLevel":true,"LevelToReach":null,"Blocking":false,"UseDefaultLock":true,"LockOnPublication":0,"UseDefaultRuleSet":true,"RuleSet":null,"UseDefaultOpbal":true,"HasOpBal":false,"OpbPhase":null,"OpbUpdatePeriod":null,"OpbScope":null,"OpbVariant":null,"OpbConsCurrency":null},"PackRestriction":{},"PackOperation":{"UseDefaultPublish":true,"PackPublishingCutOffDate":"0001-01-01T00:00:00Z","AllowEarlyPublishing":false,"UseDefaultAfterPub":true,"AfterPublication":{"Standard":false,"Special":false,"Advanced":false,"Level":null},"UseDefaultAfterTran":true,"AfterTransfer":{"Standard":false,"Special":false,"Advanced":false,"Level":null}},"ID":-2147483618,"LDesc":null,"Name":"{A - 2000.12 - S001}"}],"Phase":"A","UpdatePeriod":"2000.11","FrameworkVersion":"Q2-2019","ReportingStartDate":"2021-03-09T23:00:00.000Z","ReportingEndDate":"2021-03-20T23:00:00.000Z","OwnerSite":100,"OwnerWorkgroup":0,"CreationDate":"2021-03-01T16:55:21Z","Author":-524286,"UpdateDate":"2021-03-01T18:28:25Z","UpdateAuthor":-524286,"Descriptions":[{"CultureName":"fr-FR","Texts":{"SDesc":"","LDesc":"Test"}},{"CultureName":"en-US","Texts":{"SDesc":"","LDesc":"Actual - 2000.12"}}],"ID":52428888,"LDesc":"Test","Name":"A - 2000.12"},"Messages":{"Messages":[],"UsedHints":{}}}</t>
  </si>
  <si>
    <t>/api/reporting/New4</t>
  </si>
  <si>
    <t>tReportingNew4</t>
  </si>
  <si>
    <t>{"Data":{"Framework":{"Phase":"A","Version":"C","Status":5,"ControlSets":{"P-A":{"ID":8,"LDesc":"Jeu de contr\u00F4le de la liasse de consolidation statutaire","Name":"P-A"},"P-E":{"ID":10,"LDesc":"Jeu de contr\u00F4le pour les unit\u00E9s mises en \u00E9quivalence","Name":"P-E"}},"ControlLevels":{"1":{"Descriptions":[{"CultureName":"fr-FR","Texts":{"LDesc":"Analyse en solde"}},{"CultureName":"en-US","Texts":{"LDesc":"Balance analysis"}}],"ID":1,"LDesc":"Analyse en solde","Rank":1,"Name":"LEV1"},"2":{"Descriptions":[{"CultureName":"fr-FR","Texts":{"LDesc":"Analyse en flux"}},{"CultureName":"en-US","Texts":{"LDesc":"Flow analysis"}}],"ID":4,"LDesc":"Analyse en flux","Rank":2,"Name":"LEV2"}},"ID":1,"LDesc":"R\u00E9el","Name":"A - C"},"DefaultPackage":{"UseDefaultWindowsFolder":true,"WindowsFolder":null,"UseDefaultInternetFolder":true,"InternetFolder":null,"UseDefaultSetOfControls":true,"SetOfControls":null,"UseDefaultLevel":true,"LevelToReach":null,"Blocking":false,"UseDefaultLock":true,"LockOnPublication":0,"UseDefaultRuleSet":true,"RuleSet":null,"UseDefaultOpbal":true,"HasOpBal":false,"OpbPhase":null,"OpbUpdatePeriod":null,"OpbScope":null,"OpbVariant":null,"OpbConsCurrency":null},"DefaultRestriction":{},"DefaultOperation":{"UseDefaultPublish":false,"PackPublishingCutOffDate":"2021-03-12T23:00:00.000Z","AllowEarlyPublishing":true,"UseDefaultAfterPub":false,"AfterPublication":{"Standard":true,"Special":true,"Advanced":true,"Level":2},"UseDefaultAfterTran":false,"AfterTransfer":{"Standard":false,"Special":true,"Advanced":false,"Level":null}},"EntityReportings":[{"Reporting":{"Phase":"A","UpdatePeriod":"2000.12","FrameworkVersion":"C","ReportingStartDate":"2021-02-24T10:02:00Z","ReportingEndDate":"2021-02-27T10:02:00Z","OwnerSite":100,"OwnerWorkgroup":0,"CreationDate":"2021-03-01T16:55:21Z","Author":-524286,"UpdateDate":"2021-03-01T18:28:25Z","UpdateAuthor":-524286,"Descriptions":[{"CultureName":"fr-FR","Texts":{"SDesc":"","LDesc":"Test"}},{"CultureName":"en-US","Texts":{"SDesc":"","LDesc":"Actual - 2000.12"}}],"ID":52428888,"LDesc":null,"Name":"A - 2000.12"},"Entity":"S001","InputCurrency":"EUR","InputSite":"0000.TOP","PublicationSite":"0000.TOP","PackPackage":{"UseDefaultWindowsFolder":true,"WindowsFolder":null,"UseDefaultInternetFolder":true,"InternetFolder":null,"UseDefaultSetOfControls":true,"SetOfControls":null,"UseDefaultLevel":true,"LevelToReach":null,"Blocking":false,"UseDefaultLock":true,"LockOnPublication":0,"UseDefaultRuleSet":true,"RuleSet":null,"UseDefaultOpbal":true,"HasOpBal":false,"OpbPhase":null,"OpbUpdatePeriod":null,"OpbScope":null,"OpbVariant":null,"OpbConsCurrency":null},"PackRestriction":{},"PackOperation":{"UseDefaultPublish":true,"PackPublishingCutOffDate":"2021-03-12T23:00:00.000Z","AllowEarlyPublishing":false,"UseDefaultAfterPub":true,"AfterPublication":{"Standard":false,"Special":false,"Advanced":false,"Level":null},"UseDefaultAfterTran":true,"AfterTransfer":{"Standard":false,"Special":false,"Advanced":false,"Level":null}},"ID":-2147483618,"LDesc":null,"Name":"{A - 2000.12 - S001}"}],"Phase":"A","UpdatePeriod":"2000.11","FrameworkVersion":"V1","ReportingStartDate":"2021-03-09T23:00:00.000Z","ReportingEndDate":"2021-03-20T23:00:00.000Z","OwnerSite":100,"OwnerWorkgroup":0,"CreationDate":"2021-03-01T16:55:21Z","Author":-524286,"UpdateDate":"2021-03-01T18:28:25Z","UpdateAuthor":-524286,"Descriptions":[{"CultureName":"fr-FR","Texts":{"SDesc":"","LDesc":"Test"}},{"CultureName":"en-US","Texts":{"SDesc":"","LDesc":"Actual - 2000.12"}}],"ID":52428888,"LDesc":"Test","Name":"A - 2000.12"},"Messages":{"Messages":[],"UsedHints":{}}}</t>
  </si>
  <si>
    <t>{"Data":[{"Phase":"A","UpdatePeriod":"2000.12","FrameworkVersion":"C","ReportingStartDate":"2021-02-24T10:02:00Z","ReportingEndDate":"2021-02-27T10:02:00Z","OwnerSite":100,"OwnerWorkgroup":0,"CreationDate":"2021-03-01T16:55:21Z","Author":-524286,"UpdateDate":"2021-03-07T18:52:37Z","UpdateAuthor":-524286,"Descriptions":[{"CultureName":"fr-FR","Texts":{"LDesc":"Test"}},{"CultureName":"en-US","Texts":{"LDesc":"Actual - 2000.12"}}],"ID":52428888,"LDesc":"Test","Name":"A - 2000.12"},{"Phase":"A","UpdatePeriod":"2001.11","FrameworkVersion":"C","ReportingStartDate":"2021-02-23T15:52:39Z","ReportingEndDate":"2021-04-25T16:00:10Z","OwnerSite":100,"OwnerWorkgroup":0,"CreationDate":"2021-02-23T14:52:39Z","Author":-524286,"UpdateDate":"2021-02-25T15:00:10Z","UpdateAuthor":-524286,"Descriptions":[{"CultureName":"fr-FR","Texts":{"LDesc":"Réel - 2001.11"}},{"CultureName":"en-US","Texts":{"LDesc":"Actual - 2001.11"}}],"ID":52428859,"LDesc":"Réel - 2001.11","Name":"A - 2001.11"},{"Phase":"A","UpdatePeriod":"2001.12","FrameworkVersion":"C","ReportingStartDate":"2021-02-23T15:12:48Z","ReportingEndDate":"2021-04-23T15:12:48Z","OwnerSite":100,"OwnerWorkgroup":0,"CreationDate":"2021-02-23T14:13:08Z","Author":-524286,"UpdateDate":"2021-02-23T14:13:08Z","UpdateAuthor":-524286,"Descriptions":[{"CultureName":"fr-FR","Texts":{"LDesc":"Réel - 2001.12"}},{"CultureName":"en-US","Texts":{"LDesc":"Actual - 2001.12"}}],"ID":52428858,"LDesc":"Réel - 2001.12","Name":"A - 2001.12"},{"Phase":"A","UpdatePeriod":"2002.01","FrameworkVersion":"C","ReportingStartDate":"2021-02-18T20:47:58Z","ReportingEndDate":"2021-03-20T20:47:58Z","OwnerSite":100,"OwnerWorkgroup":0,"CreationDate":"2021-02-18T20:47:58Z","Author":-524286,"UpdateDate":"2021-02-18T20:47:58Z","UpdateAuthor":-524286,"Descriptions":[{"CultureName":"fr-FR","Texts":{"LDesc":""}},{"CultureName":"en-US","Texts":{"LDesc":""}}],"ID":52428847,"LDesc":null,"Name":"A - 2002.01"},{"Phase":"A","UpdatePeriod":"2002.02","FrameworkVersion":"C","ReportingStartDate":"2021-02-23T15:02:13Z","ReportingEndDate":"2021-04-23T15:03:23Z","OwnerSite":100,"OwnerWorkgroup":0,"CreationDate":"2021-02-23T14:02:13Z","Author":-524286,"UpdateDate":"2021-02-23T14:04:19Z","UpdateAuthor":-524286,"Descriptions":[{"CultureName":"fr-FR","Texts":{"LDesc":""}},{"CultureName":"en-US","Texts":{"LDesc":""}}],"ID":52428855,"LDesc":null,"Name":"A - 2002.02"},{"Phase":"A","UpdatePeriod":"2002.03","FrameworkVersion":"C","ReportingStartDate":"2021-02-23T11:30:37Z","ReportingEndDate":"2021-03-25T11:30:37Z","OwnerSite":100,"OwnerWorkgroup":0,"CreationDate":"2021-02-23T11:30:51Z","Author":-524286,"UpdateDate":"2021-02-23T11:30:51Z","UpdateAuthor":-524286,"Descriptions":[{"CultureName":"fr-FR","Texts":{"LDesc":""}},{"CultureName":"en-US","Texts":{"LDesc":""}}],"ID":52428853,"LDesc":null,"Name":"A - 2002.03"},{"Phase":"A","UpdatePeriod":"2002.04","FrameworkVersion":"C","ReportingStartDate":"2021-02-23T12:13:56Z","ReportingEndDate":"2021-04-23T12:13:50Z","OwnerSite":100,"OwnerWorkgroup":0,"CreationDate":"2021-02-23T11:15:06Z","Author":-524286,"UpdateDate":"2021-02-23T11:15:06Z","UpdateAuthor":-524286,"Descriptions":[{"CultureName":"fr-FR","Texts":{"LDesc":""}},{"CultureName":"en-US","Texts":{"LDesc":""}}],"ID":52428851,"LDesc":null,"Name":"A - 2002.04"},{"Phase":"A","UpdatePeriod":"2002.05","FrameworkVersion":"C","ReportingStartDate":"2021-02-23T11:36:13Z","ReportingEndDate":"2021-04-23T11:36:13Z","OwnerSite":100,"OwnerWorkgroup":0,"CreationDate":"2021-02-23T10:36:13Z","Author":-524286,"UpdateDate":"2021-02-23T10:36:13Z","UpdateAuthor":-524286,"Descriptions":[{"CultureName":"fr-FR","Texts":{"LDesc":""}},{"CultureName":"en-US","Texts":{"LDesc":""}}],"ID":52428848,"LDesc":null,"Name":"A - 2002.05"},{"Phase":"A","UpdatePeriod":"2002.06","FrameworkVersion":"C","ReportingStartDate":"2021-02-16T18:37:45Z","ReportingEndDate":"2021-02-22T11:41:54Z","OwnerSite":100,"OwnerWorkgroup":0,"CreationDate":"2021-02-16T18:37:46Z","Author":-524286,"UpdateDate":"2021-02-22T10:41:55Z","UpdateAuthor":-524286,"Descriptions":[{"CultureName":"fr-FR","Texts":{"LDesc":""}},{"CultureName":"en-US","Texts":{"LDesc":""}}],"ID":52428841,"LDesc":null,"Name":"A - 2002.06"},{"Phase":"A","UpdatePeriod":"2002.07","FrameworkVersion":"C","ReportingStartDate":"2021-02-16T18:32:13Z","ReportingEndDate":"2021-03-18T18:32:13Z","OwnerSite":100,"OwnerWorkgroup":0,"CreationDate":"2021-02-16T18:33:41Z","Author":-524286,"UpdateDate":"2021-02-16T18:36:47Z","UpdateAuthor":-524286,"Descriptions":[{"CultureName":"fr-FR","Texts":{"LDesc":""}},{"CultureName":"en-US","Texts":{"LDesc":""}}],"ID":52428840,"LDesc":null,"Name":"A - 2002.07"},{"Phase":"A","UpdatePeriod":"2002.08","FrameworkVersion":"C","ReportingStartDate":"2021-02-16T18:23:18Z","ReportingEndDate":"2021-03-18T18:23:18Z","OwnerSite":100,"OwnerWorkgroup":0,"CreationDate":"2021-02-16T18:23:18Z","Author":-524286,"UpdateDate":"2021-02-16T18:23:18Z","UpdateAuthor":-524286,"Descriptions":[{"CultureName":"fr-FR","Texts":{"LDesc":""}},{"CultureName":"en-US","Texts":{"LDesc":""}}],"ID":52428838,"LDesc":null,"Name":"A - 2002.08"},{"Phase":"A","UpdatePeriod":"2002.09","FrameworkVersion":"C","ReportingStartDate":"2021-02-16T14:59:17Z","ReportingEndDate":"2021-03-18T14:59:17Z","OwnerSite":100,"OwnerWorkgroup":0,"CreationDate":"2021-02-16T14:59:23Z","Author":-524286,"UpdateDate":"2021-02-16T14:59:23Z","UpdateAuthor":-524286,"Descriptions":[{"CultureName":"fr-FR","Texts":{"LDesc":""}},{"CultureName":"en-US","Texts":{"LDesc":""}}],"ID":52428832,"LDesc":null,"Name":"A - 2002.09"},{"Phase":"A","UpdatePeriod":"2002.10","FrameworkVersion":"C","ReportingStartDate":"2021-02-16T14:53:29Z","ReportingEndDate":"2021-03-18T14:53:29Z","OwnerSite":100,"OwnerWorkgroup":0,"CreationDate":"2021-02-16T14:53:29Z","Author":-524286,"UpdateDate":"2021-02-16T14:53:29Z","UpdateAuthor":-524286,"Descriptions":[{"CultureName":"fr-FR","Texts":{"LDesc":"Réel 2002.10"}},{"CultureName":"en-US","Texts":{"LDesc":"Actual 2002.10"}}],"ID":52428830,"LDesc":"Réel 2002.10","Name":"A - 2002.10"},{"Phase":"A","UpdatePeriod":"2002.11","FrameworkVersion":"C","ReportingStartDate":"2021-02-16T14:50:29Z","ReportingEndDate":"2021-03-18T14:50:29Z","OwnerSite":100,"OwnerWorkgroup":0,"CreationDate":"2021-02-16T14:50:30Z","Author":-524286,"UpdateDate":"2021-02-16T14:50:30Z","UpdateAuthor":-524286,"Descriptions":[{"CultureName":"fr-FR","Texts":{"LDesc":"a"}},{"CultureName":"en-US","Texts":{"LDesc":"a"}}],"ID":52428829,"LDesc":"a","Name":"A - 2002.11"},{"Phase":"A","UpdatePeriod":"2002.12","FrameworkVersion":"C","ReportingStartDate":"2015-08-28T12:16:14Z","ReportingEndDate":"2015-09-25T12:16:14Z","OwnerSite":100,"OwnerWorkgroup":0,"CreationDate":"2021-02-15T14:11:42Z","Author":-524286,"UpdateDate":"2021-02-19T09:46:39Z","UpdateAuthor":-524286,"Descriptions":[{"CultureName":"fr-FR","Texts":{"LDesc":"Réel 2002.12"}},{"CultureName":"en-US","Texts":{"LDesc":"Actual - 2002.12"}}],"ID":52428827,"LDesc":"Réel 2002.12","Name":"A - 2002.12"},{"Phase":"A","UpdatePeriod":"2003.12","FrameworkVersion":"C","ReportingStartDate":"2015-08-28T12:16:14Z","ReportingEndDate":"2015-09-27T12:16:14Z","OwnerSite":100,"OwnerWorkgroup":0,"CreationDate":"2015-08-28T12:16:28Z","Author":-524286,"UpdateDate":"2021-02-22T17:22:39Z","UpdateAuthor":-524286,"Descriptions":[{"CultureName":"fr-FR","Texts":{"LDesc":"Réel 2003.12"}},{"CultureName":"en-US","Texts":{"LDesc":"Actual - 2003.12"}}],"ID":79,"LDesc":"Réel 2003.12","Name":"A - 2003.12"},{"Phase":"A","UpdatePeriod":"2004.12","FrameworkVersion":"C","ReportingStartDate":"2015-08-28T12:09:34Z","ReportingEndDate":"2015-09-27T12:09:34Z","OwnerSite":100,"OwnerWorkgroup":0,"CreationDate":"2015-08-28T12:10:05Z","Author":-524286,"UpdateDate":"2015-08-28T13:48:52Z","UpdateAuthor":-524286,"Descriptions":[{"CultureName":"fr-FR","Texts":{"LDesc":"Réel 2004.12"}},{"CultureName":"en-US","Texts":{"LDesc":"Actual - 2004.12"}}],"ID":77,"LDesc":"Réel 2004.12","Name":"A - 2004.12"},{"Phase":"A","UpdatePeriod":"2010.12","FrameworkVersion":"C","ReportingStartDate":"2010-05-03T11:21:32Z","ReportingEndDate":"2010-06-02T11:21:32Z","OwnerSite":100,"OwnerWorkgroup":0,"CreationDate":"2010-05-03T11:22:35Z","Author":-524286,"UpdateDate":"2010-08-16T12:39:18Z","UpdateAuthor":-524286,"Descriptions":[{"CultureName":"fr-FR","Texts":{"LDesc":"Réel 2010.12"}},{"CultureName":"en-US","Texts":{"LDesc":"Actual - 2010.12"}}],"ID":55,"LDesc":"Réel 2010.12","Name":"A - 2010.12"},{"Phase":"A","UpdatePeriod":"2011.03","FrameworkVersion":"C","ReportingStartDate":"2011-01-03T11:00:00Z","ReportingEndDate":"2011-03-31T11:00:00Z","OwnerSite":100,"OwnerWorkgroup":0,"CreationDate":"2010-11-25T13:09:22Z","Author":-524286,"UpdateDate":"2021-02-22T12:34:16Z","UpdateAuthor":-524286,"Descriptions":[{"CultureName":"fr-FR","Texts":{"LDesc":"Réel 2011.03"}},{"CultureName":"en-US","Texts":{"LDesc":"Actual - 2011.03"}}],"ID":67,"LDesc":"Réel 2011.03","Name":"A - 2011.03"},{"Phase":"A","UpdatePeriod":"2011.06","FrameworkVersion":"C","ReportingStartDate":"2011-04-04T11:00:00Z","ReportingEndDate":"2011-06-30T11:00:00Z","OwnerSite":100,"OwnerWorkgroup":0,"CreationDate":"2010-11-29T10:06:57Z","Author":-524286,"UpdateDate":"2010-11-29T10:10:31Z","UpdateAuthor":-524286,"Descriptions":[{"CultureName":"fr-FR","Texts":{"LDesc":"Réel 2011.06"}},{"CultureName":"en-US","Texts":{"LDesc":"Actual - 2011.06"}}],"ID":68,"LDesc":"Réel 2011.06","Name":"A - 2011.06"},{"Phase":"A","UpdatePeriod":"2011.09","FrameworkVersion":"C","ReportingStartDate":"2011-07-01T11:00:00Z","ReportingEndDate":"2011-09-30T11:00:00Z","OwnerSite":100,"OwnerWorkgroup":0,"CreationDate":"2010-11-29T10:10:44Z","Author":-524286,"UpdateDate":"2010-11-29T10:11:37Z","UpdateAuthor":-524286,"Descriptions":[{"CultureName":"fr-FR","Texts":{"LDesc":"Réel 2011.09"}},{"CultureName":"en-US","Texts":{"LDesc":"Actual - 2011.09"}}],"ID":69,"LDesc":"Réel 2011.09","Name":"A - 2011.09"},{"Phase":"A","UpdatePeriod":"2011.12","FrameworkVersion":"C","ReportingStartDate":"2010-05-04T07:09:13Z","ReportingEndDate":"2010-06-03T07:09:13Z","OwnerSite":100,"OwnerWorkgroup":0,"CreationDate":"2010-05-04T07:10:01Z","Author":-524286,"UpdateDate":"2010-08-16T12:40:04Z","UpdateAuthor":-524286,"Descriptions":[{"CultureName":"fr-FR","Texts":{"LDesc":"Réel 2011.12"}},{"CultureName":"en-US","Texts":{"LDesc":"Actual - 2011.12"}}],"ID":56,"LDesc":"Réel 2011.12","Name":"A - 2011.12"},{"Phase":"A","UpdatePeriod":"2013.01","FrameworkVersion":"C","ReportingStartDate":"2013-03-29T09:53:07Z","ReportingEndDate":"2013-04-28T09:53:07Z","OwnerSite":100,"OwnerWorkgroup":0,"CreationDate":"2021-01-28T10:06:48Z","Author":-524286,"UpdateDate":"2021-01-28T10:06:48Z","UpdateAuthor":-524286,"Descriptions":[{"CultureName":"fr-FR","Texts":{"LDesc":"Réel 2013.01"}},{"CultureName":"en-US","Texts":{"LDesc":"Actual - 2013.01"}}],"ID":52428802,"LDesc":"Réel 2013.01","Name":"A - 2013.01"},{"Phase":"A","UpdatePeriod":"2013.12","FrameworkVersion":"C","ReportingStartDate":"2013-03-15T09:53:07Z","ReportingEndDate":"2013-04-28T09:53:07Z","OwnerSite":100,"OwnerWorkgroup":0,"CreationDate":"2013-03-29T09:53:41Z","Author":-524286,"UpdateDate":"2021-01-28T10:25:51Z","UpdateAuthor":-524286,"Descriptions":[{"CultureName":"fr-FR","Texts":{"LDesc":"Réel 2013.12"}},{"CultureName":"en-US","Texts":{"LDesc":"Actual - 2013.12"}}],"ID":71,"LDesc":"Réel 2013.12","Name":"A - 2013.12"},{"Phase":"A","UpdatePeriod":"2014.12","FrameworkVersion":"C","ReportingStartDate":"2014-04-07T09:30:55Z","ReportingEndDate":"2014-05-07T09:30:55Z","OwnerSite":100,"OwnerWorkgroup":0,"CreationDate":"2014-04-07T09:31:33Z","Author":-524286,"UpdateDate":"2014-04-07T09:31:33Z","UpdateAuthor":-524286,"Descriptions":[{"CultureName":"fr-FR","Texts":{"LDesc":"Réel 2014.12"}},{"CultureName":"en-US","Texts":{"LDesc":"Actual - 2014.12"}}],"ID":73,"LDesc":"Réel 2014.12","Name":"A - 2014.12"},{"Phase":"A","UpdatePeriod":"2019.12","FrameworkVersion":"C","ReportingStartDate":"2010-09-02T09:16:58Z","ReportingEndDate":"2010-10-02T09:16:58Z","OwnerSite":100,"OwnerWorkgroup":0,"CreationDate":"2010-09-02T09:17:44Z","Author":-524286,"UpdateDate":"2010-09-02T09:17:44Z","UpdateAuthor":-524286,"Descriptions":[{"CultureName":"fr-FR","Texts":{"LDesc":"Réel 2019.12"}},{"CultureName":"en-US","Texts":{"LDesc":"Actual - 2019.12"}}],"ID":61,"LDesc":"Réel 2019.12","Name":"A - 2019.12"},{"Phase":"A","UpdatePeriod":"2020.12","FrameworkVersion":"C","ReportingStartDate":"2010-08-31T12:51:32Z","ReportingEndDate":"2010-09-30T12:51:32Z","OwnerSite":100,"OwnerWorkgroup":0,"CreationDate":"2010-08-31T12:52:12Z","Author":-524286,"UpdateDate":"2010-09-03T07:54:58Z","UpdateAuthor":-524286,"Descriptions":[{"CultureName":"fr-FR","Texts":{"LDesc":"Réel 2020.12"}},{"CultureName":"en-US","Texts":{"LDesc":"Actual - 2020.12"}}],"ID":59,"LDesc":"Réel 2020.12","Name":"A - 2020.12"},{"Phase":"A","UpdatePeriod":"2021.12","FrameworkVersion":"C","ReportingStartDate":"2010-08-31T12:56:46Z","ReportingEndDate":"2010-09-30T12:56:46Z","OwnerSite":100,"OwnerWorkgroup":0,"CreationDate":"2010-08-31T12:57:27Z","Author":-524286,"UpdateDate":"2012-07-05T07:50:54Z","UpdateAuthor":-524286,"Descriptions":[{"CultureName":"fr-FR","Texts":{"LDesc":"Réel 2021.12"}},{"CultureName":"en-US","Texts":{"LDesc":"Actual - 2021.12"}}],"ID":60,"LDesc":"Réel 2021.12","Name":"A - 2021.12"}],"Messages":null}</t>
  </si>
  <si>
    <t xml:space="preserve"> 5</t>
  </si>
  <si>
    <t xml:space="preserve"> 6</t>
  </si>
  <si>
    <t xml:space="preserve"> 7</t>
  </si>
  <si>
    <t xml:space="preserve"> 8</t>
  </si>
  <si>
    <t xml:space="preserve"> 9</t>
  </si>
  <si>
    <t xml:space="preserve"> 10</t>
  </si>
  <si>
    <t xml:space="preserve"> 11</t>
  </si>
  <si>
    <t xml:space="preserve"> 12</t>
  </si>
  <si>
    <t xml:space="preserve"> 13</t>
  </si>
  <si>
    <t xml:space="preserve"> 14</t>
  </si>
  <si>
    <t xml:space="preserve"> 15</t>
  </si>
  <si>
    <t xml:space="preserve"> 16</t>
  </si>
  <si>
    <t xml:space="preserve"> 17</t>
  </si>
  <si>
    <t xml:space="preserve"> 18</t>
  </si>
  <si>
    <t xml:space="preserve"> 19</t>
  </si>
  <si>
    <t xml:space="preserve"> 20</t>
  </si>
  <si>
    <t xml:space="preserve"> 21</t>
  </si>
  <si>
    <t xml:space="preserve"> 22</t>
  </si>
  <si>
    <t xml:space="preserve"> 23</t>
  </si>
  <si>
    <t xml:space="preserve"> 24</t>
  </si>
  <si>
    <t xml:space="preserve"> 25</t>
  </si>
  <si>
    <t xml:space="preserve"> 26</t>
  </si>
  <si>
    <t xml:space="preserve"> 27</t>
  </si>
  <si>
    <t xml:space="preserve"> 28</t>
  </si>
  <si>
    <t xml:space="preserve"> 29</t>
  </si>
  <si>
    <t xml:space="preserve"> 30</t>
  </si>
  <si>
    <t xml:space="preserve"> 31</t>
  </si>
  <si>
    <t xml:space="preserve"> 32</t>
  </si>
  <si>
    <t xml:space="preserve"> 33</t>
  </si>
  <si>
    <t xml:space="preserve"> 34</t>
  </si>
  <si>
    <t xml:space="preserve"> 35</t>
  </si>
  <si>
    <t xml:space="preserve"> 36</t>
  </si>
  <si>
    <t xml:space="preserve"> 37</t>
  </si>
  <si>
    <t xml:space="preserve"> 38</t>
  </si>
  <si>
    <t xml:space="preserve"> 39</t>
  </si>
  <si>
    <t xml:space="preserve"> 40</t>
  </si>
  <si>
    <t xml:space="preserve"> 41</t>
  </si>
  <si>
    <t xml:space="preserve"> 42</t>
  </si>
  <si>
    <t xml:space="preserve"> 43</t>
  </si>
  <si>
    <t xml:space="preserve"> 44</t>
  </si>
  <si>
    <t xml:space="preserve"> 45</t>
  </si>
  <si>
    <t xml:space="preserve"> 46</t>
  </si>
  <si>
    <t xml:space="preserve"> 47</t>
  </si>
  <si>
    <t xml:space="preserve"> 48</t>
  </si>
  <si>
    <t xml:space="preserve"> 49</t>
  </si>
  <si>
    <t xml:space="preserve"> 50</t>
  </si>
  <si>
    <t xml:space="preserve"> 51</t>
  </si>
  <si>
    <t xml:space="preserve"> 52</t>
  </si>
  <si>
    <t xml:space="preserve"> 53</t>
  </si>
  <si>
    <t xml:space="preserve"> 54</t>
  </si>
  <si>
    <t xml:space="preserve"> 55</t>
  </si>
  <si>
    <t xml:space="preserve"> 56</t>
  </si>
  <si>
    <t xml:space="preserve"> 57</t>
  </si>
  <si>
    <t xml:space="preserve"> 58</t>
  </si>
  <si>
    <t xml:space="preserve"> 59</t>
  </si>
  <si>
    <t xml:space="preserve"> 60</t>
  </si>
  <si>
    <t xml:space="preserve"> 61</t>
  </si>
  <si>
    <t xml:space="preserve"> 62</t>
  </si>
  <si>
    <t xml:space="preserve"> 63</t>
  </si>
  <si>
    <t xml:space="preserve"> 64</t>
  </si>
  <si>
    <t xml:space="preserve"> 65</t>
  </si>
  <si>
    <t xml:space="preserve"> 66</t>
  </si>
  <si>
    <t xml:space="preserve"> 67</t>
  </si>
  <si>
    <t xml:space="preserve"> 68</t>
  </si>
  <si>
    <t xml:space="preserve"> 69</t>
  </si>
  <si>
    <t xml:space="preserve"> 70</t>
  </si>
  <si>
    <t xml:space="preserve"> 71</t>
  </si>
  <si>
    <t xml:space="preserve"> 72</t>
  </si>
  <si>
    <t xml:space="preserve"> 73</t>
  </si>
  <si>
    <t xml:space="preserve"> 74</t>
  </si>
  <si>
    <t xml:space="preserve"> 75</t>
  </si>
  <si>
    <t xml:space="preserve"> 76</t>
  </si>
  <si>
    <t xml:space="preserve"> 77</t>
  </si>
  <si>
    <t xml:space="preserve"> 78</t>
  </si>
  <si>
    <t xml:space="preserve"> 79</t>
  </si>
  <si>
    <t xml:space="preserve"> 80</t>
  </si>
  <si>
    <t xml:space="preserve"> 81</t>
  </si>
  <si>
    <t xml:space="preserve"> 82</t>
  </si>
  <si>
    <t xml:space="preserve"> 83</t>
  </si>
  <si>
    <t>{"Data":{"Framework":{"Phase":"A","Version":"C","Status":5,"ControlSets":{"P-A":{"ID":8,"LDesc":"Jeu de contrôle de la liasse de consolidation statutaire","Name":"P-A"},"P-E":{"ID":10,"LDesc":"Jeu de contrôle pour les unités mises en équivalence","Name":"P-E"}},"ControlLevels":{"1":{"Descriptions":[{"CultureName":"fr-FR","Texts":{"LDesc":"Analyse en solde"}},{"CultureName":"en-US","Texts":{"LDesc":"Balance analysis"}}],"ID":1,"LDesc":"Analyse en solde","Rank":1,"Name":"LEV1"},"2":{"Descriptions":[{"CultureName":"fr-FR","Texts":{"LDesc":"Analyse en flux"}},{"CultureName":"en-US","Texts":{"LDesc":"Flow analysis"}}],"ID":4,"LDesc":"Analyse en flux","Rank":2,"Name":"LEV2"}},"ID":1,"LDesc":"Réel","Name":"A - C"},"DefaultPackage":{"UseDefaultWindowsFolder":true,"WindowsFolder":null,"UseDefaultInternetFolder":true,"InternetFolder":null,"UseDefaultSetOfControls":true,"SetOfControls":null,"UseDefaultLevel":true,"LevelToReach":null,"Blocking":false,"UseDefaultLock":true,"LockOnPublication":0,"UseDefaultRuleSet":true,"RuleSet":null,"UseDefaultOpbal":true,"HasOpBal":false,"OpbPhase":null,"OpbUpdatePeriod":null,"OpbScope":null,"OpbVariant":null,"OpbConsCurrency":null},"DefaultRestriction":{},"DefaultOperation":{"UseDefaultPublish":false,"PackPublishingCutOffDate":"2021-02-26T10:02:00Z","AllowEarlyPublishing":true,"UseDefaultAfterPub":false,"AfterPublication":{"Standard":true,"Special":true,"Advanced":true,"Level":2},"UseDefaultAfterTran":false,"AfterTransfer":{"Standard":false,"Special":true,"Advanced":false,"Level":null}},"EntityReportings":[{"Reporting":{"Phase":"A","UpdatePeriod":"2000.12","FrameworkVersion":"C","ReportingStartDate":"2021-02-24T10:02:00Z","ReportingEndDate":"2021-02-27T10:02:00Z","OwnerSite":100,"OwnerWorkgroup":0,"CreationDate":"2021-03-01T16:55:21Z","Author":-524286,"UpdateDate":"2021-03-07T18:52:37Z","UpdateAuthor":-524286,"Descriptions":[{"CultureName":"fr-FR","Texts":{"SDesc":"","LDesc":"Test"}},{"CultureName":"en-US","Texts":{"SDesc":"","LDesc":"Actual - 2000.12"}}],"ID":52428888,"LDesc":null,"Name":"A - 2000.12"},"Entity":"S001","InputCurrency":"EUR","InputSite":"0000.TOP","PublicationSite":"0000.TOP","PackPackage":{"UseDefaultWindowsFolder":true,"WindowsFolder":null,"UseDefaultInternetFolder":true,"InternetFolder":null,"UseDefaultSetOfControls":true,"SetOfControls":null,"UseDefaultLevel":true,"LevelToReach":null,"Blocking":false,"UseDefaultLock":true,"LockOnPublication":0,"UseDefaultRuleSet":true,"RuleSet":null,"UseDefaultOpbal":true,"HasOpBal":false,"OpbPhase":null,"OpbUpdatePeriod":null,"OpbScope":null,"OpbVariant":null,"OpbConsCurrency":null},"PackRestriction":{},"PackOperation":{"UseDefaultPublish":true,"PackPublishingCutOffDate":"0001-01-01T00:00:00Z","AllowEarlyPublishing":false,"UseDefaultAfterPub":true,"AfterPublication":{"Standard":false,"Special":false,"Advanced":false,"Level":null},"UseDefaultAfterTran":true,"AfterTransfer":{"Standard":false,"Special":false,"Advanced":false,"Level":null}},"ID":-2147483618,"LDesc":null,"Name":"{A - 2000.12 - S001}"}],"Phase":"A","UpdatePeriod":"2000.12","FrameworkVersion":"C","ReportingStartDate":"2021-02-24T10:02:00Z","ReportingEndDate":"2021-02-27T10:02:00Z","OwnerSite":100,"OwnerWorkgroup":0,"CreationDate":"2021-03-01T16:55:21Z","Author":-524286,"UpdateDate":"2021-03-07T18:52:37Z","UpdateAuthor":-524286,"Descriptions":[{"CultureName":"fr-FR","Texts":{"SDesc":"","LDesc":"Test"}},{"CultureName":"en-US","Texts":{"SDesc":"","LDesc":"Actual - 2000.12"}}],"ID":52428888,"LDesc":"Test","Name":"A - 2000.12"},"Messages":{"Messages":[],"UsedHints":{}}}</t>
  </si>
  <si>
    <t>2/24/2021  11:02:00 AM</t>
  </si>
  <si>
    <t>2/27/2021  11:02:00 AM</t>
  </si>
  <si>
    <t>2/26/2021  11:02:00 AM</t>
  </si>
  <si>
    <t>S001</t>
  </si>
  <si>
    <t>EUR</t>
  </si>
  <si>
    <t>0000.TOP</t>
  </si>
  <si>
    <t>1/1/2001  1:00:00 AM</t>
  </si>
  <si>
    <t>{"Data":{"Framework":{"Phase":"A","Version":"C","Status":5,"ControlSets":{"P-A":{"ID":8,"LDesc":null,"Name":"P-A"},"P-E":{"ID":10,"LDesc":null,"Name":"P-E"}},"ControlLevels":{"1":{"Descriptions":[{"CultureName":"fr-FR","Texts":{"LDesc":"Analyse en solde"}},{"CultureName":"en-US","Texts":{"LDesc":"Balance analysis"}}],"ID":1,"LDesc":null,"Rank":1,"Name":"LEV1"},"2":{"Descriptions":[{"CultureName":"fr-FR","Texts":{"LDesc":"Analyse en flux"}},{"CultureName":"en-US","Texts":{"LDesc":"Flow analysis"}}],"ID":4,"LDesc":null,"Rank":2,"Name":"LEV2"}},"ID":1,"LDesc":null,"Name":"A - C"},"DefaultPackage":{"UseDefaultWindowsFolder":true,"WindowsFolder":null,"UseDefaultInternetFolder":true,"InternetFolder":null,"UseDefaultSetOfControls":true,"SetOfControls":null,"UseDefaultLevel":true,"LevelToReach":null,"Blocking":false,"UseDefaultLock":true,"LockOnPublication":0,"UseDefaultRuleSet":true,"RuleSet":null,"UseDefaultOpbal":true,"HasOpBal":false,"OpbPhase":null,"OpbUpdatePeriod":null,"OpbScope":null,"OpbVariant":null,"OpbConsCurrency":null},"DefaultRestriction":{},"DefaultOperation":{"UseDefaultPublish":false,"PackPublishingCutOffDate":"2021-02-26T10:02:00Z","AllowEarlyPublishing":true,"UseDefaultAfterPub":false,"AfterPublication":{"Standard":true,"Special":true,"Advanced":true,"Level":2},"UseDefaultAfterTran":false,"AfterTransfer":{"Standard":false,"Special":true,"Advanced":false,"Level":null}},"EntityReportings":[{"Reporting":{"Phase":"A","UpdatePeriod":"2000.12","FrameworkVersion":"C","ReportingStartDate":"2021-02-24T10:02:00Z","ReportingEndDate":"2021-02-27T10:02:00Z","OwnerSite":100,"OwnerWorkgroup":0,"CreationDate":"2021-03-01T16:55:21Z","Author":-524286,"UpdateDate":"2021-03-07T18:52:37Z","UpdateAuthor":-524286,"Descriptions":[{"CultureName":"fr-FR","Texts":{"SDesc":"","LDesc":"Test"}},{"CultureName":"en-US","Texts":{"SDesc":"","LDesc":"Actual - 2000.12"}}],"ID":52428888,"LDesc":null,"Name":"A - 2000.12"},"Entity":"S001","InputCurrency":"EUR","InputSite":"0000.TOP","PublicationSite":"0000.TOP","PackPackage":{"UseDefaultWindowsFolder":true,"WindowsFolder":null,"UseDefaultInternetFolder":true,"InternetFolder":null,"UseDefaultSetOfControls":true,"SetOfControls":null,"UseDefaultLevel":true,"LevelToReach":null,"Blocking":false,"UseDefaultLock":true,"LockOnPublication":0,"UseDefaultRuleSet":true,"RuleSet":null,"UseDefaultOpbal":true,"HasOpBal":false,"OpbPhase":null,"OpbUpdatePeriod":null,"OpbScope":null,"OpbVariant":null,"OpbConsCurrency":null},"PackRestriction":{},"PackOperation":{"UseDefaultPublish":true,"PackPublishingCutOffDate":"0001-01-01T00:00:00Z","AllowEarlyPublishing":false,"UseDefaultAfterPub":true,"AfterPublication":{"Standard":false,"Special":false,"Advanced":false,"Level":null},"UseDefaultAfterTran":true,"AfterTransfer":{"Standard":false,"Special":false,"Advanced":false,"Level":null}},"ID":-2147483618,"LDesc":null,"Name":"{A - 2000.12 - S001}"}],"Phase":"A","UpdatePeriod":"2000.12","FrameworkVersion":"C","ReportingStartDate":"2021-02-24T10:02:00Z","ReportingEndDate":"2021-02-27T10:02:00Z","OwnerSite":100,"OwnerWorkgroup":0,"CreationDate":"2021-03-01T16:55:21Z","Author":-524286,"UpdateDate":"2021-03-07T18:52:37Z","UpdateAuthor":-524286,"Descriptions":[{"CultureName":"fr-FR","Texts":{"SDesc":"","LDesc":"Test"}},{"CultureName":"en-US","Texts":{"SDesc":"","LDesc":"Actual - 2000.12"}}],"ID":52428888,"LDesc":null,"Name":"A - 2000.12"},"Messages":{"Messages":[],"UsedHints":{}}}</t>
  </si>
  <si>
    <t>/api/reporting/New5</t>
  </si>
  <si>
    <t>tReportingNew5</t>
  </si>
  <si>
    <t>{"Data":{"Framework":{"Phase":"A","Version":"C","Status":5,"ControlSets":{"P-A":{"ID":8,"LDesc":null,"Name":"P-A"},"P-E":{"ID":10,"LDesc":null,"Name":"P-E"}},"ControlLevels":{"1":{"Descriptions":[{"CultureName":"fr-FR","Texts":{"LDesc":"Analyse en solde"}},{"CultureName":"en-US","Texts":{"LDesc":"Balance analysis"}}],"ID":1,"LDesc":null,"Rank":1,"Name":"LEV1"},"2":{"Descriptions":[{"CultureName":"fr-FR","Texts":{"LDesc":"Analyse en flux"}},{"CultureName":"en-US","Texts":{"LDesc":"Flow analysis"}}],"ID":4,"LDesc":null,"Rank":2,"Name":"LEV2"}},"ID":1,"LDesc":null,"Name":"A - C"},"DefaultPackage":{"UseDefaultWindowsFolder":true,"WindowsFolder":null,"UseDefaultInternetFolder":true,"InternetFolder":null,"UseDefaultSetOfControls":true,"SetOfControls":null,"UseDefaultLevel":true,"LevelToReach":null,"Blocking":false,"UseDefaultLock":true,"LockOnPublication":0,"UseDefaultRuleSet":true,"RuleSet":null,"UseDefaultOpbal":true,"HasOpBal":false,"OpbPhase":null,"OpbUpdatePeriod":null,"OpbScope":null,"OpbVariant":null,"OpbConsCurrency":null},"DefaultRestriction":{},"DefaultOperation":{"UseDefaultPublish":false,"PackPublishingCutOffDate":"2021-03-12T23:00:00.000Z","AllowEarlyPublishing":true,"UseDefaultAfterPub":false,"AfterPublication":{"Standard":true,"Special":true,"Advanced":true,"Level":2},"UseDefaultAfterTran":false,"AfterTransfer":{"Standard":false,"Special":true,"Advanced":false,"Level":null}},"EntityReportings":[{"Reporting":{"Phase":"A","UpdatePeriod":"2000.12","FrameworkVersion":"C","ReportingStartDate":"2021-02-24T10:02:00Z","ReportingEndDate":"2021-02-27T10:02:00Z","OwnerSite":100,"OwnerWorkgroup":0,"CreationDate":"2021-03-01T16:55:21Z","Author":-524286,"UpdateDate":"2021-03-07T18:52:37Z","UpdateAuthor":-524286,"Descriptions":[{"CultureName":"fr-FR","Texts":{"SDesc":"","LDesc":"Test"}},{"CultureName":"en-US","Texts":{"SDesc":"","LDesc":"Actual - 2000.12"}}],"ID":52428888,"LDesc":null,"Name":"A - 2000.12"},"Entity":"S001","InputCurrency":"EUR","InputSite":"0000.TOP","PublicationSite":"0000.TOP","PackPackage":{"UseDefaultWindowsFolder":true,"WindowsFolder":null,"UseDefaultInternetFolder":true,"InternetFolder":null,"UseDefaultSetOfControls":true,"SetOfControls":null,"UseDefaultLevel":true,"LevelToReach":null,"Blocking":false,"UseDefaultLock":true,"LockOnPublication":0,"UseDefaultRuleSet":true,"RuleSet":null,"UseDefaultOpbal":true,"HasOpBal":false,"OpbPhase":null,"OpbUpdatePeriod":null,"OpbScope":null,"OpbVariant":null,"OpbConsCurrency":null},"PackRestriction":{},"PackOperation":{"UseDefaultPublish":true,"PackPublishingCutOffDate":"2021-03-12T23:00:00.000Z","AllowEarlyPublishing":false,"UseDefaultAfterPub":true,"AfterPublication":{"Standard":false,"Special":false,"Advanced":false,"Level":null},"UseDefaultAfterTran":true,"AfterTransfer":{"Standard":false,"Special":false,"Advanced":false,"Level":null}},"ID":-2147483618,"LDesc":null,"Name":"{A - 2000.12 - S001}"}],"Phase":"A","UpdatePeriod":"2000.11","FrameworkVersion":"V1","ReportingStartDate":"2021-03-08T23:00:00.000Z","ReportingEndDate":"2021-03-19T23:00:00.000Z","OwnerSite":100,"OwnerWorkgroup":0,"CreationDate":"2021-03-01T16:55:21Z","Author":-524286,"UpdateDate":"2021-03-07T18:52:37Z","UpdateAuthor":-524286,"Descriptions":[{"CultureName":"fr-FR","Texts":{"SDesc":"","LDesc":"Test"}},{"CultureName":"en-US","Texts":{"SDesc":"","LDesc":"Actual - 2000.12"}}],"ID":52428888,"LDesc":null,"Name":"A - 2000.12"},"Messages":{"Messages":[],"UsedHints":{}}}</t>
  </si>
  <si>
    <t>2000.11</t>
  </si>
  <si>
    <t>V1</t>
  </si>
  <si>
    <t>3/9/2021</t>
  </si>
  <si>
    <t>3/20/2021</t>
  </si>
  <si>
    <t>3/13/2021</t>
  </si>
  <si>
    <t>S002</t>
  </si>
  <si>
    <t>Post#tReportingNew5</t>
  </si>
  <si>
    <t>{"Table":[{"aj":"A","ak":"2000.11","al":"V1","am":"2021-09-02T22:00:00.000Z","an":"2021-03-19T23:00:00.000Z","b":true,"c":"","d":true,"e":"","f":true,"g":"","h":true,"i":0,"j":false,"k":true,"l":0,"m":true,"n":"","o":true,"p":false,"q":"","r":"","s":"","t":"","u":"","w":"2021-03-12T23:00:00.000Z","x":true,"z":true,"aa":true,"ab":true,"ac":2,"ae":false,"af":true,"ag":false,"ah":0,"ca":"S002","cb":"EUR","cc":"0000.TOP","cd":"0000.TOP","ce":true,"cf":"","cg":true,"ch":"","ci":true,"cj":"","ck":true,"cl":0,"cm":false,"cn":true,"co":0,"cp":true,"cq":"","cr":true,"cs":false,"ct":"","cu":"","cv":"","cw":"","cx":"","cy":true,"cz":"2021-03-12T23:00:00.000Z","da":false,"db":true,"dc":false,"dd":false,"de":false,"df":0,"dg":true,"dh":false,"di":false,"dj":false,"dk":0},{"aj":"A","ak":"2000.11","al":"V1","am":"2021-09-02T22:00:00.000Z","an":"2021-03-19T23:00:00.000Z","b":true,"c":"","d":true,"e":"","f":true,"g":"","h":true,"i":0,"j":false,"k":true,"l":0,"m":true,"n":"","o":true,"p":false,"q":"","r":"","s":"","t":"","u":"","w":"2021-03-12T23:00:00.000Z","x":true,"z":true,"aa":true,"ab":true,"ac":2,"ae":false,"af":true,"ag":false,"ah":0,"ca":"S002","cb":"EUR","cc":"0000.TOP","cd":"0000.TOP","ce":true,"cf":"","cg":true,"ch":"","ci":true,"cj":"","ck":true,"cl":0,"cm":false,"cn":true,"co":0,"cp":true,"cq":"","cr":true,"cs":false,"ct":"","cu":"","cv":"","cw":"","cx":"","cy":true,"cz":"2021-03-12T23:00:00.000Z","da":false,"db":true,"dc":false,"dd":false,"de":false,"df":0,"dg":true,"dh":false,"di":false,"dj":false,"dk":0}]}</t>
  </si>
  <si>
    <t>PostResponse#tReportingNew5</t>
  </si>
  <si>
    <t>{"Data":[],"Messages":{"Messages":[{"Code":"RF0212","Severity":8,"Description":"Valeur incorrecte 'V1' dans la colonne 'al'","SourceRow":1,"SourceCol":3},{"Code":"RF0212","Severity":8,"Description":"Valeur incorrecte 'V1' dans la colonne 'al'","SourceRow":2,"SourceCol":3}],"UsedHints":{"RF0212":"Corrigez la valeur"}}}</t>
  </si>
  <si>
    <t>Dim_UpdPer</t>
  </si>
  <si>
    <t>Dim_Currency</t>
  </si>
  <si>
    <t>Dim_Entity</t>
  </si>
  <si>
    <t>Editors</t>
  </si>
  <si>
    <t>/api/editors/{ID}</t>
  </si>
  <si>
    <t>PublishedFramework_1</t>
  </si>
  <si>
    <t>PublishedFramework_2</t>
  </si>
  <si>
    <t>Conso_1</t>
  </si>
  <si>
    <t>Conso_2</t>
  </si>
  <si>
    <t>Conso_3</t>
  </si>
  <si>
    <t>Conso_4</t>
  </si>
  <si>
    <t>Conso_5</t>
  </si>
  <si>
    <t>SetOfCtrl_1</t>
  </si>
  <si>
    <t>SetOfCtrl_2</t>
  </si>
  <si>
    <t>MDPicker: ajouter les libellés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</si>
</sst>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m/yyyy\ hh:mm:ss"/>
  </numFmts>
  <fonts count="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8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51">
    <xf numFmtId="0" fontId="0" fillId="0" borderId="0" xfId="0"/>
    <xf numFmtId="0" fontId="0" fillId="2" borderId="0" xfId="0" applyFont="1" applyFill="1" applyAlignment="1">
      <alignment horizontal="center" vertical="center"/>
    </xf>
    <xf numFmtId="49" fontId="0" fillId="0" borderId="0" xfId="0" applyNumberFormat="1"/>
    <xf numFmtId="49" fontId="0" fillId="0" borderId="0" xfId="0" quotePrefix="1" applyNumberFormat="1"/>
    <xf numFmtId="0" fontId="0" fillId="0" borderId="0" xfId="0" applyProtection="1">
      <protection hidden="1"/>
    </xf>
    <xf numFmtId="0" fontId="2" fillId="0" borderId="0" xfId="0" applyFont="1" applyAlignment="1" applyProtection="1">
      <alignment horizontal="right" vertical="center"/>
      <protection hidden="1"/>
    </xf>
    <xf numFmtId="0" fontId="3" fillId="0" borderId="0" xfId="1" applyProtection="1">
      <protection hidden="1"/>
    </xf>
    <xf numFmtId="0" fontId="3" fillId="0" borderId="0" xfId="1" applyAlignment="1" applyProtection="1">
      <alignment horizontal="center"/>
      <protection hidden="1"/>
    </xf>
    <xf numFmtId="0" fontId="5" fillId="0" borderId="0" xfId="0" applyFont="1" applyProtection="1">
      <protection hidden="1"/>
    </xf>
    <xf numFmtId="0" fontId="0" fillId="4" borderId="0" xfId="0" applyFill="1"/>
    <xf numFmtId="0" fontId="3" fillId="0" borderId="0" xfId="1" applyNumberFormat="1"/>
    <xf numFmtId="0" fontId="4" fillId="0" borderId="0" xfId="0" applyNumberFormat="1" applyFont="1" applyAlignment="1" applyProtection="1">
      <alignment horizontal="right"/>
      <protection hidden="1"/>
    </xf>
    <xf numFmtId="0" fontId="3" fillId="0" borderId="0" xfId="1" applyNumberFormat="1" applyAlignment="1" applyProtection="1">
      <alignment horizontal="center"/>
      <protection hidden="1"/>
    </xf>
    <xf numFmtId="0" fontId="3" fillId="0" borderId="0" xfId="1" applyAlignment="1">
      <alignment vertical="center" wrapText="1"/>
    </xf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0" fontId="3" fillId="0" borderId="0" xfId="1" applyNumberFormat="1" applyProtection="1">
      <protection hidden="1"/>
    </xf>
    <xf numFmtId="0" fontId="0" fillId="0" borderId="0" xfId="0" applyAlignment="1">
      <alignment horizontal="center"/>
    </xf>
    <xf numFmtId="16" fontId="0" fillId="0" borderId="0" xfId="0" applyNumberFormat="1" applyAlignment="1">
      <alignment horizontal="center"/>
    </xf>
    <xf numFmtId="0" fontId="0" fillId="0" borderId="0" xfId="0" applyNumberFormat="1" applyProtection="1">
      <protection hidden="1"/>
    </xf>
    <xf numFmtId="0" fontId="6" fillId="3" borderId="2" xfId="0" applyNumberFormat="1" applyFont="1" applyFill="1" applyBorder="1" applyAlignment="1"/>
    <xf numFmtId="0" fontId="6" fillId="3" borderId="1" xfId="0" applyNumberFormat="1" applyFont="1" applyFill="1" applyBorder="1" applyAlignment="1"/>
    <xf numFmtId="0" fontId="6" fillId="3" borderId="3" xfId="0" applyNumberFormat="1" applyFont="1" applyFill="1" applyBorder="1" applyAlignment="1"/>
    <xf numFmtId="49" fontId="0" fillId="0" borderId="0" xfId="0" applyNumberFormat="1" applyAlignment="1"/>
    <xf numFmtId="0" fontId="4" fillId="0" borderId="0" xfId="0" applyNumberFormat="1" applyFont="1" applyAlignment="1">
      <alignment horizontal="right"/>
    </xf>
    <xf numFmtId="16" fontId="0" fillId="0" borderId="0" xfId="0" applyNumberFormat="1"/>
    <xf numFmtId="49" fontId="0" fillId="0" borderId="0" xfId="0" applyNumberFormat="1" applyAlignment="1">
      <alignment vertical="center"/>
    </xf>
    <xf numFmtId="0" fontId="7" fillId="0" borderId="4" xfId="0" applyFont="1" applyBorder="1"/>
    <xf numFmtId="0" fontId="0" fillId="0" borderId="5" xfId="0" applyBorder="1"/>
    <xf numFmtId="0" fontId="0" fillId="0" borderId="6" xfId="0" applyBorder="1"/>
    <xf numFmtId="164" fontId="0" fillId="0" borderId="0" xfId="0" applyNumberFormat="1"/>
    <xf numFmtId="0" fontId="0" fillId="4" borderId="0" xfId="0" applyNumberFormat="1" applyFill="1"/>
    <xf numFmtId="0" fontId="0" fillId="0" borderId="1" xfId="0" applyFont="1" applyFill="1" applyBorder="1" applyAlignment="1">
      <alignment vertical="center"/>
    </xf>
    <xf numFmtId="0" fontId="0" fillId="0" borderId="0" xfId="0" applyFill="1"/>
    <xf numFmtId="0" fontId="0" fillId="0" borderId="0" xfId="0" applyFill="1" applyAlignment="1">
      <alignment vertical="center"/>
    </xf>
    <xf numFmtId="49" fontId="0" fillId="0" borderId="1" xfId="0" applyNumberFormat="1" applyFont="1" applyFill="1" applyBorder="1" applyAlignment="1">
      <alignment vertical="center"/>
    </xf>
    <xf numFmtId="49" fontId="0" fillId="0" borderId="0" xfId="0" applyNumberFormat="1" applyFill="1"/>
    <xf numFmtId="49" fontId="0" fillId="4" borderId="0" xfId="0" applyNumberFormat="1" applyFill="1"/>
    <xf numFmtId="49" fontId="0" fillId="0" borderId="0" xfId="0" applyNumberFormat="1" applyAlignment="1">
      <alignment wrapText="1"/>
    </xf>
    <xf numFmtId="0" fontId="0" fillId="0" borderId="0" xfId="0" applyAlignment="1">
      <alignment wrapText="1"/>
    </xf>
    <xf numFmtId="0" fontId="0" fillId="0" borderId="0" xfId="0" applyFill="1" applyAlignment="1">
      <alignment vertical="center" wrapText="1"/>
    </xf>
    <xf numFmtId="0" fontId="4" fillId="0" borderId="0" xfId="0" applyNumberFormat="1" applyFont="1" applyAlignment="1">
      <alignment horizontal="left"/>
    </xf>
    <xf numFmtId="0" fontId="0" fillId="0" borderId="0" xfId="0" applyFont="1" applyFill="1" applyBorder="1" applyAlignment="1">
      <alignment vertical="center"/>
    </xf>
    <xf numFmtId="49" fontId="0" fillId="0" borderId="0" xfId="0" applyNumberFormat="1" applyAlignment="1" applyProtection="1"/>
    <xf numFmtId="0" fontId="3" fillId="0" borderId="0" xfId="1" applyNumberFormat="1" applyAlignment="1">
      <alignment horizontal="center"/>
    </xf>
    <xf numFmtId="49" fontId="0" fillId="0" borderId="0" xfId="0" applyNumberFormat="1" applyAlignment="1">
      <alignment horizontal="center"/>
    </xf>
    <xf numFmtId="0" fontId="6" fillId="3" borderId="2" xfId="0" applyNumberFormat="1" applyFont="1" applyFill="1" applyBorder="1" applyAlignment="1">
      <alignment horizontal="center"/>
    </xf>
    <xf numFmtId="0" fontId="6" fillId="3" borderId="1" xfId="0" applyNumberFormat="1" applyFont="1" applyFill="1" applyBorder="1" applyAlignment="1">
      <alignment horizontal="center"/>
    </xf>
    <xf numFmtId="0" fontId="6" fillId="3" borderId="3" xfId="0" applyNumberFormat="1" applyFont="1" applyFill="1" applyBorder="1" applyAlignment="1">
      <alignment horizontal="center"/>
    </xf>
    <xf numFmtId="49" fontId="0" fillId="0" borderId="0" xfId="0" applyNumberFormat="1" applyAlignment="1" applyProtection="1">
      <alignment horizontal="center"/>
      <protection locked="0"/>
    </xf>
    <xf numFmtId="0" fontId="0" fillId="0" borderId="0" xfId="0" applyAlignment="1">
      <alignment horizontal="right"/>
    </xf>
  </cellXfs>
  <cellStyles count="2">
    <cellStyle name="Lien hypertexte" xfId="1" builtinId="8"/>
    <cellStyle name="Normal" xfId="0" builtinId="0"/>
  </cellStyles>
  <dxfs count="222">
    <dxf>
      <protection locked="1" hidden="0"/>
    </dxf>
    <dxf>
      <numFmt numFmtId="30" formatCode="@"/>
      <alignment horizontal="general" vertical="bottom" textRotation="0" wrapText="0" indent="0" justifyLastLine="0" shrinkToFit="0" readingOrder="0"/>
      <protection locked="1" hidden="0"/>
    </dxf>
    <dxf>
      <numFmt numFmtId="30" formatCode="@"/>
      <alignment horizontal="general" vertical="bottom" textRotation="0" wrapText="0" indent="0" justifyLastLine="0" shrinkToFit="0" readingOrder="0"/>
      <protection locked="1" hidden="0"/>
    </dxf>
    <dxf>
      <numFmt numFmtId="30" formatCode="@"/>
      <alignment horizontal="general" vertical="bottom" textRotation="0" wrapText="0" indent="0" justifyLastLine="0" shrinkToFit="0" readingOrder="0"/>
      <protection locked="1" hidden="0"/>
    </dxf>
    <dxf>
      <numFmt numFmtId="30" formatCode="@"/>
      <alignment horizontal="general" vertical="bottom" textRotation="0" wrapText="0" indent="0" justifyLastLine="0" shrinkToFit="0" readingOrder="0"/>
      <protection locked="1" hidden="0"/>
    </dxf>
    <dxf>
      <numFmt numFmtId="30" formatCode="@"/>
      <alignment horizontal="general" vertical="bottom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fill>
        <patternFill patternType="none">
          <fgColor indexed="64"/>
          <bgColor indexed="65"/>
        </patternFill>
      </fill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13</xdr:col>
      <xdr:colOff>209550</xdr:colOff>
      <xdr:row>6</xdr:row>
      <xdr:rowOff>0</xdr:rowOff>
    </xdr:to>
    <xdr:sp macro="" textlink="$B$4">
      <xdr:nvSpPr>
        <xdr:cNvPr id="2" name="Title">
          <a:extLst>
            <a:ext uri="{FF2B5EF4-FFF2-40B4-BE49-F238E27FC236}">
              <a16:creationId xmlns:a16="http://schemas.microsoft.com/office/drawing/2014/main" id="{B7286C0D-64E2-4158-A33E-5D311951C2DD}"/>
            </a:ext>
          </a:extLst>
        </xdr:cNvPr>
        <xdr:cNvSpPr/>
      </xdr:nvSpPr>
      <xdr:spPr>
        <a:xfrm>
          <a:off x="190500" y="190500"/>
          <a:ext cx="10868025" cy="952500"/>
        </a:xfrm>
        <a:prstGeom prst="roundRect">
          <a:avLst/>
        </a:prstGeom>
        <a:gradFill flip="none" rotWithShape="1">
          <a:gsLst>
            <a:gs pos="0">
              <a:schemeClr val="accent1">
                <a:lumMod val="40000"/>
                <a:lumOff val="60000"/>
              </a:schemeClr>
            </a:gs>
            <a:gs pos="46000">
              <a:schemeClr val="accent1">
                <a:lumMod val="95000"/>
                <a:lumOff val="5000"/>
              </a:schemeClr>
            </a:gs>
            <a:gs pos="100000">
              <a:schemeClr val="accent1">
                <a:lumMod val="60000"/>
              </a:schemeClr>
            </a:gs>
          </a:gsLst>
          <a:path path="circle">
            <a:fillToRect l="50000" t="130000" r="50000" b="-30000"/>
          </a:path>
          <a:tileRect/>
        </a:gra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24000" rtlCol="0" anchor="ctr" anchorCtr="0"/>
        <a:lstStyle/>
        <a:p>
          <a:pPr algn="ctr"/>
          <a:fld id="{6F9713BA-2E8C-44E3-9CBC-99BF17D05BBB}" type="TxLink">
            <a:rPr lang="en-US" sz="4000" b="0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CTS Reporting Factory</a:t>
          </a:fld>
          <a:endParaRPr lang="en-US" sz="595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11</xdr:col>
      <xdr:colOff>1028699</xdr:colOff>
      <xdr:row>6</xdr:row>
      <xdr:rowOff>147638</xdr:rowOff>
    </xdr:from>
    <xdr:to>
      <xdr:col>13</xdr:col>
      <xdr:colOff>285749</xdr:colOff>
      <xdr:row>8</xdr:row>
      <xdr:rowOff>71437</xdr:rowOff>
    </xdr:to>
    <xdr:sp macro="" textlink="$I$4">
      <xdr:nvSpPr>
        <xdr:cNvPr id="9" name="Version">
          <a:extLst>
            <a:ext uri="{FF2B5EF4-FFF2-40B4-BE49-F238E27FC236}">
              <a16:creationId xmlns:a16="http://schemas.microsoft.com/office/drawing/2014/main" id="{79FCB3C3-08A0-4030-B95F-998508432596}"/>
            </a:ext>
          </a:extLst>
        </xdr:cNvPr>
        <xdr:cNvSpPr/>
      </xdr:nvSpPr>
      <xdr:spPr>
        <a:xfrm>
          <a:off x="7677149" y="1290638"/>
          <a:ext cx="2209800" cy="304799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fld id="{9E88C766-52B5-4516-A1A9-5E9DB4CEA806}" type="TxLink">
            <a:rPr lang="en-US" sz="8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Version 0.93 - 03/08/21</a:t>
          </a:fld>
          <a:endParaRPr lang="en-US" sz="1100"/>
        </a:p>
      </xdr:txBody>
    </xdr:sp>
    <xdr:clientData/>
  </xdr:twoCellAnchor>
  <xdr:twoCellAnchor editAs="absolute">
    <xdr:from>
      <xdr:col>11</xdr:col>
      <xdr:colOff>1409699</xdr:colOff>
      <xdr:row>6</xdr:row>
      <xdr:rowOff>156037</xdr:rowOff>
    </xdr:from>
    <xdr:to>
      <xdr:col>11</xdr:col>
      <xdr:colOff>1697699</xdr:colOff>
      <xdr:row>8</xdr:row>
      <xdr:rowOff>63037</xdr:rowOff>
    </xdr:to>
    <xdr:pic macro="[0]!I18N_LanguageClick">
      <xdr:nvPicPr>
        <xdr:cNvPr id="3" name="fr_FR">
          <a:extLst>
            <a:ext uri="{FF2B5EF4-FFF2-40B4-BE49-F238E27FC236}">
              <a16:creationId xmlns:a16="http://schemas.microsoft.com/office/drawing/2014/main" id="{BDB11BA6-8C86-484B-A39B-BAFAE36D75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58149" y="1299037"/>
          <a:ext cx="288000" cy="288000"/>
        </a:xfrm>
        <a:prstGeom prst="rect">
          <a:avLst/>
        </a:prstGeom>
      </xdr:spPr>
    </xdr:pic>
    <xdr:clientData/>
  </xdr:twoCellAnchor>
  <xdr:twoCellAnchor editAs="absolute">
    <xdr:from>
      <xdr:col>11</xdr:col>
      <xdr:colOff>1066799</xdr:colOff>
      <xdr:row>6</xdr:row>
      <xdr:rowOff>156037</xdr:rowOff>
    </xdr:from>
    <xdr:to>
      <xdr:col>11</xdr:col>
      <xdr:colOff>1354799</xdr:colOff>
      <xdr:row>8</xdr:row>
      <xdr:rowOff>63037</xdr:rowOff>
    </xdr:to>
    <xdr:pic macro="[0]!I18N_LanguageClick">
      <xdr:nvPicPr>
        <xdr:cNvPr id="4" name="en_US">
          <a:extLst>
            <a:ext uri="{FF2B5EF4-FFF2-40B4-BE49-F238E27FC236}">
              <a16:creationId xmlns:a16="http://schemas.microsoft.com/office/drawing/2014/main" id="{32A3F01F-F006-45C8-9E6B-71D98BE9AC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15249" y="1299037"/>
          <a:ext cx="288000" cy="288000"/>
        </a:xfrm>
        <a:prstGeom prst="rect">
          <a:avLst/>
        </a:prstGeom>
      </xdr:spPr>
    </xdr:pic>
    <xdr:clientData/>
  </xdr:twoCellAnchor>
  <xdr:twoCellAnchor>
    <xdr:from>
      <xdr:col>2</xdr:col>
      <xdr:colOff>0</xdr:colOff>
      <xdr:row>11</xdr:row>
      <xdr:rowOff>0</xdr:rowOff>
    </xdr:from>
    <xdr:to>
      <xdr:col>3</xdr:col>
      <xdr:colOff>0</xdr:colOff>
      <xdr:row>13</xdr:row>
      <xdr:rowOff>0</xdr:rowOff>
    </xdr:to>
    <xdr:sp macro="JSON_TableHeaderClick" textlink="$C$12">
      <xdr:nvSpPr>
        <xdr:cNvPr id="5" name="tReportings_1">
          <a:extLst>
            <a:ext uri="{FF2B5EF4-FFF2-40B4-BE49-F238E27FC236}">
              <a16:creationId xmlns:a16="http://schemas.microsoft.com/office/drawing/2014/main" id="{8F1123E2-17F4-4BFC-A136-8B63010E0839}"/>
            </a:ext>
          </a:extLst>
        </xdr:cNvPr>
        <xdr:cNvSpPr/>
      </xdr:nvSpPr>
      <xdr:spPr>
        <a:xfrm>
          <a:off x="714375" y="2095500"/>
          <a:ext cx="981075" cy="1905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C2ED6037-5FE9-409B-8DD5-3AF2F5E67F6B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ID</a:t>
          </a:fld>
          <a:endParaRPr lang="en-US" sz="1100"/>
        </a:p>
      </xdr:txBody>
    </xdr:sp>
    <xdr:clientData/>
  </xdr:twoCellAnchor>
  <xdr:twoCellAnchor>
    <xdr:from>
      <xdr:col>3</xdr:col>
      <xdr:colOff>0</xdr:colOff>
      <xdr:row>11</xdr:row>
      <xdr:rowOff>0</xdr:rowOff>
    </xdr:from>
    <xdr:to>
      <xdr:col>4</xdr:col>
      <xdr:colOff>0</xdr:colOff>
      <xdr:row>13</xdr:row>
      <xdr:rowOff>0</xdr:rowOff>
    </xdr:to>
    <xdr:sp macro="JSON_TableHeaderClick" textlink="$D$12">
      <xdr:nvSpPr>
        <xdr:cNvPr id="6" name="tReportings_2">
          <a:extLst>
            <a:ext uri="{FF2B5EF4-FFF2-40B4-BE49-F238E27FC236}">
              <a16:creationId xmlns:a16="http://schemas.microsoft.com/office/drawing/2014/main" id="{EB059861-C4C3-4B74-B93D-34423F7787D1}"/>
            </a:ext>
          </a:extLst>
        </xdr:cNvPr>
        <xdr:cNvSpPr/>
      </xdr:nvSpPr>
      <xdr:spPr>
        <a:xfrm>
          <a:off x="1695450" y="2095500"/>
          <a:ext cx="981075" cy="1905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8750D44F-47A7-4F7F-A223-9FEE65C301FD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Category</a:t>
          </a:fld>
          <a:endParaRPr lang="en-US" sz="1100"/>
        </a:p>
      </xdr:txBody>
    </xdr:sp>
    <xdr:clientData/>
  </xdr:twoCellAnchor>
  <xdr:twoCellAnchor>
    <xdr:from>
      <xdr:col>4</xdr:col>
      <xdr:colOff>0</xdr:colOff>
      <xdr:row>11</xdr:row>
      <xdr:rowOff>0</xdr:rowOff>
    </xdr:from>
    <xdr:to>
      <xdr:col>5</xdr:col>
      <xdr:colOff>0</xdr:colOff>
      <xdr:row>13</xdr:row>
      <xdr:rowOff>0</xdr:rowOff>
    </xdr:to>
    <xdr:sp macro="JSON_TableHeaderClick" textlink="$E$12">
      <xdr:nvSpPr>
        <xdr:cNvPr id="7" name="tReportings_3">
          <a:extLst>
            <a:ext uri="{FF2B5EF4-FFF2-40B4-BE49-F238E27FC236}">
              <a16:creationId xmlns:a16="http://schemas.microsoft.com/office/drawing/2014/main" id="{56D0F8EC-9E70-4833-B8AA-4050D58C1545}"/>
            </a:ext>
          </a:extLst>
        </xdr:cNvPr>
        <xdr:cNvSpPr/>
      </xdr:nvSpPr>
      <xdr:spPr>
        <a:xfrm>
          <a:off x="2676525" y="2095500"/>
          <a:ext cx="981075" cy="1905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5BD97738-5578-4DB1-8FB0-933844A463DD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Update Period</a:t>
          </a:fld>
          <a:endParaRPr lang="en-US" sz="1100"/>
        </a:p>
      </xdr:txBody>
    </xdr:sp>
    <xdr:clientData/>
  </xdr:twoCellAnchor>
  <xdr:twoCellAnchor>
    <xdr:from>
      <xdr:col>5</xdr:col>
      <xdr:colOff>0</xdr:colOff>
      <xdr:row>11</xdr:row>
      <xdr:rowOff>0</xdr:rowOff>
    </xdr:from>
    <xdr:to>
      <xdr:col>6</xdr:col>
      <xdr:colOff>0</xdr:colOff>
      <xdr:row>13</xdr:row>
      <xdr:rowOff>0</xdr:rowOff>
    </xdr:to>
    <xdr:sp macro="JSON_TableHeaderClick" textlink="$F$12">
      <xdr:nvSpPr>
        <xdr:cNvPr id="13" name="tReportings_4">
          <a:extLst>
            <a:ext uri="{FF2B5EF4-FFF2-40B4-BE49-F238E27FC236}">
              <a16:creationId xmlns:a16="http://schemas.microsoft.com/office/drawing/2014/main" id="{98C85660-3720-4B10-B5BB-389854D028CD}"/>
            </a:ext>
          </a:extLst>
        </xdr:cNvPr>
        <xdr:cNvSpPr/>
      </xdr:nvSpPr>
      <xdr:spPr>
        <a:xfrm>
          <a:off x="3657600" y="2095500"/>
          <a:ext cx="1914525" cy="1905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E870AFFC-F00B-4CC8-8DC3-5A24A6F8F68C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Created</a:t>
          </a:fld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</xdr:row>
      <xdr:rowOff>63500</xdr:rowOff>
    </xdr:from>
    <xdr:to>
      <xdr:col>2</xdr:col>
      <xdr:colOff>0</xdr:colOff>
      <xdr:row>5</xdr:row>
      <xdr:rowOff>0</xdr:rowOff>
    </xdr:to>
    <xdr:sp macro="JSON_TableHeaderClick" textlink="$B$4">
      <xdr:nvSpPr>
        <xdr:cNvPr id="2" name="tReportingNew5_1">
          <a:extLst>
            <a:ext uri="{FF2B5EF4-FFF2-40B4-BE49-F238E27FC236}">
              <a16:creationId xmlns:a16="http://schemas.microsoft.com/office/drawing/2014/main" id="{3DDE1852-624D-4A99-A9F4-6EEB98C51950}"/>
            </a:ext>
          </a:extLst>
        </xdr:cNvPr>
        <xdr:cNvSpPr/>
      </xdr:nvSpPr>
      <xdr:spPr>
        <a:xfrm>
          <a:off x="1114425" y="444500"/>
          <a:ext cx="381000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AC48F3FA-C8DF-4326-851C-1D64A67103B2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Reporting</a:t>
          </a:fld>
          <a:endParaRPr lang="fr-FR" sz="1100"/>
        </a:p>
      </xdr:txBody>
    </xdr:sp>
    <xdr:clientData/>
  </xdr:twoCellAnchor>
  <xdr:twoCellAnchor>
    <xdr:from>
      <xdr:col>2</xdr:col>
      <xdr:colOff>0</xdr:colOff>
      <xdr:row>3</xdr:row>
      <xdr:rowOff>0</xdr:rowOff>
    </xdr:from>
    <xdr:to>
      <xdr:col>3</xdr:col>
      <xdr:colOff>0</xdr:colOff>
      <xdr:row>5</xdr:row>
      <xdr:rowOff>0</xdr:rowOff>
    </xdr:to>
    <xdr:sp macro="JSON_TableHeaderClick" textlink="$C$4">
      <xdr:nvSpPr>
        <xdr:cNvPr id="3" name="tReportingNew5_2">
          <a:extLst>
            <a:ext uri="{FF2B5EF4-FFF2-40B4-BE49-F238E27FC236}">
              <a16:creationId xmlns:a16="http://schemas.microsoft.com/office/drawing/2014/main" id="{73B3685A-E819-4599-9A9F-05A1995F93A7}"/>
            </a:ext>
          </a:extLst>
        </xdr:cNvPr>
        <xdr:cNvSpPr/>
      </xdr:nvSpPr>
      <xdr:spPr>
        <a:xfrm>
          <a:off x="149542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EFB63165-DEF0-47C5-9140-B473B80A3675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Category</a:t>
          </a:fld>
          <a:endParaRPr lang="fr-FR" sz="1100"/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5</xdr:row>
      <xdr:rowOff>0</xdr:rowOff>
    </xdr:to>
    <xdr:sp macro="JSON_TableHeaderClick" textlink="$D$4">
      <xdr:nvSpPr>
        <xdr:cNvPr id="4" name="tReportingNew5_3">
          <a:extLst>
            <a:ext uri="{FF2B5EF4-FFF2-40B4-BE49-F238E27FC236}">
              <a16:creationId xmlns:a16="http://schemas.microsoft.com/office/drawing/2014/main" id="{47FC77FC-79C2-4FCC-892C-3DE3BCB8A37A}"/>
            </a:ext>
          </a:extLst>
        </xdr:cNvPr>
        <xdr:cNvSpPr/>
      </xdr:nvSpPr>
      <xdr:spPr>
        <a:xfrm>
          <a:off x="214312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58A30542-80CE-4BF1-A800-7C82C68E86EF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Update Period</a:t>
          </a:fld>
          <a:endParaRPr lang="fr-FR" sz="1100"/>
        </a:p>
      </xdr:txBody>
    </xdr:sp>
    <xdr:clientData/>
  </xdr:twoCellAnchor>
  <xdr:twoCellAnchor>
    <xdr:from>
      <xdr:col>4</xdr:col>
      <xdr:colOff>0</xdr:colOff>
      <xdr:row>3</xdr:row>
      <xdr:rowOff>0</xdr:rowOff>
    </xdr:from>
    <xdr:to>
      <xdr:col>5</xdr:col>
      <xdr:colOff>0</xdr:colOff>
      <xdr:row>5</xdr:row>
      <xdr:rowOff>0</xdr:rowOff>
    </xdr:to>
    <xdr:sp macro="JSON_TableHeaderClick" textlink="$E$4">
      <xdr:nvSpPr>
        <xdr:cNvPr id="5" name="tReportingNew5_4">
          <a:extLst>
            <a:ext uri="{FF2B5EF4-FFF2-40B4-BE49-F238E27FC236}">
              <a16:creationId xmlns:a16="http://schemas.microsoft.com/office/drawing/2014/main" id="{09BAC800-EF64-4D87-89CB-1DE05B59E180}"/>
            </a:ext>
          </a:extLst>
        </xdr:cNvPr>
        <xdr:cNvSpPr/>
      </xdr:nvSpPr>
      <xdr:spPr>
        <a:xfrm>
          <a:off x="279082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5118A472-70F1-4C61-9859-9F4A3B2B6E53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Category version</a:t>
          </a:fld>
          <a:endParaRPr lang="fr-FR" sz="1100"/>
        </a:p>
      </xdr:txBody>
    </xdr:sp>
    <xdr:clientData/>
  </xdr:twoCellAnchor>
  <xdr:twoCellAnchor>
    <xdr:from>
      <xdr:col>5</xdr:col>
      <xdr:colOff>0</xdr:colOff>
      <xdr:row>3</xdr:row>
      <xdr:rowOff>0</xdr:rowOff>
    </xdr:from>
    <xdr:to>
      <xdr:col>6</xdr:col>
      <xdr:colOff>0</xdr:colOff>
      <xdr:row>5</xdr:row>
      <xdr:rowOff>0</xdr:rowOff>
    </xdr:to>
    <xdr:sp macro="JSON_TableHeaderClick" textlink="$F$4">
      <xdr:nvSpPr>
        <xdr:cNvPr id="6" name="tReportingNew5_5">
          <a:extLst>
            <a:ext uri="{FF2B5EF4-FFF2-40B4-BE49-F238E27FC236}">
              <a16:creationId xmlns:a16="http://schemas.microsoft.com/office/drawing/2014/main" id="{FFA59E6C-AD50-4B91-B168-FF9B08BA7F23}"/>
            </a:ext>
          </a:extLst>
        </xdr:cNvPr>
        <xdr:cNvSpPr/>
      </xdr:nvSpPr>
      <xdr:spPr>
        <a:xfrm>
          <a:off x="3438525" y="571500"/>
          <a:ext cx="14478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5B1FD3E4-A2D4-40B5-B380-04D92EAF53AA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Start date</a:t>
          </a:fld>
          <a:endParaRPr lang="fr-FR" sz="1100"/>
        </a:p>
      </xdr:txBody>
    </xdr:sp>
    <xdr:clientData/>
  </xdr:twoCellAnchor>
  <xdr:twoCellAnchor>
    <xdr:from>
      <xdr:col>6</xdr:col>
      <xdr:colOff>0</xdr:colOff>
      <xdr:row>3</xdr:row>
      <xdr:rowOff>0</xdr:rowOff>
    </xdr:from>
    <xdr:to>
      <xdr:col>7</xdr:col>
      <xdr:colOff>0</xdr:colOff>
      <xdr:row>5</xdr:row>
      <xdr:rowOff>0</xdr:rowOff>
    </xdr:to>
    <xdr:sp macro="JSON_TableHeaderClick" textlink="$G$4">
      <xdr:nvSpPr>
        <xdr:cNvPr id="7" name="tReportingNew5_6">
          <a:extLst>
            <a:ext uri="{FF2B5EF4-FFF2-40B4-BE49-F238E27FC236}">
              <a16:creationId xmlns:a16="http://schemas.microsoft.com/office/drawing/2014/main" id="{095D8D03-75CD-4C72-9B27-F2C9268E5C33}"/>
            </a:ext>
          </a:extLst>
        </xdr:cNvPr>
        <xdr:cNvSpPr/>
      </xdr:nvSpPr>
      <xdr:spPr>
        <a:xfrm>
          <a:off x="4886325" y="571500"/>
          <a:ext cx="14478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06E7758B-4BDC-47D5-84DF-1C02F7695150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End date</a:t>
          </a:fld>
          <a:endParaRPr lang="fr-FR" sz="1100"/>
        </a:p>
      </xdr:txBody>
    </xdr:sp>
    <xdr:clientData/>
  </xdr:twoCellAnchor>
  <xdr:twoCellAnchor>
    <xdr:from>
      <xdr:col>7</xdr:col>
      <xdr:colOff>0</xdr:colOff>
      <xdr:row>2</xdr:row>
      <xdr:rowOff>63500</xdr:rowOff>
    </xdr:from>
    <xdr:to>
      <xdr:col>8</xdr:col>
      <xdr:colOff>0</xdr:colOff>
      <xdr:row>5</xdr:row>
      <xdr:rowOff>0</xdr:rowOff>
    </xdr:to>
    <xdr:sp macro="JSON_TableHeaderClick" textlink="$H$4">
      <xdr:nvSpPr>
        <xdr:cNvPr id="8" name="tReportingNew5_7">
          <a:extLst>
            <a:ext uri="{FF2B5EF4-FFF2-40B4-BE49-F238E27FC236}">
              <a16:creationId xmlns:a16="http://schemas.microsoft.com/office/drawing/2014/main" id="{759D69FE-5147-4D52-A401-E8829A424729}"/>
            </a:ext>
          </a:extLst>
        </xdr:cNvPr>
        <xdr:cNvSpPr/>
      </xdr:nvSpPr>
      <xdr:spPr>
        <a:xfrm>
          <a:off x="6334125" y="444500"/>
          <a:ext cx="381000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0EC8062D-C40C-4ED9-A7B8-515A65689710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Descriptions</a:t>
          </a:fld>
          <a:endParaRPr lang="fr-FR" sz="1100"/>
        </a:p>
      </xdr:txBody>
    </xdr:sp>
    <xdr:clientData/>
  </xdr:twoCellAnchor>
  <xdr:twoCellAnchor>
    <xdr:from>
      <xdr:col>8</xdr:col>
      <xdr:colOff>0</xdr:colOff>
      <xdr:row>2</xdr:row>
      <xdr:rowOff>63500</xdr:rowOff>
    </xdr:from>
    <xdr:to>
      <xdr:col>9</xdr:col>
      <xdr:colOff>0</xdr:colOff>
      <xdr:row>5</xdr:row>
      <xdr:rowOff>0</xdr:rowOff>
    </xdr:to>
    <xdr:sp macro="JSON_TableHeaderClick" textlink="$I$4">
      <xdr:nvSpPr>
        <xdr:cNvPr id="9" name="tReportingNew5_8">
          <a:extLst>
            <a:ext uri="{FF2B5EF4-FFF2-40B4-BE49-F238E27FC236}">
              <a16:creationId xmlns:a16="http://schemas.microsoft.com/office/drawing/2014/main" id="{BBAA82A9-E77D-4A15-86CF-7BFD34043526}"/>
            </a:ext>
          </a:extLst>
        </xdr:cNvPr>
        <xdr:cNvSpPr/>
      </xdr:nvSpPr>
      <xdr:spPr>
        <a:xfrm>
          <a:off x="6715125" y="444500"/>
          <a:ext cx="381000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E51F3BC9-3ACD-44CB-B6CA-51062DC0D352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Package</a:t>
          </a:fld>
          <a:endParaRPr lang="fr-FR" sz="1100"/>
        </a:p>
      </xdr:txBody>
    </xdr:sp>
    <xdr:clientData/>
  </xdr:twoCellAnchor>
  <xdr:twoCellAnchor>
    <xdr:from>
      <xdr:col>9</xdr:col>
      <xdr:colOff>0</xdr:colOff>
      <xdr:row>3</xdr:row>
      <xdr:rowOff>0</xdr:rowOff>
    </xdr:from>
    <xdr:to>
      <xdr:col>10</xdr:col>
      <xdr:colOff>0</xdr:colOff>
      <xdr:row>5</xdr:row>
      <xdr:rowOff>0</xdr:rowOff>
    </xdr:to>
    <xdr:sp macro="JSON_TableHeaderClick" textlink="$J$4">
      <xdr:nvSpPr>
        <xdr:cNvPr id="10" name="tReportingNew5_9">
          <a:extLst>
            <a:ext uri="{FF2B5EF4-FFF2-40B4-BE49-F238E27FC236}">
              <a16:creationId xmlns:a16="http://schemas.microsoft.com/office/drawing/2014/main" id="{CFB635D7-69B3-478E-AE02-2FF9A68283C0}"/>
            </a:ext>
          </a:extLst>
        </xdr:cNvPr>
        <xdr:cNvSpPr/>
      </xdr:nvSpPr>
      <xdr:spPr>
        <a:xfrm>
          <a:off x="709612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F8B53C87-1910-4278-AE6D-DC19DDBC35C0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Default Windows Folder?</a:t>
          </a:fld>
          <a:endParaRPr lang="fr-FR" sz="1100"/>
        </a:p>
      </xdr:txBody>
    </xdr:sp>
    <xdr:clientData/>
  </xdr:twoCellAnchor>
  <xdr:twoCellAnchor>
    <xdr:from>
      <xdr:col>10</xdr:col>
      <xdr:colOff>0</xdr:colOff>
      <xdr:row>3</xdr:row>
      <xdr:rowOff>0</xdr:rowOff>
    </xdr:from>
    <xdr:to>
      <xdr:col>11</xdr:col>
      <xdr:colOff>0</xdr:colOff>
      <xdr:row>5</xdr:row>
      <xdr:rowOff>0</xdr:rowOff>
    </xdr:to>
    <xdr:sp macro="JSON_TableHeaderClick" textlink="$K$4">
      <xdr:nvSpPr>
        <xdr:cNvPr id="11" name="tReportingNew5_10">
          <a:extLst>
            <a:ext uri="{FF2B5EF4-FFF2-40B4-BE49-F238E27FC236}">
              <a16:creationId xmlns:a16="http://schemas.microsoft.com/office/drawing/2014/main" id="{5307978E-FDD9-4787-904A-8C7ECB5313FA}"/>
            </a:ext>
          </a:extLst>
        </xdr:cNvPr>
        <xdr:cNvSpPr/>
      </xdr:nvSpPr>
      <xdr:spPr>
        <a:xfrm>
          <a:off x="774382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EF4EE5DB-B43F-47EC-BE86-ED426F42BC29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Windows folder</a:t>
          </a:fld>
          <a:endParaRPr lang="fr-FR" sz="1100"/>
        </a:p>
      </xdr:txBody>
    </xdr:sp>
    <xdr:clientData/>
  </xdr:twoCellAnchor>
  <xdr:twoCellAnchor>
    <xdr:from>
      <xdr:col>11</xdr:col>
      <xdr:colOff>0</xdr:colOff>
      <xdr:row>3</xdr:row>
      <xdr:rowOff>0</xdr:rowOff>
    </xdr:from>
    <xdr:to>
      <xdr:col>12</xdr:col>
      <xdr:colOff>0</xdr:colOff>
      <xdr:row>5</xdr:row>
      <xdr:rowOff>0</xdr:rowOff>
    </xdr:to>
    <xdr:sp macro="JSON_TableHeaderClick" textlink="$L$4">
      <xdr:nvSpPr>
        <xdr:cNvPr id="12" name="tReportingNew5_11">
          <a:extLst>
            <a:ext uri="{FF2B5EF4-FFF2-40B4-BE49-F238E27FC236}">
              <a16:creationId xmlns:a16="http://schemas.microsoft.com/office/drawing/2014/main" id="{66006FC3-1AC3-4EB4-ABCF-84ED3AB24158}"/>
            </a:ext>
          </a:extLst>
        </xdr:cNvPr>
        <xdr:cNvSpPr/>
      </xdr:nvSpPr>
      <xdr:spPr>
        <a:xfrm>
          <a:off x="839152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62BCBF8B-DE20-4897-B23E-829E82EFEB29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Default Internet Folder?</a:t>
          </a:fld>
          <a:endParaRPr lang="fr-FR" sz="1100"/>
        </a:p>
      </xdr:txBody>
    </xdr:sp>
    <xdr:clientData/>
  </xdr:twoCellAnchor>
  <xdr:twoCellAnchor>
    <xdr:from>
      <xdr:col>12</xdr:col>
      <xdr:colOff>0</xdr:colOff>
      <xdr:row>3</xdr:row>
      <xdr:rowOff>0</xdr:rowOff>
    </xdr:from>
    <xdr:to>
      <xdr:col>13</xdr:col>
      <xdr:colOff>0</xdr:colOff>
      <xdr:row>5</xdr:row>
      <xdr:rowOff>0</xdr:rowOff>
    </xdr:to>
    <xdr:sp macro="JSON_TableHeaderClick" textlink="$M$4">
      <xdr:nvSpPr>
        <xdr:cNvPr id="13" name="tReportingNew5_12">
          <a:extLst>
            <a:ext uri="{FF2B5EF4-FFF2-40B4-BE49-F238E27FC236}">
              <a16:creationId xmlns:a16="http://schemas.microsoft.com/office/drawing/2014/main" id="{C90E32B1-218E-4216-9DC8-20BF91C054F3}"/>
            </a:ext>
          </a:extLst>
        </xdr:cNvPr>
        <xdr:cNvSpPr/>
      </xdr:nvSpPr>
      <xdr:spPr>
        <a:xfrm>
          <a:off x="903922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0900AB2B-AD87-4B39-BA52-8B72746C1C9E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Internet folder</a:t>
          </a:fld>
          <a:endParaRPr lang="fr-FR" sz="1100"/>
        </a:p>
      </xdr:txBody>
    </xdr:sp>
    <xdr:clientData/>
  </xdr:twoCellAnchor>
  <xdr:twoCellAnchor>
    <xdr:from>
      <xdr:col>13</xdr:col>
      <xdr:colOff>0</xdr:colOff>
      <xdr:row>3</xdr:row>
      <xdr:rowOff>0</xdr:rowOff>
    </xdr:from>
    <xdr:to>
      <xdr:col>14</xdr:col>
      <xdr:colOff>0</xdr:colOff>
      <xdr:row>5</xdr:row>
      <xdr:rowOff>0</xdr:rowOff>
    </xdr:to>
    <xdr:sp macro="JSON_TableHeaderClick" textlink="$N$4">
      <xdr:nvSpPr>
        <xdr:cNvPr id="14" name="tReportingNew5_13">
          <a:extLst>
            <a:ext uri="{FF2B5EF4-FFF2-40B4-BE49-F238E27FC236}">
              <a16:creationId xmlns:a16="http://schemas.microsoft.com/office/drawing/2014/main" id="{04418E60-6763-4F19-947C-867F3B770304}"/>
            </a:ext>
          </a:extLst>
        </xdr:cNvPr>
        <xdr:cNvSpPr/>
      </xdr:nvSpPr>
      <xdr:spPr>
        <a:xfrm>
          <a:off x="968692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D71F1C5F-FDF5-4D2D-82B0-B8957A983DB5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Control Set: default?</a:t>
          </a:fld>
          <a:endParaRPr lang="fr-FR" sz="1100"/>
        </a:p>
      </xdr:txBody>
    </xdr:sp>
    <xdr:clientData/>
  </xdr:twoCellAnchor>
  <xdr:twoCellAnchor>
    <xdr:from>
      <xdr:col>14</xdr:col>
      <xdr:colOff>0</xdr:colOff>
      <xdr:row>3</xdr:row>
      <xdr:rowOff>0</xdr:rowOff>
    </xdr:from>
    <xdr:to>
      <xdr:col>15</xdr:col>
      <xdr:colOff>0</xdr:colOff>
      <xdr:row>5</xdr:row>
      <xdr:rowOff>0</xdr:rowOff>
    </xdr:to>
    <xdr:sp macro="JSON_TableHeaderClick" textlink="$O$4">
      <xdr:nvSpPr>
        <xdr:cNvPr id="15" name="tReportingNew5_14">
          <a:extLst>
            <a:ext uri="{FF2B5EF4-FFF2-40B4-BE49-F238E27FC236}">
              <a16:creationId xmlns:a16="http://schemas.microsoft.com/office/drawing/2014/main" id="{74ABF494-D3D8-4CF0-AED0-CF623DBFCAB6}"/>
            </a:ext>
          </a:extLst>
        </xdr:cNvPr>
        <xdr:cNvSpPr/>
      </xdr:nvSpPr>
      <xdr:spPr>
        <a:xfrm>
          <a:off x="1033462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B487392C-65B2-4624-85F2-E1131EC41AEB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Control Set</a:t>
          </a:fld>
          <a:endParaRPr lang="fr-FR" sz="1100"/>
        </a:p>
      </xdr:txBody>
    </xdr:sp>
    <xdr:clientData/>
  </xdr:twoCellAnchor>
  <xdr:twoCellAnchor>
    <xdr:from>
      <xdr:col>15</xdr:col>
      <xdr:colOff>0</xdr:colOff>
      <xdr:row>3</xdr:row>
      <xdr:rowOff>0</xdr:rowOff>
    </xdr:from>
    <xdr:to>
      <xdr:col>16</xdr:col>
      <xdr:colOff>0</xdr:colOff>
      <xdr:row>5</xdr:row>
      <xdr:rowOff>0</xdr:rowOff>
    </xdr:to>
    <xdr:sp macro="JSON_TableHeaderClick" textlink="$P$4">
      <xdr:nvSpPr>
        <xdr:cNvPr id="16" name="tReportingNew5_15">
          <a:extLst>
            <a:ext uri="{FF2B5EF4-FFF2-40B4-BE49-F238E27FC236}">
              <a16:creationId xmlns:a16="http://schemas.microsoft.com/office/drawing/2014/main" id="{C7E1C5F0-B8B0-40D4-AB83-0AACFAA53A25}"/>
            </a:ext>
          </a:extLst>
        </xdr:cNvPr>
        <xdr:cNvSpPr/>
      </xdr:nvSpPr>
      <xdr:spPr>
        <a:xfrm>
          <a:off x="1098232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416E54B0-6068-427E-A63C-B9D23016E223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Default Level?</a:t>
          </a:fld>
          <a:endParaRPr lang="fr-FR" sz="1100"/>
        </a:p>
      </xdr:txBody>
    </xdr:sp>
    <xdr:clientData/>
  </xdr:twoCellAnchor>
  <xdr:twoCellAnchor>
    <xdr:from>
      <xdr:col>16</xdr:col>
      <xdr:colOff>0</xdr:colOff>
      <xdr:row>3</xdr:row>
      <xdr:rowOff>0</xdr:rowOff>
    </xdr:from>
    <xdr:to>
      <xdr:col>17</xdr:col>
      <xdr:colOff>0</xdr:colOff>
      <xdr:row>5</xdr:row>
      <xdr:rowOff>0</xdr:rowOff>
    </xdr:to>
    <xdr:sp macro="JSON_TableHeaderClick" textlink="$Q$4">
      <xdr:nvSpPr>
        <xdr:cNvPr id="17" name="tReportingNew5_16">
          <a:extLst>
            <a:ext uri="{FF2B5EF4-FFF2-40B4-BE49-F238E27FC236}">
              <a16:creationId xmlns:a16="http://schemas.microsoft.com/office/drawing/2014/main" id="{DFE30128-8AA5-44AB-B685-E1B0437D85EA}"/>
            </a:ext>
          </a:extLst>
        </xdr:cNvPr>
        <xdr:cNvSpPr/>
      </xdr:nvSpPr>
      <xdr:spPr>
        <a:xfrm>
          <a:off x="1163002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DD8FA290-A65E-40FF-893E-FC099A7AED96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Control Level</a:t>
          </a:fld>
          <a:endParaRPr lang="fr-FR" sz="1100"/>
        </a:p>
      </xdr:txBody>
    </xdr:sp>
    <xdr:clientData/>
  </xdr:twoCellAnchor>
  <xdr:twoCellAnchor>
    <xdr:from>
      <xdr:col>17</xdr:col>
      <xdr:colOff>0</xdr:colOff>
      <xdr:row>3</xdr:row>
      <xdr:rowOff>0</xdr:rowOff>
    </xdr:from>
    <xdr:to>
      <xdr:col>18</xdr:col>
      <xdr:colOff>0</xdr:colOff>
      <xdr:row>5</xdr:row>
      <xdr:rowOff>0</xdr:rowOff>
    </xdr:to>
    <xdr:sp macro="JSON_TableHeaderClick" textlink="$R$4">
      <xdr:nvSpPr>
        <xdr:cNvPr id="18" name="tReportingNew5_17">
          <a:extLst>
            <a:ext uri="{FF2B5EF4-FFF2-40B4-BE49-F238E27FC236}">
              <a16:creationId xmlns:a16="http://schemas.microsoft.com/office/drawing/2014/main" id="{6A572649-2C77-45B6-814A-5876E58F141B}"/>
            </a:ext>
          </a:extLst>
        </xdr:cNvPr>
        <xdr:cNvSpPr/>
      </xdr:nvSpPr>
      <xdr:spPr>
        <a:xfrm>
          <a:off x="1227772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8375B6D1-97B5-4E8A-B297-B7436FA6C055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Blocking?</a:t>
          </a:fld>
          <a:endParaRPr lang="fr-FR" sz="1100"/>
        </a:p>
      </xdr:txBody>
    </xdr:sp>
    <xdr:clientData/>
  </xdr:twoCellAnchor>
  <xdr:twoCellAnchor>
    <xdr:from>
      <xdr:col>18</xdr:col>
      <xdr:colOff>0</xdr:colOff>
      <xdr:row>3</xdr:row>
      <xdr:rowOff>0</xdr:rowOff>
    </xdr:from>
    <xdr:to>
      <xdr:col>19</xdr:col>
      <xdr:colOff>0</xdr:colOff>
      <xdr:row>5</xdr:row>
      <xdr:rowOff>0</xdr:rowOff>
    </xdr:to>
    <xdr:sp macro="JSON_TableHeaderClick" textlink="$S$4">
      <xdr:nvSpPr>
        <xdr:cNvPr id="19" name="tReportingNew5_18">
          <a:extLst>
            <a:ext uri="{FF2B5EF4-FFF2-40B4-BE49-F238E27FC236}">
              <a16:creationId xmlns:a16="http://schemas.microsoft.com/office/drawing/2014/main" id="{C3A49CF7-028F-4D93-889C-4F2BE8F23A42}"/>
            </a:ext>
          </a:extLst>
        </xdr:cNvPr>
        <xdr:cNvSpPr/>
      </xdr:nvSpPr>
      <xdr:spPr>
        <a:xfrm>
          <a:off x="1292542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1FFBE9A1-7231-41D8-9CAB-E78BFD619268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Lock: default?</a:t>
          </a:fld>
          <a:endParaRPr lang="fr-FR" sz="1100"/>
        </a:p>
      </xdr:txBody>
    </xdr:sp>
    <xdr:clientData/>
  </xdr:twoCellAnchor>
  <xdr:twoCellAnchor>
    <xdr:from>
      <xdr:col>19</xdr:col>
      <xdr:colOff>0</xdr:colOff>
      <xdr:row>3</xdr:row>
      <xdr:rowOff>0</xdr:rowOff>
    </xdr:from>
    <xdr:to>
      <xdr:col>20</xdr:col>
      <xdr:colOff>0</xdr:colOff>
      <xdr:row>5</xdr:row>
      <xdr:rowOff>0</xdr:rowOff>
    </xdr:to>
    <xdr:sp macro="JSON_TableHeaderClick" textlink="$T$4">
      <xdr:nvSpPr>
        <xdr:cNvPr id="20" name="tReportingNew5_19">
          <a:extLst>
            <a:ext uri="{FF2B5EF4-FFF2-40B4-BE49-F238E27FC236}">
              <a16:creationId xmlns:a16="http://schemas.microsoft.com/office/drawing/2014/main" id="{98A6DF20-DF51-4296-9B97-D5FCF3BF1C29}"/>
            </a:ext>
          </a:extLst>
        </xdr:cNvPr>
        <xdr:cNvSpPr/>
      </xdr:nvSpPr>
      <xdr:spPr>
        <a:xfrm>
          <a:off x="1357312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AF7196D9-58C5-4575-B746-CA90FBE1E681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Lock on publication</a:t>
          </a:fld>
          <a:endParaRPr lang="fr-FR" sz="1100"/>
        </a:p>
      </xdr:txBody>
    </xdr:sp>
    <xdr:clientData/>
  </xdr:twoCellAnchor>
  <xdr:twoCellAnchor>
    <xdr:from>
      <xdr:col>20</xdr:col>
      <xdr:colOff>0</xdr:colOff>
      <xdr:row>3</xdr:row>
      <xdr:rowOff>0</xdr:rowOff>
    </xdr:from>
    <xdr:to>
      <xdr:col>21</xdr:col>
      <xdr:colOff>0</xdr:colOff>
      <xdr:row>5</xdr:row>
      <xdr:rowOff>0</xdr:rowOff>
    </xdr:to>
    <xdr:sp macro="JSON_TableHeaderClick" textlink="$U$4">
      <xdr:nvSpPr>
        <xdr:cNvPr id="21" name="tReportingNew5_20">
          <a:extLst>
            <a:ext uri="{FF2B5EF4-FFF2-40B4-BE49-F238E27FC236}">
              <a16:creationId xmlns:a16="http://schemas.microsoft.com/office/drawing/2014/main" id="{0344076D-2815-49B4-9DEA-31F1B8A4C248}"/>
            </a:ext>
          </a:extLst>
        </xdr:cNvPr>
        <xdr:cNvSpPr/>
      </xdr:nvSpPr>
      <xdr:spPr>
        <a:xfrm>
          <a:off x="1422082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F5EC7CDD-DAEB-4B48-A04F-CA4478E65597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Rule Set: default?</a:t>
          </a:fld>
          <a:endParaRPr lang="fr-FR" sz="1100"/>
        </a:p>
      </xdr:txBody>
    </xdr:sp>
    <xdr:clientData/>
  </xdr:twoCellAnchor>
  <xdr:twoCellAnchor>
    <xdr:from>
      <xdr:col>21</xdr:col>
      <xdr:colOff>0</xdr:colOff>
      <xdr:row>3</xdr:row>
      <xdr:rowOff>0</xdr:rowOff>
    </xdr:from>
    <xdr:to>
      <xdr:col>22</xdr:col>
      <xdr:colOff>0</xdr:colOff>
      <xdr:row>5</xdr:row>
      <xdr:rowOff>0</xdr:rowOff>
    </xdr:to>
    <xdr:sp macro="JSON_TableHeaderClick" textlink="$V$4">
      <xdr:nvSpPr>
        <xdr:cNvPr id="22" name="tReportingNew5_21">
          <a:extLst>
            <a:ext uri="{FF2B5EF4-FFF2-40B4-BE49-F238E27FC236}">
              <a16:creationId xmlns:a16="http://schemas.microsoft.com/office/drawing/2014/main" id="{26ED3FFA-FA39-4679-8A8B-AE5ABDB06B3C}"/>
            </a:ext>
          </a:extLst>
        </xdr:cNvPr>
        <xdr:cNvSpPr/>
      </xdr:nvSpPr>
      <xdr:spPr>
        <a:xfrm>
          <a:off x="1486852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F617C015-04AC-4172-BF4E-6BAEFE966973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Rule Set</a:t>
          </a:fld>
          <a:endParaRPr lang="fr-FR" sz="1100"/>
        </a:p>
      </xdr:txBody>
    </xdr:sp>
    <xdr:clientData/>
  </xdr:twoCellAnchor>
  <xdr:twoCellAnchor>
    <xdr:from>
      <xdr:col>22</xdr:col>
      <xdr:colOff>0</xdr:colOff>
      <xdr:row>3</xdr:row>
      <xdr:rowOff>0</xdr:rowOff>
    </xdr:from>
    <xdr:to>
      <xdr:col>23</xdr:col>
      <xdr:colOff>0</xdr:colOff>
      <xdr:row>5</xdr:row>
      <xdr:rowOff>0</xdr:rowOff>
    </xdr:to>
    <xdr:sp macro="JSON_TableHeaderClick" textlink="$W$4">
      <xdr:nvSpPr>
        <xdr:cNvPr id="23" name="tReportingNew5_22">
          <a:extLst>
            <a:ext uri="{FF2B5EF4-FFF2-40B4-BE49-F238E27FC236}">
              <a16:creationId xmlns:a16="http://schemas.microsoft.com/office/drawing/2014/main" id="{6477CC12-DE14-4D12-AC23-46470BEB73E5}"/>
            </a:ext>
          </a:extLst>
        </xdr:cNvPr>
        <xdr:cNvSpPr/>
      </xdr:nvSpPr>
      <xdr:spPr>
        <a:xfrm>
          <a:off x="1551622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DC1500A2-1AFA-418B-85F1-39852A7B4B53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Opening balance: default?</a:t>
          </a:fld>
          <a:endParaRPr lang="fr-FR" sz="1100"/>
        </a:p>
      </xdr:txBody>
    </xdr:sp>
    <xdr:clientData/>
  </xdr:twoCellAnchor>
  <xdr:twoCellAnchor>
    <xdr:from>
      <xdr:col>23</xdr:col>
      <xdr:colOff>0</xdr:colOff>
      <xdr:row>3</xdr:row>
      <xdr:rowOff>0</xdr:rowOff>
    </xdr:from>
    <xdr:to>
      <xdr:col>24</xdr:col>
      <xdr:colOff>0</xdr:colOff>
      <xdr:row>5</xdr:row>
      <xdr:rowOff>0</xdr:rowOff>
    </xdr:to>
    <xdr:sp macro="JSON_TableHeaderClick" textlink="$X$4">
      <xdr:nvSpPr>
        <xdr:cNvPr id="24" name="tReportingNew5_23">
          <a:extLst>
            <a:ext uri="{FF2B5EF4-FFF2-40B4-BE49-F238E27FC236}">
              <a16:creationId xmlns:a16="http://schemas.microsoft.com/office/drawing/2014/main" id="{2F6AEA5C-43EA-4176-8450-95F0F4859BE2}"/>
            </a:ext>
          </a:extLst>
        </xdr:cNvPr>
        <xdr:cNvSpPr/>
      </xdr:nvSpPr>
      <xdr:spPr>
        <a:xfrm>
          <a:off x="1616392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55937DB0-A9BD-4BA2-9A70-74F356106C0A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Opening balance?</a:t>
          </a:fld>
          <a:endParaRPr lang="fr-FR" sz="1100"/>
        </a:p>
      </xdr:txBody>
    </xdr:sp>
    <xdr:clientData/>
  </xdr:twoCellAnchor>
  <xdr:twoCellAnchor>
    <xdr:from>
      <xdr:col>24</xdr:col>
      <xdr:colOff>0</xdr:colOff>
      <xdr:row>3</xdr:row>
      <xdr:rowOff>0</xdr:rowOff>
    </xdr:from>
    <xdr:to>
      <xdr:col>25</xdr:col>
      <xdr:colOff>0</xdr:colOff>
      <xdr:row>5</xdr:row>
      <xdr:rowOff>0</xdr:rowOff>
    </xdr:to>
    <xdr:sp macro="JSON_TableHeaderClick" textlink="$Y$4">
      <xdr:nvSpPr>
        <xdr:cNvPr id="25" name="tReportingNew5_24">
          <a:extLst>
            <a:ext uri="{FF2B5EF4-FFF2-40B4-BE49-F238E27FC236}">
              <a16:creationId xmlns:a16="http://schemas.microsoft.com/office/drawing/2014/main" id="{88159328-1202-46A3-BCC5-F5D6706E879C}"/>
            </a:ext>
          </a:extLst>
        </xdr:cNvPr>
        <xdr:cNvSpPr/>
      </xdr:nvSpPr>
      <xdr:spPr>
        <a:xfrm>
          <a:off x="1681162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CA3074EB-202E-46AD-8684-1EB072535A26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OB Category</a:t>
          </a:fld>
          <a:endParaRPr lang="fr-FR" sz="1100"/>
        </a:p>
      </xdr:txBody>
    </xdr:sp>
    <xdr:clientData/>
  </xdr:twoCellAnchor>
  <xdr:twoCellAnchor>
    <xdr:from>
      <xdr:col>25</xdr:col>
      <xdr:colOff>0</xdr:colOff>
      <xdr:row>3</xdr:row>
      <xdr:rowOff>0</xdr:rowOff>
    </xdr:from>
    <xdr:to>
      <xdr:col>26</xdr:col>
      <xdr:colOff>0</xdr:colOff>
      <xdr:row>5</xdr:row>
      <xdr:rowOff>0</xdr:rowOff>
    </xdr:to>
    <xdr:sp macro="JSON_TableHeaderClick" textlink="$Z$4">
      <xdr:nvSpPr>
        <xdr:cNvPr id="26" name="tReportingNew5_25">
          <a:extLst>
            <a:ext uri="{FF2B5EF4-FFF2-40B4-BE49-F238E27FC236}">
              <a16:creationId xmlns:a16="http://schemas.microsoft.com/office/drawing/2014/main" id="{F4BD382B-6E31-480B-BE02-F5627EBAE184}"/>
            </a:ext>
          </a:extLst>
        </xdr:cNvPr>
        <xdr:cNvSpPr/>
      </xdr:nvSpPr>
      <xdr:spPr>
        <a:xfrm>
          <a:off x="1745932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2822FE53-FD1A-4B92-A719-EF782E0DCB20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OB Update Period</a:t>
          </a:fld>
          <a:endParaRPr lang="fr-FR" sz="1100"/>
        </a:p>
      </xdr:txBody>
    </xdr:sp>
    <xdr:clientData/>
  </xdr:twoCellAnchor>
  <xdr:twoCellAnchor>
    <xdr:from>
      <xdr:col>26</xdr:col>
      <xdr:colOff>0</xdr:colOff>
      <xdr:row>3</xdr:row>
      <xdr:rowOff>0</xdr:rowOff>
    </xdr:from>
    <xdr:to>
      <xdr:col>27</xdr:col>
      <xdr:colOff>0</xdr:colOff>
      <xdr:row>5</xdr:row>
      <xdr:rowOff>0</xdr:rowOff>
    </xdr:to>
    <xdr:sp macro="JSON_TableHeaderClick" textlink="$AA$4">
      <xdr:nvSpPr>
        <xdr:cNvPr id="27" name="tReportingNew5_26">
          <a:extLst>
            <a:ext uri="{FF2B5EF4-FFF2-40B4-BE49-F238E27FC236}">
              <a16:creationId xmlns:a16="http://schemas.microsoft.com/office/drawing/2014/main" id="{C8AEA6E2-2A82-4411-9D9A-0DCF1893A21C}"/>
            </a:ext>
          </a:extLst>
        </xdr:cNvPr>
        <xdr:cNvSpPr/>
      </xdr:nvSpPr>
      <xdr:spPr>
        <a:xfrm>
          <a:off x="1810702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6244E362-F6E3-49AA-96BD-46A27D20FDE3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OB Scope</a:t>
          </a:fld>
          <a:endParaRPr lang="fr-FR" sz="1100"/>
        </a:p>
      </xdr:txBody>
    </xdr:sp>
    <xdr:clientData/>
  </xdr:twoCellAnchor>
  <xdr:twoCellAnchor>
    <xdr:from>
      <xdr:col>27</xdr:col>
      <xdr:colOff>0</xdr:colOff>
      <xdr:row>3</xdr:row>
      <xdr:rowOff>0</xdr:rowOff>
    </xdr:from>
    <xdr:to>
      <xdr:col>28</xdr:col>
      <xdr:colOff>0</xdr:colOff>
      <xdr:row>5</xdr:row>
      <xdr:rowOff>0</xdr:rowOff>
    </xdr:to>
    <xdr:sp macro="JSON_TableHeaderClick" textlink="$AB$4">
      <xdr:nvSpPr>
        <xdr:cNvPr id="28" name="tReportingNew5_27">
          <a:extLst>
            <a:ext uri="{FF2B5EF4-FFF2-40B4-BE49-F238E27FC236}">
              <a16:creationId xmlns:a16="http://schemas.microsoft.com/office/drawing/2014/main" id="{097BD14E-3053-485E-B69C-E2DFE34A1D6F}"/>
            </a:ext>
          </a:extLst>
        </xdr:cNvPr>
        <xdr:cNvSpPr/>
      </xdr:nvSpPr>
      <xdr:spPr>
        <a:xfrm>
          <a:off x="1875472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F33793E2-1922-4C44-9442-0AA17C2F2EA1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OB Variant</a:t>
          </a:fld>
          <a:endParaRPr lang="fr-FR" sz="1100"/>
        </a:p>
      </xdr:txBody>
    </xdr:sp>
    <xdr:clientData/>
  </xdr:twoCellAnchor>
  <xdr:twoCellAnchor>
    <xdr:from>
      <xdr:col>28</xdr:col>
      <xdr:colOff>0</xdr:colOff>
      <xdr:row>3</xdr:row>
      <xdr:rowOff>0</xdr:rowOff>
    </xdr:from>
    <xdr:to>
      <xdr:col>29</xdr:col>
      <xdr:colOff>0</xdr:colOff>
      <xdr:row>5</xdr:row>
      <xdr:rowOff>0</xdr:rowOff>
    </xdr:to>
    <xdr:sp macro="JSON_TableHeaderClick" textlink="$AC$4">
      <xdr:nvSpPr>
        <xdr:cNvPr id="29" name="tReportingNew5_28">
          <a:extLst>
            <a:ext uri="{FF2B5EF4-FFF2-40B4-BE49-F238E27FC236}">
              <a16:creationId xmlns:a16="http://schemas.microsoft.com/office/drawing/2014/main" id="{4914C314-9E8C-4EC2-BE65-3C3F655F68D4}"/>
            </a:ext>
          </a:extLst>
        </xdr:cNvPr>
        <xdr:cNvSpPr/>
      </xdr:nvSpPr>
      <xdr:spPr>
        <a:xfrm>
          <a:off x="1940242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0E23E40F-C08D-418A-8918-BF2E1C1BE850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OB Currency</a:t>
          </a:fld>
          <a:endParaRPr lang="fr-FR" sz="1100"/>
        </a:p>
      </xdr:txBody>
    </xdr:sp>
    <xdr:clientData/>
  </xdr:twoCellAnchor>
  <xdr:twoCellAnchor>
    <xdr:from>
      <xdr:col>29</xdr:col>
      <xdr:colOff>0</xdr:colOff>
      <xdr:row>2</xdr:row>
      <xdr:rowOff>63500</xdr:rowOff>
    </xdr:from>
    <xdr:to>
      <xdr:col>30</xdr:col>
      <xdr:colOff>0</xdr:colOff>
      <xdr:row>5</xdr:row>
      <xdr:rowOff>0</xdr:rowOff>
    </xdr:to>
    <xdr:sp macro="JSON_TableHeaderClick" textlink="$AD$4">
      <xdr:nvSpPr>
        <xdr:cNvPr id="30" name="tReportingNew5_29">
          <a:extLst>
            <a:ext uri="{FF2B5EF4-FFF2-40B4-BE49-F238E27FC236}">
              <a16:creationId xmlns:a16="http://schemas.microsoft.com/office/drawing/2014/main" id="{67332DF1-1D0C-4A4B-B1A4-BE2B531C1941}"/>
            </a:ext>
          </a:extLst>
        </xdr:cNvPr>
        <xdr:cNvSpPr/>
      </xdr:nvSpPr>
      <xdr:spPr>
        <a:xfrm>
          <a:off x="20050125" y="444500"/>
          <a:ext cx="381000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5BB86847-FF63-4A06-908D-A2F995104048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Operation</a:t>
          </a:fld>
          <a:endParaRPr lang="fr-FR" sz="1100"/>
        </a:p>
      </xdr:txBody>
    </xdr:sp>
    <xdr:clientData/>
  </xdr:twoCellAnchor>
  <xdr:twoCellAnchor>
    <xdr:from>
      <xdr:col>30</xdr:col>
      <xdr:colOff>0</xdr:colOff>
      <xdr:row>3</xdr:row>
      <xdr:rowOff>0</xdr:rowOff>
    </xdr:from>
    <xdr:to>
      <xdr:col>31</xdr:col>
      <xdr:colOff>0</xdr:colOff>
      <xdr:row>5</xdr:row>
      <xdr:rowOff>0</xdr:rowOff>
    </xdr:to>
    <xdr:sp macro="JSON_TableHeaderClick" textlink="$AE$4">
      <xdr:nvSpPr>
        <xdr:cNvPr id="31" name="tReportingNew5_30">
          <a:extLst>
            <a:ext uri="{FF2B5EF4-FFF2-40B4-BE49-F238E27FC236}">
              <a16:creationId xmlns:a16="http://schemas.microsoft.com/office/drawing/2014/main" id="{D9BDEB0C-2678-4FA5-AFCD-C66E7043DB2E}"/>
            </a:ext>
          </a:extLst>
        </xdr:cNvPr>
        <xdr:cNvSpPr/>
      </xdr:nvSpPr>
      <xdr:spPr>
        <a:xfrm>
          <a:off x="20431125" y="571500"/>
          <a:ext cx="14478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2FE8825B-624A-4B85-9B86-C6412F812161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Cutoff Date</a:t>
          </a:fld>
          <a:endParaRPr lang="fr-FR" sz="1100"/>
        </a:p>
      </xdr:txBody>
    </xdr:sp>
    <xdr:clientData/>
  </xdr:twoCellAnchor>
  <xdr:twoCellAnchor>
    <xdr:from>
      <xdr:col>31</xdr:col>
      <xdr:colOff>0</xdr:colOff>
      <xdr:row>3</xdr:row>
      <xdr:rowOff>0</xdr:rowOff>
    </xdr:from>
    <xdr:to>
      <xdr:col>32</xdr:col>
      <xdr:colOff>0</xdr:colOff>
      <xdr:row>5</xdr:row>
      <xdr:rowOff>0</xdr:rowOff>
    </xdr:to>
    <xdr:sp macro="JSON_TableHeaderClick" textlink="$AF$4">
      <xdr:nvSpPr>
        <xdr:cNvPr id="32" name="tReportingNew5_31">
          <a:extLst>
            <a:ext uri="{FF2B5EF4-FFF2-40B4-BE49-F238E27FC236}">
              <a16:creationId xmlns:a16="http://schemas.microsoft.com/office/drawing/2014/main" id="{99035D95-2BB5-49D8-8B01-C396C36FC876}"/>
            </a:ext>
          </a:extLst>
        </xdr:cNvPr>
        <xdr:cNvSpPr/>
      </xdr:nvSpPr>
      <xdr:spPr>
        <a:xfrm>
          <a:off x="21878925" y="571500"/>
          <a:ext cx="714375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BF9FFC8F-C3A6-4AF6-80D0-B0CD0E21F0EF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Early publishing?</a:t>
          </a:fld>
          <a:endParaRPr lang="fr-FR" sz="1100"/>
        </a:p>
      </xdr:txBody>
    </xdr:sp>
    <xdr:clientData/>
  </xdr:twoCellAnchor>
  <xdr:twoCellAnchor>
    <xdr:from>
      <xdr:col>32</xdr:col>
      <xdr:colOff>0</xdr:colOff>
      <xdr:row>2</xdr:row>
      <xdr:rowOff>63500</xdr:rowOff>
    </xdr:from>
    <xdr:to>
      <xdr:col>33</xdr:col>
      <xdr:colOff>0</xdr:colOff>
      <xdr:row>5</xdr:row>
      <xdr:rowOff>0</xdr:rowOff>
    </xdr:to>
    <xdr:sp macro="JSON_TableHeaderClick" textlink="$AG$4">
      <xdr:nvSpPr>
        <xdr:cNvPr id="33" name="tReportingNew5_32">
          <a:extLst>
            <a:ext uri="{FF2B5EF4-FFF2-40B4-BE49-F238E27FC236}">
              <a16:creationId xmlns:a16="http://schemas.microsoft.com/office/drawing/2014/main" id="{ED8FEAAF-04EA-4C70-8AB2-A24B51E878ED}"/>
            </a:ext>
          </a:extLst>
        </xdr:cNvPr>
        <xdr:cNvSpPr/>
      </xdr:nvSpPr>
      <xdr:spPr>
        <a:xfrm>
          <a:off x="22593300" y="444500"/>
          <a:ext cx="381000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938E9850-106F-4D52-889D-70504AFE5E48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After publication</a:t>
          </a:fld>
          <a:endParaRPr lang="fr-FR" sz="1100"/>
        </a:p>
      </xdr:txBody>
    </xdr:sp>
    <xdr:clientData/>
  </xdr:twoCellAnchor>
  <xdr:twoCellAnchor>
    <xdr:from>
      <xdr:col>33</xdr:col>
      <xdr:colOff>0</xdr:colOff>
      <xdr:row>3</xdr:row>
      <xdr:rowOff>0</xdr:rowOff>
    </xdr:from>
    <xdr:to>
      <xdr:col>34</xdr:col>
      <xdr:colOff>0</xdr:colOff>
      <xdr:row>5</xdr:row>
      <xdr:rowOff>0</xdr:rowOff>
    </xdr:to>
    <xdr:sp macro="JSON_TableHeaderClick" textlink="$AH$4">
      <xdr:nvSpPr>
        <xdr:cNvPr id="34" name="tReportingNew5_33">
          <a:extLst>
            <a:ext uri="{FF2B5EF4-FFF2-40B4-BE49-F238E27FC236}">
              <a16:creationId xmlns:a16="http://schemas.microsoft.com/office/drawing/2014/main" id="{400E144B-5F02-4EFC-83FA-32E08A0BA54A}"/>
            </a:ext>
          </a:extLst>
        </xdr:cNvPr>
        <xdr:cNvSpPr/>
      </xdr:nvSpPr>
      <xdr:spPr>
        <a:xfrm>
          <a:off x="22974300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E254F2D8-7C8E-41F3-A915-06A73064425B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Standard pub.</a:t>
          </a:fld>
          <a:endParaRPr lang="fr-FR" sz="1100"/>
        </a:p>
      </xdr:txBody>
    </xdr:sp>
    <xdr:clientData/>
  </xdr:twoCellAnchor>
  <xdr:twoCellAnchor>
    <xdr:from>
      <xdr:col>34</xdr:col>
      <xdr:colOff>0</xdr:colOff>
      <xdr:row>3</xdr:row>
      <xdr:rowOff>0</xdr:rowOff>
    </xdr:from>
    <xdr:to>
      <xdr:col>35</xdr:col>
      <xdr:colOff>0</xdr:colOff>
      <xdr:row>5</xdr:row>
      <xdr:rowOff>0</xdr:rowOff>
    </xdr:to>
    <xdr:sp macro="JSON_TableHeaderClick" textlink="$AI$4">
      <xdr:nvSpPr>
        <xdr:cNvPr id="35" name="tReportingNew5_34">
          <a:extLst>
            <a:ext uri="{FF2B5EF4-FFF2-40B4-BE49-F238E27FC236}">
              <a16:creationId xmlns:a16="http://schemas.microsoft.com/office/drawing/2014/main" id="{361806B0-2418-4935-A627-9BFEC31CCCCB}"/>
            </a:ext>
          </a:extLst>
        </xdr:cNvPr>
        <xdr:cNvSpPr/>
      </xdr:nvSpPr>
      <xdr:spPr>
        <a:xfrm>
          <a:off x="23622000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E8120462-D59C-4515-BD60-AA2EE22762EC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Special pub.</a:t>
          </a:fld>
          <a:endParaRPr lang="fr-FR" sz="1100"/>
        </a:p>
      </xdr:txBody>
    </xdr:sp>
    <xdr:clientData/>
  </xdr:twoCellAnchor>
  <xdr:twoCellAnchor>
    <xdr:from>
      <xdr:col>35</xdr:col>
      <xdr:colOff>0</xdr:colOff>
      <xdr:row>3</xdr:row>
      <xdr:rowOff>0</xdr:rowOff>
    </xdr:from>
    <xdr:to>
      <xdr:col>36</xdr:col>
      <xdr:colOff>0</xdr:colOff>
      <xdr:row>5</xdr:row>
      <xdr:rowOff>0</xdr:rowOff>
    </xdr:to>
    <xdr:sp macro="JSON_TableHeaderClick" textlink="$AJ$4">
      <xdr:nvSpPr>
        <xdr:cNvPr id="36" name="tReportingNew5_35">
          <a:extLst>
            <a:ext uri="{FF2B5EF4-FFF2-40B4-BE49-F238E27FC236}">
              <a16:creationId xmlns:a16="http://schemas.microsoft.com/office/drawing/2014/main" id="{B1459140-60CB-4BF3-99C3-592CD52078AB}"/>
            </a:ext>
          </a:extLst>
        </xdr:cNvPr>
        <xdr:cNvSpPr/>
      </xdr:nvSpPr>
      <xdr:spPr>
        <a:xfrm>
          <a:off x="24269700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9F319BAF-6933-4D35-97B7-3EDC18F39482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Advanced pub.</a:t>
          </a:fld>
          <a:endParaRPr lang="fr-FR" sz="1100"/>
        </a:p>
      </xdr:txBody>
    </xdr:sp>
    <xdr:clientData/>
  </xdr:twoCellAnchor>
  <xdr:twoCellAnchor>
    <xdr:from>
      <xdr:col>36</xdr:col>
      <xdr:colOff>0</xdr:colOff>
      <xdr:row>3</xdr:row>
      <xdr:rowOff>0</xdr:rowOff>
    </xdr:from>
    <xdr:to>
      <xdr:col>37</xdr:col>
      <xdr:colOff>0</xdr:colOff>
      <xdr:row>5</xdr:row>
      <xdr:rowOff>0</xdr:rowOff>
    </xdr:to>
    <xdr:sp macro="JSON_TableHeaderClick" textlink="$AK$4">
      <xdr:nvSpPr>
        <xdr:cNvPr id="37" name="tReportingNew5_36">
          <a:extLst>
            <a:ext uri="{FF2B5EF4-FFF2-40B4-BE49-F238E27FC236}">
              <a16:creationId xmlns:a16="http://schemas.microsoft.com/office/drawing/2014/main" id="{286A46D8-6F6B-4C9A-B548-618FC7462142}"/>
            </a:ext>
          </a:extLst>
        </xdr:cNvPr>
        <xdr:cNvSpPr/>
      </xdr:nvSpPr>
      <xdr:spPr>
        <a:xfrm>
          <a:off x="24917400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F99C7E6C-981A-493A-AFCA-351AE98AACC9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After pub. Level</a:t>
          </a:fld>
          <a:endParaRPr lang="fr-FR" sz="1100"/>
        </a:p>
      </xdr:txBody>
    </xdr:sp>
    <xdr:clientData/>
  </xdr:twoCellAnchor>
  <xdr:twoCellAnchor>
    <xdr:from>
      <xdr:col>37</xdr:col>
      <xdr:colOff>0</xdr:colOff>
      <xdr:row>2</xdr:row>
      <xdr:rowOff>63500</xdr:rowOff>
    </xdr:from>
    <xdr:to>
      <xdr:col>38</xdr:col>
      <xdr:colOff>0</xdr:colOff>
      <xdr:row>5</xdr:row>
      <xdr:rowOff>0</xdr:rowOff>
    </xdr:to>
    <xdr:sp macro="JSON_TableHeaderClick" textlink="$AL$4">
      <xdr:nvSpPr>
        <xdr:cNvPr id="38" name="tReportingNew5_37">
          <a:extLst>
            <a:ext uri="{FF2B5EF4-FFF2-40B4-BE49-F238E27FC236}">
              <a16:creationId xmlns:a16="http://schemas.microsoft.com/office/drawing/2014/main" id="{2A0498B0-2D04-42C6-A185-F0EA5E3C4B8C}"/>
            </a:ext>
          </a:extLst>
        </xdr:cNvPr>
        <xdr:cNvSpPr/>
      </xdr:nvSpPr>
      <xdr:spPr>
        <a:xfrm>
          <a:off x="25565100" y="444500"/>
          <a:ext cx="381000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C01517B2-D6CD-41E4-B3C4-91BBD6A793FA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After transfert</a:t>
          </a:fld>
          <a:endParaRPr lang="fr-FR" sz="1100"/>
        </a:p>
      </xdr:txBody>
    </xdr:sp>
    <xdr:clientData/>
  </xdr:twoCellAnchor>
  <xdr:twoCellAnchor>
    <xdr:from>
      <xdr:col>38</xdr:col>
      <xdr:colOff>0</xdr:colOff>
      <xdr:row>3</xdr:row>
      <xdr:rowOff>0</xdr:rowOff>
    </xdr:from>
    <xdr:to>
      <xdr:col>39</xdr:col>
      <xdr:colOff>0</xdr:colOff>
      <xdr:row>5</xdr:row>
      <xdr:rowOff>0</xdr:rowOff>
    </xdr:to>
    <xdr:sp macro="JSON_TableHeaderClick" textlink="$AM$4">
      <xdr:nvSpPr>
        <xdr:cNvPr id="39" name="tReportingNew5_38">
          <a:extLst>
            <a:ext uri="{FF2B5EF4-FFF2-40B4-BE49-F238E27FC236}">
              <a16:creationId xmlns:a16="http://schemas.microsoft.com/office/drawing/2014/main" id="{3908A626-EE8A-4EDE-B1D0-EC4D94AE8588}"/>
            </a:ext>
          </a:extLst>
        </xdr:cNvPr>
        <xdr:cNvSpPr/>
      </xdr:nvSpPr>
      <xdr:spPr>
        <a:xfrm>
          <a:off x="25946100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7EB89974-D1EA-4A61-B361-43DD08F2E07F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Standard tran.</a:t>
          </a:fld>
          <a:endParaRPr lang="fr-FR" sz="1100"/>
        </a:p>
      </xdr:txBody>
    </xdr:sp>
    <xdr:clientData/>
  </xdr:twoCellAnchor>
  <xdr:twoCellAnchor>
    <xdr:from>
      <xdr:col>39</xdr:col>
      <xdr:colOff>0</xdr:colOff>
      <xdr:row>3</xdr:row>
      <xdr:rowOff>0</xdr:rowOff>
    </xdr:from>
    <xdr:to>
      <xdr:col>40</xdr:col>
      <xdr:colOff>0</xdr:colOff>
      <xdr:row>5</xdr:row>
      <xdr:rowOff>0</xdr:rowOff>
    </xdr:to>
    <xdr:sp macro="JSON_TableHeaderClick" textlink="$AN$4">
      <xdr:nvSpPr>
        <xdr:cNvPr id="40" name="tReportingNew5_39">
          <a:extLst>
            <a:ext uri="{FF2B5EF4-FFF2-40B4-BE49-F238E27FC236}">
              <a16:creationId xmlns:a16="http://schemas.microsoft.com/office/drawing/2014/main" id="{1B475197-B2C7-4F8F-B921-A954D2B7A707}"/>
            </a:ext>
          </a:extLst>
        </xdr:cNvPr>
        <xdr:cNvSpPr/>
      </xdr:nvSpPr>
      <xdr:spPr>
        <a:xfrm>
          <a:off x="26593800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5A027EF5-6FB3-4742-B915-2E4A1E0AAF10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Special tran.</a:t>
          </a:fld>
          <a:endParaRPr lang="fr-FR" sz="1100"/>
        </a:p>
      </xdr:txBody>
    </xdr:sp>
    <xdr:clientData/>
  </xdr:twoCellAnchor>
  <xdr:twoCellAnchor>
    <xdr:from>
      <xdr:col>40</xdr:col>
      <xdr:colOff>0</xdr:colOff>
      <xdr:row>3</xdr:row>
      <xdr:rowOff>0</xdr:rowOff>
    </xdr:from>
    <xdr:to>
      <xdr:col>41</xdr:col>
      <xdr:colOff>0</xdr:colOff>
      <xdr:row>5</xdr:row>
      <xdr:rowOff>0</xdr:rowOff>
    </xdr:to>
    <xdr:sp macro="JSON_TableHeaderClick" textlink="$AO$4">
      <xdr:nvSpPr>
        <xdr:cNvPr id="41" name="tReportingNew5_40">
          <a:extLst>
            <a:ext uri="{FF2B5EF4-FFF2-40B4-BE49-F238E27FC236}">
              <a16:creationId xmlns:a16="http://schemas.microsoft.com/office/drawing/2014/main" id="{3C3CB857-E489-4A28-82AF-5F8A5AD35F21}"/>
            </a:ext>
          </a:extLst>
        </xdr:cNvPr>
        <xdr:cNvSpPr/>
      </xdr:nvSpPr>
      <xdr:spPr>
        <a:xfrm>
          <a:off x="27241500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773318CB-C2A9-4847-B14C-C4CFF8842D9C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Advanced tran.</a:t>
          </a:fld>
          <a:endParaRPr lang="fr-FR" sz="1100"/>
        </a:p>
      </xdr:txBody>
    </xdr:sp>
    <xdr:clientData/>
  </xdr:twoCellAnchor>
  <xdr:twoCellAnchor>
    <xdr:from>
      <xdr:col>41</xdr:col>
      <xdr:colOff>0</xdr:colOff>
      <xdr:row>3</xdr:row>
      <xdr:rowOff>0</xdr:rowOff>
    </xdr:from>
    <xdr:to>
      <xdr:col>42</xdr:col>
      <xdr:colOff>0</xdr:colOff>
      <xdr:row>5</xdr:row>
      <xdr:rowOff>0</xdr:rowOff>
    </xdr:to>
    <xdr:sp macro="JSON_TableHeaderClick" textlink="$AP$4">
      <xdr:nvSpPr>
        <xdr:cNvPr id="42" name="tReportingNew5_41">
          <a:extLst>
            <a:ext uri="{FF2B5EF4-FFF2-40B4-BE49-F238E27FC236}">
              <a16:creationId xmlns:a16="http://schemas.microsoft.com/office/drawing/2014/main" id="{6AA17823-70CC-404D-933D-F4089160B286}"/>
            </a:ext>
          </a:extLst>
        </xdr:cNvPr>
        <xdr:cNvSpPr/>
      </xdr:nvSpPr>
      <xdr:spPr>
        <a:xfrm>
          <a:off x="27889200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E5B76A61-67CD-4AA7-B3F2-4CD2BA47EB63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After tran. Level</a:t>
          </a:fld>
          <a:endParaRPr lang="fr-FR" sz="1100"/>
        </a:p>
      </xdr:txBody>
    </xdr:sp>
    <xdr:clientData/>
  </xdr:twoCellAnchor>
  <xdr:twoCellAnchor>
    <xdr:from>
      <xdr:col>42</xdr:col>
      <xdr:colOff>0</xdr:colOff>
      <xdr:row>2</xdr:row>
      <xdr:rowOff>63500</xdr:rowOff>
    </xdr:from>
    <xdr:to>
      <xdr:col>43</xdr:col>
      <xdr:colOff>0</xdr:colOff>
      <xdr:row>5</xdr:row>
      <xdr:rowOff>0</xdr:rowOff>
    </xdr:to>
    <xdr:sp macro="JSON_TableHeaderClick" textlink="$AQ$4">
      <xdr:nvSpPr>
        <xdr:cNvPr id="43" name="tReportingNew5_42">
          <a:extLst>
            <a:ext uri="{FF2B5EF4-FFF2-40B4-BE49-F238E27FC236}">
              <a16:creationId xmlns:a16="http://schemas.microsoft.com/office/drawing/2014/main" id="{50C87559-2C1D-4D6B-9220-FB47F40AA279}"/>
            </a:ext>
          </a:extLst>
        </xdr:cNvPr>
        <xdr:cNvSpPr/>
      </xdr:nvSpPr>
      <xdr:spPr>
        <a:xfrm>
          <a:off x="28536900" y="444500"/>
          <a:ext cx="381000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6EB798E5-3F11-441E-BB9A-2AB105122195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Entity</a:t>
          </a:fld>
          <a:endParaRPr lang="fr-FR" sz="1100"/>
        </a:p>
      </xdr:txBody>
    </xdr:sp>
    <xdr:clientData/>
  </xdr:twoCellAnchor>
  <xdr:twoCellAnchor>
    <xdr:from>
      <xdr:col>43</xdr:col>
      <xdr:colOff>0</xdr:colOff>
      <xdr:row>3</xdr:row>
      <xdr:rowOff>0</xdr:rowOff>
    </xdr:from>
    <xdr:to>
      <xdr:col>44</xdr:col>
      <xdr:colOff>0</xdr:colOff>
      <xdr:row>5</xdr:row>
      <xdr:rowOff>0</xdr:rowOff>
    </xdr:to>
    <xdr:sp macro="JSON_TableHeaderClick" textlink="$AR$4">
      <xdr:nvSpPr>
        <xdr:cNvPr id="44" name="tReportingNew5_43">
          <a:extLst>
            <a:ext uri="{FF2B5EF4-FFF2-40B4-BE49-F238E27FC236}">
              <a16:creationId xmlns:a16="http://schemas.microsoft.com/office/drawing/2014/main" id="{7BDC28C9-530A-49EE-A587-075606136DF6}"/>
            </a:ext>
          </a:extLst>
        </xdr:cNvPr>
        <xdr:cNvSpPr/>
      </xdr:nvSpPr>
      <xdr:spPr>
        <a:xfrm>
          <a:off x="28917900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D2BE5F4F-572E-4AB6-BB38-0783ECE3F76F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Name</a:t>
          </a:fld>
          <a:endParaRPr lang="fr-FR" sz="1100"/>
        </a:p>
      </xdr:txBody>
    </xdr:sp>
    <xdr:clientData/>
  </xdr:twoCellAnchor>
  <xdr:twoCellAnchor>
    <xdr:from>
      <xdr:col>44</xdr:col>
      <xdr:colOff>0</xdr:colOff>
      <xdr:row>3</xdr:row>
      <xdr:rowOff>0</xdr:rowOff>
    </xdr:from>
    <xdr:to>
      <xdr:col>45</xdr:col>
      <xdr:colOff>0</xdr:colOff>
      <xdr:row>5</xdr:row>
      <xdr:rowOff>0</xdr:rowOff>
    </xdr:to>
    <xdr:sp macro="JSON_TableHeaderClick" textlink="$AS$4">
      <xdr:nvSpPr>
        <xdr:cNvPr id="45" name="tReportingNew5_44">
          <a:extLst>
            <a:ext uri="{FF2B5EF4-FFF2-40B4-BE49-F238E27FC236}">
              <a16:creationId xmlns:a16="http://schemas.microsoft.com/office/drawing/2014/main" id="{4D3DB4ED-FC96-43C9-9770-CA4D33BF316F}"/>
            </a:ext>
          </a:extLst>
        </xdr:cNvPr>
        <xdr:cNvSpPr/>
      </xdr:nvSpPr>
      <xdr:spPr>
        <a:xfrm>
          <a:off x="29565600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3F29DB01-45EE-47AE-88CD-EDF326E17028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Currency</a:t>
          </a:fld>
          <a:endParaRPr lang="fr-FR" sz="1100"/>
        </a:p>
      </xdr:txBody>
    </xdr:sp>
    <xdr:clientData/>
  </xdr:twoCellAnchor>
  <xdr:twoCellAnchor>
    <xdr:from>
      <xdr:col>45</xdr:col>
      <xdr:colOff>0</xdr:colOff>
      <xdr:row>3</xdr:row>
      <xdr:rowOff>0</xdr:rowOff>
    </xdr:from>
    <xdr:to>
      <xdr:col>46</xdr:col>
      <xdr:colOff>0</xdr:colOff>
      <xdr:row>5</xdr:row>
      <xdr:rowOff>0</xdr:rowOff>
    </xdr:to>
    <xdr:sp macro="JSON_TableHeaderClick" textlink="$AT$4">
      <xdr:nvSpPr>
        <xdr:cNvPr id="46" name="tReportingNew5_45">
          <a:extLst>
            <a:ext uri="{FF2B5EF4-FFF2-40B4-BE49-F238E27FC236}">
              <a16:creationId xmlns:a16="http://schemas.microsoft.com/office/drawing/2014/main" id="{B464C08A-98A1-4043-8ECE-28E8E4563468}"/>
            </a:ext>
          </a:extLst>
        </xdr:cNvPr>
        <xdr:cNvSpPr/>
      </xdr:nvSpPr>
      <xdr:spPr>
        <a:xfrm>
          <a:off x="30213300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EFB8A2D0-E340-4F4C-93CA-A7393F4FA000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Input Site</a:t>
          </a:fld>
          <a:endParaRPr lang="fr-FR" sz="1100"/>
        </a:p>
      </xdr:txBody>
    </xdr:sp>
    <xdr:clientData/>
  </xdr:twoCellAnchor>
  <xdr:twoCellAnchor>
    <xdr:from>
      <xdr:col>46</xdr:col>
      <xdr:colOff>0</xdr:colOff>
      <xdr:row>3</xdr:row>
      <xdr:rowOff>0</xdr:rowOff>
    </xdr:from>
    <xdr:to>
      <xdr:col>47</xdr:col>
      <xdr:colOff>0</xdr:colOff>
      <xdr:row>5</xdr:row>
      <xdr:rowOff>0</xdr:rowOff>
    </xdr:to>
    <xdr:sp macro="JSON_TableHeaderClick" textlink="$AU$4">
      <xdr:nvSpPr>
        <xdr:cNvPr id="47" name="tReportingNew5_46">
          <a:extLst>
            <a:ext uri="{FF2B5EF4-FFF2-40B4-BE49-F238E27FC236}">
              <a16:creationId xmlns:a16="http://schemas.microsoft.com/office/drawing/2014/main" id="{82F597D6-E559-4280-B154-0B7F353352BB}"/>
            </a:ext>
          </a:extLst>
        </xdr:cNvPr>
        <xdr:cNvSpPr/>
      </xdr:nvSpPr>
      <xdr:spPr>
        <a:xfrm>
          <a:off x="30861000" y="571500"/>
          <a:ext cx="714375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699590A4-25B0-49A9-9DEC-55C951ED9095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Publication Site</a:t>
          </a:fld>
          <a:endParaRPr lang="fr-FR" sz="1100"/>
        </a:p>
      </xdr:txBody>
    </xdr:sp>
    <xdr:clientData/>
  </xdr:twoCellAnchor>
  <xdr:twoCellAnchor>
    <xdr:from>
      <xdr:col>47</xdr:col>
      <xdr:colOff>0</xdr:colOff>
      <xdr:row>2</xdr:row>
      <xdr:rowOff>63500</xdr:rowOff>
    </xdr:from>
    <xdr:to>
      <xdr:col>48</xdr:col>
      <xdr:colOff>0</xdr:colOff>
      <xdr:row>5</xdr:row>
      <xdr:rowOff>0</xdr:rowOff>
    </xdr:to>
    <xdr:sp macro="JSON_TableHeaderClick" textlink="$AV$4">
      <xdr:nvSpPr>
        <xdr:cNvPr id="48" name="tReportingNew5_47">
          <a:extLst>
            <a:ext uri="{FF2B5EF4-FFF2-40B4-BE49-F238E27FC236}">
              <a16:creationId xmlns:a16="http://schemas.microsoft.com/office/drawing/2014/main" id="{7A06DA1F-6EF6-4CB0-A157-40AFA0B6FDA0}"/>
            </a:ext>
          </a:extLst>
        </xdr:cNvPr>
        <xdr:cNvSpPr/>
      </xdr:nvSpPr>
      <xdr:spPr>
        <a:xfrm>
          <a:off x="31575375" y="444500"/>
          <a:ext cx="381000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A9AE6E53-4668-4BA7-AE6B-6CE62B5D0D25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Package</a:t>
          </a:fld>
          <a:endParaRPr lang="fr-FR" sz="1100"/>
        </a:p>
      </xdr:txBody>
    </xdr:sp>
    <xdr:clientData/>
  </xdr:twoCellAnchor>
  <xdr:twoCellAnchor>
    <xdr:from>
      <xdr:col>48</xdr:col>
      <xdr:colOff>0</xdr:colOff>
      <xdr:row>3</xdr:row>
      <xdr:rowOff>0</xdr:rowOff>
    </xdr:from>
    <xdr:to>
      <xdr:col>49</xdr:col>
      <xdr:colOff>0</xdr:colOff>
      <xdr:row>5</xdr:row>
      <xdr:rowOff>0</xdr:rowOff>
    </xdr:to>
    <xdr:sp macro="JSON_TableHeaderClick" textlink="$AW$4">
      <xdr:nvSpPr>
        <xdr:cNvPr id="49" name="tReportingNew5_48">
          <a:extLst>
            <a:ext uri="{FF2B5EF4-FFF2-40B4-BE49-F238E27FC236}">
              <a16:creationId xmlns:a16="http://schemas.microsoft.com/office/drawing/2014/main" id="{0B765C82-2ED4-46CE-AED5-38384DF0091E}"/>
            </a:ext>
          </a:extLst>
        </xdr:cNvPr>
        <xdr:cNvSpPr/>
      </xdr:nvSpPr>
      <xdr:spPr>
        <a:xfrm>
          <a:off x="319563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8F8ACFA8-06E5-4D87-BF12-3B5F3781B313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Default Windows Folder?</a:t>
          </a:fld>
          <a:endParaRPr lang="fr-FR" sz="1100"/>
        </a:p>
      </xdr:txBody>
    </xdr:sp>
    <xdr:clientData/>
  </xdr:twoCellAnchor>
  <xdr:twoCellAnchor>
    <xdr:from>
      <xdr:col>49</xdr:col>
      <xdr:colOff>0</xdr:colOff>
      <xdr:row>3</xdr:row>
      <xdr:rowOff>0</xdr:rowOff>
    </xdr:from>
    <xdr:to>
      <xdr:col>50</xdr:col>
      <xdr:colOff>0</xdr:colOff>
      <xdr:row>5</xdr:row>
      <xdr:rowOff>0</xdr:rowOff>
    </xdr:to>
    <xdr:sp macro="JSON_TableHeaderClick" textlink="$AX$4">
      <xdr:nvSpPr>
        <xdr:cNvPr id="50" name="tReportingNew5_49">
          <a:extLst>
            <a:ext uri="{FF2B5EF4-FFF2-40B4-BE49-F238E27FC236}">
              <a16:creationId xmlns:a16="http://schemas.microsoft.com/office/drawing/2014/main" id="{184AD490-B363-4C15-ADB1-75813C73C123}"/>
            </a:ext>
          </a:extLst>
        </xdr:cNvPr>
        <xdr:cNvSpPr/>
      </xdr:nvSpPr>
      <xdr:spPr>
        <a:xfrm>
          <a:off x="326040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140A3CEA-ED0E-4E91-B4B0-D03FE6CF5E3A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Windows folder</a:t>
          </a:fld>
          <a:endParaRPr lang="fr-FR" sz="1100"/>
        </a:p>
      </xdr:txBody>
    </xdr:sp>
    <xdr:clientData/>
  </xdr:twoCellAnchor>
  <xdr:twoCellAnchor>
    <xdr:from>
      <xdr:col>50</xdr:col>
      <xdr:colOff>0</xdr:colOff>
      <xdr:row>3</xdr:row>
      <xdr:rowOff>0</xdr:rowOff>
    </xdr:from>
    <xdr:to>
      <xdr:col>51</xdr:col>
      <xdr:colOff>0</xdr:colOff>
      <xdr:row>5</xdr:row>
      <xdr:rowOff>0</xdr:rowOff>
    </xdr:to>
    <xdr:sp macro="JSON_TableHeaderClick" textlink="$AY$4">
      <xdr:nvSpPr>
        <xdr:cNvPr id="51" name="tReportingNew5_50">
          <a:extLst>
            <a:ext uri="{FF2B5EF4-FFF2-40B4-BE49-F238E27FC236}">
              <a16:creationId xmlns:a16="http://schemas.microsoft.com/office/drawing/2014/main" id="{44C97989-73CA-40DE-BACA-195D8EDC9A5F}"/>
            </a:ext>
          </a:extLst>
        </xdr:cNvPr>
        <xdr:cNvSpPr/>
      </xdr:nvSpPr>
      <xdr:spPr>
        <a:xfrm>
          <a:off x="332517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04F93DA0-7A6E-4271-B821-898BCC43E15B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Default Internet Folder?</a:t>
          </a:fld>
          <a:endParaRPr lang="fr-FR" sz="1100"/>
        </a:p>
      </xdr:txBody>
    </xdr:sp>
    <xdr:clientData/>
  </xdr:twoCellAnchor>
  <xdr:twoCellAnchor>
    <xdr:from>
      <xdr:col>51</xdr:col>
      <xdr:colOff>0</xdr:colOff>
      <xdr:row>3</xdr:row>
      <xdr:rowOff>0</xdr:rowOff>
    </xdr:from>
    <xdr:to>
      <xdr:col>52</xdr:col>
      <xdr:colOff>0</xdr:colOff>
      <xdr:row>5</xdr:row>
      <xdr:rowOff>0</xdr:rowOff>
    </xdr:to>
    <xdr:sp macro="JSON_TableHeaderClick" textlink="$AZ$4">
      <xdr:nvSpPr>
        <xdr:cNvPr id="52" name="tReportingNew5_51">
          <a:extLst>
            <a:ext uri="{FF2B5EF4-FFF2-40B4-BE49-F238E27FC236}">
              <a16:creationId xmlns:a16="http://schemas.microsoft.com/office/drawing/2014/main" id="{F3A3D4B4-3B01-43EC-99FC-1F7EE02CD2BE}"/>
            </a:ext>
          </a:extLst>
        </xdr:cNvPr>
        <xdr:cNvSpPr/>
      </xdr:nvSpPr>
      <xdr:spPr>
        <a:xfrm>
          <a:off x="338994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9D22965B-4590-4F5C-A77E-1D8DFC38F07A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Internet folder</a:t>
          </a:fld>
          <a:endParaRPr lang="fr-FR" sz="1100"/>
        </a:p>
      </xdr:txBody>
    </xdr:sp>
    <xdr:clientData/>
  </xdr:twoCellAnchor>
  <xdr:twoCellAnchor>
    <xdr:from>
      <xdr:col>52</xdr:col>
      <xdr:colOff>0</xdr:colOff>
      <xdr:row>3</xdr:row>
      <xdr:rowOff>0</xdr:rowOff>
    </xdr:from>
    <xdr:to>
      <xdr:col>53</xdr:col>
      <xdr:colOff>0</xdr:colOff>
      <xdr:row>5</xdr:row>
      <xdr:rowOff>0</xdr:rowOff>
    </xdr:to>
    <xdr:sp macro="JSON_TableHeaderClick" textlink="$BA$4">
      <xdr:nvSpPr>
        <xdr:cNvPr id="53" name="tReportingNew5_52">
          <a:extLst>
            <a:ext uri="{FF2B5EF4-FFF2-40B4-BE49-F238E27FC236}">
              <a16:creationId xmlns:a16="http://schemas.microsoft.com/office/drawing/2014/main" id="{98194761-3058-4928-8D4E-F673D2E00F92}"/>
            </a:ext>
          </a:extLst>
        </xdr:cNvPr>
        <xdr:cNvSpPr/>
      </xdr:nvSpPr>
      <xdr:spPr>
        <a:xfrm>
          <a:off x="345471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BB47C2E7-E130-4EF9-A236-CF8A5346855A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Control Set: default?</a:t>
          </a:fld>
          <a:endParaRPr lang="fr-FR" sz="1100"/>
        </a:p>
      </xdr:txBody>
    </xdr:sp>
    <xdr:clientData/>
  </xdr:twoCellAnchor>
  <xdr:twoCellAnchor>
    <xdr:from>
      <xdr:col>53</xdr:col>
      <xdr:colOff>0</xdr:colOff>
      <xdr:row>3</xdr:row>
      <xdr:rowOff>0</xdr:rowOff>
    </xdr:from>
    <xdr:to>
      <xdr:col>54</xdr:col>
      <xdr:colOff>0</xdr:colOff>
      <xdr:row>5</xdr:row>
      <xdr:rowOff>0</xdr:rowOff>
    </xdr:to>
    <xdr:sp macro="JSON_TableHeaderClick" textlink="$BB$4">
      <xdr:nvSpPr>
        <xdr:cNvPr id="54" name="tReportingNew5_53">
          <a:extLst>
            <a:ext uri="{FF2B5EF4-FFF2-40B4-BE49-F238E27FC236}">
              <a16:creationId xmlns:a16="http://schemas.microsoft.com/office/drawing/2014/main" id="{19A69309-5922-4136-B0EF-58552262B6F7}"/>
            </a:ext>
          </a:extLst>
        </xdr:cNvPr>
        <xdr:cNvSpPr/>
      </xdr:nvSpPr>
      <xdr:spPr>
        <a:xfrm>
          <a:off x="351948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E87B30D9-F165-4DBB-BBE5-50AAFF48270E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Control Set</a:t>
          </a:fld>
          <a:endParaRPr lang="fr-FR" sz="1100"/>
        </a:p>
      </xdr:txBody>
    </xdr:sp>
    <xdr:clientData/>
  </xdr:twoCellAnchor>
  <xdr:twoCellAnchor>
    <xdr:from>
      <xdr:col>54</xdr:col>
      <xdr:colOff>0</xdr:colOff>
      <xdr:row>3</xdr:row>
      <xdr:rowOff>0</xdr:rowOff>
    </xdr:from>
    <xdr:to>
      <xdr:col>55</xdr:col>
      <xdr:colOff>0</xdr:colOff>
      <xdr:row>5</xdr:row>
      <xdr:rowOff>0</xdr:rowOff>
    </xdr:to>
    <xdr:sp macro="JSON_TableHeaderClick" textlink="$BC$4">
      <xdr:nvSpPr>
        <xdr:cNvPr id="55" name="tReportingNew5_54">
          <a:extLst>
            <a:ext uri="{FF2B5EF4-FFF2-40B4-BE49-F238E27FC236}">
              <a16:creationId xmlns:a16="http://schemas.microsoft.com/office/drawing/2014/main" id="{364C6DD1-101B-46CA-86B9-8404594445FA}"/>
            </a:ext>
          </a:extLst>
        </xdr:cNvPr>
        <xdr:cNvSpPr/>
      </xdr:nvSpPr>
      <xdr:spPr>
        <a:xfrm>
          <a:off x="358425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7728D134-ADFC-4D2B-9A0D-77AD67C6EE30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Default Level?</a:t>
          </a:fld>
          <a:endParaRPr lang="fr-FR" sz="1100"/>
        </a:p>
      </xdr:txBody>
    </xdr:sp>
    <xdr:clientData/>
  </xdr:twoCellAnchor>
  <xdr:twoCellAnchor>
    <xdr:from>
      <xdr:col>55</xdr:col>
      <xdr:colOff>0</xdr:colOff>
      <xdr:row>3</xdr:row>
      <xdr:rowOff>0</xdr:rowOff>
    </xdr:from>
    <xdr:to>
      <xdr:col>56</xdr:col>
      <xdr:colOff>0</xdr:colOff>
      <xdr:row>5</xdr:row>
      <xdr:rowOff>0</xdr:rowOff>
    </xdr:to>
    <xdr:sp macro="JSON_TableHeaderClick" textlink="$BD$4">
      <xdr:nvSpPr>
        <xdr:cNvPr id="56" name="tReportingNew5_55">
          <a:extLst>
            <a:ext uri="{FF2B5EF4-FFF2-40B4-BE49-F238E27FC236}">
              <a16:creationId xmlns:a16="http://schemas.microsoft.com/office/drawing/2014/main" id="{AD5DC71C-94C4-4E12-BB32-5D1A8186B146}"/>
            </a:ext>
          </a:extLst>
        </xdr:cNvPr>
        <xdr:cNvSpPr/>
      </xdr:nvSpPr>
      <xdr:spPr>
        <a:xfrm>
          <a:off x="364902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5B7DF26F-4868-4188-BE22-3C9BD75F7551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Control Level</a:t>
          </a:fld>
          <a:endParaRPr lang="fr-FR" sz="1100"/>
        </a:p>
      </xdr:txBody>
    </xdr:sp>
    <xdr:clientData/>
  </xdr:twoCellAnchor>
  <xdr:twoCellAnchor>
    <xdr:from>
      <xdr:col>56</xdr:col>
      <xdr:colOff>0</xdr:colOff>
      <xdr:row>3</xdr:row>
      <xdr:rowOff>0</xdr:rowOff>
    </xdr:from>
    <xdr:to>
      <xdr:col>57</xdr:col>
      <xdr:colOff>0</xdr:colOff>
      <xdr:row>5</xdr:row>
      <xdr:rowOff>0</xdr:rowOff>
    </xdr:to>
    <xdr:sp macro="JSON_TableHeaderClick" textlink="$BE$4">
      <xdr:nvSpPr>
        <xdr:cNvPr id="57" name="tReportingNew5_56">
          <a:extLst>
            <a:ext uri="{FF2B5EF4-FFF2-40B4-BE49-F238E27FC236}">
              <a16:creationId xmlns:a16="http://schemas.microsoft.com/office/drawing/2014/main" id="{0C95C325-7D1A-41DE-A5E1-B7097BC3A717}"/>
            </a:ext>
          </a:extLst>
        </xdr:cNvPr>
        <xdr:cNvSpPr/>
      </xdr:nvSpPr>
      <xdr:spPr>
        <a:xfrm>
          <a:off x="371379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ED2F7024-1B97-43A6-9AAD-85AF5715CBA8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Blocking?</a:t>
          </a:fld>
          <a:endParaRPr lang="fr-FR" sz="1100"/>
        </a:p>
      </xdr:txBody>
    </xdr:sp>
    <xdr:clientData/>
  </xdr:twoCellAnchor>
  <xdr:twoCellAnchor>
    <xdr:from>
      <xdr:col>57</xdr:col>
      <xdr:colOff>0</xdr:colOff>
      <xdr:row>3</xdr:row>
      <xdr:rowOff>0</xdr:rowOff>
    </xdr:from>
    <xdr:to>
      <xdr:col>58</xdr:col>
      <xdr:colOff>0</xdr:colOff>
      <xdr:row>5</xdr:row>
      <xdr:rowOff>0</xdr:rowOff>
    </xdr:to>
    <xdr:sp macro="JSON_TableHeaderClick" textlink="$BF$4">
      <xdr:nvSpPr>
        <xdr:cNvPr id="58" name="tReportingNew5_57">
          <a:extLst>
            <a:ext uri="{FF2B5EF4-FFF2-40B4-BE49-F238E27FC236}">
              <a16:creationId xmlns:a16="http://schemas.microsoft.com/office/drawing/2014/main" id="{9456FDBD-328F-48CA-9E80-3E229846452F}"/>
            </a:ext>
          </a:extLst>
        </xdr:cNvPr>
        <xdr:cNvSpPr/>
      </xdr:nvSpPr>
      <xdr:spPr>
        <a:xfrm>
          <a:off x="377856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52022FC8-FE2B-48A4-B7AA-8F95BB7AB15B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Lock: default?</a:t>
          </a:fld>
          <a:endParaRPr lang="fr-FR" sz="1100"/>
        </a:p>
      </xdr:txBody>
    </xdr:sp>
    <xdr:clientData/>
  </xdr:twoCellAnchor>
  <xdr:twoCellAnchor>
    <xdr:from>
      <xdr:col>58</xdr:col>
      <xdr:colOff>0</xdr:colOff>
      <xdr:row>3</xdr:row>
      <xdr:rowOff>0</xdr:rowOff>
    </xdr:from>
    <xdr:to>
      <xdr:col>59</xdr:col>
      <xdr:colOff>0</xdr:colOff>
      <xdr:row>5</xdr:row>
      <xdr:rowOff>0</xdr:rowOff>
    </xdr:to>
    <xdr:sp macro="JSON_TableHeaderClick" textlink="$BG$4">
      <xdr:nvSpPr>
        <xdr:cNvPr id="59" name="tReportingNew5_58">
          <a:extLst>
            <a:ext uri="{FF2B5EF4-FFF2-40B4-BE49-F238E27FC236}">
              <a16:creationId xmlns:a16="http://schemas.microsoft.com/office/drawing/2014/main" id="{DA3B2198-6D40-4B9F-B22F-74B93D7C42EA}"/>
            </a:ext>
          </a:extLst>
        </xdr:cNvPr>
        <xdr:cNvSpPr/>
      </xdr:nvSpPr>
      <xdr:spPr>
        <a:xfrm>
          <a:off x="384333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F52F7509-32F7-4666-A329-B570BC124BFD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Lock on publication</a:t>
          </a:fld>
          <a:endParaRPr lang="fr-FR" sz="1100"/>
        </a:p>
      </xdr:txBody>
    </xdr:sp>
    <xdr:clientData/>
  </xdr:twoCellAnchor>
  <xdr:twoCellAnchor>
    <xdr:from>
      <xdr:col>59</xdr:col>
      <xdr:colOff>0</xdr:colOff>
      <xdr:row>3</xdr:row>
      <xdr:rowOff>0</xdr:rowOff>
    </xdr:from>
    <xdr:to>
      <xdr:col>60</xdr:col>
      <xdr:colOff>0</xdr:colOff>
      <xdr:row>5</xdr:row>
      <xdr:rowOff>0</xdr:rowOff>
    </xdr:to>
    <xdr:sp macro="JSON_TableHeaderClick" textlink="$BH$4">
      <xdr:nvSpPr>
        <xdr:cNvPr id="60" name="tReportingNew5_59">
          <a:extLst>
            <a:ext uri="{FF2B5EF4-FFF2-40B4-BE49-F238E27FC236}">
              <a16:creationId xmlns:a16="http://schemas.microsoft.com/office/drawing/2014/main" id="{CA9D0C8E-A902-461F-930C-D7F87D650BF1}"/>
            </a:ext>
          </a:extLst>
        </xdr:cNvPr>
        <xdr:cNvSpPr/>
      </xdr:nvSpPr>
      <xdr:spPr>
        <a:xfrm>
          <a:off x="390810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96749040-02B4-4D0D-99C3-75075EC755B0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Rule Set: default?</a:t>
          </a:fld>
          <a:endParaRPr lang="fr-FR" sz="1100"/>
        </a:p>
      </xdr:txBody>
    </xdr:sp>
    <xdr:clientData/>
  </xdr:twoCellAnchor>
  <xdr:twoCellAnchor>
    <xdr:from>
      <xdr:col>60</xdr:col>
      <xdr:colOff>0</xdr:colOff>
      <xdr:row>3</xdr:row>
      <xdr:rowOff>0</xdr:rowOff>
    </xdr:from>
    <xdr:to>
      <xdr:col>61</xdr:col>
      <xdr:colOff>0</xdr:colOff>
      <xdr:row>5</xdr:row>
      <xdr:rowOff>0</xdr:rowOff>
    </xdr:to>
    <xdr:sp macro="JSON_TableHeaderClick" textlink="$BI$4">
      <xdr:nvSpPr>
        <xdr:cNvPr id="61" name="tReportingNew5_60">
          <a:extLst>
            <a:ext uri="{FF2B5EF4-FFF2-40B4-BE49-F238E27FC236}">
              <a16:creationId xmlns:a16="http://schemas.microsoft.com/office/drawing/2014/main" id="{3A029941-1D45-42BF-B2C3-20807A532DFC}"/>
            </a:ext>
          </a:extLst>
        </xdr:cNvPr>
        <xdr:cNvSpPr/>
      </xdr:nvSpPr>
      <xdr:spPr>
        <a:xfrm>
          <a:off x="397287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47E5C78B-E209-464F-83FA-08560A11FD0A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Rule Set</a:t>
          </a:fld>
          <a:endParaRPr lang="fr-FR" sz="1100"/>
        </a:p>
      </xdr:txBody>
    </xdr:sp>
    <xdr:clientData/>
  </xdr:twoCellAnchor>
  <xdr:twoCellAnchor>
    <xdr:from>
      <xdr:col>61</xdr:col>
      <xdr:colOff>0</xdr:colOff>
      <xdr:row>3</xdr:row>
      <xdr:rowOff>0</xdr:rowOff>
    </xdr:from>
    <xdr:to>
      <xdr:col>62</xdr:col>
      <xdr:colOff>0</xdr:colOff>
      <xdr:row>5</xdr:row>
      <xdr:rowOff>0</xdr:rowOff>
    </xdr:to>
    <xdr:sp macro="JSON_TableHeaderClick" textlink="$BJ$4">
      <xdr:nvSpPr>
        <xdr:cNvPr id="62" name="tReportingNew5_61">
          <a:extLst>
            <a:ext uri="{FF2B5EF4-FFF2-40B4-BE49-F238E27FC236}">
              <a16:creationId xmlns:a16="http://schemas.microsoft.com/office/drawing/2014/main" id="{4CC669FD-6110-4CF4-ABF8-B9952725F247}"/>
            </a:ext>
          </a:extLst>
        </xdr:cNvPr>
        <xdr:cNvSpPr/>
      </xdr:nvSpPr>
      <xdr:spPr>
        <a:xfrm>
          <a:off x="403764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77CECE47-F9A0-412C-BB8B-727D06BA009D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Opening balance: default?</a:t>
          </a:fld>
          <a:endParaRPr lang="fr-FR" sz="1100"/>
        </a:p>
      </xdr:txBody>
    </xdr:sp>
    <xdr:clientData/>
  </xdr:twoCellAnchor>
  <xdr:twoCellAnchor>
    <xdr:from>
      <xdr:col>62</xdr:col>
      <xdr:colOff>0</xdr:colOff>
      <xdr:row>3</xdr:row>
      <xdr:rowOff>0</xdr:rowOff>
    </xdr:from>
    <xdr:to>
      <xdr:col>63</xdr:col>
      <xdr:colOff>0</xdr:colOff>
      <xdr:row>5</xdr:row>
      <xdr:rowOff>0</xdr:rowOff>
    </xdr:to>
    <xdr:sp macro="JSON_TableHeaderClick" textlink="$BK$4">
      <xdr:nvSpPr>
        <xdr:cNvPr id="63" name="tReportingNew5_62">
          <a:extLst>
            <a:ext uri="{FF2B5EF4-FFF2-40B4-BE49-F238E27FC236}">
              <a16:creationId xmlns:a16="http://schemas.microsoft.com/office/drawing/2014/main" id="{94D8EFE3-EFB0-48EC-AEF3-5C92B434AC76}"/>
            </a:ext>
          </a:extLst>
        </xdr:cNvPr>
        <xdr:cNvSpPr/>
      </xdr:nvSpPr>
      <xdr:spPr>
        <a:xfrm>
          <a:off x="410241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91833DDD-B149-4055-8999-D3FDC91B7134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Opening balance?</a:t>
          </a:fld>
          <a:endParaRPr lang="fr-FR" sz="1100"/>
        </a:p>
      </xdr:txBody>
    </xdr:sp>
    <xdr:clientData/>
  </xdr:twoCellAnchor>
  <xdr:twoCellAnchor>
    <xdr:from>
      <xdr:col>63</xdr:col>
      <xdr:colOff>0</xdr:colOff>
      <xdr:row>3</xdr:row>
      <xdr:rowOff>0</xdr:rowOff>
    </xdr:from>
    <xdr:to>
      <xdr:col>64</xdr:col>
      <xdr:colOff>0</xdr:colOff>
      <xdr:row>5</xdr:row>
      <xdr:rowOff>0</xdr:rowOff>
    </xdr:to>
    <xdr:sp macro="JSON_TableHeaderClick" textlink="$BL$4">
      <xdr:nvSpPr>
        <xdr:cNvPr id="64" name="tReportingNew5_63">
          <a:extLst>
            <a:ext uri="{FF2B5EF4-FFF2-40B4-BE49-F238E27FC236}">
              <a16:creationId xmlns:a16="http://schemas.microsoft.com/office/drawing/2014/main" id="{31112C05-6EA2-4E83-9FE2-AA708825CE48}"/>
            </a:ext>
          </a:extLst>
        </xdr:cNvPr>
        <xdr:cNvSpPr/>
      </xdr:nvSpPr>
      <xdr:spPr>
        <a:xfrm>
          <a:off x="416718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1AEB8F2B-F852-471B-8955-88B6165EAA59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OB Category</a:t>
          </a:fld>
          <a:endParaRPr lang="fr-FR" sz="1100"/>
        </a:p>
      </xdr:txBody>
    </xdr:sp>
    <xdr:clientData/>
  </xdr:twoCellAnchor>
  <xdr:twoCellAnchor>
    <xdr:from>
      <xdr:col>64</xdr:col>
      <xdr:colOff>0</xdr:colOff>
      <xdr:row>3</xdr:row>
      <xdr:rowOff>0</xdr:rowOff>
    </xdr:from>
    <xdr:to>
      <xdr:col>65</xdr:col>
      <xdr:colOff>0</xdr:colOff>
      <xdr:row>5</xdr:row>
      <xdr:rowOff>0</xdr:rowOff>
    </xdr:to>
    <xdr:sp macro="JSON_TableHeaderClick" textlink="$BM$4">
      <xdr:nvSpPr>
        <xdr:cNvPr id="65" name="tReportingNew5_64">
          <a:extLst>
            <a:ext uri="{FF2B5EF4-FFF2-40B4-BE49-F238E27FC236}">
              <a16:creationId xmlns:a16="http://schemas.microsoft.com/office/drawing/2014/main" id="{FCD10604-C5A1-45C4-9357-59A43355C5D0}"/>
            </a:ext>
          </a:extLst>
        </xdr:cNvPr>
        <xdr:cNvSpPr/>
      </xdr:nvSpPr>
      <xdr:spPr>
        <a:xfrm>
          <a:off x="423195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CBAEB9BA-E8C1-4B14-804E-4A1AE512694D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OB Update Period</a:t>
          </a:fld>
          <a:endParaRPr lang="fr-FR" sz="1100"/>
        </a:p>
      </xdr:txBody>
    </xdr:sp>
    <xdr:clientData/>
  </xdr:twoCellAnchor>
  <xdr:twoCellAnchor>
    <xdr:from>
      <xdr:col>65</xdr:col>
      <xdr:colOff>0</xdr:colOff>
      <xdr:row>3</xdr:row>
      <xdr:rowOff>0</xdr:rowOff>
    </xdr:from>
    <xdr:to>
      <xdr:col>66</xdr:col>
      <xdr:colOff>0</xdr:colOff>
      <xdr:row>5</xdr:row>
      <xdr:rowOff>0</xdr:rowOff>
    </xdr:to>
    <xdr:sp macro="JSON_TableHeaderClick" textlink="$BN$4">
      <xdr:nvSpPr>
        <xdr:cNvPr id="66" name="tReportingNew5_65">
          <a:extLst>
            <a:ext uri="{FF2B5EF4-FFF2-40B4-BE49-F238E27FC236}">
              <a16:creationId xmlns:a16="http://schemas.microsoft.com/office/drawing/2014/main" id="{D7BDCE4A-73D8-4E17-AC68-5A5A85859027}"/>
            </a:ext>
          </a:extLst>
        </xdr:cNvPr>
        <xdr:cNvSpPr/>
      </xdr:nvSpPr>
      <xdr:spPr>
        <a:xfrm>
          <a:off x="429672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A4DF5C7B-9D5D-4B7B-8FC5-40D3137F368C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OB Scope</a:t>
          </a:fld>
          <a:endParaRPr lang="fr-FR" sz="1100"/>
        </a:p>
      </xdr:txBody>
    </xdr:sp>
    <xdr:clientData/>
  </xdr:twoCellAnchor>
  <xdr:twoCellAnchor>
    <xdr:from>
      <xdr:col>66</xdr:col>
      <xdr:colOff>0</xdr:colOff>
      <xdr:row>3</xdr:row>
      <xdr:rowOff>0</xdr:rowOff>
    </xdr:from>
    <xdr:to>
      <xdr:col>67</xdr:col>
      <xdr:colOff>0</xdr:colOff>
      <xdr:row>5</xdr:row>
      <xdr:rowOff>0</xdr:rowOff>
    </xdr:to>
    <xdr:sp macro="JSON_TableHeaderClick" textlink="$BO$4">
      <xdr:nvSpPr>
        <xdr:cNvPr id="67" name="tReportingNew5_66">
          <a:extLst>
            <a:ext uri="{FF2B5EF4-FFF2-40B4-BE49-F238E27FC236}">
              <a16:creationId xmlns:a16="http://schemas.microsoft.com/office/drawing/2014/main" id="{9783BE67-AF8D-4CFF-87ED-20A393494503}"/>
            </a:ext>
          </a:extLst>
        </xdr:cNvPr>
        <xdr:cNvSpPr/>
      </xdr:nvSpPr>
      <xdr:spPr>
        <a:xfrm>
          <a:off x="436149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6414225A-6E58-4C1D-BDB3-748FC220C4AF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OB Variant</a:t>
          </a:fld>
          <a:endParaRPr lang="fr-FR" sz="1100"/>
        </a:p>
      </xdr:txBody>
    </xdr:sp>
    <xdr:clientData/>
  </xdr:twoCellAnchor>
  <xdr:twoCellAnchor>
    <xdr:from>
      <xdr:col>67</xdr:col>
      <xdr:colOff>0</xdr:colOff>
      <xdr:row>3</xdr:row>
      <xdr:rowOff>0</xdr:rowOff>
    </xdr:from>
    <xdr:to>
      <xdr:col>68</xdr:col>
      <xdr:colOff>0</xdr:colOff>
      <xdr:row>5</xdr:row>
      <xdr:rowOff>0</xdr:rowOff>
    </xdr:to>
    <xdr:sp macro="JSON_TableHeaderClick" textlink="$BP$4">
      <xdr:nvSpPr>
        <xdr:cNvPr id="68" name="tReportingNew5_67">
          <a:extLst>
            <a:ext uri="{FF2B5EF4-FFF2-40B4-BE49-F238E27FC236}">
              <a16:creationId xmlns:a16="http://schemas.microsoft.com/office/drawing/2014/main" id="{71C3E88E-F3AF-42C5-85E0-A43577DA59B3}"/>
            </a:ext>
          </a:extLst>
        </xdr:cNvPr>
        <xdr:cNvSpPr/>
      </xdr:nvSpPr>
      <xdr:spPr>
        <a:xfrm>
          <a:off x="442626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DB47E602-753A-40D5-8ABA-3155605FED3A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OB Currency</a:t>
          </a:fld>
          <a:endParaRPr lang="fr-FR" sz="1100"/>
        </a:p>
      </xdr:txBody>
    </xdr:sp>
    <xdr:clientData/>
  </xdr:twoCellAnchor>
  <xdr:twoCellAnchor>
    <xdr:from>
      <xdr:col>68</xdr:col>
      <xdr:colOff>0</xdr:colOff>
      <xdr:row>2</xdr:row>
      <xdr:rowOff>63500</xdr:rowOff>
    </xdr:from>
    <xdr:to>
      <xdr:col>69</xdr:col>
      <xdr:colOff>0</xdr:colOff>
      <xdr:row>5</xdr:row>
      <xdr:rowOff>0</xdr:rowOff>
    </xdr:to>
    <xdr:sp macro="JSON_TableHeaderClick" textlink="$BQ$4">
      <xdr:nvSpPr>
        <xdr:cNvPr id="69" name="tReportingNew5_68">
          <a:extLst>
            <a:ext uri="{FF2B5EF4-FFF2-40B4-BE49-F238E27FC236}">
              <a16:creationId xmlns:a16="http://schemas.microsoft.com/office/drawing/2014/main" id="{2B312066-8FF2-4C61-BA15-9BFD4DD15E07}"/>
            </a:ext>
          </a:extLst>
        </xdr:cNvPr>
        <xdr:cNvSpPr/>
      </xdr:nvSpPr>
      <xdr:spPr>
        <a:xfrm>
          <a:off x="44910375" y="444500"/>
          <a:ext cx="381000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C9BC5297-E406-4CAF-A323-805278ED8BF0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Operation</a:t>
          </a:fld>
          <a:endParaRPr lang="fr-FR" sz="1100"/>
        </a:p>
      </xdr:txBody>
    </xdr:sp>
    <xdr:clientData/>
  </xdr:twoCellAnchor>
  <xdr:twoCellAnchor>
    <xdr:from>
      <xdr:col>69</xdr:col>
      <xdr:colOff>0</xdr:colOff>
      <xdr:row>3</xdr:row>
      <xdr:rowOff>0</xdr:rowOff>
    </xdr:from>
    <xdr:to>
      <xdr:col>70</xdr:col>
      <xdr:colOff>0</xdr:colOff>
      <xdr:row>5</xdr:row>
      <xdr:rowOff>0</xdr:rowOff>
    </xdr:to>
    <xdr:sp macro="JSON_TableHeaderClick" textlink="$BR$4">
      <xdr:nvSpPr>
        <xdr:cNvPr id="70" name="tReportingNew5_69">
          <a:extLst>
            <a:ext uri="{FF2B5EF4-FFF2-40B4-BE49-F238E27FC236}">
              <a16:creationId xmlns:a16="http://schemas.microsoft.com/office/drawing/2014/main" id="{2787781D-C302-4020-A8A4-1D522B5D755F}"/>
            </a:ext>
          </a:extLst>
        </xdr:cNvPr>
        <xdr:cNvSpPr/>
      </xdr:nvSpPr>
      <xdr:spPr>
        <a:xfrm>
          <a:off x="45291375" y="571500"/>
          <a:ext cx="714375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0C2567A4-461D-4ED7-B751-A862DE812896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Operation: default?</a:t>
          </a:fld>
          <a:endParaRPr lang="fr-FR" sz="1100"/>
        </a:p>
      </xdr:txBody>
    </xdr:sp>
    <xdr:clientData/>
  </xdr:twoCellAnchor>
  <xdr:twoCellAnchor>
    <xdr:from>
      <xdr:col>70</xdr:col>
      <xdr:colOff>0</xdr:colOff>
      <xdr:row>3</xdr:row>
      <xdr:rowOff>0</xdr:rowOff>
    </xdr:from>
    <xdr:to>
      <xdr:col>71</xdr:col>
      <xdr:colOff>0</xdr:colOff>
      <xdr:row>5</xdr:row>
      <xdr:rowOff>0</xdr:rowOff>
    </xdr:to>
    <xdr:sp macro="JSON_TableHeaderClick" textlink="$BS$4">
      <xdr:nvSpPr>
        <xdr:cNvPr id="71" name="tReportingNew5_70">
          <a:extLst>
            <a:ext uri="{FF2B5EF4-FFF2-40B4-BE49-F238E27FC236}">
              <a16:creationId xmlns:a16="http://schemas.microsoft.com/office/drawing/2014/main" id="{534B1C23-5119-402D-93D0-6A151747358D}"/>
            </a:ext>
          </a:extLst>
        </xdr:cNvPr>
        <xdr:cNvSpPr/>
      </xdr:nvSpPr>
      <xdr:spPr>
        <a:xfrm>
          <a:off x="46005750" y="571500"/>
          <a:ext cx="14478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F892C86C-6140-483A-BAC2-4F7F836C498F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Cutoff Date</a:t>
          </a:fld>
          <a:endParaRPr lang="fr-FR" sz="1100"/>
        </a:p>
      </xdr:txBody>
    </xdr:sp>
    <xdr:clientData/>
  </xdr:twoCellAnchor>
  <xdr:twoCellAnchor>
    <xdr:from>
      <xdr:col>71</xdr:col>
      <xdr:colOff>0</xdr:colOff>
      <xdr:row>3</xdr:row>
      <xdr:rowOff>0</xdr:rowOff>
    </xdr:from>
    <xdr:to>
      <xdr:col>72</xdr:col>
      <xdr:colOff>0</xdr:colOff>
      <xdr:row>5</xdr:row>
      <xdr:rowOff>0</xdr:rowOff>
    </xdr:to>
    <xdr:sp macro="JSON_TableHeaderClick" textlink="$BT$4">
      <xdr:nvSpPr>
        <xdr:cNvPr id="72" name="tReportingNew5_71">
          <a:extLst>
            <a:ext uri="{FF2B5EF4-FFF2-40B4-BE49-F238E27FC236}">
              <a16:creationId xmlns:a16="http://schemas.microsoft.com/office/drawing/2014/main" id="{658D4E81-6ECF-4B4E-9D18-8B3289919296}"/>
            </a:ext>
          </a:extLst>
        </xdr:cNvPr>
        <xdr:cNvSpPr/>
      </xdr:nvSpPr>
      <xdr:spPr>
        <a:xfrm>
          <a:off x="47453550" y="571500"/>
          <a:ext cx="714375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EE77B63D-1618-4A33-919D-42C3EB06A33E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Early publishing?</a:t>
          </a:fld>
          <a:endParaRPr lang="fr-FR" sz="1100"/>
        </a:p>
      </xdr:txBody>
    </xdr:sp>
    <xdr:clientData/>
  </xdr:twoCellAnchor>
  <xdr:twoCellAnchor>
    <xdr:from>
      <xdr:col>72</xdr:col>
      <xdr:colOff>0</xdr:colOff>
      <xdr:row>2</xdr:row>
      <xdr:rowOff>63500</xdr:rowOff>
    </xdr:from>
    <xdr:to>
      <xdr:col>73</xdr:col>
      <xdr:colOff>0</xdr:colOff>
      <xdr:row>5</xdr:row>
      <xdr:rowOff>0</xdr:rowOff>
    </xdr:to>
    <xdr:sp macro="JSON_TableHeaderClick" textlink="$BU$4">
      <xdr:nvSpPr>
        <xdr:cNvPr id="73" name="tReportingNew5_72">
          <a:extLst>
            <a:ext uri="{FF2B5EF4-FFF2-40B4-BE49-F238E27FC236}">
              <a16:creationId xmlns:a16="http://schemas.microsoft.com/office/drawing/2014/main" id="{183B94C0-388F-4DE3-9CCE-71976BF38752}"/>
            </a:ext>
          </a:extLst>
        </xdr:cNvPr>
        <xdr:cNvSpPr/>
      </xdr:nvSpPr>
      <xdr:spPr>
        <a:xfrm>
          <a:off x="48167925" y="444500"/>
          <a:ext cx="381000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35133C87-03ED-4D19-910E-B873B91E982A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After publication</a:t>
          </a:fld>
          <a:endParaRPr lang="fr-FR" sz="1100"/>
        </a:p>
      </xdr:txBody>
    </xdr:sp>
    <xdr:clientData/>
  </xdr:twoCellAnchor>
  <xdr:twoCellAnchor>
    <xdr:from>
      <xdr:col>73</xdr:col>
      <xdr:colOff>0</xdr:colOff>
      <xdr:row>3</xdr:row>
      <xdr:rowOff>0</xdr:rowOff>
    </xdr:from>
    <xdr:to>
      <xdr:col>74</xdr:col>
      <xdr:colOff>0</xdr:colOff>
      <xdr:row>5</xdr:row>
      <xdr:rowOff>0</xdr:rowOff>
    </xdr:to>
    <xdr:sp macro="JSON_TableHeaderClick" textlink="$BV$4">
      <xdr:nvSpPr>
        <xdr:cNvPr id="74" name="tReportingNew5_73">
          <a:extLst>
            <a:ext uri="{FF2B5EF4-FFF2-40B4-BE49-F238E27FC236}">
              <a16:creationId xmlns:a16="http://schemas.microsoft.com/office/drawing/2014/main" id="{B3A6B91A-45A5-4473-9151-0FA867F071DD}"/>
            </a:ext>
          </a:extLst>
        </xdr:cNvPr>
        <xdr:cNvSpPr/>
      </xdr:nvSpPr>
      <xdr:spPr>
        <a:xfrm>
          <a:off x="4854892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AEB07CD8-A91C-4FCE-A52C-32FC2495B644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After publication: default?</a:t>
          </a:fld>
          <a:endParaRPr lang="fr-FR" sz="1100"/>
        </a:p>
      </xdr:txBody>
    </xdr:sp>
    <xdr:clientData/>
  </xdr:twoCellAnchor>
  <xdr:twoCellAnchor>
    <xdr:from>
      <xdr:col>74</xdr:col>
      <xdr:colOff>0</xdr:colOff>
      <xdr:row>3</xdr:row>
      <xdr:rowOff>0</xdr:rowOff>
    </xdr:from>
    <xdr:to>
      <xdr:col>75</xdr:col>
      <xdr:colOff>0</xdr:colOff>
      <xdr:row>5</xdr:row>
      <xdr:rowOff>0</xdr:rowOff>
    </xdr:to>
    <xdr:sp macro="JSON_TableHeaderClick" textlink="$BW$4">
      <xdr:nvSpPr>
        <xdr:cNvPr id="75" name="tReportingNew5_74">
          <a:extLst>
            <a:ext uri="{FF2B5EF4-FFF2-40B4-BE49-F238E27FC236}">
              <a16:creationId xmlns:a16="http://schemas.microsoft.com/office/drawing/2014/main" id="{8D39B57E-1BA0-4491-8E05-4E4A18EE03D4}"/>
            </a:ext>
          </a:extLst>
        </xdr:cNvPr>
        <xdr:cNvSpPr/>
      </xdr:nvSpPr>
      <xdr:spPr>
        <a:xfrm>
          <a:off x="4919662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493B77C5-C097-4F9C-8063-BADE0040FF53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Standard pub.</a:t>
          </a:fld>
          <a:endParaRPr lang="fr-FR" sz="1100"/>
        </a:p>
      </xdr:txBody>
    </xdr:sp>
    <xdr:clientData/>
  </xdr:twoCellAnchor>
  <xdr:twoCellAnchor>
    <xdr:from>
      <xdr:col>75</xdr:col>
      <xdr:colOff>0</xdr:colOff>
      <xdr:row>3</xdr:row>
      <xdr:rowOff>0</xdr:rowOff>
    </xdr:from>
    <xdr:to>
      <xdr:col>76</xdr:col>
      <xdr:colOff>0</xdr:colOff>
      <xdr:row>5</xdr:row>
      <xdr:rowOff>0</xdr:rowOff>
    </xdr:to>
    <xdr:sp macro="JSON_TableHeaderClick" textlink="$BX$4">
      <xdr:nvSpPr>
        <xdr:cNvPr id="76" name="tReportingNew5_75">
          <a:extLst>
            <a:ext uri="{FF2B5EF4-FFF2-40B4-BE49-F238E27FC236}">
              <a16:creationId xmlns:a16="http://schemas.microsoft.com/office/drawing/2014/main" id="{770B684C-72BA-4588-87AC-921DFD7BF5BD}"/>
            </a:ext>
          </a:extLst>
        </xdr:cNvPr>
        <xdr:cNvSpPr/>
      </xdr:nvSpPr>
      <xdr:spPr>
        <a:xfrm>
          <a:off x="4984432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D87C30D7-5453-48A7-BD9B-F86A9B92427A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Special pub.</a:t>
          </a:fld>
          <a:endParaRPr lang="fr-FR" sz="1100"/>
        </a:p>
      </xdr:txBody>
    </xdr:sp>
    <xdr:clientData/>
  </xdr:twoCellAnchor>
  <xdr:twoCellAnchor>
    <xdr:from>
      <xdr:col>76</xdr:col>
      <xdr:colOff>0</xdr:colOff>
      <xdr:row>3</xdr:row>
      <xdr:rowOff>0</xdr:rowOff>
    </xdr:from>
    <xdr:to>
      <xdr:col>77</xdr:col>
      <xdr:colOff>0</xdr:colOff>
      <xdr:row>5</xdr:row>
      <xdr:rowOff>0</xdr:rowOff>
    </xdr:to>
    <xdr:sp macro="JSON_TableHeaderClick" textlink="$BY$4">
      <xdr:nvSpPr>
        <xdr:cNvPr id="77" name="tReportingNew5_76">
          <a:extLst>
            <a:ext uri="{FF2B5EF4-FFF2-40B4-BE49-F238E27FC236}">
              <a16:creationId xmlns:a16="http://schemas.microsoft.com/office/drawing/2014/main" id="{B12D5E00-BD91-4FC1-BD02-621322888AAA}"/>
            </a:ext>
          </a:extLst>
        </xdr:cNvPr>
        <xdr:cNvSpPr/>
      </xdr:nvSpPr>
      <xdr:spPr>
        <a:xfrm>
          <a:off x="5049202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40BD8A5B-D425-4C20-B51D-72B689A83E88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Advanced pub.</a:t>
          </a:fld>
          <a:endParaRPr lang="fr-FR" sz="1100"/>
        </a:p>
      </xdr:txBody>
    </xdr:sp>
    <xdr:clientData/>
  </xdr:twoCellAnchor>
  <xdr:twoCellAnchor>
    <xdr:from>
      <xdr:col>77</xdr:col>
      <xdr:colOff>0</xdr:colOff>
      <xdr:row>3</xdr:row>
      <xdr:rowOff>0</xdr:rowOff>
    </xdr:from>
    <xdr:to>
      <xdr:col>78</xdr:col>
      <xdr:colOff>0</xdr:colOff>
      <xdr:row>5</xdr:row>
      <xdr:rowOff>0</xdr:rowOff>
    </xdr:to>
    <xdr:sp macro="JSON_TableHeaderClick" textlink="$BZ$4">
      <xdr:nvSpPr>
        <xdr:cNvPr id="78" name="tReportingNew5_77">
          <a:extLst>
            <a:ext uri="{FF2B5EF4-FFF2-40B4-BE49-F238E27FC236}">
              <a16:creationId xmlns:a16="http://schemas.microsoft.com/office/drawing/2014/main" id="{464FB5D0-0669-4AEF-A442-9A41CAA0FBF7}"/>
            </a:ext>
          </a:extLst>
        </xdr:cNvPr>
        <xdr:cNvSpPr/>
      </xdr:nvSpPr>
      <xdr:spPr>
        <a:xfrm>
          <a:off x="5113972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019F7FAE-282B-4BD9-BA25-D8BB144E6733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After pub. Level</a:t>
          </a:fld>
          <a:endParaRPr lang="fr-FR" sz="1100"/>
        </a:p>
      </xdr:txBody>
    </xdr:sp>
    <xdr:clientData/>
  </xdr:twoCellAnchor>
  <xdr:twoCellAnchor>
    <xdr:from>
      <xdr:col>78</xdr:col>
      <xdr:colOff>0</xdr:colOff>
      <xdr:row>2</xdr:row>
      <xdr:rowOff>63500</xdr:rowOff>
    </xdr:from>
    <xdr:to>
      <xdr:col>79</xdr:col>
      <xdr:colOff>0</xdr:colOff>
      <xdr:row>5</xdr:row>
      <xdr:rowOff>0</xdr:rowOff>
    </xdr:to>
    <xdr:sp macro="JSON_TableHeaderClick" textlink="$CA$4">
      <xdr:nvSpPr>
        <xdr:cNvPr id="79" name="tReportingNew5_78">
          <a:extLst>
            <a:ext uri="{FF2B5EF4-FFF2-40B4-BE49-F238E27FC236}">
              <a16:creationId xmlns:a16="http://schemas.microsoft.com/office/drawing/2014/main" id="{7C53E0E3-4F61-493E-8FD4-8375606625F9}"/>
            </a:ext>
          </a:extLst>
        </xdr:cNvPr>
        <xdr:cNvSpPr/>
      </xdr:nvSpPr>
      <xdr:spPr>
        <a:xfrm>
          <a:off x="51787425" y="444500"/>
          <a:ext cx="381000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D3EB17C0-4BA2-4AAD-BC9E-FE4FA4AE719A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After transfert</a:t>
          </a:fld>
          <a:endParaRPr lang="fr-FR" sz="1100"/>
        </a:p>
      </xdr:txBody>
    </xdr:sp>
    <xdr:clientData/>
  </xdr:twoCellAnchor>
  <xdr:twoCellAnchor>
    <xdr:from>
      <xdr:col>79</xdr:col>
      <xdr:colOff>0</xdr:colOff>
      <xdr:row>3</xdr:row>
      <xdr:rowOff>0</xdr:rowOff>
    </xdr:from>
    <xdr:to>
      <xdr:col>80</xdr:col>
      <xdr:colOff>0</xdr:colOff>
      <xdr:row>5</xdr:row>
      <xdr:rowOff>0</xdr:rowOff>
    </xdr:to>
    <xdr:sp macro="JSON_TableHeaderClick" textlink="$CB$4">
      <xdr:nvSpPr>
        <xdr:cNvPr id="80" name="tReportingNew5_79">
          <a:extLst>
            <a:ext uri="{FF2B5EF4-FFF2-40B4-BE49-F238E27FC236}">
              <a16:creationId xmlns:a16="http://schemas.microsoft.com/office/drawing/2014/main" id="{D835FFA8-9233-4D9F-A644-746CC3E1CDA9}"/>
            </a:ext>
          </a:extLst>
        </xdr:cNvPr>
        <xdr:cNvSpPr/>
      </xdr:nvSpPr>
      <xdr:spPr>
        <a:xfrm>
          <a:off x="5216842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C23C1150-ADD6-434E-B21E-C41503FF0CE1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After transfert: default?</a:t>
          </a:fld>
          <a:endParaRPr lang="fr-FR" sz="1100"/>
        </a:p>
      </xdr:txBody>
    </xdr:sp>
    <xdr:clientData/>
  </xdr:twoCellAnchor>
  <xdr:twoCellAnchor>
    <xdr:from>
      <xdr:col>80</xdr:col>
      <xdr:colOff>0</xdr:colOff>
      <xdr:row>3</xdr:row>
      <xdr:rowOff>0</xdr:rowOff>
    </xdr:from>
    <xdr:to>
      <xdr:col>81</xdr:col>
      <xdr:colOff>0</xdr:colOff>
      <xdr:row>5</xdr:row>
      <xdr:rowOff>0</xdr:rowOff>
    </xdr:to>
    <xdr:sp macro="JSON_TableHeaderClick" textlink="$CC$4">
      <xdr:nvSpPr>
        <xdr:cNvPr id="81" name="tReportingNew5_80">
          <a:extLst>
            <a:ext uri="{FF2B5EF4-FFF2-40B4-BE49-F238E27FC236}">
              <a16:creationId xmlns:a16="http://schemas.microsoft.com/office/drawing/2014/main" id="{F7AE1014-0614-45D7-8F74-CFC96AC8F58B}"/>
            </a:ext>
          </a:extLst>
        </xdr:cNvPr>
        <xdr:cNvSpPr/>
      </xdr:nvSpPr>
      <xdr:spPr>
        <a:xfrm>
          <a:off x="5281612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E8CE8870-3203-4D96-BA7B-52BCA05B9200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Standard tran.</a:t>
          </a:fld>
          <a:endParaRPr lang="fr-FR" sz="1100"/>
        </a:p>
      </xdr:txBody>
    </xdr:sp>
    <xdr:clientData/>
  </xdr:twoCellAnchor>
  <xdr:twoCellAnchor>
    <xdr:from>
      <xdr:col>81</xdr:col>
      <xdr:colOff>0</xdr:colOff>
      <xdr:row>3</xdr:row>
      <xdr:rowOff>0</xdr:rowOff>
    </xdr:from>
    <xdr:to>
      <xdr:col>82</xdr:col>
      <xdr:colOff>0</xdr:colOff>
      <xdr:row>5</xdr:row>
      <xdr:rowOff>0</xdr:rowOff>
    </xdr:to>
    <xdr:sp macro="JSON_TableHeaderClick" textlink="$CD$4">
      <xdr:nvSpPr>
        <xdr:cNvPr id="82" name="tReportingNew5_81">
          <a:extLst>
            <a:ext uri="{FF2B5EF4-FFF2-40B4-BE49-F238E27FC236}">
              <a16:creationId xmlns:a16="http://schemas.microsoft.com/office/drawing/2014/main" id="{19420AD3-D0DE-4F29-8D0C-E77428F26121}"/>
            </a:ext>
          </a:extLst>
        </xdr:cNvPr>
        <xdr:cNvSpPr/>
      </xdr:nvSpPr>
      <xdr:spPr>
        <a:xfrm>
          <a:off x="5346382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57F69806-ECB9-45BC-A1C2-7C30BAA96F5D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Special tran.</a:t>
          </a:fld>
          <a:endParaRPr lang="fr-FR" sz="1100"/>
        </a:p>
      </xdr:txBody>
    </xdr:sp>
    <xdr:clientData/>
  </xdr:twoCellAnchor>
  <xdr:twoCellAnchor>
    <xdr:from>
      <xdr:col>82</xdr:col>
      <xdr:colOff>0</xdr:colOff>
      <xdr:row>3</xdr:row>
      <xdr:rowOff>0</xdr:rowOff>
    </xdr:from>
    <xdr:to>
      <xdr:col>83</xdr:col>
      <xdr:colOff>0</xdr:colOff>
      <xdr:row>5</xdr:row>
      <xdr:rowOff>0</xdr:rowOff>
    </xdr:to>
    <xdr:sp macro="JSON_TableHeaderClick" textlink="$CE$4">
      <xdr:nvSpPr>
        <xdr:cNvPr id="83" name="tReportingNew5_82">
          <a:extLst>
            <a:ext uri="{FF2B5EF4-FFF2-40B4-BE49-F238E27FC236}">
              <a16:creationId xmlns:a16="http://schemas.microsoft.com/office/drawing/2014/main" id="{8C8E2F6F-B0C8-4DF3-852C-C2DA44A98612}"/>
            </a:ext>
          </a:extLst>
        </xdr:cNvPr>
        <xdr:cNvSpPr/>
      </xdr:nvSpPr>
      <xdr:spPr>
        <a:xfrm>
          <a:off x="5411152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5C8F8FEB-C18A-4D7D-AD80-4CAC0F4843C7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Advanced tran.</a:t>
          </a:fld>
          <a:endParaRPr lang="fr-FR" sz="1100"/>
        </a:p>
      </xdr:txBody>
    </xdr:sp>
    <xdr:clientData/>
  </xdr:twoCellAnchor>
  <xdr:twoCellAnchor>
    <xdr:from>
      <xdr:col>83</xdr:col>
      <xdr:colOff>0</xdr:colOff>
      <xdr:row>3</xdr:row>
      <xdr:rowOff>0</xdr:rowOff>
    </xdr:from>
    <xdr:to>
      <xdr:col>84</xdr:col>
      <xdr:colOff>0</xdr:colOff>
      <xdr:row>5</xdr:row>
      <xdr:rowOff>0</xdr:rowOff>
    </xdr:to>
    <xdr:sp macro="JSON_TableHeaderClick" textlink="$CF$4">
      <xdr:nvSpPr>
        <xdr:cNvPr id="84" name="tReportingNew5_83">
          <a:extLst>
            <a:ext uri="{FF2B5EF4-FFF2-40B4-BE49-F238E27FC236}">
              <a16:creationId xmlns:a16="http://schemas.microsoft.com/office/drawing/2014/main" id="{E52515B4-529E-4926-95E7-12539E301693}"/>
            </a:ext>
          </a:extLst>
        </xdr:cNvPr>
        <xdr:cNvSpPr/>
      </xdr:nvSpPr>
      <xdr:spPr>
        <a:xfrm>
          <a:off x="5475922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6E092AC6-30BC-4268-887A-2BAD0C930DD4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After tran. Level</a:t>
          </a:fld>
          <a:endParaRPr lang="fr-FR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</xdr:row>
      <xdr:rowOff>63500</xdr:rowOff>
    </xdr:from>
    <xdr:to>
      <xdr:col>2</xdr:col>
      <xdr:colOff>0</xdr:colOff>
      <xdr:row>5</xdr:row>
      <xdr:rowOff>0</xdr:rowOff>
    </xdr:to>
    <xdr:sp macro="JSON_TableHeaderClick" textlink="$B$4">
      <xdr:nvSpPr>
        <xdr:cNvPr id="2" name="tReporting52428888_1">
          <a:extLst>
            <a:ext uri="{FF2B5EF4-FFF2-40B4-BE49-F238E27FC236}">
              <a16:creationId xmlns:a16="http://schemas.microsoft.com/office/drawing/2014/main" id="{65936F92-CCD9-4253-8A30-A5340DEA11E9}"/>
            </a:ext>
          </a:extLst>
        </xdr:cNvPr>
        <xdr:cNvSpPr/>
      </xdr:nvSpPr>
      <xdr:spPr>
        <a:xfrm>
          <a:off x="447675" y="444500"/>
          <a:ext cx="381000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9333ED80-6AB2-4BBC-8307-C2F962639B57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Reporting</a:t>
          </a:fld>
          <a:endParaRPr lang="fr-FR" sz="1100"/>
        </a:p>
      </xdr:txBody>
    </xdr:sp>
    <xdr:clientData/>
  </xdr:twoCellAnchor>
  <xdr:twoCellAnchor>
    <xdr:from>
      <xdr:col>2</xdr:col>
      <xdr:colOff>0</xdr:colOff>
      <xdr:row>3</xdr:row>
      <xdr:rowOff>0</xdr:rowOff>
    </xdr:from>
    <xdr:to>
      <xdr:col>3</xdr:col>
      <xdr:colOff>0</xdr:colOff>
      <xdr:row>5</xdr:row>
      <xdr:rowOff>0</xdr:rowOff>
    </xdr:to>
    <xdr:sp macro="JSON_TableHeaderClick" textlink="$C$4">
      <xdr:nvSpPr>
        <xdr:cNvPr id="3" name="tReporting52428888_2">
          <a:extLst>
            <a:ext uri="{FF2B5EF4-FFF2-40B4-BE49-F238E27FC236}">
              <a16:creationId xmlns:a16="http://schemas.microsoft.com/office/drawing/2014/main" id="{8B67FEC6-8C1D-4D71-AF2C-E5627F8E0E2F}"/>
            </a:ext>
          </a:extLst>
        </xdr:cNvPr>
        <xdr:cNvSpPr/>
      </xdr:nvSpPr>
      <xdr:spPr>
        <a:xfrm>
          <a:off x="8286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547DB3B6-ACEA-4E1B-B2AD-ED61E5FDA370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Category</a:t>
          </a:fld>
          <a:endParaRPr lang="fr-FR" sz="1100"/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5</xdr:row>
      <xdr:rowOff>0</xdr:rowOff>
    </xdr:to>
    <xdr:sp macro="JSON_TableHeaderClick" textlink="$D$4">
      <xdr:nvSpPr>
        <xdr:cNvPr id="4" name="tReporting52428888_3">
          <a:extLst>
            <a:ext uri="{FF2B5EF4-FFF2-40B4-BE49-F238E27FC236}">
              <a16:creationId xmlns:a16="http://schemas.microsoft.com/office/drawing/2014/main" id="{FCE2920D-1FE9-48E0-8F40-B77B8EA0570A}"/>
            </a:ext>
          </a:extLst>
        </xdr:cNvPr>
        <xdr:cNvSpPr/>
      </xdr:nvSpPr>
      <xdr:spPr>
        <a:xfrm>
          <a:off x="14763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49351ED1-768B-4F30-A78D-51D414FD2502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Update Period</a:t>
          </a:fld>
          <a:endParaRPr lang="fr-FR" sz="1100"/>
        </a:p>
      </xdr:txBody>
    </xdr:sp>
    <xdr:clientData/>
  </xdr:twoCellAnchor>
  <xdr:twoCellAnchor>
    <xdr:from>
      <xdr:col>4</xdr:col>
      <xdr:colOff>0</xdr:colOff>
      <xdr:row>3</xdr:row>
      <xdr:rowOff>0</xdr:rowOff>
    </xdr:from>
    <xdr:to>
      <xdr:col>5</xdr:col>
      <xdr:colOff>0</xdr:colOff>
      <xdr:row>5</xdr:row>
      <xdr:rowOff>0</xdr:rowOff>
    </xdr:to>
    <xdr:sp macro="JSON_TableHeaderClick" textlink="$E$4">
      <xdr:nvSpPr>
        <xdr:cNvPr id="5" name="tReporting52428888_4">
          <a:extLst>
            <a:ext uri="{FF2B5EF4-FFF2-40B4-BE49-F238E27FC236}">
              <a16:creationId xmlns:a16="http://schemas.microsoft.com/office/drawing/2014/main" id="{C1A06548-BDB5-4991-93D4-6D7BC86FA4E2}"/>
            </a:ext>
          </a:extLst>
        </xdr:cNvPr>
        <xdr:cNvSpPr/>
      </xdr:nvSpPr>
      <xdr:spPr>
        <a:xfrm>
          <a:off x="21240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46241C98-469B-4E94-B613-08102216AFC4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Category version</a:t>
          </a:fld>
          <a:endParaRPr lang="fr-FR" sz="1100"/>
        </a:p>
      </xdr:txBody>
    </xdr:sp>
    <xdr:clientData/>
  </xdr:twoCellAnchor>
  <xdr:twoCellAnchor>
    <xdr:from>
      <xdr:col>5</xdr:col>
      <xdr:colOff>0</xdr:colOff>
      <xdr:row>3</xdr:row>
      <xdr:rowOff>0</xdr:rowOff>
    </xdr:from>
    <xdr:to>
      <xdr:col>6</xdr:col>
      <xdr:colOff>0</xdr:colOff>
      <xdr:row>5</xdr:row>
      <xdr:rowOff>0</xdr:rowOff>
    </xdr:to>
    <xdr:sp macro="JSON_TableHeaderClick" textlink="$F$4">
      <xdr:nvSpPr>
        <xdr:cNvPr id="6" name="tReporting52428888_5">
          <a:extLst>
            <a:ext uri="{FF2B5EF4-FFF2-40B4-BE49-F238E27FC236}">
              <a16:creationId xmlns:a16="http://schemas.microsoft.com/office/drawing/2014/main" id="{2C90C9B2-6506-4AD4-975B-A5C1837DB9E2}"/>
            </a:ext>
          </a:extLst>
        </xdr:cNvPr>
        <xdr:cNvSpPr/>
      </xdr:nvSpPr>
      <xdr:spPr>
        <a:xfrm>
          <a:off x="2771775" y="571500"/>
          <a:ext cx="14478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BA9F40F5-FD5F-4F9B-874F-E15BC90D6768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Start date</a:t>
          </a:fld>
          <a:endParaRPr lang="fr-FR" sz="1100"/>
        </a:p>
      </xdr:txBody>
    </xdr:sp>
    <xdr:clientData/>
  </xdr:twoCellAnchor>
  <xdr:twoCellAnchor>
    <xdr:from>
      <xdr:col>6</xdr:col>
      <xdr:colOff>0</xdr:colOff>
      <xdr:row>3</xdr:row>
      <xdr:rowOff>0</xdr:rowOff>
    </xdr:from>
    <xdr:to>
      <xdr:col>7</xdr:col>
      <xdr:colOff>0</xdr:colOff>
      <xdr:row>5</xdr:row>
      <xdr:rowOff>0</xdr:rowOff>
    </xdr:to>
    <xdr:sp macro="JSON_TableHeaderClick" textlink="$G$4">
      <xdr:nvSpPr>
        <xdr:cNvPr id="7" name="tReporting52428888_6">
          <a:extLst>
            <a:ext uri="{FF2B5EF4-FFF2-40B4-BE49-F238E27FC236}">
              <a16:creationId xmlns:a16="http://schemas.microsoft.com/office/drawing/2014/main" id="{20455607-C332-44A3-8E94-09B5686EAE56}"/>
            </a:ext>
          </a:extLst>
        </xdr:cNvPr>
        <xdr:cNvSpPr/>
      </xdr:nvSpPr>
      <xdr:spPr>
        <a:xfrm>
          <a:off x="4219575" y="571500"/>
          <a:ext cx="14478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26A8AC3D-BF3C-4E88-A6FF-42A58BBD5369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End date</a:t>
          </a:fld>
          <a:endParaRPr lang="fr-FR" sz="1100"/>
        </a:p>
      </xdr:txBody>
    </xdr:sp>
    <xdr:clientData/>
  </xdr:twoCellAnchor>
  <xdr:twoCellAnchor>
    <xdr:from>
      <xdr:col>7</xdr:col>
      <xdr:colOff>0</xdr:colOff>
      <xdr:row>2</xdr:row>
      <xdr:rowOff>63500</xdr:rowOff>
    </xdr:from>
    <xdr:to>
      <xdr:col>8</xdr:col>
      <xdr:colOff>0</xdr:colOff>
      <xdr:row>5</xdr:row>
      <xdr:rowOff>0</xdr:rowOff>
    </xdr:to>
    <xdr:sp macro="JSON_TableHeaderClick" textlink="$H$4">
      <xdr:nvSpPr>
        <xdr:cNvPr id="8" name="tReporting52428888_7">
          <a:extLst>
            <a:ext uri="{FF2B5EF4-FFF2-40B4-BE49-F238E27FC236}">
              <a16:creationId xmlns:a16="http://schemas.microsoft.com/office/drawing/2014/main" id="{D0307738-CF66-475C-84BA-BCE39F6BA3FC}"/>
            </a:ext>
          </a:extLst>
        </xdr:cNvPr>
        <xdr:cNvSpPr/>
      </xdr:nvSpPr>
      <xdr:spPr>
        <a:xfrm>
          <a:off x="5667375" y="444500"/>
          <a:ext cx="381000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C171E7ED-D8B5-48B4-9FAE-B5D69692D92D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Descriptions</a:t>
          </a:fld>
          <a:endParaRPr lang="fr-FR" sz="1100"/>
        </a:p>
      </xdr:txBody>
    </xdr:sp>
    <xdr:clientData/>
  </xdr:twoCellAnchor>
  <xdr:twoCellAnchor>
    <xdr:from>
      <xdr:col>8</xdr:col>
      <xdr:colOff>0</xdr:colOff>
      <xdr:row>2</xdr:row>
      <xdr:rowOff>63500</xdr:rowOff>
    </xdr:from>
    <xdr:to>
      <xdr:col>9</xdr:col>
      <xdr:colOff>0</xdr:colOff>
      <xdr:row>5</xdr:row>
      <xdr:rowOff>0</xdr:rowOff>
    </xdr:to>
    <xdr:sp macro="JSON_TableHeaderClick" textlink="$I$4">
      <xdr:nvSpPr>
        <xdr:cNvPr id="9" name="tReporting52428888_8">
          <a:extLst>
            <a:ext uri="{FF2B5EF4-FFF2-40B4-BE49-F238E27FC236}">
              <a16:creationId xmlns:a16="http://schemas.microsoft.com/office/drawing/2014/main" id="{DB075C7B-5F94-4BD4-A993-6B4F67E8AF65}"/>
            </a:ext>
          </a:extLst>
        </xdr:cNvPr>
        <xdr:cNvSpPr/>
      </xdr:nvSpPr>
      <xdr:spPr>
        <a:xfrm>
          <a:off x="6048375" y="444500"/>
          <a:ext cx="381000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E895948E-2912-4A85-B533-1FACFB239016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Package</a:t>
          </a:fld>
          <a:endParaRPr lang="fr-FR" sz="1100"/>
        </a:p>
      </xdr:txBody>
    </xdr:sp>
    <xdr:clientData/>
  </xdr:twoCellAnchor>
  <xdr:twoCellAnchor>
    <xdr:from>
      <xdr:col>9</xdr:col>
      <xdr:colOff>0</xdr:colOff>
      <xdr:row>3</xdr:row>
      <xdr:rowOff>0</xdr:rowOff>
    </xdr:from>
    <xdr:to>
      <xdr:col>10</xdr:col>
      <xdr:colOff>0</xdr:colOff>
      <xdr:row>5</xdr:row>
      <xdr:rowOff>0</xdr:rowOff>
    </xdr:to>
    <xdr:sp macro="JSON_TableHeaderClick" textlink="$J$4">
      <xdr:nvSpPr>
        <xdr:cNvPr id="10" name="tReporting52428888_9">
          <a:extLst>
            <a:ext uri="{FF2B5EF4-FFF2-40B4-BE49-F238E27FC236}">
              <a16:creationId xmlns:a16="http://schemas.microsoft.com/office/drawing/2014/main" id="{57CA1DAB-A622-433B-A135-85131EDED207}"/>
            </a:ext>
          </a:extLst>
        </xdr:cNvPr>
        <xdr:cNvSpPr/>
      </xdr:nvSpPr>
      <xdr:spPr>
        <a:xfrm>
          <a:off x="64293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E21A1F2E-2F72-4472-A49E-1CA11237A36C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Default Windows Folder?</a:t>
          </a:fld>
          <a:endParaRPr lang="fr-FR" sz="1100"/>
        </a:p>
      </xdr:txBody>
    </xdr:sp>
    <xdr:clientData/>
  </xdr:twoCellAnchor>
  <xdr:twoCellAnchor>
    <xdr:from>
      <xdr:col>10</xdr:col>
      <xdr:colOff>0</xdr:colOff>
      <xdr:row>3</xdr:row>
      <xdr:rowOff>0</xdr:rowOff>
    </xdr:from>
    <xdr:to>
      <xdr:col>11</xdr:col>
      <xdr:colOff>0</xdr:colOff>
      <xdr:row>5</xdr:row>
      <xdr:rowOff>0</xdr:rowOff>
    </xdr:to>
    <xdr:sp macro="JSON_TableHeaderClick" textlink="$K$4">
      <xdr:nvSpPr>
        <xdr:cNvPr id="11" name="tReporting52428888_10">
          <a:extLst>
            <a:ext uri="{FF2B5EF4-FFF2-40B4-BE49-F238E27FC236}">
              <a16:creationId xmlns:a16="http://schemas.microsoft.com/office/drawing/2014/main" id="{55CE8E71-A8AB-4290-B2BE-55EFE636F13A}"/>
            </a:ext>
          </a:extLst>
        </xdr:cNvPr>
        <xdr:cNvSpPr/>
      </xdr:nvSpPr>
      <xdr:spPr>
        <a:xfrm>
          <a:off x="70770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FC8A1008-BFA6-46C5-8AF6-6CA1B54AA991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Windows folder</a:t>
          </a:fld>
          <a:endParaRPr lang="fr-FR" sz="1100"/>
        </a:p>
      </xdr:txBody>
    </xdr:sp>
    <xdr:clientData/>
  </xdr:twoCellAnchor>
  <xdr:twoCellAnchor>
    <xdr:from>
      <xdr:col>11</xdr:col>
      <xdr:colOff>0</xdr:colOff>
      <xdr:row>3</xdr:row>
      <xdr:rowOff>0</xdr:rowOff>
    </xdr:from>
    <xdr:to>
      <xdr:col>12</xdr:col>
      <xdr:colOff>0</xdr:colOff>
      <xdr:row>5</xdr:row>
      <xdr:rowOff>0</xdr:rowOff>
    </xdr:to>
    <xdr:sp macro="JSON_TableHeaderClick" textlink="$L$4">
      <xdr:nvSpPr>
        <xdr:cNvPr id="12" name="tReporting52428888_11">
          <a:extLst>
            <a:ext uri="{FF2B5EF4-FFF2-40B4-BE49-F238E27FC236}">
              <a16:creationId xmlns:a16="http://schemas.microsoft.com/office/drawing/2014/main" id="{85A0CF7F-E0C1-430D-AD6A-2B967373E084}"/>
            </a:ext>
          </a:extLst>
        </xdr:cNvPr>
        <xdr:cNvSpPr/>
      </xdr:nvSpPr>
      <xdr:spPr>
        <a:xfrm>
          <a:off x="77247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B01BE2FC-1F86-4DA2-B801-AE5EC3A274FB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Default Internet Folder?</a:t>
          </a:fld>
          <a:endParaRPr lang="fr-FR" sz="1100"/>
        </a:p>
      </xdr:txBody>
    </xdr:sp>
    <xdr:clientData/>
  </xdr:twoCellAnchor>
  <xdr:twoCellAnchor>
    <xdr:from>
      <xdr:col>12</xdr:col>
      <xdr:colOff>0</xdr:colOff>
      <xdr:row>3</xdr:row>
      <xdr:rowOff>0</xdr:rowOff>
    </xdr:from>
    <xdr:to>
      <xdr:col>13</xdr:col>
      <xdr:colOff>0</xdr:colOff>
      <xdr:row>5</xdr:row>
      <xdr:rowOff>0</xdr:rowOff>
    </xdr:to>
    <xdr:sp macro="JSON_TableHeaderClick" textlink="$M$4">
      <xdr:nvSpPr>
        <xdr:cNvPr id="13" name="tReporting52428888_12">
          <a:extLst>
            <a:ext uri="{FF2B5EF4-FFF2-40B4-BE49-F238E27FC236}">
              <a16:creationId xmlns:a16="http://schemas.microsoft.com/office/drawing/2014/main" id="{45190ECB-5306-4B3E-B820-44DC24439481}"/>
            </a:ext>
          </a:extLst>
        </xdr:cNvPr>
        <xdr:cNvSpPr/>
      </xdr:nvSpPr>
      <xdr:spPr>
        <a:xfrm>
          <a:off x="83724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F81BE802-0D9F-4843-AC49-EFF09477B4C8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Internet folder</a:t>
          </a:fld>
          <a:endParaRPr lang="fr-FR" sz="1100"/>
        </a:p>
      </xdr:txBody>
    </xdr:sp>
    <xdr:clientData/>
  </xdr:twoCellAnchor>
  <xdr:twoCellAnchor>
    <xdr:from>
      <xdr:col>13</xdr:col>
      <xdr:colOff>0</xdr:colOff>
      <xdr:row>3</xdr:row>
      <xdr:rowOff>0</xdr:rowOff>
    </xdr:from>
    <xdr:to>
      <xdr:col>14</xdr:col>
      <xdr:colOff>0</xdr:colOff>
      <xdr:row>5</xdr:row>
      <xdr:rowOff>0</xdr:rowOff>
    </xdr:to>
    <xdr:sp macro="JSON_TableHeaderClick" textlink="$N$4">
      <xdr:nvSpPr>
        <xdr:cNvPr id="14" name="tReporting52428888_13">
          <a:extLst>
            <a:ext uri="{FF2B5EF4-FFF2-40B4-BE49-F238E27FC236}">
              <a16:creationId xmlns:a16="http://schemas.microsoft.com/office/drawing/2014/main" id="{42AB6B60-067A-4F60-A652-9EA0633FD53A}"/>
            </a:ext>
          </a:extLst>
        </xdr:cNvPr>
        <xdr:cNvSpPr/>
      </xdr:nvSpPr>
      <xdr:spPr>
        <a:xfrm>
          <a:off x="90201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D38A2013-335B-4DC2-BE56-817EFAC34C69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Control Set: default?</a:t>
          </a:fld>
          <a:endParaRPr lang="fr-FR" sz="1100"/>
        </a:p>
      </xdr:txBody>
    </xdr:sp>
    <xdr:clientData/>
  </xdr:twoCellAnchor>
  <xdr:twoCellAnchor>
    <xdr:from>
      <xdr:col>14</xdr:col>
      <xdr:colOff>0</xdr:colOff>
      <xdr:row>3</xdr:row>
      <xdr:rowOff>0</xdr:rowOff>
    </xdr:from>
    <xdr:to>
      <xdr:col>15</xdr:col>
      <xdr:colOff>0</xdr:colOff>
      <xdr:row>5</xdr:row>
      <xdr:rowOff>0</xdr:rowOff>
    </xdr:to>
    <xdr:sp macro="JSON_TableHeaderClick" textlink="$O$4">
      <xdr:nvSpPr>
        <xdr:cNvPr id="15" name="tReporting52428888_14">
          <a:extLst>
            <a:ext uri="{FF2B5EF4-FFF2-40B4-BE49-F238E27FC236}">
              <a16:creationId xmlns:a16="http://schemas.microsoft.com/office/drawing/2014/main" id="{0A4A7AC6-2BCF-420E-9B6C-3132CF5A2600}"/>
            </a:ext>
          </a:extLst>
        </xdr:cNvPr>
        <xdr:cNvSpPr/>
      </xdr:nvSpPr>
      <xdr:spPr>
        <a:xfrm>
          <a:off x="96678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0C660F53-6E1F-43E3-955B-FD4307B06497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Control Set</a:t>
          </a:fld>
          <a:endParaRPr lang="fr-FR" sz="1100"/>
        </a:p>
      </xdr:txBody>
    </xdr:sp>
    <xdr:clientData/>
  </xdr:twoCellAnchor>
  <xdr:twoCellAnchor>
    <xdr:from>
      <xdr:col>15</xdr:col>
      <xdr:colOff>0</xdr:colOff>
      <xdr:row>3</xdr:row>
      <xdr:rowOff>0</xdr:rowOff>
    </xdr:from>
    <xdr:to>
      <xdr:col>16</xdr:col>
      <xdr:colOff>0</xdr:colOff>
      <xdr:row>5</xdr:row>
      <xdr:rowOff>0</xdr:rowOff>
    </xdr:to>
    <xdr:sp macro="JSON_TableHeaderClick" textlink="$P$4">
      <xdr:nvSpPr>
        <xdr:cNvPr id="16" name="tReporting52428888_15">
          <a:extLst>
            <a:ext uri="{FF2B5EF4-FFF2-40B4-BE49-F238E27FC236}">
              <a16:creationId xmlns:a16="http://schemas.microsoft.com/office/drawing/2014/main" id="{286EEEEB-17E6-45C0-A7B9-62F7EABC009F}"/>
            </a:ext>
          </a:extLst>
        </xdr:cNvPr>
        <xdr:cNvSpPr/>
      </xdr:nvSpPr>
      <xdr:spPr>
        <a:xfrm>
          <a:off x="103155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27F5BE9E-010C-44ED-91F8-E00971499ACF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Default Level?</a:t>
          </a:fld>
          <a:endParaRPr lang="fr-FR" sz="1100"/>
        </a:p>
      </xdr:txBody>
    </xdr:sp>
    <xdr:clientData/>
  </xdr:twoCellAnchor>
  <xdr:twoCellAnchor>
    <xdr:from>
      <xdr:col>16</xdr:col>
      <xdr:colOff>0</xdr:colOff>
      <xdr:row>3</xdr:row>
      <xdr:rowOff>0</xdr:rowOff>
    </xdr:from>
    <xdr:to>
      <xdr:col>17</xdr:col>
      <xdr:colOff>0</xdr:colOff>
      <xdr:row>5</xdr:row>
      <xdr:rowOff>0</xdr:rowOff>
    </xdr:to>
    <xdr:sp macro="JSON_TableHeaderClick" textlink="$Q$4">
      <xdr:nvSpPr>
        <xdr:cNvPr id="17" name="tReporting52428888_16">
          <a:extLst>
            <a:ext uri="{FF2B5EF4-FFF2-40B4-BE49-F238E27FC236}">
              <a16:creationId xmlns:a16="http://schemas.microsoft.com/office/drawing/2014/main" id="{9A544BD6-946C-4886-A8E0-302FCAC1A20D}"/>
            </a:ext>
          </a:extLst>
        </xdr:cNvPr>
        <xdr:cNvSpPr/>
      </xdr:nvSpPr>
      <xdr:spPr>
        <a:xfrm>
          <a:off x="109632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F488230E-7B02-421D-BA0D-737A6AB65311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Control Level</a:t>
          </a:fld>
          <a:endParaRPr lang="fr-FR" sz="1100"/>
        </a:p>
      </xdr:txBody>
    </xdr:sp>
    <xdr:clientData/>
  </xdr:twoCellAnchor>
  <xdr:twoCellAnchor>
    <xdr:from>
      <xdr:col>17</xdr:col>
      <xdr:colOff>0</xdr:colOff>
      <xdr:row>3</xdr:row>
      <xdr:rowOff>0</xdr:rowOff>
    </xdr:from>
    <xdr:to>
      <xdr:col>18</xdr:col>
      <xdr:colOff>0</xdr:colOff>
      <xdr:row>5</xdr:row>
      <xdr:rowOff>0</xdr:rowOff>
    </xdr:to>
    <xdr:sp macro="JSON_TableHeaderClick" textlink="$R$4">
      <xdr:nvSpPr>
        <xdr:cNvPr id="18" name="tReporting52428888_17">
          <a:extLst>
            <a:ext uri="{FF2B5EF4-FFF2-40B4-BE49-F238E27FC236}">
              <a16:creationId xmlns:a16="http://schemas.microsoft.com/office/drawing/2014/main" id="{D4ACFE58-4FED-4A10-9F9C-27174C1D5954}"/>
            </a:ext>
          </a:extLst>
        </xdr:cNvPr>
        <xdr:cNvSpPr/>
      </xdr:nvSpPr>
      <xdr:spPr>
        <a:xfrm>
          <a:off x="116109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8CEC405B-0F59-4246-B6D2-DD01F25C7F80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Blocking?</a:t>
          </a:fld>
          <a:endParaRPr lang="fr-FR" sz="1100"/>
        </a:p>
      </xdr:txBody>
    </xdr:sp>
    <xdr:clientData/>
  </xdr:twoCellAnchor>
  <xdr:twoCellAnchor>
    <xdr:from>
      <xdr:col>18</xdr:col>
      <xdr:colOff>0</xdr:colOff>
      <xdr:row>3</xdr:row>
      <xdr:rowOff>0</xdr:rowOff>
    </xdr:from>
    <xdr:to>
      <xdr:col>19</xdr:col>
      <xdr:colOff>0</xdr:colOff>
      <xdr:row>5</xdr:row>
      <xdr:rowOff>0</xdr:rowOff>
    </xdr:to>
    <xdr:sp macro="JSON_TableHeaderClick" textlink="$S$4">
      <xdr:nvSpPr>
        <xdr:cNvPr id="19" name="tReporting52428888_18">
          <a:extLst>
            <a:ext uri="{FF2B5EF4-FFF2-40B4-BE49-F238E27FC236}">
              <a16:creationId xmlns:a16="http://schemas.microsoft.com/office/drawing/2014/main" id="{45257199-F366-4C2E-8CE1-04C85BA23BE7}"/>
            </a:ext>
          </a:extLst>
        </xdr:cNvPr>
        <xdr:cNvSpPr/>
      </xdr:nvSpPr>
      <xdr:spPr>
        <a:xfrm>
          <a:off x="122586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E960E47D-AD8B-4A49-9196-6ED73151B2A0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Lock: default?</a:t>
          </a:fld>
          <a:endParaRPr lang="fr-FR" sz="1100"/>
        </a:p>
      </xdr:txBody>
    </xdr:sp>
    <xdr:clientData/>
  </xdr:twoCellAnchor>
  <xdr:twoCellAnchor>
    <xdr:from>
      <xdr:col>19</xdr:col>
      <xdr:colOff>0</xdr:colOff>
      <xdr:row>3</xdr:row>
      <xdr:rowOff>0</xdr:rowOff>
    </xdr:from>
    <xdr:to>
      <xdr:col>20</xdr:col>
      <xdr:colOff>0</xdr:colOff>
      <xdr:row>5</xdr:row>
      <xdr:rowOff>0</xdr:rowOff>
    </xdr:to>
    <xdr:sp macro="JSON_TableHeaderClick" textlink="$T$4">
      <xdr:nvSpPr>
        <xdr:cNvPr id="20" name="tReporting52428888_19">
          <a:extLst>
            <a:ext uri="{FF2B5EF4-FFF2-40B4-BE49-F238E27FC236}">
              <a16:creationId xmlns:a16="http://schemas.microsoft.com/office/drawing/2014/main" id="{DD0AAC45-9366-4BE5-B3A3-8C0E1260B177}"/>
            </a:ext>
          </a:extLst>
        </xdr:cNvPr>
        <xdr:cNvSpPr/>
      </xdr:nvSpPr>
      <xdr:spPr>
        <a:xfrm>
          <a:off x="129063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786EDC55-FD41-4BD4-B324-71E7FE666FA7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Lock on publication</a:t>
          </a:fld>
          <a:endParaRPr lang="fr-FR" sz="1100"/>
        </a:p>
      </xdr:txBody>
    </xdr:sp>
    <xdr:clientData/>
  </xdr:twoCellAnchor>
  <xdr:twoCellAnchor>
    <xdr:from>
      <xdr:col>20</xdr:col>
      <xdr:colOff>0</xdr:colOff>
      <xdr:row>3</xdr:row>
      <xdr:rowOff>0</xdr:rowOff>
    </xdr:from>
    <xdr:to>
      <xdr:col>21</xdr:col>
      <xdr:colOff>0</xdr:colOff>
      <xdr:row>5</xdr:row>
      <xdr:rowOff>0</xdr:rowOff>
    </xdr:to>
    <xdr:sp macro="JSON_TableHeaderClick" textlink="$U$4">
      <xdr:nvSpPr>
        <xdr:cNvPr id="21" name="tReporting52428888_20">
          <a:extLst>
            <a:ext uri="{FF2B5EF4-FFF2-40B4-BE49-F238E27FC236}">
              <a16:creationId xmlns:a16="http://schemas.microsoft.com/office/drawing/2014/main" id="{5239AD21-691C-4C61-806A-A9B158BD5784}"/>
            </a:ext>
          </a:extLst>
        </xdr:cNvPr>
        <xdr:cNvSpPr/>
      </xdr:nvSpPr>
      <xdr:spPr>
        <a:xfrm>
          <a:off x="135540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1EB9D3A0-323F-4C1A-A104-23D4B0FA05B6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Rule Set: default?</a:t>
          </a:fld>
          <a:endParaRPr lang="fr-FR" sz="1100"/>
        </a:p>
      </xdr:txBody>
    </xdr:sp>
    <xdr:clientData/>
  </xdr:twoCellAnchor>
  <xdr:twoCellAnchor>
    <xdr:from>
      <xdr:col>21</xdr:col>
      <xdr:colOff>0</xdr:colOff>
      <xdr:row>3</xdr:row>
      <xdr:rowOff>0</xdr:rowOff>
    </xdr:from>
    <xdr:to>
      <xdr:col>22</xdr:col>
      <xdr:colOff>0</xdr:colOff>
      <xdr:row>5</xdr:row>
      <xdr:rowOff>0</xdr:rowOff>
    </xdr:to>
    <xdr:sp macro="JSON_TableHeaderClick" textlink="$V$4">
      <xdr:nvSpPr>
        <xdr:cNvPr id="22" name="tReporting52428888_21">
          <a:extLst>
            <a:ext uri="{FF2B5EF4-FFF2-40B4-BE49-F238E27FC236}">
              <a16:creationId xmlns:a16="http://schemas.microsoft.com/office/drawing/2014/main" id="{A79D9E80-896F-44F6-ADF5-363A62B368EF}"/>
            </a:ext>
          </a:extLst>
        </xdr:cNvPr>
        <xdr:cNvSpPr/>
      </xdr:nvSpPr>
      <xdr:spPr>
        <a:xfrm>
          <a:off x="142017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2D5F4D26-5C26-466A-85C0-ED4A65F68526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Rule Set</a:t>
          </a:fld>
          <a:endParaRPr lang="fr-FR" sz="1100"/>
        </a:p>
      </xdr:txBody>
    </xdr:sp>
    <xdr:clientData/>
  </xdr:twoCellAnchor>
  <xdr:twoCellAnchor>
    <xdr:from>
      <xdr:col>22</xdr:col>
      <xdr:colOff>0</xdr:colOff>
      <xdr:row>3</xdr:row>
      <xdr:rowOff>0</xdr:rowOff>
    </xdr:from>
    <xdr:to>
      <xdr:col>23</xdr:col>
      <xdr:colOff>0</xdr:colOff>
      <xdr:row>5</xdr:row>
      <xdr:rowOff>0</xdr:rowOff>
    </xdr:to>
    <xdr:sp macro="JSON_TableHeaderClick" textlink="$W$4">
      <xdr:nvSpPr>
        <xdr:cNvPr id="23" name="tReporting52428888_22">
          <a:extLst>
            <a:ext uri="{FF2B5EF4-FFF2-40B4-BE49-F238E27FC236}">
              <a16:creationId xmlns:a16="http://schemas.microsoft.com/office/drawing/2014/main" id="{509BE20C-4DA5-457A-8DD0-2D8CA1E5310A}"/>
            </a:ext>
          </a:extLst>
        </xdr:cNvPr>
        <xdr:cNvSpPr/>
      </xdr:nvSpPr>
      <xdr:spPr>
        <a:xfrm>
          <a:off x="148494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99F8BCBA-B6A7-4F1D-AC61-DE5C5C93AE87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Opening balance: default?</a:t>
          </a:fld>
          <a:endParaRPr lang="fr-FR" sz="1100"/>
        </a:p>
      </xdr:txBody>
    </xdr:sp>
    <xdr:clientData/>
  </xdr:twoCellAnchor>
  <xdr:twoCellAnchor>
    <xdr:from>
      <xdr:col>23</xdr:col>
      <xdr:colOff>0</xdr:colOff>
      <xdr:row>3</xdr:row>
      <xdr:rowOff>0</xdr:rowOff>
    </xdr:from>
    <xdr:to>
      <xdr:col>24</xdr:col>
      <xdr:colOff>0</xdr:colOff>
      <xdr:row>5</xdr:row>
      <xdr:rowOff>0</xdr:rowOff>
    </xdr:to>
    <xdr:sp macro="JSON_TableHeaderClick" textlink="$X$4">
      <xdr:nvSpPr>
        <xdr:cNvPr id="24" name="tReporting52428888_23">
          <a:extLst>
            <a:ext uri="{FF2B5EF4-FFF2-40B4-BE49-F238E27FC236}">
              <a16:creationId xmlns:a16="http://schemas.microsoft.com/office/drawing/2014/main" id="{D64E8236-DC36-4FD2-B1B3-207E6EADE538}"/>
            </a:ext>
          </a:extLst>
        </xdr:cNvPr>
        <xdr:cNvSpPr/>
      </xdr:nvSpPr>
      <xdr:spPr>
        <a:xfrm>
          <a:off x="154971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DCA6F5E6-DA2C-4418-B3C4-810F0916770C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Opening balance?</a:t>
          </a:fld>
          <a:endParaRPr lang="fr-FR" sz="1100"/>
        </a:p>
      </xdr:txBody>
    </xdr:sp>
    <xdr:clientData/>
  </xdr:twoCellAnchor>
  <xdr:twoCellAnchor>
    <xdr:from>
      <xdr:col>24</xdr:col>
      <xdr:colOff>0</xdr:colOff>
      <xdr:row>3</xdr:row>
      <xdr:rowOff>0</xdr:rowOff>
    </xdr:from>
    <xdr:to>
      <xdr:col>25</xdr:col>
      <xdr:colOff>0</xdr:colOff>
      <xdr:row>5</xdr:row>
      <xdr:rowOff>0</xdr:rowOff>
    </xdr:to>
    <xdr:sp macro="JSON_TableHeaderClick" textlink="$Y$4">
      <xdr:nvSpPr>
        <xdr:cNvPr id="25" name="tReporting52428888_24">
          <a:extLst>
            <a:ext uri="{FF2B5EF4-FFF2-40B4-BE49-F238E27FC236}">
              <a16:creationId xmlns:a16="http://schemas.microsoft.com/office/drawing/2014/main" id="{CC98D334-FFD7-4F39-8B5B-FB311501A264}"/>
            </a:ext>
          </a:extLst>
        </xdr:cNvPr>
        <xdr:cNvSpPr/>
      </xdr:nvSpPr>
      <xdr:spPr>
        <a:xfrm>
          <a:off x="161448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AC438777-4BA0-4FF9-AC3F-580E7FE6BD7E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OB Category</a:t>
          </a:fld>
          <a:endParaRPr lang="fr-FR" sz="1100"/>
        </a:p>
      </xdr:txBody>
    </xdr:sp>
    <xdr:clientData/>
  </xdr:twoCellAnchor>
  <xdr:twoCellAnchor>
    <xdr:from>
      <xdr:col>25</xdr:col>
      <xdr:colOff>0</xdr:colOff>
      <xdr:row>3</xdr:row>
      <xdr:rowOff>0</xdr:rowOff>
    </xdr:from>
    <xdr:to>
      <xdr:col>26</xdr:col>
      <xdr:colOff>0</xdr:colOff>
      <xdr:row>5</xdr:row>
      <xdr:rowOff>0</xdr:rowOff>
    </xdr:to>
    <xdr:sp macro="JSON_TableHeaderClick" textlink="$Z$4">
      <xdr:nvSpPr>
        <xdr:cNvPr id="26" name="tReporting52428888_25">
          <a:extLst>
            <a:ext uri="{FF2B5EF4-FFF2-40B4-BE49-F238E27FC236}">
              <a16:creationId xmlns:a16="http://schemas.microsoft.com/office/drawing/2014/main" id="{70C84172-AB52-495E-9A0E-CEA597F4CEE9}"/>
            </a:ext>
          </a:extLst>
        </xdr:cNvPr>
        <xdr:cNvSpPr/>
      </xdr:nvSpPr>
      <xdr:spPr>
        <a:xfrm>
          <a:off x="167925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B99A64CD-84AF-4C35-A517-1BE7D78136DA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OB Update Period</a:t>
          </a:fld>
          <a:endParaRPr lang="fr-FR" sz="1100"/>
        </a:p>
      </xdr:txBody>
    </xdr:sp>
    <xdr:clientData/>
  </xdr:twoCellAnchor>
  <xdr:twoCellAnchor>
    <xdr:from>
      <xdr:col>26</xdr:col>
      <xdr:colOff>0</xdr:colOff>
      <xdr:row>3</xdr:row>
      <xdr:rowOff>0</xdr:rowOff>
    </xdr:from>
    <xdr:to>
      <xdr:col>27</xdr:col>
      <xdr:colOff>0</xdr:colOff>
      <xdr:row>5</xdr:row>
      <xdr:rowOff>0</xdr:rowOff>
    </xdr:to>
    <xdr:sp macro="JSON_TableHeaderClick" textlink="$AA$4">
      <xdr:nvSpPr>
        <xdr:cNvPr id="27" name="tReporting52428888_26">
          <a:extLst>
            <a:ext uri="{FF2B5EF4-FFF2-40B4-BE49-F238E27FC236}">
              <a16:creationId xmlns:a16="http://schemas.microsoft.com/office/drawing/2014/main" id="{975DBF5B-E6A2-4F9E-8DA9-379E992F3249}"/>
            </a:ext>
          </a:extLst>
        </xdr:cNvPr>
        <xdr:cNvSpPr/>
      </xdr:nvSpPr>
      <xdr:spPr>
        <a:xfrm>
          <a:off x="174402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50EC66CB-4675-4077-8760-DA6E65BBAAD8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OB Scope</a:t>
          </a:fld>
          <a:endParaRPr lang="fr-FR" sz="1100"/>
        </a:p>
      </xdr:txBody>
    </xdr:sp>
    <xdr:clientData/>
  </xdr:twoCellAnchor>
  <xdr:twoCellAnchor>
    <xdr:from>
      <xdr:col>27</xdr:col>
      <xdr:colOff>0</xdr:colOff>
      <xdr:row>3</xdr:row>
      <xdr:rowOff>0</xdr:rowOff>
    </xdr:from>
    <xdr:to>
      <xdr:col>28</xdr:col>
      <xdr:colOff>0</xdr:colOff>
      <xdr:row>5</xdr:row>
      <xdr:rowOff>0</xdr:rowOff>
    </xdr:to>
    <xdr:sp macro="JSON_TableHeaderClick" textlink="$AB$4">
      <xdr:nvSpPr>
        <xdr:cNvPr id="28" name="tReporting52428888_27">
          <a:extLst>
            <a:ext uri="{FF2B5EF4-FFF2-40B4-BE49-F238E27FC236}">
              <a16:creationId xmlns:a16="http://schemas.microsoft.com/office/drawing/2014/main" id="{2F412165-EB3B-4FB8-BD42-ADE52521C0DB}"/>
            </a:ext>
          </a:extLst>
        </xdr:cNvPr>
        <xdr:cNvSpPr/>
      </xdr:nvSpPr>
      <xdr:spPr>
        <a:xfrm>
          <a:off x="180879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D0CA74BC-6A5A-4333-B429-30F61AB31596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OB Variant</a:t>
          </a:fld>
          <a:endParaRPr lang="fr-FR" sz="1100"/>
        </a:p>
      </xdr:txBody>
    </xdr:sp>
    <xdr:clientData/>
  </xdr:twoCellAnchor>
  <xdr:twoCellAnchor>
    <xdr:from>
      <xdr:col>28</xdr:col>
      <xdr:colOff>0</xdr:colOff>
      <xdr:row>3</xdr:row>
      <xdr:rowOff>0</xdr:rowOff>
    </xdr:from>
    <xdr:to>
      <xdr:col>29</xdr:col>
      <xdr:colOff>0</xdr:colOff>
      <xdr:row>5</xdr:row>
      <xdr:rowOff>0</xdr:rowOff>
    </xdr:to>
    <xdr:sp macro="JSON_TableHeaderClick" textlink="$AC$4">
      <xdr:nvSpPr>
        <xdr:cNvPr id="29" name="tReporting52428888_28">
          <a:extLst>
            <a:ext uri="{FF2B5EF4-FFF2-40B4-BE49-F238E27FC236}">
              <a16:creationId xmlns:a16="http://schemas.microsoft.com/office/drawing/2014/main" id="{7D3DAC98-968B-4898-9B97-52442091A96C}"/>
            </a:ext>
          </a:extLst>
        </xdr:cNvPr>
        <xdr:cNvSpPr/>
      </xdr:nvSpPr>
      <xdr:spPr>
        <a:xfrm>
          <a:off x="187356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2FB1F512-AEC4-40C4-B7B6-E0055E108682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OB Currency</a:t>
          </a:fld>
          <a:endParaRPr lang="fr-FR" sz="1100"/>
        </a:p>
      </xdr:txBody>
    </xdr:sp>
    <xdr:clientData/>
  </xdr:twoCellAnchor>
  <xdr:twoCellAnchor>
    <xdr:from>
      <xdr:col>29</xdr:col>
      <xdr:colOff>0</xdr:colOff>
      <xdr:row>2</xdr:row>
      <xdr:rowOff>63500</xdr:rowOff>
    </xdr:from>
    <xdr:to>
      <xdr:col>30</xdr:col>
      <xdr:colOff>0</xdr:colOff>
      <xdr:row>5</xdr:row>
      <xdr:rowOff>0</xdr:rowOff>
    </xdr:to>
    <xdr:sp macro="JSON_TableHeaderClick" textlink="$AD$4">
      <xdr:nvSpPr>
        <xdr:cNvPr id="30" name="tReporting52428888_29">
          <a:extLst>
            <a:ext uri="{FF2B5EF4-FFF2-40B4-BE49-F238E27FC236}">
              <a16:creationId xmlns:a16="http://schemas.microsoft.com/office/drawing/2014/main" id="{132E9C70-9C63-431C-992D-22DBA6E4413A}"/>
            </a:ext>
          </a:extLst>
        </xdr:cNvPr>
        <xdr:cNvSpPr/>
      </xdr:nvSpPr>
      <xdr:spPr>
        <a:xfrm>
          <a:off x="19383375" y="444500"/>
          <a:ext cx="381000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4480D808-944B-4207-B134-D8618562C53D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Operation</a:t>
          </a:fld>
          <a:endParaRPr lang="fr-FR" sz="1100"/>
        </a:p>
      </xdr:txBody>
    </xdr:sp>
    <xdr:clientData/>
  </xdr:twoCellAnchor>
  <xdr:twoCellAnchor>
    <xdr:from>
      <xdr:col>30</xdr:col>
      <xdr:colOff>0</xdr:colOff>
      <xdr:row>3</xdr:row>
      <xdr:rowOff>0</xdr:rowOff>
    </xdr:from>
    <xdr:to>
      <xdr:col>31</xdr:col>
      <xdr:colOff>0</xdr:colOff>
      <xdr:row>5</xdr:row>
      <xdr:rowOff>0</xdr:rowOff>
    </xdr:to>
    <xdr:sp macro="JSON_TableHeaderClick" textlink="$AE$4">
      <xdr:nvSpPr>
        <xdr:cNvPr id="31" name="tReporting52428888_30">
          <a:extLst>
            <a:ext uri="{FF2B5EF4-FFF2-40B4-BE49-F238E27FC236}">
              <a16:creationId xmlns:a16="http://schemas.microsoft.com/office/drawing/2014/main" id="{0B1EC7FC-2A9C-47B5-8EA5-FEA32A98328B}"/>
            </a:ext>
          </a:extLst>
        </xdr:cNvPr>
        <xdr:cNvSpPr/>
      </xdr:nvSpPr>
      <xdr:spPr>
        <a:xfrm>
          <a:off x="19764375" y="571500"/>
          <a:ext cx="14478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DE1AFB60-586D-4636-936F-B505A837C31E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Cutoff Date</a:t>
          </a:fld>
          <a:endParaRPr lang="fr-FR" sz="1100"/>
        </a:p>
      </xdr:txBody>
    </xdr:sp>
    <xdr:clientData/>
  </xdr:twoCellAnchor>
  <xdr:twoCellAnchor>
    <xdr:from>
      <xdr:col>31</xdr:col>
      <xdr:colOff>0</xdr:colOff>
      <xdr:row>3</xdr:row>
      <xdr:rowOff>0</xdr:rowOff>
    </xdr:from>
    <xdr:to>
      <xdr:col>32</xdr:col>
      <xdr:colOff>0</xdr:colOff>
      <xdr:row>5</xdr:row>
      <xdr:rowOff>0</xdr:rowOff>
    </xdr:to>
    <xdr:sp macro="JSON_TableHeaderClick" textlink="$AF$4">
      <xdr:nvSpPr>
        <xdr:cNvPr id="32" name="tReporting52428888_31">
          <a:extLst>
            <a:ext uri="{FF2B5EF4-FFF2-40B4-BE49-F238E27FC236}">
              <a16:creationId xmlns:a16="http://schemas.microsoft.com/office/drawing/2014/main" id="{42467EBF-E3F7-48AB-A4C0-5319973AB092}"/>
            </a:ext>
          </a:extLst>
        </xdr:cNvPr>
        <xdr:cNvSpPr/>
      </xdr:nvSpPr>
      <xdr:spPr>
        <a:xfrm>
          <a:off x="21212175" y="571500"/>
          <a:ext cx="714375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1D2488E7-8EFB-44FE-9046-1C95C25A2A7D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Early publishing?</a:t>
          </a:fld>
          <a:endParaRPr lang="fr-FR" sz="1100"/>
        </a:p>
      </xdr:txBody>
    </xdr:sp>
    <xdr:clientData/>
  </xdr:twoCellAnchor>
  <xdr:twoCellAnchor>
    <xdr:from>
      <xdr:col>32</xdr:col>
      <xdr:colOff>0</xdr:colOff>
      <xdr:row>2</xdr:row>
      <xdr:rowOff>63500</xdr:rowOff>
    </xdr:from>
    <xdr:to>
      <xdr:col>33</xdr:col>
      <xdr:colOff>0</xdr:colOff>
      <xdr:row>5</xdr:row>
      <xdr:rowOff>0</xdr:rowOff>
    </xdr:to>
    <xdr:sp macro="JSON_TableHeaderClick" textlink="$AG$4">
      <xdr:nvSpPr>
        <xdr:cNvPr id="33" name="tReporting52428888_32">
          <a:extLst>
            <a:ext uri="{FF2B5EF4-FFF2-40B4-BE49-F238E27FC236}">
              <a16:creationId xmlns:a16="http://schemas.microsoft.com/office/drawing/2014/main" id="{28D3DCE8-0D88-40C1-AC63-0237526EF7EA}"/>
            </a:ext>
          </a:extLst>
        </xdr:cNvPr>
        <xdr:cNvSpPr/>
      </xdr:nvSpPr>
      <xdr:spPr>
        <a:xfrm>
          <a:off x="21926550" y="444500"/>
          <a:ext cx="381000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A633C28F-082D-48DE-A9F6-9E5459DFD745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After publication</a:t>
          </a:fld>
          <a:endParaRPr lang="fr-FR" sz="1100"/>
        </a:p>
      </xdr:txBody>
    </xdr:sp>
    <xdr:clientData/>
  </xdr:twoCellAnchor>
  <xdr:twoCellAnchor>
    <xdr:from>
      <xdr:col>33</xdr:col>
      <xdr:colOff>0</xdr:colOff>
      <xdr:row>3</xdr:row>
      <xdr:rowOff>0</xdr:rowOff>
    </xdr:from>
    <xdr:to>
      <xdr:col>34</xdr:col>
      <xdr:colOff>0</xdr:colOff>
      <xdr:row>5</xdr:row>
      <xdr:rowOff>0</xdr:rowOff>
    </xdr:to>
    <xdr:sp macro="JSON_TableHeaderClick" textlink="$AH$4">
      <xdr:nvSpPr>
        <xdr:cNvPr id="34" name="tReporting52428888_33">
          <a:extLst>
            <a:ext uri="{FF2B5EF4-FFF2-40B4-BE49-F238E27FC236}">
              <a16:creationId xmlns:a16="http://schemas.microsoft.com/office/drawing/2014/main" id="{0C79BAF4-3BAB-46E5-A008-C5ADF4C781FE}"/>
            </a:ext>
          </a:extLst>
        </xdr:cNvPr>
        <xdr:cNvSpPr/>
      </xdr:nvSpPr>
      <xdr:spPr>
        <a:xfrm>
          <a:off x="22307550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99FDD676-0A05-49B4-B3F9-0B69A1EB9265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Standard pub.</a:t>
          </a:fld>
          <a:endParaRPr lang="fr-FR" sz="1100"/>
        </a:p>
      </xdr:txBody>
    </xdr:sp>
    <xdr:clientData/>
  </xdr:twoCellAnchor>
  <xdr:twoCellAnchor>
    <xdr:from>
      <xdr:col>34</xdr:col>
      <xdr:colOff>0</xdr:colOff>
      <xdr:row>3</xdr:row>
      <xdr:rowOff>0</xdr:rowOff>
    </xdr:from>
    <xdr:to>
      <xdr:col>35</xdr:col>
      <xdr:colOff>0</xdr:colOff>
      <xdr:row>5</xdr:row>
      <xdr:rowOff>0</xdr:rowOff>
    </xdr:to>
    <xdr:sp macro="JSON_TableHeaderClick" textlink="$AI$4">
      <xdr:nvSpPr>
        <xdr:cNvPr id="35" name="tReporting52428888_34">
          <a:extLst>
            <a:ext uri="{FF2B5EF4-FFF2-40B4-BE49-F238E27FC236}">
              <a16:creationId xmlns:a16="http://schemas.microsoft.com/office/drawing/2014/main" id="{54839DE9-F4DC-4D22-8B84-16F0DB111A41}"/>
            </a:ext>
          </a:extLst>
        </xdr:cNvPr>
        <xdr:cNvSpPr/>
      </xdr:nvSpPr>
      <xdr:spPr>
        <a:xfrm>
          <a:off x="22955250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036B980C-4EF1-4D5E-9A01-FA8F852A8CFF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Special pub.</a:t>
          </a:fld>
          <a:endParaRPr lang="fr-FR" sz="1100"/>
        </a:p>
      </xdr:txBody>
    </xdr:sp>
    <xdr:clientData/>
  </xdr:twoCellAnchor>
  <xdr:twoCellAnchor>
    <xdr:from>
      <xdr:col>35</xdr:col>
      <xdr:colOff>0</xdr:colOff>
      <xdr:row>3</xdr:row>
      <xdr:rowOff>0</xdr:rowOff>
    </xdr:from>
    <xdr:to>
      <xdr:col>36</xdr:col>
      <xdr:colOff>0</xdr:colOff>
      <xdr:row>5</xdr:row>
      <xdr:rowOff>0</xdr:rowOff>
    </xdr:to>
    <xdr:sp macro="JSON_TableHeaderClick" textlink="$AJ$4">
      <xdr:nvSpPr>
        <xdr:cNvPr id="36" name="tReporting52428888_35">
          <a:extLst>
            <a:ext uri="{FF2B5EF4-FFF2-40B4-BE49-F238E27FC236}">
              <a16:creationId xmlns:a16="http://schemas.microsoft.com/office/drawing/2014/main" id="{DFA0E2A3-37B6-43F7-B2A0-4453D72551F0}"/>
            </a:ext>
          </a:extLst>
        </xdr:cNvPr>
        <xdr:cNvSpPr/>
      </xdr:nvSpPr>
      <xdr:spPr>
        <a:xfrm>
          <a:off x="23602950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34031256-C2C2-497D-A6E1-D572CAB69405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Advanced pub.</a:t>
          </a:fld>
          <a:endParaRPr lang="fr-FR" sz="1100"/>
        </a:p>
      </xdr:txBody>
    </xdr:sp>
    <xdr:clientData/>
  </xdr:twoCellAnchor>
  <xdr:twoCellAnchor>
    <xdr:from>
      <xdr:col>36</xdr:col>
      <xdr:colOff>0</xdr:colOff>
      <xdr:row>3</xdr:row>
      <xdr:rowOff>0</xdr:rowOff>
    </xdr:from>
    <xdr:to>
      <xdr:col>37</xdr:col>
      <xdr:colOff>0</xdr:colOff>
      <xdr:row>5</xdr:row>
      <xdr:rowOff>0</xdr:rowOff>
    </xdr:to>
    <xdr:sp macro="JSON_TableHeaderClick" textlink="$AK$4">
      <xdr:nvSpPr>
        <xdr:cNvPr id="37" name="tReporting52428888_36">
          <a:extLst>
            <a:ext uri="{FF2B5EF4-FFF2-40B4-BE49-F238E27FC236}">
              <a16:creationId xmlns:a16="http://schemas.microsoft.com/office/drawing/2014/main" id="{12FD1721-D7EB-49B6-9E0A-0788C2E3557E}"/>
            </a:ext>
          </a:extLst>
        </xdr:cNvPr>
        <xdr:cNvSpPr/>
      </xdr:nvSpPr>
      <xdr:spPr>
        <a:xfrm>
          <a:off x="24250650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D1064FE3-B232-4674-A84F-A790BB681F00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After pub. Level</a:t>
          </a:fld>
          <a:endParaRPr lang="fr-FR" sz="1100"/>
        </a:p>
      </xdr:txBody>
    </xdr:sp>
    <xdr:clientData/>
  </xdr:twoCellAnchor>
  <xdr:twoCellAnchor>
    <xdr:from>
      <xdr:col>37</xdr:col>
      <xdr:colOff>0</xdr:colOff>
      <xdr:row>2</xdr:row>
      <xdr:rowOff>63500</xdr:rowOff>
    </xdr:from>
    <xdr:to>
      <xdr:col>38</xdr:col>
      <xdr:colOff>0</xdr:colOff>
      <xdr:row>5</xdr:row>
      <xdr:rowOff>0</xdr:rowOff>
    </xdr:to>
    <xdr:sp macro="JSON_TableHeaderClick" textlink="$AL$4">
      <xdr:nvSpPr>
        <xdr:cNvPr id="38" name="tReporting52428888_37">
          <a:extLst>
            <a:ext uri="{FF2B5EF4-FFF2-40B4-BE49-F238E27FC236}">
              <a16:creationId xmlns:a16="http://schemas.microsoft.com/office/drawing/2014/main" id="{E79AD1FC-E483-4F47-AB60-8B9732DC60F6}"/>
            </a:ext>
          </a:extLst>
        </xdr:cNvPr>
        <xdr:cNvSpPr/>
      </xdr:nvSpPr>
      <xdr:spPr>
        <a:xfrm>
          <a:off x="24898350" y="444500"/>
          <a:ext cx="381000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BE473399-89FD-4FF5-990F-2439CEB0DC82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After transfert</a:t>
          </a:fld>
          <a:endParaRPr lang="fr-FR" sz="1100"/>
        </a:p>
      </xdr:txBody>
    </xdr:sp>
    <xdr:clientData/>
  </xdr:twoCellAnchor>
  <xdr:twoCellAnchor>
    <xdr:from>
      <xdr:col>38</xdr:col>
      <xdr:colOff>0</xdr:colOff>
      <xdr:row>3</xdr:row>
      <xdr:rowOff>0</xdr:rowOff>
    </xdr:from>
    <xdr:to>
      <xdr:col>39</xdr:col>
      <xdr:colOff>0</xdr:colOff>
      <xdr:row>5</xdr:row>
      <xdr:rowOff>0</xdr:rowOff>
    </xdr:to>
    <xdr:sp macro="JSON_TableHeaderClick" textlink="$AM$4">
      <xdr:nvSpPr>
        <xdr:cNvPr id="39" name="tReporting52428888_38">
          <a:extLst>
            <a:ext uri="{FF2B5EF4-FFF2-40B4-BE49-F238E27FC236}">
              <a16:creationId xmlns:a16="http://schemas.microsoft.com/office/drawing/2014/main" id="{40A664E0-BBFB-42D3-9016-447D24AA1C57}"/>
            </a:ext>
          </a:extLst>
        </xdr:cNvPr>
        <xdr:cNvSpPr/>
      </xdr:nvSpPr>
      <xdr:spPr>
        <a:xfrm>
          <a:off x="25279350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D9567BEC-1F40-4200-B185-817B6EB7FF1E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Standard tran.</a:t>
          </a:fld>
          <a:endParaRPr lang="fr-FR" sz="1100"/>
        </a:p>
      </xdr:txBody>
    </xdr:sp>
    <xdr:clientData/>
  </xdr:twoCellAnchor>
  <xdr:twoCellAnchor>
    <xdr:from>
      <xdr:col>39</xdr:col>
      <xdr:colOff>0</xdr:colOff>
      <xdr:row>3</xdr:row>
      <xdr:rowOff>0</xdr:rowOff>
    </xdr:from>
    <xdr:to>
      <xdr:col>40</xdr:col>
      <xdr:colOff>0</xdr:colOff>
      <xdr:row>5</xdr:row>
      <xdr:rowOff>0</xdr:rowOff>
    </xdr:to>
    <xdr:sp macro="JSON_TableHeaderClick" textlink="$AN$4">
      <xdr:nvSpPr>
        <xdr:cNvPr id="40" name="tReporting52428888_39">
          <a:extLst>
            <a:ext uri="{FF2B5EF4-FFF2-40B4-BE49-F238E27FC236}">
              <a16:creationId xmlns:a16="http://schemas.microsoft.com/office/drawing/2014/main" id="{5321B400-4B9C-4C9C-A56A-B2E2029E1DE7}"/>
            </a:ext>
          </a:extLst>
        </xdr:cNvPr>
        <xdr:cNvSpPr/>
      </xdr:nvSpPr>
      <xdr:spPr>
        <a:xfrm>
          <a:off x="25927050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2FF23642-71A1-48E2-A06A-EE71043C0377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Special tran.</a:t>
          </a:fld>
          <a:endParaRPr lang="fr-FR" sz="1100"/>
        </a:p>
      </xdr:txBody>
    </xdr:sp>
    <xdr:clientData/>
  </xdr:twoCellAnchor>
  <xdr:twoCellAnchor>
    <xdr:from>
      <xdr:col>40</xdr:col>
      <xdr:colOff>0</xdr:colOff>
      <xdr:row>3</xdr:row>
      <xdr:rowOff>0</xdr:rowOff>
    </xdr:from>
    <xdr:to>
      <xdr:col>41</xdr:col>
      <xdr:colOff>0</xdr:colOff>
      <xdr:row>5</xdr:row>
      <xdr:rowOff>0</xdr:rowOff>
    </xdr:to>
    <xdr:sp macro="JSON_TableHeaderClick" textlink="$AO$4">
      <xdr:nvSpPr>
        <xdr:cNvPr id="41" name="tReporting52428888_40">
          <a:extLst>
            <a:ext uri="{FF2B5EF4-FFF2-40B4-BE49-F238E27FC236}">
              <a16:creationId xmlns:a16="http://schemas.microsoft.com/office/drawing/2014/main" id="{E7B0F115-E159-4D70-B8A9-06BB624D1AF8}"/>
            </a:ext>
          </a:extLst>
        </xdr:cNvPr>
        <xdr:cNvSpPr/>
      </xdr:nvSpPr>
      <xdr:spPr>
        <a:xfrm>
          <a:off x="26574750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42A6479C-1CA6-4DD1-BD97-CED2D900267D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Advanced tran.</a:t>
          </a:fld>
          <a:endParaRPr lang="fr-FR" sz="1100"/>
        </a:p>
      </xdr:txBody>
    </xdr:sp>
    <xdr:clientData/>
  </xdr:twoCellAnchor>
  <xdr:twoCellAnchor>
    <xdr:from>
      <xdr:col>41</xdr:col>
      <xdr:colOff>0</xdr:colOff>
      <xdr:row>3</xdr:row>
      <xdr:rowOff>0</xdr:rowOff>
    </xdr:from>
    <xdr:to>
      <xdr:col>42</xdr:col>
      <xdr:colOff>0</xdr:colOff>
      <xdr:row>5</xdr:row>
      <xdr:rowOff>0</xdr:rowOff>
    </xdr:to>
    <xdr:sp macro="JSON_TableHeaderClick" textlink="$AP$4">
      <xdr:nvSpPr>
        <xdr:cNvPr id="42" name="tReporting52428888_41">
          <a:extLst>
            <a:ext uri="{FF2B5EF4-FFF2-40B4-BE49-F238E27FC236}">
              <a16:creationId xmlns:a16="http://schemas.microsoft.com/office/drawing/2014/main" id="{B9AC5B51-6991-42BE-A8F6-E0880580DEA7}"/>
            </a:ext>
          </a:extLst>
        </xdr:cNvPr>
        <xdr:cNvSpPr/>
      </xdr:nvSpPr>
      <xdr:spPr>
        <a:xfrm>
          <a:off x="27222450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2EFC55E3-A130-44AF-ABE0-28EEBB306B16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After tran. Level</a:t>
          </a:fld>
          <a:endParaRPr lang="fr-FR" sz="1100"/>
        </a:p>
      </xdr:txBody>
    </xdr:sp>
    <xdr:clientData/>
  </xdr:twoCellAnchor>
  <xdr:twoCellAnchor>
    <xdr:from>
      <xdr:col>42</xdr:col>
      <xdr:colOff>0</xdr:colOff>
      <xdr:row>2</xdr:row>
      <xdr:rowOff>63500</xdr:rowOff>
    </xdr:from>
    <xdr:to>
      <xdr:col>43</xdr:col>
      <xdr:colOff>0</xdr:colOff>
      <xdr:row>5</xdr:row>
      <xdr:rowOff>0</xdr:rowOff>
    </xdr:to>
    <xdr:sp macro="JSON_TableHeaderClick" textlink="$AQ$4">
      <xdr:nvSpPr>
        <xdr:cNvPr id="43" name="tReporting52428888_42">
          <a:extLst>
            <a:ext uri="{FF2B5EF4-FFF2-40B4-BE49-F238E27FC236}">
              <a16:creationId xmlns:a16="http://schemas.microsoft.com/office/drawing/2014/main" id="{30E7B635-84AF-46E9-8D2E-E4BDDBD9ED54}"/>
            </a:ext>
          </a:extLst>
        </xdr:cNvPr>
        <xdr:cNvSpPr/>
      </xdr:nvSpPr>
      <xdr:spPr>
        <a:xfrm>
          <a:off x="27870150" y="444500"/>
          <a:ext cx="381000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24E4621D-9EB1-4C26-B23F-F9607BADD030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Entity</a:t>
          </a:fld>
          <a:endParaRPr lang="fr-FR" sz="1100"/>
        </a:p>
      </xdr:txBody>
    </xdr:sp>
    <xdr:clientData/>
  </xdr:twoCellAnchor>
  <xdr:twoCellAnchor>
    <xdr:from>
      <xdr:col>43</xdr:col>
      <xdr:colOff>0</xdr:colOff>
      <xdr:row>3</xdr:row>
      <xdr:rowOff>0</xdr:rowOff>
    </xdr:from>
    <xdr:to>
      <xdr:col>44</xdr:col>
      <xdr:colOff>0</xdr:colOff>
      <xdr:row>5</xdr:row>
      <xdr:rowOff>0</xdr:rowOff>
    </xdr:to>
    <xdr:sp macro="JSON_TableHeaderClick" textlink="$AR$4">
      <xdr:nvSpPr>
        <xdr:cNvPr id="44" name="tReporting52428888_43">
          <a:extLst>
            <a:ext uri="{FF2B5EF4-FFF2-40B4-BE49-F238E27FC236}">
              <a16:creationId xmlns:a16="http://schemas.microsoft.com/office/drawing/2014/main" id="{D88398AC-B817-4135-9667-47074807753E}"/>
            </a:ext>
          </a:extLst>
        </xdr:cNvPr>
        <xdr:cNvSpPr/>
      </xdr:nvSpPr>
      <xdr:spPr>
        <a:xfrm>
          <a:off x="28251150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6B798435-4AB3-494D-8BD8-1284482EA717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Name</a:t>
          </a:fld>
          <a:endParaRPr lang="fr-FR" sz="1100"/>
        </a:p>
      </xdr:txBody>
    </xdr:sp>
    <xdr:clientData/>
  </xdr:twoCellAnchor>
  <xdr:twoCellAnchor>
    <xdr:from>
      <xdr:col>44</xdr:col>
      <xdr:colOff>0</xdr:colOff>
      <xdr:row>3</xdr:row>
      <xdr:rowOff>0</xdr:rowOff>
    </xdr:from>
    <xdr:to>
      <xdr:col>45</xdr:col>
      <xdr:colOff>0</xdr:colOff>
      <xdr:row>5</xdr:row>
      <xdr:rowOff>0</xdr:rowOff>
    </xdr:to>
    <xdr:sp macro="JSON_TableHeaderClick" textlink="$AS$4">
      <xdr:nvSpPr>
        <xdr:cNvPr id="45" name="tReporting52428888_44">
          <a:extLst>
            <a:ext uri="{FF2B5EF4-FFF2-40B4-BE49-F238E27FC236}">
              <a16:creationId xmlns:a16="http://schemas.microsoft.com/office/drawing/2014/main" id="{2B52F1D0-CA8A-48D8-AD4E-F05D0C33A2E5}"/>
            </a:ext>
          </a:extLst>
        </xdr:cNvPr>
        <xdr:cNvSpPr/>
      </xdr:nvSpPr>
      <xdr:spPr>
        <a:xfrm>
          <a:off x="28898850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99576520-5EF3-4D5C-845C-A517FC337C0F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Currency</a:t>
          </a:fld>
          <a:endParaRPr lang="fr-FR" sz="1100"/>
        </a:p>
      </xdr:txBody>
    </xdr:sp>
    <xdr:clientData/>
  </xdr:twoCellAnchor>
  <xdr:twoCellAnchor>
    <xdr:from>
      <xdr:col>45</xdr:col>
      <xdr:colOff>0</xdr:colOff>
      <xdr:row>3</xdr:row>
      <xdr:rowOff>0</xdr:rowOff>
    </xdr:from>
    <xdr:to>
      <xdr:col>46</xdr:col>
      <xdr:colOff>0</xdr:colOff>
      <xdr:row>5</xdr:row>
      <xdr:rowOff>0</xdr:rowOff>
    </xdr:to>
    <xdr:sp macro="JSON_TableHeaderClick" textlink="$AT$4">
      <xdr:nvSpPr>
        <xdr:cNvPr id="46" name="tReporting52428888_45">
          <a:extLst>
            <a:ext uri="{FF2B5EF4-FFF2-40B4-BE49-F238E27FC236}">
              <a16:creationId xmlns:a16="http://schemas.microsoft.com/office/drawing/2014/main" id="{FD19AA70-6576-4D77-B5CE-D3C119FFDBCE}"/>
            </a:ext>
          </a:extLst>
        </xdr:cNvPr>
        <xdr:cNvSpPr/>
      </xdr:nvSpPr>
      <xdr:spPr>
        <a:xfrm>
          <a:off x="29546550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1D9DF3D4-B9E5-4341-8048-BB6FE24DF89F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Input Site</a:t>
          </a:fld>
          <a:endParaRPr lang="fr-FR" sz="1100"/>
        </a:p>
      </xdr:txBody>
    </xdr:sp>
    <xdr:clientData/>
  </xdr:twoCellAnchor>
  <xdr:twoCellAnchor>
    <xdr:from>
      <xdr:col>46</xdr:col>
      <xdr:colOff>0</xdr:colOff>
      <xdr:row>3</xdr:row>
      <xdr:rowOff>0</xdr:rowOff>
    </xdr:from>
    <xdr:to>
      <xdr:col>47</xdr:col>
      <xdr:colOff>0</xdr:colOff>
      <xdr:row>5</xdr:row>
      <xdr:rowOff>0</xdr:rowOff>
    </xdr:to>
    <xdr:sp macro="JSON_TableHeaderClick" textlink="$AU$4">
      <xdr:nvSpPr>
        <xdr:cNvPr id="47" name="tReporting52428888_46">
          <a:extLst>
            <a:ext uri="{FF2B5EF4-FFF2-40B4-BE49-F238E27FC236}">
              <a16:creationId xmlns:a16="http://schemas.microsoft.com/office/drawing/2014/main" id="{B6DC3B06-3775-43F7-AEB4-D8CC0E6DD3F1}"/>
            </a:ext>
          </a:extLst>
        </xdr:cNvPr>
        <xdr:cNvSpPr/>
      </xdr:nvSpPr>
      <xdr:spPr>
        <a:xfrm>
          <a:off x="30194250" y="571500"/>
          <a:ext cx="714375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50AB0D5C-8672-4145-8ADF-41F21EE6532F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Publication Site</a:t>
          </a:fld>
          <a:endParaRPr lang="fr-FR" sz="1100"/>
        </a:p>
      </xdr:txBody>
    </xdr:sp>
    <xdr:clientData/>
  </xdr:twoCellAnchor>
  <xdr:twoCellAnchor>
    <xdr:from>
      <xdr:col>47</xdr:col>
      <xdr:colOff>0</xdr:colOff>
      <xdr:row>2</xdr:row>
      <xdr:rowOff>63500</xdr:rowOff>
    </xdr:from>
    <xdr:to>
      <xdr:col>48</xdr:col>
      <xdr:colOff>0</xdr:colOff>
      <xdr:row>5</xdr:row>
      <xdr:rowOff>0</xdr:rowOff>
    </xdr:to>
    <xdr:sp macro="JSON_TableHeaderClick" textlink="$AV$4">
      <xdr:nvSpPr>
        <xdr:cNvPr id="48" name="tReporting52428888_47">
          <a:extLst>
            <a:ext uri="{FF2B5EF4-FFF2-40B4-BE49-F238E27FC236}">
              <a16:creationId xmlns:a16="http://schemas.microsoft.com/office/drawing/2014/main" id="{AACFC902-9481-4388-A231-5FC118CCF739}"/>
            </a:ext>
          </a:extLst>
        </xdr:cNvPr>
        <xdr:cNvSpPr/>
      </xdr:nvSpPr>
      <xdr:spPr>
        <a:xfrm>
          <a:off x="30908625" y="444500"/>
          <a:ext cx="381000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624F53B7-4A8C-4199-8273-71B7CD9D76DC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Package</a:t>
          </a:fld>
          <a:endParaRPr lang="fr-FR" sz="1100"/>
        </a:p>
      </xdr:txBody>
    </xdr:sp>
    <xdr:clientData/>
  </xdr:twoCellAnchor>
  <xdr:twoCellAnchor>
    <xdr:from>
      <xdr:col>48</xdr:col>
      <xdr:colOff>0</xdr:colOff>
      <xdr:row>3</xdr:row>
      <xdr:rowOff>0</xdr:rowOff>
    </xdr:from>
    <xdr:to>
      <xdr:col>49</xdr:col>
      <xdr:colOff>0</xdr:colOff>
      <xdr:row>5</xdr:row>
      <xdr:rowOff>0</xdr:rowOff>
    </xdr:to>
    <xdr:sp macro="JSON_TableHeaderClick" textlink="$AW$4">
      <xdr:nvSpPr>
        <xdr:cNvPr id="49" name="tReporting52428888_48">
          <a:extLst>
            <a:ext uri="{FF2B5EF4-FFF2-40B4-BE49-F238E27FC236}">
              <a16:creationId xmlns:a16="http://schemas.microsoft.com/office/drawing/2014/main" id="{3141E8E2-13FA-4662-A236-DDD3CCF63930}"/>
            </a:ext>
          </a:extLst>
        </xdr:cNvPr>
        <xdr:cNvSpPr/>
      </xdr:nvSpPr>
      <xdr:spPr>
        <a:xfrm>
          <a:off x="3128962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713A60C0-6607-4B2C-9565-B6ADE9ED7816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Default Windows Folder?</a:t>
          </a:fld>
          <a:endParaRPr lang="fr-FR" sz="1100"/>
        </a:p>
      </xdr:txBody>
    </xdr:sp>
    <xdr:clientData/>
  </xdr:twoCellAnchor>
  <xdr:twoCellAnchor>
    <xdr:from>
      <xdr:col>49</xdr:col>
      <xdr:colOff>0</xdr:colOff>
      <xdr:row>3</xdr:row>
      <xdr:rowOff>0</xdr:rowOff>
    </xdr:from>
    <xdr:to>
      <xdr:col>50</xdr:col>
      <xdr:colOff>0</xdr:colOff>
      <xdr:row>5</xdr:row>
      <xdr:rowOff>0</xdr:rowOff>
    </xdr:to>
    <xdr:sp macro="JSON_TableHeaderClick" textlink="$AX$4">
      <xdr:nvSpPr>
        <xdr:cNvPr id="50" name="tReporting52428888_49">
          <a:extLst>
            <a:ext uri="{FF2B5EF4-FFF2-40B4-BE49-F238E27FC236}">
              <a16:creationId xmlns:a16="http://schemas.microsoft.com/office/drawing/2014/main" id="{731D79D2-118D-4170-82C4-B07944BA0D07}"/>
            </a:ext>
          </a:extLst>
        </xdr:cNvPr>
        <xdr:cNvSpPr/>
      </xdr:nvSpPr>
      <xdr:spPr>
        <a:xfrm>
          <a:off x="3193732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7F71E64C-9E5E-49C8-8393-72A5FF47C901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Windows folder</a:t>
          </a:fld>
          <a:endParaRPr lang="fr-FR" sz="1100"/>
        </a:p>
      </xdr:txBody>
    </xdr:sp>
    <xdr:clientData/>
  </xdr:twoCellAnchor>
  <xdr:twoCellAnchor>
    <xdr:from>
      <xdr:col>50</xdr:col>
      <xdr:colOff>0</xdr:colOff>
      <xdr:row>3</xdr:row>
      <xdr:rowOff>0</xdr:rowOff>
    </xdr:from>
    <xdr:to>
      <xdr:col>51</xdr:col>
      <xdr:colOff>0</xdr:colOff>
      <xdr:row>5</xdr:row>
      <xdr:rowOff>0</xdr:rowOff>
    </xdr:to>
    <xdr:sp macro="JSON_TableHeaderClick" textlink="$AY$4">
      <xdr:nvSpPr>
        <xdr:cNvPr id="51" name="tReporting52428888_50">
          <a:extLst>
            <a:ext uri="{FF2B5EF4-FFF2-40B4-BE49-F238E27FC236}">
              <a16:creationId xmlns:a16="http://schemas.microsoft.com/office/drawing/2014/main" id="{D41186CC-80BE-4E06-8600-4965BA2C604C}"/>
            </a:ext>
          </a:extLst>
        </xdr:cNvPr>
        <xdr:cNvSpPr/>
      </xdr:nvSpPr>
      <xdr:spPr>
        <a:xfrm>
          <a:off x="3258502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F708DE2A-5ACC-4B8A-B5EA-D0978A467E35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Default Internet Folder?</a:t>
          </a:fld>
          <a:endParaRPr lang="fr-FR" sz="1100"/>
        </a:p>
      </xdr:txBody>
    </xdr:sp>
    <xdr:clientData/>
  </xdr:twoCellAnchor>
  <xdr:twoCellAnchor>
    <xdr:from>
      <xdr:col>51</xdr:col>
      <xdr:colOff>0</xdr:colOff>
      <xdr:row>3</xdr:row>
      <xdr:rowOff>0</xdr:rowOff>
    </xdr:from>
    <xdr:to>
      <xdr:col>52</xdr:col>
      <xdr:colOff>0</xdr:colOff>
      <xdr:row>5</xdr:row>
      <xdr:rowOff>0</xdr:rowOff>
    </xdr:to>
    <xdr:sp macro="JSON_TableHeaderClick" textlink="$AZ$4">
      <xdr:nvSpPr>
        <xdr:cNvPr id="52" name="tReporting52428888_51">
          <a:extLst>
            <a:ext uri="{FF2B5EF4-FFF2-40B4-BE49-F238E27FC236}">
              <a16:creationId xmlns:a16="http://schemas.microsoft.com/office/drawing/2014/main" id="{98CE5256-4C16-4110-92A5-ED3A722C0BC4}"/>
            </a:ext>
          </a:extLst>
        </xdr:cNvPr>
        <xdr:cNvSpPr/>
      </xdr:nvSpPr>
      <xdr:spPr>
        <a:xfrm>
          <a:off x="3323272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1781454F-9199-4E39-B05B-1752DA31E09A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Internet folder</a:t>
          </a:fld>
          <a:endParaRPr lang="fr-FR" sz="1100"/>
        </a:p>
      </xdr:txBody>
    </xdr:sp>
    <xdr:clientData/>
  </xdr:twoCellAnchor>
  <xdr:twoCellAnchor>
    <xdr:from>
      <xdr:col>52</xdr:col>
      <xdr:colOff>0</xdr:colOff>
      <xdr:row>3</xdr:row>
      <xdr:rowOff>0</xdr:rowOff>
    </xdr:from>
    <xdr:to>
      <xdr:col>53</xdr:col>
      <xdr:colOff>0</xdr:colOff>
      <xdr:row>5</xdr:row>
      <xdr:rowOff>0</xdr:rowOff>
    </xdr:to>
    <xdr:sp macro="JSON_TableHeaderClick" textlink="$BA$4">
      <xdr:nvSpPr>
        <xdr:cNvPr id="53" name="tReporting52428888_52">
          <a:extLst>
            <a:ext uri="{FF2B5EF4-FFF2-40B4-BE49-F238E27FC236}">
              <a16:creationId xmlns:a16="http://schemas.microsoft.com/office/drawing/2014/main" id="{F6EB6D05-739C-4712-9DCF-C34B42009D8A}"/>
            </a:ext>
          </a:extLst>
        </xdr:cNvPr>
        <xdr:cNvSpPr/>
      </xdr:nvSpPr>
      <xdr:spPr>
        <a:xfrm>
          <a:off x="3388042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A5D5D76B-717A-4A28-B0B1-22BFD4F89D05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Control Set: default?</a:t>
          </a:fld>
          <a:endParaRPr lang="fr-FR" sz="1100"/>
        </a:p>
      </xdr:txBody>
    </xdr:sp>
    <xdr:clientData/>
  </xdr:twoCellAnchor>
  <xdr:twoCellAnchor>
    <xdr:from>
      <xdr:col>53</xdr:col>
      <xdr:colOff>0</xdr:colOff>
      <xdr:row>3</xdr:row>
      <xdr:rowOff>0</xdr:rowOff>
    </xdr:from>
    <xdr:to>
      <xdr:col>54</xdr:col>
      <xdr:colOff>0</xdr:colOff>
      <xdr:row>5</xdr:row>
      <xdr:rowOff>0</xdr:rowOff>
    </xdr:to>
    <xdr:sp macro="JSON_TableHeaderClick" textlink="$BB$4">
      <xdr:nvSpPr>
        <xdr:cNvPr id="54" name="tReporting52428888_53">
          <a:extLst>
            <a:ext uri="{FF2B5EF4-FFF2-40B4-BE49-F238E27FC236}">
              <a16:creationId xmlns:a16="http://schemas.microsoft.com/office/drawing/2014/main" id="{BB485FB1-5FB7-4A08-9438-B0C1E048DD18}"/>
            </a:ext>
          </a:extLst>
        </xdr:cNvPr>
        <xdr:cNvSpPr/>
      </xdr:nvSpPr>
      <xdr:spPr>
        <a:xfrm>
          <a:off x="3452812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22726F90-0493-476F-BCCC-F38CD891FFC6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Control Set</a:t>
          </a:fld>
          <a:endParaRPr lang="fr-FR" sz="1100"/>
        </a:p>
      </xdr:txBody>
    </xdr:sp>
    <xdr:clientData/>
  </xdr:twoCellAnchor>
  <xdr:twoCellAnchor>
    <xdr:from>
      <xdr:col>54</xdr:col>
      <xdr:colOff>0</xdr:colOff>
      <xdr:row>3</xdr:row>
      <xdr:rowOff>0</xdr:rowOff>
    </xdr:from>
    <xdr:to>
      <xdr:col>55</xdr:col>
      <xdr:colOff>0</xdr:colOff>
      <xdr:row>5</xdr:row>
      <xdr:rowOff>0</xdr:rowOff>
    </xdr:to>
    <xdr:sp macro="JSON_TableHeaderClick" textlink="$BC$4">
      <xdr:nvSpPr>
        <xdr:cNvPr id="55" name="tReporting52428888_54">
          <a:extLst>
            <a:ext uri="{FF2B5EF4-FFF2-40B4-BE49-F238E27FC236}">
              <a16:creationId xmlns:a16="http://schemas.microsoft.com/office/drawing/2014/main" id="{B6A4DFE3-30A3-4308-A93F-B27A38D3F21D}"/>
            </a:ext>
          </a:extLst>
        </xdr:cNvPr>
        <xdr:cNvSpPr/>
      </xdr:nvSpPr>
      <xdr:spPr>
        <a:xfrm>
          <a:off x="3517582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C9D4BEA3-FB10-41A1-9B87-19ADA04BD52F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Default Level?</a:t>
          </a:fld>
          <a:endParaRPr lang="fr-FR" sz="1100"/>
        </a:p>
      </xdr:txBody>
    </xdr:sp>
    <xdr:clientData/>
  </xdr:twoCellAnchor>
  <xdr:twoCellAnchor>
    <xdr:from>
      <xdr:col>55</xdr:col>
      <xdr:colOff>0</xdr:colOff>
      <xdr:row>3</xdr:row>
      <xdr:rowOff>0</xdr:rowOff>
    </xdr:from>
    <xdr:to>
      <xdr:col>56</xdr:col>
      <xdr:colOff>0</xdr:colOff>
      <xdr:row>5</xdr:row>
      <xdr:rowOff>0</xdr:rowOff>
    </xdr:to>
    <xdr:sp macro="JSON_TableHeaderClick" textlink="$BD$4">
      <xdr:nvSpPr>
        <xdr:cNvPr id="56" name="tReporting52428888_55">
          <a:extLst>
            <a:ext uri="{FF2B5EF4-FFF2-40B4-BE49-F238E27FC236}">
              <a16:creationId xmlns:a16="http://schemas.microsoft.com/office/drawing/2014/main" id="{035EC56B-F56F-4BB5-9CD3-218A550E238D}"/>
            </a:ext>
          </a:extLst>
        </xdr:cNvPr>
        <xdr:cNvSpPr/>
      </xdr:nvSpPr>
      <xdr:spPr>
        <a:xfrm>
          <a:off x="3582352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4B4A61F7-5BB4-4117-BCC1-1A33DF65F798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Control Level</a:t>
          </a:fld>
          <a:endParaRPr lang="fr-FR" sz="1100"/>
        </a:p>
      </xdr:txBody>
    </xdr:sp>
    <xdr:clientData/>
  </xdr:twoCellAnchor>
  <xdr:twoCellAnchor>
    <xdr:from>
      <xdr:col>56</xdr:col>
      <xdr:colOff>0</xdr:colOff>
      <xdr:row>3</xdr:row>
      <xdr:rowOff>0</xdr:rowOff>
    </xdr:from>
    <xdr:to>
      <xdr:col>57</xdr:col>
      <xdr:colOff>0</xdr:colOff>
      <xdr:row>5</xdr:row>
      <xdr:rowOff>0</xdr:rowOff>
    </xdr:to>
    <xdr:sp macro="JSON_TableHeaderClick" textlink="$BE$4">
      <xdr:nvSpPr>
        <xdr:cNvPr id="57" name="tReporting52428888_56">
          <a:extLst>
            <a:ext uri="{FF2B5EF4-FFF2-40B4-BE49-F238E27FC236}">
              <a16:creationId xmlns:a16="http://schemas.microsoft.com/office/drawing/2014/main" id="{CC1A49FD-213C-4E66-8795-E09A456C6AEF}"/>
            </a:ext>
          </a:extLst>
        </xdr:cNvPr>
        <xdr:cNvSpPr/>
      </xdr:nvSpPr>
      <xdr:spPr>
        <a:xfrm>
          <a:off x="3647122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58E7D4A7-3067-49A3-B18A-19FA7B06881C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Blocking?</a:t>
          </a:fld>
          <a:endParaRPr lang="fr-FR" sz="1100"/>
        </a:p>
      </xdr:txBody>
    </xdr:sp>
    <xdr:clientData/>
  </xdr:twoCellAnchor>
  <xdr:twoCellAnchor>
    <xdr:from>
      <xdr:col>57</xdr:col>
      <xdr:colOff>0</xdr:colOff>
      <xdr:row>3</xdr:row>
      <xdr:rowOff>0</xdr:rowOff>
    </xdr:from>
    <xdr:to>
      <xdr:col>58</xdr:col>
      <xdr:colOff>0</xdr:colOff>
      <xdr:row>5</xdr:row>
      <xdr:rowOff>0</xdr:rowOff>
    </xdr:to>
    <xdr:sp macro="JSON_TableHeaderClick" textlink="$BF$4">
      <xdr:nvSpPr>
        <xdr:cNvPr id="58" name="tReporting52428888_57">
          <a:extLst>
            <a:ext uri="{FF2B5EF4-FFF2-40B4-BE49-F238E27FC236}">
              <a16:creationId xmlns:a16="http://schemas.microsoft.com/office/drawing/2014/main" id="{7F987713-7638-448D-B2F2-06C20875FF9C}"/>
            </a:ext>
          </a:extLst>
        </xdr:cNvPr>
        <xdr:cNvSpPr/>
      </xdr:nvSpPr>
      <xdr:spPr>
        <a:xfrm>
          <a:off x="3711892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54D9814A-21A1-435E-A712-1F02CE17AC5F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Lock: default?</a:t>
          </a:fld>
          <a:endParaRPr lang="fr-FR" sz="1100"/>
        </a:p>
      </xdr:txBody>
    </xdr:sp>
    <xdr:clientData/>
  </xdr:twoCellAnchor>
  <xdr:twoCellAnchor>
    <xdr:from>
      <xdr:col>58</xdr:col>
      <xdr:colOff>0</xdr:colOff>
      <xdr:row>3</xdr:row>
      <xdr:rowOff>0</xdr:rowOff>
    </xdr:from>
    <xdr:to>
      <xdr:col>59</xdr:col>
      <xdr:colOff>0</xdr:colOff>
      <xdr:row>5</xdr:row>
      <xdr:rowOff>0</xdr:rowOff>
    </xdr:to>
    <xdr:sp macro="JSON_TableHeaderClick" textlink="$BG$4">
      <xdr:nvSpPr>
        <xdr:cNvPr id="59" name="tReporting52428888_58">
          <a:extLst>
            <a:ext uri="{FF2B5EF4-FFF2-40B4-BE49-F238E27FC236}">
              <a16:creationId xmlns:a16="http://schemas.microsoft.com/office/drawing/2014/main" id="{933AA7B2-C48C-4E72-B530-10EA3BCE69DA}"/>
            </a:ext>
          </a:extLst>
        </xdr:cNvPr>
        <xdr:cNvSpPr/>
      </xdr:nvSpPr>
      <xdr:spPr>
        <a:xfrm>
          <a:off x="3776662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54FAC7E2-5EF6-406F-8AAA-373CE6182920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Lock on publication</a:t>
          </a:fld>
          <a:endParaRPr lang="fr-FR" sz="1100"/>
        </a:p>
      </xdr:txBody>
    </xdr:sp>
    <xdr:clientData/>
  </xdr:twoCellAnchor>
  <xdr:twoCellAnchor>
    <xdr:from>
      <xdr:col>59</xdr:col>
      <xdr:colOff>0</xdr:colOff>
      <xdr:row>3</xdr:row>
      <xdr:rowOff>0</xdr:rowOff>
    </xdr:from>
    <xdr:to>
      <xdr:col>60</xdr:col>
      <xdr:colOff>0</xdr:colOff>
      <xdr:row>5</xdr:row>
      <xdr:rowOff>0</xdr:rowOff>
    </xdr:to>
    <xdr:sp macro="JSON_TableHeaderClick" textlink="$BH$4">
      <xdr:nvSpPr>
        <xdr:cNvPr id="60" name="tReporting52428888_59">
          <a:extLst>
            <a:ext uri="{FF2B5EF4-FFF2-40B4-BE49-F238E27FC236}">
              <a16:creationId xmlns:a16="http://schemas.microsoft.com/office/drawing/2014/main" id="{909C8AF9-5D22-4B09-9C59-19603D0AF813}"/>
            </a:ext>
          </a:extLst>
        </xdr:cNvPr>
        <xdr:cNvSpPr/>
      </xdr:nvSpPr>
      <xdr:spPr>
        <a:xfrm>
          <a:off x="3841432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701C05C7-F9B1-4F20-B5A0-0148044B37F3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Rule Set: default?</a:t>
          </a:fld>
          <a:endParaRPr lang="fr-FR" sz="1100"/>
        </a:p>
      </xdr:txBody>
    </xdr:sp>
    <xdr:clientData/>
  </xdr:twoCellAnchor>
  <xdr:twoCellAnchor>
    <xdr:from>
      <xdr:col>60</xdr:col>
      <xdr:colOff>0</xdr:colOff>
      <xdr:row>3</xdr:row>
      <xdr:rowOff>0</xdr:rowOff>
    </xdr:from>
    <xdr:to>
      <xdr:col>61</xdr:col>
      <xdr:colOff>0</xdr:colOff>
      <xdr:row>5</xdr:row>
      <xdr:rowOff>0</xdr:rowOff>
    </xdr:to>
    <xdr:sp macro="JSON_TableHeaderClick" textlink="$BI$4">
      <xdr:nvSpPr>
        <xdr:cNvPr id="61" name="tReporting52428888_60">
          <a:extLst>
            <a:ext uri="{FF2B5EF4-FFF2-40B4-BE49-F238E27FC236}">
              <a16:creationId xmlns:a16="http://schemas.microsoft.com/office/drawing/2014/main" id="{26524E53-13AC-4B27-BC47-CEA19D04089E}"/>
            </a:ext>
          </a:extLst>
        </xdr:cNvPr>
        <xdr:cNvSpPr/>
      </xdr:nvSpPr>
      <xdr:spPr>
        <a:xfrm>
          <a:off x="3906202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89BDFCD7-1E57-4071-B260-6C81BF80B80C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Rule Set</a:t>
          </a:fld>
          <a:endParaRPr lang="fr-FR" sz="1100"/>
        </a:p>
      </xdr:txBody>
    </xdr:sp>
    <xdr:clientData/>
  </xdr:twoCellAnchor>
  <xdr:twoCellAnchor>
    <xdr:from>
      <xdr:col>61</xdr:col>
      <xdr:colOff>0</xdr:colOff>
      <xdr:row>3</xdr:row>
      <xdr:rowOff>0</xdr:rowOff>
    </xdr:from>
    <xdr:to>
      <xdr:col>62</xdr:col>
      <xdr:colOff>0</xdr:colOff>
      <xdr:row>5</xdr:row>
      <xdr:rowOff>0</xdr:rowOff>
    </xdr:to>
    <xdr:sp macro="JSON_TableHeaderClick" textlink="$BJ$4">
      <xdr:nvSpPr>
        <xdr:cNvPr id="62" name="tReporting52428888_61">
          <a:extLst>
            <a:ext uri="{FF2B5EF4-FFF2-40B4-BE49-F238E27FC236}">
              <a16:creationId xmlns:a16="http://schemas.microsoft.com/office/drawing/2014/main" id="{0D851C0C-FF19-48A2-888F-26DC1C54D50B}"/>
            </a:ext>
          </a:extLst>
        </xdr:cNvPr>
        <xdr:cNvSpPr/>
      </xdr:nvSpPr>
      <xdr:spPr>
        <a:xfrm>
          <a:off x="3970972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65CD159B-6075-4D1C-8800-9BD9E83A513D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Opening balance: default?</a:t>
          </a:fld>
          <a:endParaRPr lang="fr-FR" sz="1100"/>
        </a:p>
      </xdr:txBody>
    </xdr:sp>
    <xdr:clientData/>
  </xdr:twoCellAnchor>
  <xdr:twoCellAnchor>
    <xdr:from>
      <xdr:col>62</xdr:col>
      <xdr:colOff>0</xdr:colOff>
      <xdr:row>3</xdr:row>
      <xdr:rowOff>0</xdr:rowOff>
    </xdr:from>
    <xdr:to>
      <xdr:col>63</xdr:col>
      <xdr:colOff>0</xdr:colOff>
      <xdr:row>5</xdr:row>
      <xdr:rowOff>0</xdr:rowOff>
    </xdr:to>
    <xdr:sp macro="JSON_TableHeaderClick" textlink="$BK$4">
      <xdr:nvSpPr>
        <xdr:cNvPr id="63" name="tReporting52428888_62">
          <a:extLst>
            <a:ext uri="{FF2B5EF4-FFF2-40B4-BE49-F238E27FC236}">
              <a16:creationId xmlns:a16="http://schemas.microsoft.com/office/drawing/2014/main" id="{7864F759-AE67-4F8C-80DD-CF744ADE934F}"/>
            </a:ext>
          </a:extLst>
        </xdr:cNvPr>
        <xdr:cNvSpPr/>
      </xdr:nvSpPr>
      <xdr:spPr>
        <a:xfrm>
          <a:off x="4035742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004D469B-E097-40CD-8340-7EA0B946F6FE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Opening balance?</a:t>
          </a:fld>
          <a:endParaRPr lang="fr-FR" sz="1100"/>
        </a:p>
      </xdr:txBody>
    </xdr:sp>
    <xdr:clientData/>
  </xdr:twoCellAnchor>
  <xdr:twoCellAnchor>
    <xdr:from>
      <xdr:col>63</xdr:col>
      <xdr:colOff>0</xdr:colOff>
      <xdr:row>3</xdr:row>
      <xdr:rowOff>0</xdr:rowOff>
    </xdr:from>
    <xdr:to>
      <xdr:col>64</xdr:col>
      <xdr:colOff>0</xdr:colOff>
      <xdr:row>5</xdr:row>
      <xdr:rowOff>0</xdr:rowOff>
    </xdr:to>
    <xdr:sp macro="JSON_TableHeaderClick" textlink="$BL$4">
      <xdr:nvSpPr>
        <xdr:cNvPr id="64" name="tReporting52428888_63">
          <a:extLst>
            <a:ext uri="{FF2B5EF4-FFF2-40B4-BE49-F238E27FC236}">
              <a16:creationId xmlns:a16="http://schemas.microsoft.com/office/drawing/2014/main" id="{981755A7-CBF0-4975-BF55-310DC60F6CBA}"/>
            </a:ext>
          </a:extLst>
        </xdr:cNvPr>
        <xdr:cNvSpPr/>
      </xdr:nvSpPr>
      <xdr:spPr>
        <a:xfrm>
          <a:off x="4100512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8AC8667B-FAC8-4F6F-AB24-57CB32A70FF8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OB Category</a:t>
          </a:fld>
          <a:endParaRPr lang="fr-FR" sz="1100"/>
        </a:p>
      </xdr:txBody>
    </xdr:sp>
    <xdr:clientData/>
  </xdr:twoCellAnchor>
  <xdr:twoCellAnchor>
    <xdr:from>
      <xdr:col>64</xdr:col>
      <xdr:colOff>0</xdr:colOff>
      <xdr:row>3</xdr:row>
      <xdr:rowOff>0</xdr:rowOff>
    </xdr:from>
    <xdr:to>
      <xdr:col>65</xdr:col>
      <xdr:colOff>0</xdr:colOff>
      <xdr:row>5</xdr:row>
      <xdr:rowOff>0</xdr:rowOff>
    </xdr:to>
    <xdr:sp macro="JSON_TableHeaderClick" textlink="$BM$4">
      <xdr:nvSpPr>
        <xdr:cNvPr id="65" name="tReporting52428888_64">
          <a:extLst>
            <a:ext uri="{FF2B5EF4-FFF2-40B4-BE49-F238E27FC236}">
              <a16:creationId xmlns:a16="http://schemas.microsoft.com/office/drawing/2014/main" id="{6CDDF6A1-E925-4CB1-AB8E-E08E0ED1B2ED}"/>
            </a:ext>
          </a:extLst>
        </xdr:cNvPr>
        <xdr:cNvSpPr/>
      </xdr:nvSpPr>
      <xdr:spPr>
        <a:xfrm>
          <a:off x="4165282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BCE5D728-428E-434A-9D7B-F4E7D18B327D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OB Update Period</a:t>
          </a:fld>
          <a:endParaRPr lang="fr-FR" sz="1100"/>
        </a:p>
      </xdr:txBody>
    </xdr:sp>
    <xdr:clientData/>
  </xdr:twoCellAnchor>
  <xdr:twoCellAnchor>
    <xdr:from>
      <xdr:col>65</xdr:col>
      <xdr:colOff>0</xdr:colOff>
      <xdr:row>3</xdr:row>
      <xdr:rowOff>0</xdr:rowOff>
    </xdr:from>
    <xdr:to>
      <xdr:col>66</xdr:col>
      <xdr:colOff>0</xdr:colOff>
      <xdr:row>5</xdr:row>
      <xdr:rowOff>0</xdr:rowOff>
    </xdr:to>
    <xdr:sp macro="JSON_TableHeaderClick" textlink="$BN$4">
      <xdr:nvSpPr>
        <xdr:cNvPr id="66" name="tReporting52428888_65">
          <a:extLst>
            <a:ext uri="{FF2B5EF4-FFF2-40B4-BE49-F238E27FC236}">
              <a16:creationId xmlns:a16="http://schemas.microsoft.com/office/drawing/2014/main" id="{B1CCFFCE-215B-4C4E-ABA2-6415F1121F1E}"/>
            </a:ext>
          </a:extLst>
        </xdr:cNvPr>
        <xdr:cNvSpPr/>
      </xdr:nvSpPr>
      <xdr:spPr>
        <a:xfrm>
          <a:off x="4230052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B304B0FA-9563-4CA2-ABCA-DA5C29BF5209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OB Scope</a:t>
          </a:fld>
          <a:endParaRPr lang="fr-FR" sz="1100"/>
        </a:p>
      </xdr:txBody>
    </xdr:sp>
    <xdr:clientData/>
  </xdr:twoCellAnchor>
  <xdr:twoCellAnchor>
    <xdr:from>
      <xdr:col>66</xdr:col>
      <xdr:colOff>0</xdr:colOff>
      <xdr:row>3</xdr:row>
      <xdr:rowOff>0</xdr:rowOff>
    </xdr:from>
    <xdr:to>
      <xdr:col>67</xdr:col>
      <xdr:colOff>0</xdr:colOff>
      <xdr:row>5</xdr:row>
      <xdr:rowOff>0</xdr:rowOff>
    </xdr:to>
    <xdr:sp macro="JSON_TableHeaderClick" textlink="$BO$4">
      <xdr:nvSpPr>
        <xdr:cNvPr id="67" name="tReporting52428888_66">
          <a:extLst>
            <a:ext uri="{FF2B5EF4-FFF2-40B4-BE49-F238E27FC236}">
              <a16:creationId xmlns:a16="http://schemas.microsoft.com/office/drawing/2014/main" id="{77667CA2-020E-41F8-88BC-6800C8554445}"/>
            </a:ext>
          </a:extLst>
        </xdr:cNvPr>
        <xdr:cNvSpPr/>
      </xdr:nvSpPr>
      <xdr:spPr>
        <a:xfrm>
          <a:off x="4294822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FD8B0C64-6410-4F0F-8901-2869D1B3665E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OB Variant</a:t>
          </a:fld>
          <a:endParaRPr lang="fr-FR" sz="1100"/>
        </a:p>
      </xdr:txBody>
    </xdr:sp>
    <xdr:clientData/>
  </xdr:twoCellAnchor>
  <xdr:twoCellAnchor>
    <xdr:from>
      <xdr:col>67</xdr:col>
      <xdr:colOff>0</xdr:colOff>
      <xdr:row>3</xdr:row>
      <xdr:rowOff>0</xdr:rowOff>
    </xdr:from>
    <xdr:to>
      <xdr:col>68</xdr:col>
      <xdr:colOff>0</xdr:colOff>
      <xdr:row>5</xdr:row>
      <xdr:rowOff>0</xdr:rowOff>
    </xdr:to>
    <xdr:sp macro="JSON_TableHeaderClick" textlink="$BP$4">
      <xdr:nvSpPr>
        <xdr:cNvPr id="68" name="tReporting52428888_67">
          <a:extLst>
            <a:ext uri="{FF2B5EF4-FFF2-40B4-BE49-F238E27FC236}">
              <a16:creationId xmlns:a16="http://schemas.microsoft.com/office/drawing/2014/main" id="{0FCCA077-A6B9-498C-B9EB-BC65D8D47B23}"/>
            </a:ext>
          </a:extLst>
        </xdr:cNvPr>
        <xdr:cNvSpPr/>
      </xdr:nvSpPr>
      <xdr:spPr>
        <a:xfrm>
          <a:off x="4359592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744A2581-47BF-434D-B3CE-33C44ECE433E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OB Currency</a:t>
          </a:fld>
          <a:endParaRPr lang="fr-FR" sz="1100"/>
        </a:p>
      </xdr:txBody>
    </xdr:sp>
    <xdr:clientData/>
  </xdr:twoCellAnchor>
  <xdr:twoCellAnchor>
    <xdr:from>
      <xdr:col>68</xdr:col>
      <xdr:colOff>0</xdr:colOff>
      <xdr:row>2</xdr:row>
      <xdr:rowOff>63500</xdr:rowOff>
    </xdr:from>
    <xdr:to>
      <xdr:col>69</xdr:col>
      <xdr:colOff>0</xdr:colOff>
      <xdr:row>5</xdr:row>
      <xdr:rowOff>0</xdr:rowOff>
    </xdr:to>
    <xdr:sp macro="JSON_TableHeaderClick" textlink="$BQ$4">
      <xdr:nvSpPr>
        <xdr:cNvPr id="69" name="tReporting52428888_68">
          <a:extLst>
            <a:ext uri="{FF2B5EF4-FFF2-40B4-BE49-F238E27FC236}">
              <a16:creationId xmlns:a16="http://schemas.microsoft.com/office/drawing/2014/main" id="{0F293E1D-0A35-43CD-B665-487D02814E98}"/>
            </a:ext>
          </a:extLst>
        </xdr:cNvPr>
        <xdr:cNvSpPr/>
      </xdr:nvSpPr>
      <xdr:spPr>
        <a:xfrm>
          <a:off x="44243625" y="444500"/>
          <a:ext cx="381000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3CCB9A98-500F-4D13-97AA-064774BC6218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Operation</a:t>
          </a:fld>
          <a:endParaRPr lang="fr-FR" sz="1100"/>
        </a:p>
      </xdr:txBody>
    </xdr:sp>
    <xdr:clientData/>
  </xdr:twoCellAnchor>
  <xdr:twoCellAnchor>
    <xdr:from>
      <xdr:col>69</xdr:col>
      <xdr:colOff>0</xdr:colOff>
      <xdr:row>3</xdr:row>
      <xdr:rowOff>0</xdr:rowOff>
    </xdr:from>
    <xdr:to>
      <xdr:col>70</xdr:col>
      <xdr:colOff>0</xdr:colOff>
      <xdr:row>5</xdr:row>
      <xdr:rowOff>0</xdr:rowOff>
    </xdr:to>
    <xdr:sp macro="JSON_TableHeaderClick" textlink="$BR$4">
      <xdr:nvSpPr>
        <xdr:cNvPr id="70" name="tReporting52428888_69">
          <a:extLst>
            <a:ext uri="{FF2B5EF4-FFF2-40B4-BE49-F238E27FC236}">
              <a16:creationId xmlns:a16="http://schemas.microsoft.com/office/drawing/2014/main" id="{8130861D-8F1F-4353-96C9-41D0374A4485}"/>
            </a:ext>
          </a:extLst>
        </xdr:cNvPr>
        <xdr:cNvSpPr/>
      </xdr:nvSpPr>
      <xdr:spPr>
        <a:xfrm>
          <a:off x="44624625" y="571500"/>
          <a:ext cx="714375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69265FEC-4C88-4B69-8D53-F7C0DB5BA3BC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Operation: default?</a:t>
          </a:fld>
          <a:endParaRPr lang="fr-FR" sz="1100"/>
        </a:p>
      </xdr:txBody>
    </xdr:sp>
    <xdr:clientData/>
  </xdr:twoCellAnchor>
  <xdr:twoCellAnchor>
    <xdr:from>
      <xdr:col>70</xdr:col>
      <xdr:colOff>0</xdr:colOff>
      <xdr:row>3</xdr:row>
      <xdr:rowOff>0</xdr:rowOff>
    </xdr:from>
    <xdr:to>
      <xdr:col>71</xdr:col>
      <xdr:colOff>0</xdr:colOff>
      <xdr:row>5</xdr:row>
      <xdr:rowOff>0</xdr:rowOff>
    </xdr:to>
    <xdr:sp macro="JSON_TableHeaderClick" textlink="$BS$4">
      <xdr:nvSpPr>
        <xdr:cNvPr id="71" name="tReporting52428888_70">
          <a:extLst>
            <a:ext uri="{FF2B5EF4-FFF2-40B4-BE49-F238E27FC236}">
              <a16:creationId xmlns:a16="http://schemas.microsoft.com/office/drawing/2014/main" id="{1665E012-E9E2-48AA-9260-970B66FBA4A0}"/>
            </a:ext>
          </a:extLst>
        </xdr:cNvPr>
        <xdr:cNvSpPr/>
      </xdr:nvSpPr>
      <xdr:spPr>
        <a:xfrm>
          <a:off x="45339000" y="571500"/>
          <a:ext cx="14478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80B3D383-BB9A-47A4-9280-B54E064470CB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Cutoff Date</a:t>
          </a:fld>
          <a:endParaRPr lang="fr-FR" sz="1100"/>
        </a:p>
      </xdr:txBody>
    </xdr:sp>
    <xdr:clientData/>
  </xdr:twoCellAnchor>
  <xdr:twoCellAnchor>
    <xdr:from>
      <xdr:col>71</xdr:col>
      <xdr:colOff>0</xdr:colOff>
      <xdr:row>3</xdr:row>
      <xdr:rowOff>0</xdr:rowOff>
    </xdr:from>
    <xdr:to>
      <xdr:col>72</xdr:col>
      <xdr:colOff>0</xdr:colOff>
      <xdr:row>5</xdr:row>
      <xdr:rowOff>0</xdr:rowOff>
    </xdr:to>
    <xdr:sp macro="JSON_TableHeaderClick" textlink="$BT$4">
      <xdr:nvSpPr>
        <xdr:cNvPr id="72" name="tReporting52428888_71">
          <a:extLst>
            <a:ext uri="{FF2B5EF4-FFF2-40B4-BE49-F238E27FC236}">
              <a16:creationId xmlns:a16="http://schemas.microsoft.com/office/drawing/2014/main" id="{3556C33F-C833-4B00-9B2F-BDA5029BC291}"/>
            </a:ext>
          </a:extLst>
        </xdr:cNvPr>
        <xdr:cNvSpPr/>
      </xdr:nvSpPr>
      <xdr:spPr>
        <a:xfrm>
          <a:off x="46786800" y="571500"/>
          <a:ext cx="714375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24168D39-8676-4EB7-8484-A70766B73D8F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Early publishing?</a:t>
          </a:fld>
          <a:endParaRPr lang="fr-FR" sz="1100"/>
        </a:p>
      </xdr:txBody>
    </xdr:sp>
    <xdr:clientData/>
  </xdr:twoCellAnchor>
  <xdr:twoCellAnchor>
    <xdr:from>
      <xdr:col>72</xdr:col>
      <xdr:colOff>0</xdr:colOff>
      <xdr:row>2</xdr:row>
      <xdr:rowOff>63500</xdr:rowOff>
    </xdr:from>
    <xdr:to>
      <xdr:col>73</xdr:col>
      <xdr:colOff>0</xdr:colOff>
      <xdr:row>5</xdr:row>
      <xdr:rowOff>0</xdr:rowOff>
    </xdr:to>
    <xdr:sp macro="JSON_TableHeaderClick" textlink="$BU$4">
      <xdr:nvSpPr>
        <xdr:cNvPr id="73" name="tReporting52428888_72">
          <a:extLst>
            <a:ext uri="{FF2B5EF4-FFF2-40B4-BE49-F238E27FC236}">
              <a16:creationId xmlns:a16="http://schemas.microsoft.com/office/drawing/2014/main" id="{940AAF05-3698-4D5D-B523-FABFFB1F3EF6}"/>
            </a:ext>
          </a:extLst>
        </xdr:cNvPr>
        <xdr:cNvSpPr/>
      </xdr:nvSpPr>
      <xdr:spPr>
        <a:xfrm>
          <a:off x="47501175" y="444500"/>
          <a:ext cx="381000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D3F5764E-0745-4945-8A60-834C1EA19E8A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After publication</a:t>
          </a:fld>
          <a:endParaRPr lang="fr-FR" sz="1100"/>
        </a:p>
      </xdr:txBody>
    </xdr:sp>
    <xdr:clientData/>
  </xdr:twoCellAnchor>
  <xdr:twoCellAnchor>
    <xdr:from>
      <xdr:col>73</xdr:col>
      <xdr:colOff>0</xdr:colOff>
      <xdr:row>3</xdr:row>
      <xdr:rowOff>0</xdr:rowOff>
    </xdr:from>
    <xdr:to>
      <xdr:col>74</xdr:col>
      <xdr:colOff>0</xdr:colOff>
      <xdr:row>5</xdr:row>
      <xdr:rowOff>0</xdr:rowOff>
    </xdr:to>
    <xdr:sp macro="JSON_TableHeaderClick" textlink="$BV$4">
      <xdr:nvSpPr>
        <xdr:cNvPr id="74" name="tReporting52428888_73">
          <a:extLst>
            <a:ext uri="{FF2B5EF4-FFF2-40B4-BE49-F238E27FC236}">
              <a16:creationId xmlns:a16="http://schemas.microsoft.com/office/drawing/2014/main" id="{86FFFE95-085E-4AFD-8AFB-9C0D889274E7}"/>
            </a:ext>
          </a:extLst>
        </xdr:cNvPr>
        <xdr:cNvSpPr/>
      </xdr:nvSpPr>
      <xdr:spPr>
        <a:xfrm>
          <a:off x="478821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A4EBA590-4D48-4A60-BA59-3B9BFC1E265A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After publication: default?</a:t>
          </a:fld>
          <a:endParaRPr lang="fr-FR" sz="1100"/>
        </a:p>
      </xdr:txBody>
    </xdr:sp>
    <xdr:clientData/>
  </xdr:twoCellAnchor>
  <xdr:twoCellAnchor>
    <xdr:from>
      <xdr:col>74</xdr:col>
      <xdr:colOff>0</xdr:colOff>
      <xdr:row>3</xdr:row>
      <xdr:rowOff>0</xdr:rowOff>
    </xdr:from>
    <xdr:to>
      <xdr:col>75</xdr:col>
      <xdr:colOff>0</xdr:colOff>
      <xdr:row>5</xdr:row>
      <xdr:rowOff>0</xdr:rowOff>
    </xdr:to>
    <xdr:sp macro="JSON_TableHeaderClick" textlink="$BW$4">
      <xdr:nvSpPr>
        <xdr:cNvPr id="75" name="tReporting52428888_74">
          <a:extLst>
            <a:ext uri="{FF2B5EF4-FFF2-40B4-BE49-F238E27FC236}">
              <a16:creationId xmlns:a16="http://schemas.microsoft.com/office/drawing/2014/main" id="{1A29070F-1386-4D83-82F6-EC5DD3D47C15}"/>
            </a:ext>
          </a:extLst>
        </xdr:cNvPr>
        <xdr:cNvSpPr/>
      </xdr:nvSpPr>
      <xdr:spPr>
        <a:xfrm>
          <a:off x="485298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DB15CB5E-9C78-4929-8417-B500A0A8571B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Standard pub.</a:t>
          </a:fld>
          <a:endParaRPr lang="fr-FR" sz="1100"/>
        </a:p>
      </xdr:txBody>
    </xdr:sp>
    <xdr:clientData/>
  </xdr:twoCellAnchor>
  <xdr:twoCellAnchor>
    <xdr:from>
      <xdr:col>75</xdr:col>
      <xdr:colOff>0</xdr:colOff>
      <xdr:row>3</xdr:row>
      <xdr:rowOff>0</xdr:rowOff>
    </xdr:from>
    <xdr:to>
      <xdr:col>76</xdr:col>
      <xdr:colOff>0</xdr:colOff>
      <xdr:row>5</xdr:row>
      <xdr:rowOff>0</xdr:rowOff>
    </xdr:to>
    <xdr:sp macro="JSON_TableHeaderClick" textlink="$BX$4">
      <xdr:nvSpPr>
        <xdr:cNvPr id="76" name="tReporting52428888_75">
          <a:extLst>
            <a:ext uri="{FF2B5EF4-FFF2-40B4-BE49-F238E27FC236}">
              <a16:creationId xmlns:a16="http://schemas.microsoft.com/office/drawing/2014/main" id="{D748EC0D-9DC4-4EB7-A7E9-768B518484E1}"/>
            </a:ext>
          </a:extLst>
        </xdr:cNvPr>
        <xdr:cNvSpPr/>
      </xdr:nvSpPr>
      <xdr:spPr>
        <a:xfrm>
          <a:off x="491775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36963DE0-E270-4D2A-A0E5-4244C18AA75A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Special pub.</a:t>
          </a:fld>
          <a:endParaRPr lang="fr-FR" sz="1100"/>
        </a:p>
      </xdr:txBody>
    </xdr:sp>
    <xdr:clientData/>
  </xdr:twoCellAnchor>
  <xdr:twoCellAnchor>
    <xdr:from>
      <xdr:col>76</xdr:col>
      <xdr:colOff>0</xdr:colOff>
      <xdr:row>3</xdr:row>
      <xdr:rowOff>0</xdr:rowOff>
    </xdr:from>
    <xdr:to>
      <xdr:col>77</xdr:col>
      <xdr:colOff>0</xdr:colOff>
      <xdr:row>5</xdr:row>
      <xdr:rowOff>0</xdr:rowOff>
    </xdr:to>
    <xdr:sp macro="JSON_TableHeaderClick" textlink="$BY$4">
      <xdr:nvSpPr>
        <xdr:cNvPr id="77" name="tReporting52428888_76">
          <a:extLst>
            <a:ext uri="{FF2B5EF4-FFF2-40B4-BE49-F238E27FC236}">
              <a16:creationId xmlns:a16="http://schemas.microsoft.com/office/drawing/2014/main" id="{CAFE5B6B-BB60-4C59-B11D-94CEF698739E}"/>
            </a:ext>
          </a:extLst>
        </xdr:cNvPr>
        <xdr:cNvSpPr/>
      </xdr:nvSpPr>
      <xdr:spPr>
        <a:xfrm>
          <a:off x="498252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1A55BF15-9D09-46D3-9444-83258F0D0757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Advanced pub.</a:t>
          </a:fld>
          <a:endParaRPr lang="fr-FR" sz="1100"/>
        </a:p>
      </xdr:txBody>
    </xdr:sp>
    <xdr:clientData/>
  </xdr:twoCellAnchor>
  <xdr:twoCellAnchor>
    <xdr:from>
      <xdr:col>77</xdr:col>
      <xdr:colOff>0</xdr:colOff>
      <xdr:row>3</xdr:row>
      <xdr:rowOff>0</xdr:rowOff>
    </xdr:from>
    <xdr:to>
      <xdr:col>78</xdr:col>
      <xdr:colOff>0</xdr:colOff>
      <xdr:row>5</xdr:row>
      <xdr:rowOff>0</xdr:rowOff>
    </xdr:to>
    <xdr:sp macro="JSON_TableHeaderClick" textlink="$BZ$4">
      <xdr:nvSpPr>
        <xdr:cNvPr id="78" name="tReporting52428888_77">
          <a:extLst>
            <a:ext uri="{FF2B5EF4-FFF2-40B4-BE49-F238E27FC236}">
              <a16:creationId xmlns:a16="http://schemas.microsoft.com/office/drawing/2014/main" id="{F89841B1-9F84-454E-8ADC-1C06C1A8BD29}"/>
            </a:ext>
          </a:extLst>
        </xdr:cNvPr>
        <xdr:cNvSpPr/>
      </xdr:nvSpPr>
      <xdr:spPr>
        <a:xfrm>
          <a:off x="504729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E4952318-A7CC-4200-841A-679F78A7D702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After pub. Level</a:t>
          </a:fld>
          <a:endParaRPr lang="fr-FR" sz="1100"/>
        </a:p>
      </xdr:txBody>
    </xdr:sp>
    <xdr:clientData/>
  </xdr:twoCellAnchor>
  <xdr:twoCellAnchor>
    <xdr:from>
      <xdr:col>78</xdr:col>
      <xdr:colOff>0</xdr:colOff>
      <xdr:row>2</xdr:row>
      <xdr:rowOff>63500</xdr:rowOff>
    </xdr:from>
    <xdr:to>
      <xdr:col>79</xdr:col>
      <xdr:colOff>0</xdr:colOff>
      <xdr:row>5</xdr:row>
      <xdr:rowOff>0</xdr:rowOff>
    </xdr:to>
    <xdr:sp macro="JSON_TableHeaderClick" textlink="$CA$4">
      <xdr:nvSpPr>
        <xdr:cNvPr id="79" name="tReporting52428888_78">
          <a:extLst>
            <a:ext uri="{FF2B5EF4-FFF2-40B4-BE49-F238E27FC236}">
              <a16:creationId xmlns:a16="http://schemas.microsoft.com/office/drawing/2014/main" id="{39D378E1-E1D3-4A20-9507-3DED2B80694E}"/>
            </a:ext>
          </a:extLst>
        </xdr:cNvPr>
        <xdr:cNvSpPr/>
      </xdr:nvSpPr>
      <xdr:spPr>
        <a:xfrm>
          <a:off x="51120675" y="444500"/>
          <a:ext cx="381000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747B97F2-F1FA-4C6B-9CF2-9F45A0D55B58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After transfert</a:t>
          </a:fld>
          <a:endParaRPr lang="fr-FR" sz="1100"/>
        </a:p>
      </xdr:txBody>
    </xdr:sp>
    <xdr:clientData/>
  </xdr:twoCellAnchor>
  <xdr:twoCellAnchor>
    <xdr:from>
      <xdr:col>79</xdr:col>
      <xdr:colOff>0</xdr:colOff>
      <xdr:row>3</xdr:row>
      <xdr:rowOff>0</xdr:rowOff>
    </xdr:from>
    <xdr:to>
      <xdr:col>80</xdr:col>
      <xdr:colOff>0</xdr:colOff>
      <xdr:row>5</xdr:row>
      <xdr:rowOff>0</xdr:rowOff>
    </xdr:to>
    <xdr:sp macro="JSON_TableHeaderClick" textlink="$CB$4">
      <xdr:nvSpPr>
        <xdr:cNvPr id="80" name="tReporting52428888_79">
          <a:extLst>
            <a:ext uri="{FF2B5EF4-FFF2-40B4-BE49-F238E27FC236}">
              <a16:creationId xmlns:a16="http://schemas.microsoft.com/office/drawing/2014/main" id="{91E5AA48-8983-44F0-8628-96271E526666}"/>
            </a:ext>
          </a:extLst>
        </xdr:cNvPr>
        <xdr:cNvSpPr/>
      </xdr:nvSpPr>
      <xdr:spPr>
        <a:xfrm>
          <a:off x="515016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8A482091-28CF-4B29-8A0C-422DB350CB0C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After transfert: default?</a:t>
          </a:fld>
          <a:endParaRPr lang="fr-FR" sz="1100"/>
        </a:p>
      </xdr:txBody>
    </xdr:sp>
    <xdr:clientData/>
  </xdr:twoCellAnchor>
  <xdr:twoCellAnchor>
    <xdr:from>
      <xdr:col>80</xdr:col>
      <xdr:colOff>0</xdr:colOff>
      <xdr:row>3</xdr:row>
      <xdr:rowOff>0</xdr:rowOff>
    </xdr:from>
    <xdr:to>
      <xdr:col>81</xdr:col>
      <xdr:colOff>0</xdr:colOff>
      <xdr:row>5</xdr:row>
      <xdr:rowOff>0</xdr:rowOff>
    </xdr:to>
    <xdr:sp macro="JSON_TableHeaderClick" textlink="$CC$4">
      <xdr:nvSpPr>
        <xdr:cNvPr id="81" name="tReporting52428888_80">
          <a:extLst>
            <a:ext uri="{FF2B5EF4-FFF2-40B4-BE49-F238E27FC236}">
              <a16:creationId xmlns:a16="http://schemas.microsoft.com/office/drawing/2014/main" id="{BD149A24-AB90-42AE-B0A9-9EA18A66A6B5}"/>
            </a:ext>
          </a:extLst>
        </xdr:cNvPr>
        <xdr:cNvSpPr/>
      </xdr:nvSpPr>
      <xdr:spPr>
        <a:xfrm>
          <a:off x="521493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108637F3-980E-4431-AAFB-A58D1A0450AC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Standard tran.</a:t>
          </a:fld>
          <a:endParaRPr lang="fr-FR" sz="1100"/>
        </a:p>
      </xdr:txBody>
    </xdr:sp>
    <xdr:clientData/>
  </xdr:twoCellAnchor>
  <xdr:twoCellAnchor>
    <xdr:from>
      <xdr:col>81</xdr:col>
      <xdr:colOff>0</xdr:colOff>
      <xdr:row>3</xdr:row>
      <xdr:rowOff>0</xdr:rowOff>
    </xdr:from>
    <xdr:to>
      <xdr:col>82</xdr:col>
      <xdr:colOff>0</xdr:colOff>
      <xdr:row>5</xdr:row>
      <xdr:rowOff>0</xdr:rowOff>
    </xdr:to>
    <xdr:sp macro="JSON_TableHeaderClick" textlink="$CD$4">
      <xdr:nvSpPr>
        <xdr:cNvPr id="82" name="tReporting52428888_81">
          <a:extLst>
            <a:ext uri="{FF2B5EF4-FFF2-40B4-BE49-F238E27FC236}">
              <a16:creationId xmlns:a16="http://schemas.microsoft.com/office/drawing/2014/main" id="{63756378-5A77-467A-9F5A-5CC01ACF88CB}"/>
            </a:ext>
          </a:extLst>
        </xdr:cNvPr>
        <xdr:cNvSpPr/>
      </xdr:nvSpPr>
      <xdr:spPr>
        <a:xfrm>
          <a:off x="527970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1F7E1AAA-53AD-4844-8B2B-E0F59ABF0610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Special tran.</a:t>
          </a:fld>
          <a:endParaRPr lang="fr-FR" sz="1100"/>
        </a:p>
      </xdr:txBody>
    </xdr:sp>
    <xdr:clientData/>
  </xdr:twoCellAnchor>
  <xdr:twoCellAnchor>
    <xdr:from>
      <xdr:col>82</xdr:col>
      <xdr:colOff>0</xdr:colOff>
      <xdr:row>3</xdr:row>
      <xdr:rowOff>0</xdr:rowOff>
    </xdr:from>
    <xdr:to>
      <xdr:col>83</xdr:col>
      <xdr:colOff>0</xdr:colOff>
      <xdr:row>5</xdr:row>
      <xdr:rowOff>0</xdr:rowOff>
    </xdr:to>
    <xdr:sp macro="JSON_TableHeaderClick" textlink="$CE$4">
      <xdr:nvSpPr>
        <xdr:cNvPr id="83" name="tReporting52428888_82">
          <a:extLst>
            <a:ext uri="{FF2B5EF4-FFF2-40B4-BE49-F238E27FC236}">
              <a16:creationId xmlns:a16="http://schemas.microsoft.com/office/drawing/2014/main" id="{0DF20486-2B14-4D13-A7D3-0DA581F3C043}"/>
            </a:ext>
          </a:extLst>
        </xdr:cNvPr>
        <xdr:cNvSpPr/>
      </xdr:nvSpPr>
      <xdr:spPr>
        <a:xfrm>
          <a:off x="534447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9F5057FB-3501-4479-9F58-17D58DFA7BC3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Advanced tran.</a:t>
          </a:fld>
          <a:endParaRPr lang="fr-FR" sz="1100"/>
        </a:p>
      </xdr:txBody>
    </xdr:sp>
    <xdr:clientData/>
  </xdr:twoCellAnchor>
  <xdr:twoCellAnchor>
    <xdr:from>
      <xdr:col>83</xdr:col>
      <xdr:colOff>0</xdr:colOff>
      <xdr:row>3</xdr:row>
      <xdr:rowOff>0</xdr:rowOff>
    </xdr:from>
    <xdr:to>
      <xdr:col>84</xdr:col>
      <xdr:colOff>0</xdr:colOff>
      <xdr:row>5</xdr:row>
      <xdr:rowOff>0</xdr:rowOff>
    </xdr:to>
    <xdr:sp macro="JSON_TableHeaderClick" textlink="$CF$4">
      <xdr:nvSpPr>
        <xdr:cNvPr id="84" name="tReporting52428888_83">
          <a:extLst>
            <a:ext uri="{FF2B5EF4-FFF2-40B4-BE49-F238E27FC236}">
              <a16:creationId xmlns:a16="http://schemas.microsoft.com/office/drawing/2014/main" id="{7D4AFF92-43AD-48F5-98A9-C7F094979CFF}"/>
            </a:ext>
          </a:extLst>
        </xdr:cNvPr>
        <xdr:cNvSpPr/>
      </xdr:nvSpPr>
      <xdr:spPr>
        <a:xfrm>
          <a:off x="540924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5E351011-42AD-4A4A-A530-4E590CF4D039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pPr algn="l"/>
            <a:t>After tran. Level</a:t>
          </a:fld>
          <a:endParaRPr lang="fr-FR" sz="11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B76CC5C-96EA-4555-ADC4-99CF0FC91F3D}" name="tReportings" displayName="tReportings" ref="C13:F41" totalsRowShown="0" headerRowDxfId="5" dataDxfId="0" tableBorderDxfId="6">
  <autoFilter ref="C13:F41" xr:uid="{CA46DA1A-2556-4158-96DD-03BBC6AA1826}"/>
  <tableColumns count="4">
    <tableColumn id="1" xr3:uid="{7079AA66-0BC2-4904-9DD2-07162447F139}" name=" 1" dataDxfId="4"/>
    <tableColumn id="2" xr3:uid="{CAFBB3B7-FE7F-4E62-90C5-834D0A23F845}" name=" 2" dataDxfId="3"/>
    <tableColumn id="3" xr3:uid="{44AC72EB-579F-4026-B1DA-A2635B1BEEAF}" name=" 3" dataDxfId="2"/>
    <tableColumn id="4" xr3:uid="{47AC696D-30B6-4069-8E5F-BB981D7C3BE2}" name=" 4" dataDxfId="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8AB1A78-412C-43E6-B975-B13104696F69}" name="tReportingNew5" displayName="tReportingNew5" ref="B5:CF7" totalsRowShown="0" headerRowDxfId="221" dataDxfId="220">
  <autoFilter ref="B5:CF7" xr:uid="{079C5C50-975F-4821-9131-FD6FCBCEC310}"/>
  <tableColumns count="83">
    <tableColumn id="1" xr3:uid="{6EDF8137-BFF3-4B6A-99B4-3F6994ACF90A}" name=" 1" dataDxfId="219"/>
    <tableColumn id="2" xr3:uid="{FD9935D8-4AF3-43B3-91A1-941169F0993C}" name=" 2" dataDxfId="218"/>
    <tableColumn id="3" xr3:uid="{9A22F937-53AA-4E20-8997-ECAF644B49F2}" name=" 3" dataDxfId="217"/>
    <tableColumn id="4" xr3:uid="{92CB258B-D576-4929-983E-087C26C6D7CF}" name=" 4" dataDxfId="216"/>
    <tableColumn id="5" xr3:uid="{039EA799-87B0-4C0C-ABD4-E2E66880E2EC}" name=" 5" dataDxfId="215"/>
    <tableColumn id="6" xr3:uid="{49218E16-E77C-46B6-AC27-9EDA357BD167}" name=" 6" dataDxfId="214"/>
    <tableColumn id="7" xr3:uid="{6F4B6CE7-D026-4015-99D7-CBC8C47793BA}" name=" 7" dataDxfId="213"/>
    <tableColumn id="8" xr3:uid="{5074F954-4F77-4596-AC08-BCE216F55A59}" name=" 8" dataDxfId="212"/>
    <tableColumn id="9" xr3:uid="{F3930EAC-4ACD-4034-893A-6A28F50A5BD4}" name=" 9" dataDxfId="211"/>
    <tableColumn id="10" xr3:uid="{B112EFE1-01F1-48C5-85D6-E59094AE344D}" name=" 10" dataDxfId="210"/>
    <tableColumn id="11" xr3:uid="{A2D20E2D-CA85-4244-AC0E-8C5903F39DEB}" name=" 11" dataDxfId="209"/>
    <tableColumn id="12" xr3:uid="{B138E8E1-22B5-41E8-A571-FB1985DF64A9}" name=" 12" dataDxfId="208"/>
    <tableColumn id="13" xr3:uid="{F76EC9CA-828D-4811-A938-666F764FBCA2}" name=" 13" dataDxfId="207"/>
    <tableColumn id="14" xr3:uid="{17769CC6-F734-4FFE-9E24-0C80CE934141}" name=" 14" dataDxfId="206"/>
    <tableColumn id="15" xr3:uid="{ABEC7A67-70A0-41D2-9A9F-F647D8C893F9}" name=" 15" dataDxfId="205"/>
    <tableColumn id="16" xr3:uid="{CB80D96B-7C6C-4803-BA5F-5554118E8D05}" name=" 16" dataDxfId="204"/>
    <tableColumn id="17" xr3:uid="{E0D5CE7A-F4AF-47C0-AD79-4B4C2947AD00}" name=" 17" dataDxfId="203"/>
    <tableColumn id="18" xr3:uid="{AC556FBA-C5AA-4B7C-9E37-A2FC1D421709}" name=" 18" dataDxfId="202"/>
    <tableColumn id="19" xr3:uid="{2F6E2A93-5378-4E14-A08F-B9B855A3F36A}" name=" 19" dataDxfId="201"/>
    <tableColumn id="20" xr3:uid="{B7CE7726-8BCA-4A55-AB02-0FFA609865AD}" name=" 20" dataDxfId="200"/>
    <tableColumn id="21" xr3:uid="{4E22C52C-30FD-4D05-B153-CFA84AD48E12}" name=" 21" dataDxfId="199"/>
    <tableColumn id="22" xr3:uid="{42E7AA3B-2B34-407D-A766-43153D6E0734}" name=" 22" dataDxfId="198"/>
    <tableColumn id="23" xr3:uid="{A7F5C492-8F09-4EFC-95B9-9FBE24C14A73}" name=" 23" dataDxfId="197"/>
    <tableColumn id="24" xr3:uid="{19F011AE-0E0E-445C-9CB1-797D31D8197F}" name=" 24" dataDxfId="196"/>
    <tableColumn id="25" xr3:uid="{9F2A155C-D5D2-4D4A-BF01-5B7970847F3E}" name=" 25" dataDxfId="195"/>
    <tableColumn id="26" xr3:uid="{FCF20718-FD9A-4ABB-8EE9-2351CDEB88A7}" name=" 26" dataDxfId="194"/>
    <tableColumn id="27" xr3:uid="{8AE8AB0A-C4EA-4AAD-A41B-9027A9703B78}" name=" 27" dataDxfId="193"/>
    <tableColumn id="28" xr3:uid="{6159772B-1EFE-4662-9B33-DAF9FC2758E3}" name=" 28" dataDxfId="192"/>
    <tableColumn id="29" xr3:uid="{A078BE11-6E8E-4BB1-9E0F-3B08870AC6B5}" name=" 29" dataDxfId="191"/>
    <tableColumn id="30" xr3:uid="{21BDAEF4-4884-4295-AD53-2C2609E32D55}" name=" 30" dataDxfId="190"/>
    <tableColumn id="31" xr3:uid="{064A05C9-23D3-4200-B678-FDA49FF51741}" name=" 31" dataDxfId="189"/>
    <tableColumn id="32" xr3:uid="{5C0B504D-EF78-4BD6-9586-7B1C62E6A33D}" name=" 32" dataDxfId="188"/>
    <tableColumn id="33" xr3:uid="{53A81186-A689-4E63-8304-98E342CD0730}" name=" 33" dataDxfId="187"/>
    <tableColumn id="34" xr3:uid="{8FA0E5BB-144A-489F-B550-A6FA256C147A}" name=" 34" dataDxfId="186"/>
    <tableColumn id="35" xr3:uid="{58CEBA5B-A9C6-4CB5-A371-6D352CD798A2}" name=" 35" dataDxfId="185"/>
    <tableColumn id="36" xr3:uid="{DCBA4423-0CF2-4C4B-ADB3-BEF717CE14BD}" name=" 36" dataDxfId="184"/>
    <tableColumn id="37" xr3:uid="{DE980B11-D965-466E-BF59-BF749498D55C}" name=" 37" dataDxfId="183"/>
    <tableColumn id="38" xr3:uid="{48586BAF-839C-49B6-8683-643D623D172C}" name=" 38" dataDxfId="182"/>
    <tableColumn id="39" xr3:uid="{4D7167E0-2CB8-4097-9AF0-6CF9963A3085}" name=" 39" dataDxfId="181"/>
    <tableColumn id="40" xr3:uid="{430F2038-1646-4A7D-97C4-E02EA489E670}" name=" 40" dataDxfId="180"/>
    <tableColumn id="41" xr3:uid="{AEA8069A-55C7-4DF1-BAB9-E1A9B1EB93F1}" name=" 41" dataDxfId="179"/>
    <tableColumn id="42" xr3:uid="{C775A358-4367-41E3-95C9-0522EE39900C}" name=" 42" dataDxfId="178"/>
    <tableColumn id="43" xr3:uid="{B4A0B099-C399-4CA9-8609-B994944CC325}" name=" 43" dataDxfId="177"/>
    <tableColumn id="44" xr3:uid="{9D8E2250-9835-437A-AB0C-DE274E610ADE}" name=" 44" dataDxfId="176"/>
    <tableColumn id="45" xr3:uid="{0C67C86C-9B0D-4259-AEF0-F594E6631B9B}" name=" 45" dataDxfId="175"/>
    <tableColumn id="46" xr3:uid="{D101E33D-4AD5-41FE-8EF6-AAC6444575CA}" name=" 46" dataDxfId="174"/>
    <tableColumn id="47" xr3:uid="{B908C223-1051-410D-927F-2A7D5448E4C9}" name=" 47" dataDxfId="173"/>
    <tableColumn id="48" xr3:uid="{CB8BA31C-CC9E-428F-BB06-7FB921B6DEC2}" name=" 48" dataDxfId="172"/>
    <tableColumn id="49" xr3:uid="{DCC62F3C-9C18-4507-AD64-7322A3C07052}" name=" 49" dataDxfId="171"/>
    <tableColumn id="50" xr3:uid="{7D2439E7-D383-45B1-8787-8F0C65BA38DF}" name=" 50" dataDxfId="170"/>
    <tableColumn id="51" xr3:uid="{C485A7CA-FBC6-467B-BADB-1DECC8B28F21}" name=" 51" dataDxfId="169"/>
    <tableColumn id="52" xr3:uid="{33181188-BAF1-4A0A-BD95-7DC2F7DA0E74}" name=" 52" dataDxfId="168"/>
    <tableColumn id="53" xr3:uid="{CEABD349-7008-4A7F-859A-105738707FAC}" name=" 53" dataDxfId="167"/>
    <tableColumn id="54" xr3:uid="{21AB2FE8-6ED0-42D8-A0C3-B5E2D1BAADEB}" name=" 54" dataDxfId="166"/>
    <tableColumn id="55" xr3:uid="{6D1AB189-AB0B-4F7B-8C74-6EDA38732937}" name=" 55" dataDxfId="165"/>
    <tableColumn id="56" xr3:uid="{3E97F3C7-66FF-4445-A162-C6FE7D4DA356}" name=" 56" dataDxfId="164"/>
    <tableColumn id="57" xr3:uid="{BA57926F-0DFB-45B7-89B2-F777148A6A72}" name=" 57" dataDxfId="163"/>
    <tableColumn id="58" xr3:uid="{4EFD50BF-1EE7-4DEF-A6E1-60B6C9D7A512}" name=" 58" dataDxfId="162"/>
    <tableColumn id="59" xr3:uid="{8EF9D070-E681-4F9D-A368-529EF1234276}" name=" 59" dataDxfId="161"/>
    <tableColumn id="60" xr3:uid="{0D011C12-0DA2-49CF-AB02-C0BDFB96D69F}" name=" 60" dataDxfId="160"/>
    <tableColumn id="61" xr3:uid="{2F799CA9-E9C3-4D9B-9075-4654E9CCAAF3}" name=" 61" dataDxfId="159"/>
    <tableColumn id="62" xr3:uid="{51D977B5-53CF-4C23-95F6-A34E23F92949}" name=" 62" dataDxfId="158"/>
    <tableColumn id="63" xr3:uid="{435DF073-F041-4E7F-B3F0-244318818C99}" name=" 63" dataDxfId="157"/>
    <tableColumn id="64" xr3:uid="{3960A730-5BB6-4E2D-8CA0-85DC666BD0FE}" name=" 64" dataDxfId="156"/>
    <tableColumn id="65" xr3:uid="{FDB4118F-73B7-4D7C-B13C-4814935C7AB3}" name=" 65" dataDxfId="155"/>
    <tableColumn id="66" xr3:uid="{84483156-649E-4FB2-BB47-ADC15ED1E298}" name=" 66" dataDxfId="154"/>
    <tableColumn id="67" xr3:uid="{CA6EC4D5-516A-4A2C-9FC2-0D8F9782BB71}" name=" 67" dataDxfId="153"/>
    <tableColumn id="68" xr3:uid="{3CB951C0-36E8-4E2F-B131-479F4CAD6E78}" name=" 68" dataDxfId="152"/>
    <tableColumn id="69" xr3:uid="{BF6A636D-CCA7-404D-B397-070EC60DF20F}" name=" 69" dataDxfId="151"/>
    <tableColumn id="70" xr3:uid="{60BEB33B-FAFC-498D-BCD0-D1AE1CCEAB64}" name=" 70" dataDxfId="150"/>
    <tableColumn id="71" xr3:uid="{3BE2914F-8448-4B69-B47A-5CD90C559896}" name=" 71" dataDxfId="149"/>
    <tableColumn id="72" xr3:uid="{FC7641C7-B319-4DE1-ACB9-88861A217F01}" name=" 72" dataDxfId="148"/>
    <tableColumn id="73" xr3:uid="{5C89F8B4-D3D5-40BC-831F-0B61115946B2}" name=" 73" dataDxfId="147"/>
    <tableColumn id="74" xr3:uid="{AA772C46-5931-460A-836C-26B60D12B5BB}" name=" 74" dataDxfId="146"/>
    <tableColumn id="75" xr3:uid="{F3451341-6464-4924-AC90-F3E38276520B}" name=" 75" dataDxfId="145"/>
    <tableColumn id="76" xr3:uid="{555134D0-D4AD-40A7-9DA0-53EE852F7161}" name=" 76" dataDxfId="144"/>
    <tableColumn id="77" xr3:uid="{EDA4A4BC-FBE3-4107-B724-29770D66AA8D}" name=" 77" dataDxfId="143"/>
    <tableColumn id="78" xr3:uid="{66DFF0E8-A75E-49CA-83C2-E287F4F7667C}" name=" 78" dataDxfId="142"/>
    <tableColumn id="79" xr3:uid="{BADC0D73-A851-4E41-BC07-EAD245E0E9CD}" name=" 79" dataDxfId="141"/>
    <tableColumn id="80" xr3:uid="{9D31BED4-9781-417E-B6E0-80537A178464}" name=" 80" dataDxfId="140"/>
    <tableColumn id="81" xr3:uid="{39FABE48-0C6D-4B08-AADB-2CEC269CE1EE}" name=" 81" dataDxfId="139"/>
    <tableColumn id="82" xr3:uid="{973ECCC6-7F38-43F5-8826-B62A79F69B96}" name=" 82" dataDxfId="138"/>
    <tableColumn id="83" xr3:uid="{8E35751D-9567-419C-BF81-D585FDA71841}" name=" 83" dataDxfId="13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66446D2-9F6B-4550-9AED-744CAD0B63AD}" name="tReporting52428888" displayName="tReporting52428888" ref="B5:CF6" totalsRowShown="0" headerRowDxfId="136" dataDxfId="135">
  <autoFilter ref="B5:CF6" xr:uid="{009CD131-6D8A-4799-8DA0-5AE65C69ADD7}"/>
  <tableColumns count="83">
    <tableColumn id="1" xr3:uid="{86ED3EC3-B42C-4CF2-92ED-4B622A33E4CB}" name=" 1" dataDxfId="134"/>
    <tableColumn id="2" xr3:uid="{AE79E4E4-8C49-41F8-9906-730F48632702}" name=" 2" dataDxfId="133"/>
    <tableColumn id="3" xr3:uid="{7153DA51-E8D1-4DD3-B266-455649C65671}" name=" 3" dataDxfId="132"/>
    <tableColumn id="4" xr3:uid="{6175F3D0-8448-48C7-A316-2F80083E4716}" name=" 4" dataDxfId="131"/>
    <tableColumn id="5" xr3:uid="{7FCB01C6-80C3-4AA5-B85B-1DDA044094C1}" name=" 5" dataDxfId="130"/>
    <tableColumn id="6" xr3:uid="{0EB686AF-27A8-4839-B725-71F937F438A6}" name=" 6" dataDxfId="129"/>
    <tableColumn id="7" xr3:uid="{1092DE6B-71B5-48F4-BD2A-3E12692C5346}" name=" 7" dataDxfId="128"/>
    <tableColumn id="8" xr3:uid="{37BE3DFB-6BAE-425E-BED9-915F65461296}" name=" 8" dataDxfId="127"/>
    <tableColumn id="9" xr3:uid="{A030DE82-3588-41C6-AF3E-72D478A9BF44}" name=" 9" dataDxfId="126"/>
    <tableColumn id="10" xr3:uid="{BB289FBD-C350-4F06-B388-CB7CE163E984}" name=" 10" dataDxfId="125"/>
    <tableColumn id="11" xr3:uid="{EA6A665B-9B2C-4398-A64F-18C5AEF3D80C}" name=" 11" dataDxfId="124"/>
    <tableColumn id="12" xr3:uid="{232DCC76-3426-4592-AB8D-218DE2AF3E81}" name=" 12" dataDxfId="123"/>
    <tableColumn id="13" xr3:uid="{FDD56D4D-5142-4380-8D28-75C9AEBC0461}" name=" 13" dataDxfId="122"/>
    <tableColumn id="14" xr3:uid="{B8E9C3FB-B628-484B-AC1C-9710E153E25C}" name=" 14" dataDxfId="121"/>
    <tableColumn id="15" xr3:uid="{4F083F21-4B12-4514-AECD-8322336D8063}" name=" 15" dataDxfId="120"/>
    <tableColumn id="16" xr3:uid="{CC4596AB-C18B-48BF-8520-CAF0A946EFDF}" name=" 16" dataDxfId="119"/>
    <tableColumn id="17" xr3:uid="{E7CB0B26-89F3-446F-9BEE-F8115EF56B5A}" name=" 17" dataDxfId="118"/>
    <tableColumn id="18" xr3:uid="{7E0699CE-F6FF-44A0-B2FF-B1B2656DFDD1}" name=" 18" dataDxfId="117"/>
    <tableColumn id="19" xr3:uid="{CEA3CB5A-A162-4875-980A-40C45CFF9BCF}" name=" 19" dataDxfId="116"/>
    <tableColumn id="20" xr3:uid="{1F371A3F-B7C6-445A-B2E8-0FF08F2C3D37}" name=" 20" dataDxfId="115"/>
    <tableColumn id="21" xr3:uid="{520566F3-020E-43FE-89BE-0FD102B617D5}" name=" 21" dataDxfId="114"/>
    <tableColumn id="22" xr3:uid="{65058823-BE07-4F58-9F00-B030444D945E}" name=" 22" dataDxfId="113"/>
    <tableColumn id="23" xr3:uid="{F3099F57-3018-43A2-A5BE-3805A9D29E24}" name=" 23" dataDxfId="112"/>
    <tableColumn id="24" xr3:uid="{A99CA00A-C71C-431F-B9BA-29A41E9D8134}" name=" 24" dataDxfId="111"/>
    <tableColumn id="25" xr3:uid="{617BCDC0-1F83-426E-8529-A3ADA61D0978}" name=" 25" dataDxfId="110"/>
    <tableColumn id="26" xr3:uid="{B2A92392-791B-4171-BD7A-386D074AE135}" name=" 26" dataDxfId="109"/>
    <tableColumn id="27" xr3:uid="{6DB1B331-3FCF-4ADB-835F-C5CE45771528}" name=" 27" dataDxfId="108"/>
    <tableColumn id="28" xr3:uid="{D266D625-E26F-46F2-9E80-4A60AC7E2CC2}" name=" 28" dataDxfId="107"/>
    <tableColumn id="29" xr3:uid="{FCDEEEC1-8589-462B-B05A-9F8EC3BAAEBD}" name=" 29" dataDxfId="106"/>
    <tableColumn id="30" xr3:uid="{C3CDAFAC-457A-4C12-9634-9645A9BEB2A4}" name=" 30" dataDxfId="105"/>
    <tableColumn id="31" xr3:uid="{3852EB12-505F-4ED2-9AF1-E4BEEE6B8E06}" name=" 31" dataDxfId="104"/>
    <tableColumn id="32" xr3:uid="{E464871D-A698-4CAA-8A1F-9F53203D107C}" name=" 32" dataDxfId="103"/>
    <tableColumn id="33" xr3:uid="{C84544B4-154E-4D3A-A04B-945A4B35F4CD}" name=" 33" dataDxfId="102"/>
    <tableColumn id="34" xr3:uid="{60AA15F3-C90C-47C8-A652-00CDCA5E828E}" name=" 34" dataDxfId="101"/>
    <tableColumn id="35" xr3:uid="{EE2A4FB1-9BAA-4A82-9368-4154427F848D}" name=" 35" dataDxfId="100"/>
    <tableColumn id="36" xr3:uid="{A148FBFC-0408-420A-85A6-3873856B0875}" name=" 36" dataDxfId="99"/>
    <tableColumn id="37" xr3:uid="{1B25B497-E56C-40F2-B977-7A7BCE0BEB15}" name=" 37" dataDxfId="98"/>
    <tableColumn id="38" xr3:uid="{F91604B3-D0C3-4B06-8457-FAD5D5230D9B}" name=" 38" dataDxfId="97"/>
    <tableColumn id="39" xr3:uid="{C5F3A5F4-C9FF-481B-A9E5-23E03027798B}" name=" 39" dataDxfId="96"/>
    <tableColumn id="40" xr3:uid="{54BCE2C7-1E7C-48CF-AE83-F774CCCFFEB5}" name=" 40" dataDxfId="95"/>
    <tableColumn id="41" xr3:uid="{6BA6C0CF-6E93-47E0-AD6D-2A0488145552}" name=" 41" dataDxfId="94"/>
    <tableColumn id="42" xr3:uid="{AA0199C2-9970-4E36-BCDE-0AC14F2A42D0}" name=" 42" dataDxfId="93"/>
    <tableColumn id="43" xr3:uid="{FB00F8BE-92F0-443C-9D3C-C8B24F7ABEF3}" name=" 43" dataDxfId="92"/>
    <tableColumn id="44" xr3:uid="{521A9702-D7CA-4161-9906-F25AE9B03AFA}" name=" 44" dataDxfId="91"/>
    <tableColumn id="45" xr3:uid="{C9657CC3-65E7-4430-AD22-EC17D8B35140}" name=" 45" dataDxfId="90"/>
    <tableColumn id="46" xr3:uid="{6F8637FC-602A-4EBD-A263-75A0A6736E4F}" name=" 46" dataDxfId="89"/>
    <tableColumn id="47" xr3:uid="{67EA76B9-EA36-4729-9FB2-0E4EC0AC566A}" name=" 47" dataDxfId="88"/>
    <tableColumn id="48" xr3:uid="{9C1222F0-40F3-4723-904D-CE95854E8D0F}" name=" 48" dataDxfId="87"/>
    <tableColumn id="49" xr3:uid="{09D9909D-5E25-44D1-A42B-30762650A7F2}" name=" 49" dataDxfId="86"/>
    <tableColumn id="50" xr3:uid="{F4E8AF7B-18D1-4CC7-8B22-379ECF093156}" name=" 50" dataDxfId="85"/>
    <tableColumn id="51" xr3:uid="{FAB4DF86-52E0-4846-BD39-D3B352F78032}" name=" 51" dataDxfId="84"/>
    <tableColumn id="52" xr3:uid="{AB0CEAEC-A612-41ED-9CC3-AAC710D2E056}" name=" 52" dataDxfId="83"/>
    <tableColumn id="53" xr3:uid="{38C01C38-0FD0-4D1D-A1C6-753E5BF59089}" name=" 53" dataDxfId="82"/>
    <tableColumn id="54" xr3:uid="{A308B7FE-E287-4751-8E5B-8CAC7131B348}" name=" 54" dataDxfId="81"/>
    <tableColumn id="55" xr3:uid="{16C3523E-7EBF-48F3-AAAC-AF01E7C167C0}" name=" 55" dataDxfId="80"/>
    <tableColumn id="56" xr3:uid="{1B0F2F78-6C8D-4820-8E8C-258C162C68A1}" name=" 56" dataDxfId="79"/>
    <tableColumn id="57" xr3:uid="{6D7BD520-3477-46B3-A879-ADA3E6E141DE}" name=" 57" dataDxfId="78"/>
    <tableColumn id="58" xr3:uid="{CE419086-242C-4844-8D18-FEE408A8B4EE}" name=" 58" dataDxfId="77"/>
    <tableColumn id="59" xr3:uid="{175BD957-C41B-45D0-A552-E74E0FE6F9A6}" name=" 59" dataDxfId="76"/>
    <tableColumn id="60" xr3:uid="{07E9A09C-36D8-408B-BE2A-4504072D282B}" name=" 60" dataDxfId="75"/>
    <tableColumn id="61" xr3:uid="{8D351767-9D85-484F-9A0B-FC027BC4EF1C}" name=" 61" dataDxfId="74"/>
    <tableColumn id="62" xr3:uid="{11904FC7-73C5-443A-9D39-6D5C4289FEAD}" name=" 62" dataDxfId="73"/>
    <tableColumn id="63" xr3:uid="{281853AF-0FF7-4A7C-8903-DF64780A49D4}" name=" 63" dataDxfId="72"/>
    <tableColumn id="64" xr3:uid="{8CC71881-DABF-49BE-89AF-517E044BC87C}" name=" 64" dataDxfId="71"/>
    <tableColumn id="65" xr3:uid="{3A869FCB-A51A-471E-B877-D90405E99543}" name=" 65" dataDxfId="70"/>
    <tableColumn id="66" xr3:uid="{48DE6845-F493-4152-9D6C-49CE5839157C}" name=" 66" dataDxfId="69"/>
    <tableColumn id="67" xr3:uid="{960A59A5-5C94-4019-B48E-8953CE6B09F1}" name=" 67" dataDxfId="68"/>
    <tableColumn id="68" xr3:uid="{09BF1238-359B-4E28-AC86-C420A6CD7AC9}" name=" 68" dataDxfId="67"/>
    <tableColumn id="69" xr3:uid="{6F619176-EE72-4D1A-9840-5923E8EFF7EA}" name=" 69" dataDxfId="66"/>
    <tableColumn id="70" xr3:uid="{493EFAC1-63A5-472B-BEC2-745672677E6D}" name=" 70" dataDxfId="65"/>
    <tableColumn id="71" xr3:uid="{1FA1E9B3-EF9D-48B8-BD94-FE77336F0419}" name=" 71" dataDxfId="64"/>
    <tableColumn id="72" xr3:uid="{7FBB604C-8C49-4CE5-AFD2-DB55CEB35A00}" name=" 72" dataDxfId="63"/>
    <tableColumn id="73" xr3:uid="{E6F66D8B-A57E-44EB-A0CB-49539B8A070A}" name=" 73" dataDxfId="62"/>
    <tableColumn id="74" xr3:uid="{148FFC55-CC87-4C7B-B05C-55D422AD4331}" name=" 74" dataDxfId="61"/>
    <tableColumn id="75" xr3:uid="{FDC8BAB7-7D34-4830-BB09-D4A6D88B490D}" name=" 75" dataDxfId="60"/>
    <tableColumn id="76" xr3:uid="{A2AF4171-5D30-4EDE-90A9-2D7D84A691F7}" name=" 76" dataDxfId="59"/>
    <tableColumn id="77" xr3:uid="{280885A4-8562-4AB6-AFF4-7173E2831F05}" name=" 77" dataDxfId="58"/>
    <tableColumn id="78" xr3:uid="{26211D0A-8E04-4B66-9A27-FB3829DECC1D}" name=" 78" dataDxfId="57"/>
    <tableColumn id="79" xr3:uid="{4F39B450-3F36-44C7-A41B-EB78EB5C9F73}" name=" 79" dataDxfId="56"/>
    <tableColumn id="80" xr3:uid="{D7A54280-DA81-419F-A73E-BC1FF9A4A43C}" name=" 80" dataDxfId="55"/>
    <tableColumn id="81" xr3:uid="{33F1E268-D0C4-4833-ACAA-B8E30419D894}" name=" 81" dataDxfId="54"/>
    <tableColumn id="82" xr3:uid="{DB7A39A6-9585-4D3B-B3E6-73C5B0F0C7FF}" name=" 82" dataDxfId="53"/>
    <tableColumn id="83" xr3:uid="{1C1179CD-1D45-4F9D-AE32-C7F3023118C4}" name=" 83" dataDxfId="5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207F5DB-134F-4B73-89E2-70E1DD563C03}" name="tI18N" displayName="tI18N" ref="A3:H114" totalsRowShown="0" dataDxfId="7">
  <autoFilter ref="A3:H114" xr:uid="{20495ABC-A0D8-40BE-8188-61D0FEE75739}"/>
  <tableColumns count="8">
    <tableColumn id="1" xr3:uid="{73903A16-45BE-4CB3-B71C-3468798E69E6}" name="ID" dataDxfId="15"/>
    <tableColumn id="3" xr3:uid="{02ADB156-C3E9-44A8-BC1B-FB2018DC836B}" name="Param1" dataDxfId="14"/>
    <tableColumn id="4" xr3:uid="{CF8C7CB6-4B86-4085-ACCC-19CBFD4C59FE}" name="Param2" dataDxfId="13"/>
    <tableColumn id="5" xr3:uid="{1227E0CB-DF13-4AEB-9B7C-A5B66DBC0C3F}" name="Param3" dataDxfId="12"/>
    <tableColumn id="6" xr3:uid="{2E60890B-30E9-4D21-92C9-7B06D14BAF00}" name="Param4" dataDxfId="11"/>
    <tableColumn id="7" xr3:uid="{03AC2232-F9FA-428A-BCAB-A8039123FBB5}" name="Param5" dataDxfId="10"/>
    <tableColumn id="9" xr3:uid="{5D6B89C0-1432-4927-AC0D-CC962FDD7705}" name="en_US" dataDxfId="9"/>
    <tableColumn id="8" xr3:uid="{8F5786B6-467E-46BD-A85E-B24EA01C31DC}" name="fr_FR" dataDxfId="8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C3AF48E-7774-4B4C-A458-0353297BFF2A}" name="tJSON" displayName="tJSON" ref="B3:S91" totalsRowShown="0" dataDxfId="51">
  <autoFilter ref="B3:S91" xr:uid="{D9E8808B-D9E1-4272-8694-E8D5F2C45F29}"/>
  <tableColumns count="18">
    <tableColumn id="1" xr3:uid="{3A646773-BE89-4522-98D7-B786E44BE0DC}" name="Query" dataDxfId="50"/>
    <tableColumn id="9" xr3:uid="{C4EB6F9D-3EAD-42F0-84FF-9BBD170B0DE5}" name="Table" dataDxfId="49"/>
    <tableColumn id="8" xr3:uid="{70E4004F-52ED-4A60-A759-27AFE028F894}" name="I18N" dataDxfId="48"/>
    <tableColumn id="13" xr3:uid="{A78438C4-24D6-4E6E-A29B-E72CABDED5AB}" name="JSON Row Array" dataDxfId="47"/>
    <tableColumn id="16" xr3:uid="{02735810-2DA9-4B37-A9AB-CC1D7668127D}" name="Editable?" dataDxfId="46"/>
    <tableColumn id="2" xr3:uid="{DFC5B263-91CC-4653-8ADC-74A0368CD202}" name="JSON Column" dataDxfId="45"/>
    <tableColumn id="3" xr3:uid="{D5540814-CF2F-4ACB-B92D-22093C535E0C}" name="JSON Type" dataDxfId="44"/>
    <tableColumn id="11" xr3:uid="{EDC8EA7C-C33C-4E55-9909-B09F730AE94B}" name="Required" dataDxfId="43"/>
    <tableColumn id="4" xr3:uid="{8D0A36EB-752B-47BA-B4F5-009678ACFDD0}" name="Title" dataDxfId="42"/>
    <tableColumn id="12" xr3:uid="{B7222461-457D-4B90-9925-68BAF8D1E421}" name="Editor" dataDxfId="41"/>
    <tableColumn id="14" xr3:uid="{C8DD975C-C222-4560-AD83-9B3E4EF275CD}" name="Format" dataDxfId="40"/>
    <tableColumn id="15" xr3:uid="{30CC9560-5D67-406A-B687-D2883B19A560}" name="Level" dataDxfId="39"/>
    <tableColumn id="18" xr3:uid="{9414E3E8-B630-435F-9660-16EFF4CAEFD7}" name="Width" dataDxfId="38"/>
    <tableColumn id="5" xr3:uid="{3613A1E0-361B-4D77-AB85-A190D3D733FC}" name="Hidden" dataDxfId="37"/>
    <tableColumn id="6" xr3:uid="{4FC768DF-246E-41E4-8A37-38EE7A822849}" name="Command" dataDxfId="36"/>
    <tableColumn id="10" xr3:uid="{08F0F3AA-70C9-46BE-9E8F-F9089FF43A15}" name="Params" dataDxfId="35"/>
    <tableColumn id="7" xr3:uid="{C3148FB9-B4AC-439B-977D-F7DC6FE2F875}" name="Position" dataDxfId="34"/>
    <tableColumn id="17" xr3:uid="{AAA7A96E-0AF3-43EB-9CAA-11C66E543F5D}" name="ReturnCol" dataDxfId="33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7B71501-A343-4D2E-A1D3-AC7530771EC1}" name="tJSON6" displayName="tJSON6" ref="B3:Q4" insertRow="1" totalsRowShown="0" dataDxfId="32">
  <autoFilter ref="B3:Q4" xr:uid="{D9E8808B-D9E1-4272-8694-E8D5F2C45F29}"/>
  <tableColumns count="16">
    <tableColumn id="1" xr3:uid="{848A5172-BE10-4671-A96C-19CB95280C30}" name="Query" dataDxfId="31"/>
    <tableColumn id="9" xr3:uid="{D4503C74-5BC6-42E3-9059-14AE6DF0435F}" name="Table" dataDxfId="30"/>
    <tableColumn id="8" xr3:uid="{6B1E570F-3015-4379-A06B-47DE792E9FF7}" name="I18N" dataDxfId="29"/>
    <tableColumn id="13" xr3:uid="{1F3DA983-C15A-44A1-9F86-08FE41BABCC4}" name="JSON Row Array" dataDxfId="28"/>
    <tableColumn id="2" xr3:uid="{2146287D-FA7C-4DC4-A184-861C99FB53FA}" name="JSON Column" dataDxfId="27"/>
    <tableColumn id="3" xr3:uid="{41F1B5AB-7B7D-4E20-9599-A4A18E607AC2}" name="JSON Type" dataDxfId="26"/>
    <tableColumn id="11" xr3:uid="{6B6D5F65-9066-427A-9E8E-83BC24FDA24E}" name="Required" dataDxfId="25"/>
    <tableColumn id="4" xr3:uid="{5632F87F-624C-41CA-9F02-FC8191282D24}" name="Title" dataDxfId="24"/>
    <tableColumn id="12" xr3:uid="{42F4ED45-AB09-422F-A7F0-D0219F6C21FB}" name="Editor" dataDxfId="23"/>
    <tableColumn id="14" xr3:uid="{2AA5569E-51E1-495E-B26C-0E3F01504CAF}" name="Format" dataDxfId="22"/>
    <tableColumn id="15" xr3:uid="{9FF31EFB-98A5-441C-AEEE-A8D70F766993}" name="Level" dataDxfId="21"/>
    <tableColumn id="5" xr3:uid="{AAEEF1F0-17A9-4995-BF9B-AB4346088E71}" name="Hidden" dataDxfId="20"/>
    <tableColumn id="6" xr3:uid="{7BDF45C7-3CB9-461B-82E3-465AF4328F16}" name="Command" dataDxfId="19"/>
    <tableColumn id="10" xr3:uid="{CC86848F-2654-487A-90EA-707ECEAFF905}" name="Params" dataDxfId="18"/>
    <tableColumn id="7" xr3:uid="{EB4FA941-2795-46FC-8CA9-7D002B610299}" name="Position" dataDxfId="17"/>
    <tableColumn id="17" xr3:uid="{CA1F3260-0D6C-4F7F-B7AE-4DFA8A856532}" name="ReturnCol" dataDxfId="16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2" Type="http://schemas.openxmlformats.org/officeDocument/2006/relationships/hyperlink" Target="http://20.188.62.95/reportingmanager/api/reporting" TargetMode="External"/><Relationship Id="rId1" Type="http://schemas.openxmlformats.org/officeDocument/2006/relationships/hyperlink" Target="http://20.188.62.95/reportingmanager/api/reporting/%7bID%7d" TargetMode="External"/><Relationship Id="rId4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0C1812-B0DA-4338-9FC4-A2A2F04E9A5D}">
  <sheetPr codeName="RF_I18N_Sheet"/>
  <dimension ref="B3:L47"/>
  <sheetViews>
    <sheetView showGridLines="0" showRowColHeaders="0" zoomScaleNormal="100" workbookViewId="0">
      <selection activeCell="D14" sqref="D14"/>
    </sheetView>
  </sheetViews>
  <sheetFormatPr baseColWidth="10" defaultRowHeight="15" outlineLevelCol="1" x14ac:dyDescent="0.25"/>
  <cols>
    <col min="1" max="1" width="2.85546875" style="4" customWidth="1"/>
    <col min="2" max="2" width="7.85546875" style="4" customWidth="1"/>
    <col min="3" max="3" width="14.7109375" style="4" hidden="1" customWidth="1" outlineLevel="1"/>
    <col min="4" max="4" width="14.7109375" style="4" customWidth="1" collapsed="1"/>
    <col min="5" max="5" width="14.7109375" style="4" customWidth="1"/>
    <col min="6" max="6" width="28.7109375" style="4" customWidth="1"/>
    <col min="7" max="7" width="4" style="4" customWidth="1"/>
    <col min="8" max="8" width="14.28515625" style="4" customWidth="1"/>
    <col min="9" max="10" width="12.28515625" style="4" customWidth="1"/>
    <col min="11" max="11" width="6.7109375" style="4" customWidth="1"/>
    <col min="12" max="12" width="32.85546875" style="4" customWidth="1"/>
    <col min="13" max="16384" width="11.42578125" style="4"/>
  </cols>
  <sheetData>
    <row r="3" spans="2:12" x14ac:dyDescent="0.25">
      <c r="D3" s="16"/>
    </row>
    <row r="4" spans="2:12" x14ac:dyDescent="0.25">
      <c r="B4" s="4" t="str" cm="1">
        <f t="array" ref="B4">I18N_T(cellLanguage, "RF_Title")</f>
        <v>CTS Reporting Factory</v>
      </c>
      <c r="F4" s="11"/>
      <c r="I4" s="5" t="str" cm="1">
        <f t="array" ref="I4">I18N_Version(cellLanguage)</f>
        <v>Version 0.93 - 03/08/21</v>
      </c>
    </row>
    <row r="5" spans="2:12" x14ac:dyDescent="0.25">
      <c r="C5" s="19"/>
      <c r="D5" s="20"/>
      <c r="E5" s="21"/>
      <c r="F5" s="22"/>
    </row>
    <row r="6" spans="2:12" x14ac:dyDescent="0.25">
      <c r="C6" s="23"/>
      <c r="D6" s="23"/>
      <c r="E6" s="23"/>
      <c r="F6" s="23"/>
    </row>
    <row r="7" spans="2:12" x14ac:dyDescent="0.25">
      <c r="C7"/>
      <c r="D7"/>
      <c r="E7"/>
      <c r="F7"/>
    </row>
    <row r="10" spans="2:12" x14ac:dyDescent="0.25">
      <c r="C10"/>
      <c r="D10" s="10" t="str">
        <f>I18N_T(cellLanguage, "RF_Refresh")</f>
        <v>Refresh list</v>
      </c>
      <c r="E10"/>
      <c r="F10"/>
      <c r="G10"/>
      <c r="I10" s="7"/>
      <c r="J10" s="7"/>
      <c r="L10" s="6"/>
    </row>
    <row r="11" spans="2:12" x14ac:dyDescent="0.25">
      <c r="C11"/>
      <c r="D11" s="41">
        <f>SUBTOTAL(103, tReportings[[ 2]])</f>
        <v>28</v>
      </c>
      <c r="E11"/>
      <c r="F11" s="24"/>
      <c r="G11"/>
      <c r="H11" s="16"/>
      <c r="I11" s="12"/>
      <c r="J11" s="12"/>
    </row>
    <row r="12" spans="2:12" hidden="1" x14ac:dyDescent="0.25">
      <c r="C12" s="20" t="str">
        <f>I18N_T(cellLanguage, "RF_ID")</f>
        <v>ID</v>
      </c>
      <c r="D12" s="21" t="str">
        <f>I18N_T(cellLanguage, "RF_Phase")</f>
        <v>Category</v>
      </c>
      <c r="E12" s="21" t="str">
        <f>I18N_T(cellLanguage, "RF_UpdatePeriod")</f>
        <v>Update Period</v>
      </c>
      <c r="F12" s="22" t="str">
        <f>I18N_T(cellLanguage, "RF_CreationDate")</f>
        <v>Created</v>
      </c>
      <c r="G12"/>
      <c r="H12" s="16"/>
      <c r="I12" s="12"/>
      <c r="J12" s="12"/>
    </row>
    <row r="13" spans="2:12" ht="15" customHeight="1" x14ac:dyDescent="0.25">
      <c r="C13" s="23" t="s">
        <v>204</v>
      </c>
      <c r="D13" s="23" t="s">
        <v>205</v>
      </c>
      <c r="E13" s="23" t="s">
        <v>206</v>
      </c>
      <c r="F13" s="23" t="s">
        <v>207</v>
      </c>
      <c r="H13" s="16"/>
      <c r="I13" s="12"/>
      <c r="J13" s="12"/>
    </row>
    <row r="14" spans="2:12" x14ac:dyDescent="0.25">
      <c r="C14" s="43">
        <v>52428888</v>
      </c>
      <c r="D14" s="43" t="s">
        <v>21</v>
      </c>
      <c r="E14" s="43" t="s">
        <v>606</v>
      </c>
      <c r="F14" s="43" t="s">
        <v>607</v>
      </c>
      <c r="H14" s="10" t="str">
        <f>I18N_T(cellLanguage, "RF_Modify")</f>
        <v>Modify</v>
      </c>
      <c r="I14" s="10" t="str">
        <f>I18N_T(cellLanguage, "RF_Duplicate")</f>
        <v>Duplicate</v>
      </c>
      <c r="J14" s="12"/>
      <c r="L14" s="8"/>
    </row>
    <row r="15" spans="2:12" x14ac:dyDescent="0.25">
      <c r="C15" s="43">
        <v>52428859</v>
      </c>
      <c r="D15" s="43" t="s">
        <v>21</v>
      </c>
      <c r="E15" s="43" t="s">
        <v>608</v>
      </c>
      <c r="F15" s="43" t="s">
        <v>609</v>
      </c>
      <c r="H15" s="10" t="str">
        <f>I18N_T(cellLanguage, "RF_Modify")</f>
        <v>Modify</v>
      </c>
      <c r="I15" s="10" t="str">
        <f>I18N_T(cellLanguage, "RF_Duplicate")</f>
        <v>Duplicate</v>
      </c>
      <c r="J15" s="12"/>
    </row>
    <row r="16" spans="2:12" x14ac:dyDescent="0.25">
      <c r="C16" s="43">
        <v>52428858</v>
      </c>
      <c r="D16" s="43" t="s">
        <v>21</v>
      </c>
      <c r="E16" s="43" t="s">
        <v>610</v>
      </c>
      <c r="F16" s="43" t="s">
        <v>611</v>
      </c>
      <c r="H16" s="10" t="str">
        <f>I18N_T(cellLanguage, "RF_Modify")</f>
        <v>Modify</v>
      </c>
      <c r="I16" s="10" t="str">
        <f>I18N_T(cellLanguage, "RF_Duplicate")</f>
        <v>Duplicate</v>
      </c>
      <c r="J16" s="12"/>
    </row>
    <row r="17" spans="3:10" x14ac:dyDescent="0.25">
      <c r="C17" s="43">
        <v>52428847</v>
      </c>
      <c r="D17" s="43" t="s">
        <v>21</v>
      </c>
      <c r="E17" s="43" t="s">
        <v>612</v>
      </c>
      <c r="F17" s="43" t="s">
        <v>613</v>
      </c>
      <c r="H17" s="10" t="str">
        <f>I18N_T(cellLanguage, "RF_Modify")</f>
        <v>Modify</v>
      </c>
      <c r="I17" s="10" t="str">
        <f>I18N_T(cellLanguage, "RF_Duplicate")</f>
        <v>Duplicate</v>
      </c>
      <c r="J17" s="12"/>
    </row>
    <row r="18" spans="3:10" x14ac:dyDescent="0.25">
      <c r="C18" s="43">
        <v>52428855</v>
      </c>
      <c r="D18" s="43" t="s">
        <v>21</v>
      </c>
      <c r="E18" s="43" t="s">
        <v>614</v>
      </c>
      <c r="F18" s="43" t="s">
        <v>615</v>
      </c>
      <c r="H18" s="10" t="str">
        <f>I18N_T(cellLanguage, "RF_Modify")</f>
        <v>Modify</v>
      </c>
      <c r="I18" s="10" t="str">
        <f>I18N_T(cellLanguage, "RF_Duplicate")</f>
        <v>Duplicate</v>
      </c>
      <c r="J18" s="12"/>
    </row>
    <row r="19" spans="3:10" x14ac:dyDescent="0.25">
      <c r="C19" s="43">
        <v>52428853</v>
      </c>
      <c r="D19" s="43" t="s">
        <v>21</v>
      </c>
      <c r="E19" s="43" t="s">
        <v>616</v>
      </c>
      <c r="F19" s="43" t="s">
        <v>617</v>
      </c>
      <c r="H19" s="10" t="str">
        <f>I18N_T(cellLanguage, "RF_Modify")</f>
        <v>Modify</v>
      </c>
      <c r="I19" s="10" t="str">
        <f>I18N_T(cellLanguage, "RF_Duplicate")</f>
        <v>Duplicate</v>
      </c>
      <c r="J19" s="12"/>
    </row>
    <row r="20" spans="3:10" x14ac:dyDescent="0.25">
      <c r="C20" s="43">
        <v>52428851</v>
      </c>
      <c r="D20" s="43" t="s">
        <v>21</v>
      </c>
      <c r="E20" s="43" t="s">
        <v>618</v>
      </c>
      <c r="F20" s="43" t="s">
        <v>619</v>
      </c>
      <c r="H20" s="10" t="str">
        <f>I18N_T(cellLanguage, "RF_Modify")</f>
        <v>Modify</v>
      </c>
      <c r="I20" s="10" t="str">
        <f>I18N_T(cellLanguage, "RF_Duplicate")</f>
        <v>Duplicate</v>
      </c>
      <c r="J20" s="12"/>
    </row>
    <row r="21" spans="3:10" x14ac:dyDescent="0.25">
      <c r="C21" s="43">
        <v>52428848</v>
      </c>
      <c r="D21" s="43" t="s">
        <v>21</v>
      </c>
      <c r="E21" s="43" t="s">
        <v>620</v>
      </c>
      <c r="F21" s="43" t="s">
        <v>621</v>
      </c>
      <c r="H21" s="10" t="str">
        <f>I18N_T(cellLanguage, "RF_Modify")</f>
        <v>Modify</v>
      </c>
      <c r="I21" s="10" t="str">
        <f>I18N_T(cellLanguage, "RF_Duplicate")</f>
        <v>Duplicate</v>
      </c>
      <c r="J21" s="12"/>
    </row>
    <row r="22" spans="3:10" x14ac:dyDescent="0.25">
      <c r="C22" s="43">
        <v>52428841</v>
      </c>
      <c r="D22" s="43" t="s">
        <v>21</v>
      </c>
      <c r="E22" s="43" t="s">
        <v>622</v>
      </c>
      <c r="F22" s="43" t="s">
        <v>623</v>
      </c>
      <c r="H22" s="10" t="str">
        <f>I18N_T(cellLanguage, "RF_Modify")</f>
        <v>Modify</v>
      </c>
      <c r="I22" s="10" t="str">
        <f>I18N_T(cellLanguage, "RF_Duplicate")</f>
        <v>Duplicate</v>
      </c>
      <c r="J22" s="12"/>
    </row>
    <row r="23" spans="3:10" x14ac:dyDescent="0.25">
      <c r="C23" s="43">
        <v>52428840</v>
      </c>
      <c r="D23" s="43" t="s">
        <v>21</v>
      </c>
      <c r="E23" s="43" t="s">
        <v>624</v>
      </c>
      <c r="F23" s="43" t="s">
        <v>625</v>
      </c>
      <c r="H23" s="10" t="str">
        <f>I18N_T(cellLanguage, "RF_Modify")</f>
        <v>Modify</v>
      </c>
      <c r="I23" s="10" t="str">
        <f>I18N_T(cellLanguage, "RF_Duplicate")</f>
        <v>Duplicate</v>
      </c>
      <c r="J23" s="12"/>
    </row>
    <row r="24" spans="3:10" x14ac:dyDescent="0.25">
      <c r="C24" s="43">
        <v>52428838</v>
      </c>
      <c r="D24" s="43" t="s">
        <v>21</v>
      </c>
      <c r="E24" s="43" t="s">
        <v>626</v>
      </c>
      <c r="F24" s="43" t="s">
        <v>627</v>
      </c>
      <c r="H24" s="10" t="str">
        <f>I18N_T(cellLanguage, "RF_Modify")</f>
        <v>Modify</v>
      </c>
      <c r="I24" s="10" t="str">
        <f>I18N_T(cellLanguage, "RF_Duplicate")</f>
        <v>Duplicate</v>
      </c>
      <c r="J24" s="12"/>
    </row>
    <row r="25" spans="3:10" x14ac:dyDescent="0.25">
      <c r="C25" s="43">
        <v>52428832</v>
      </c>
      <c r="D25" s="43" t="s">
        <v>21</v>
      </c>
      <c r="E25" s="43" t="s">
        <v>628</v>
      </c>
      <c r="F25" s="43" t="s">
        <v>629</v>
      </c>
      <c r="H25" s="10" t="str">
        <f>I18N_T(cellLanguage, "RF_Modify")</f>
        <v>Modify</v>
      </c>
      <c r="I25" s="10" t="str">
        <f>I18N_T(cellLanguage, "RF_Duplicate")</f>
        <v>Duplicate</v>
      </c>
      <c r="J25" s="12"/>
    </row>
    <row r="26" spans="3:10" x14ac:dyDescent="0.25">
      <c r="C26" s="43">
        <v>52428830</v>
      </c>
      <c r="D26" s="43" t="s">
        <v>21</v>
      </c>
      <c r="E26" s="43" t="s">
        <v>630</v>
      </c>
      <c r="F26" s="43" t="s">
        <v>631</v>
      </c>
      <c r="H26" s="10" t="str">
        <f>I18N_T(cellLanguage, "RF_Modify")</f>
        <v>Modify</v>
      </c>
      <c r="I26" s="10" t="str">
        <f>I18N_T(cellLanguage, "RF_Duplicate")</f>
        <v>Duplicate</v>
      </c>
      <c r="J26" s="12"/>
    </row>
    <row r="27" spans="3:10" x14ac:dyDescent="0.25">
      <c r="C27" s="43">
        <v>52428829</v>
      </c>
      <c r="D27" s="43" t="s">
        <v>21</v>
      </c>
      <c r="E27" s="43" t="s">
        <v>632</v>
      </c>
      <c r="F27" s="43" t="s">
        <v>633</v>
      </c>
      <c r="H27" s="10" t="str">
        <f>I18N_T(cellLanguage, "RF_Modify")</f>
        <v>Modify</v>
      </c>
      <c r="I27" s="10" t="str">
        <f>I18N_T(cellLanguage, "RF_Duplicate")</f>
        <v>Duplicate</v>
      </c>
      <c r="J27" s="12"/>
    </row>
    <row r="28" spans="3:10" x14ac:dyDescent="0.25">
      <c r="C28" s="43">
        <v>52428827</v>
      </c>
      <c r="D28" s="43" t="s">
        <v>21</v>
      </c>
      <c r="E28" s="43" t="s">
        <v>634</v>
      </c>
      <c r="F28" s="43" t="s">
        <v>635</v>
      </c>
      <c r="H28" s="10" t="str">
        <f>I18N_T(cellLanguage, "RF_Modify")</f>
        <v>Modify</v>
      </c>
      <c r="I28" s="10" t="str">
        <f>I18N_T(cellLanguage, "RF_Duplicate")</f>
        <v>Duplicate</v>
      </c>
      <c r="J28" s="12"/>
    </row>
    <row r="29" spans="3:10" x14ac:dyDescent="0.25">
      <c r="C29" s="43">
        <v>79</v>
      </c>
      <c r="D29" s="43" t="s">
        <v>21</v>
      </c>
      <c r="E29" s="43" t="s">
        <v>636</v>
      </c>
      <c r="F29" s="43" t="s">
        <v>637</v>
      </c>
      <c r="H29" s="10" t="str">
        <f>I18N_T(cellLanguage, "RF_Modify")</f>
        <v>Modify</v>
      </c>
      <c r="I29" s="10" t="str">
        <f>I18N_T(cellLanguage, "RF_Duplicate")</f>
        <v>Duplicate</v>
      </c>
      <c r="J29" s="12"/>
    </row>
    <row r="30" spans="3:10" x14ac:dyDescent="0.25">
      <c r="C30" s="43">
        <v>77</v>
      </c>
      <c r="D30" s="43" t="s">
        <v>21</v>
      </c>
      <c r="E30" s="43" t="s">
        <v>638</v>
      </c>
      <c r="F30" s="43" t="s">
        <v>639</v>
      </c>
      <c r="H30" s="10" t="str">
        <f>I18N_T(cellLanguage, "RF_Modify")</f>
        <v>Modify</v>
      </c>
      <c r="I30" s="10" t="str">
        <f>I18N_T(cellLanguage, "RF_Duplicate")</f>
        <v>Duplicate</v>
      </c>
      <c r="J30" s="12"/>
    </row>
    <row r="31" spans="3:10" x14ac:dyDescent="0.25">
      <c r="C31" s="43">
        <v>55</v>
      </c>
      <c r="D31" s="43" t="s">
        <v>21</v>
      </c>
      <c r="E31" s="43" t="s">
        <v>640</v>
      </c>
      <c r="F31" s="43" t="s">
        <v>641</v>
      </c>
      <c r="H31" s="10" t="str">
        <f>I18N_T(cellLanguage, "RF_Modify")</f>
        <v>Modify</v>
      </c>
      <c r="I31" s="10" t="str">
        <f>I18N_T(cellLanguage, "RF_Duplicate")</f>
        <v>Duplicate</v>
      </c>
      <c r="J31" s="12"/>
    </row>
    <row r="32" spans="3:10" x14ac:dyDescent="0.25">
      <c r="C32" s="43">
        <v>67</v>
      </c>
      <c r="D32" s="43" t="s">
        <v>21</v>
      </c>
      <c r="E32" s="43" t="s">
        <v>642</v>
      </c>
      <c r="F32" s="43" t="s">
        <v>643</v>
      </c>
      <c r="H32" s="10" t="str">
        <f>I18N_T(cellLanguage, "RF_Modify")</f>
        <v>Modify</v>
      </c>
      <c r="I32" s="10" t="str">
        <f>I18N_T(cellLanguage, "RF_Duplicate")</f>
        <v>Duplicate</v>
      </c>
      <c r="J32" s="12"/>
    </row>
    <row r="33" spans="3:10" x14ac:dyDescent="0.25">
      <c r="C33" s="43">
        <v>68</v>
      </c>
      <c r="D33" s="43" t="s">
        <v>21</v>
      </c>
      <c r="E33" s="43" t="s">
        <v>644</v>
      </c>
      <c r="F33" s="43" t="s">
        <v>645</v>
      </c>
      <c r="H33" s="10" t="str">
        <f>I18N_T(cellLanguage, "RF_Modify")</f>
        <v>Modify</v>
      </c>
      <c r="I33" s="10" t="str">
        <f>I18N_T(cellLanguage, "RF_Duplicate")</f>
        <v>Duplicate</v>
      </c>
      <c r="J33" s="12"/>
    </row>
    <row r="34" spans="3:10" x14ac:dyDescent="0.25">
      <c r="C34" s="43">
        <v>69</v>
      </c>
      <c r="D34" s="43" t="s">
        <v>21</v>
      </c>
      <c r="E34" s="43" t="s">
        <v>646</v>
      </c>
      <c r="F34" s="43" t="s">
        <v>647</v>
      </c>
      <c r="H34" s="10" t="str">
        <f>I18N_T(cellLanguage, "RF_Modify")</f>
        <v>Modify</v>
      </c>
      <c r="I34" s="10" t="str">
        <f>I18N_T(cellLanguage, "RF_Duplicate")</f>
        <v>Duplicate</v>
      </c>
      <c r="J34" s="12"/>
    </row>
    <row r="35" spans="3:10" x14ac:dyDescent="0.25">
      <c r="C35" s="43">
        <v>56</v>
      </c>
      <c r="D35" s="43" t="s">
        <v>21</v>
      </c>
      <c r="E35" s="43" t="s">
        <v>648</v>
      </c>
      <c r="F35" s="43" t="s">
        <v>649</v>
      </c>
      <c r="H35" s="10" t="str">
        <f>I18N_T(cellLanguage, "RF_Modify")</f>
        <v>Modify</v>
      </c>
      <c r="I35" s="10" t="str">
        <f>I18N_T(cellLanguage, "RF_Duplicate")</f>
        <v>Duplicate</v>
      </c>
      <c r="J35" s="12"/>
    </row>
    <row r="36" spans="3:10" x14ac:dyDescent="0.25">
      <c r="C36" s="43">
        <v>52428802</v>
      </c>
      <c r="D36" s="43" t="s">
        <v>21</v>
      </c>
      <c r="E36" s="43" t="s">
        <v>650</v>
      </c>
      <c r="F36" s="43" t="s">
        <v>651</v>
      </c>
      <c r="H36" s="10" t="str">
        <f>I18N_T(cellLanguage, "RF_Modify")</f>
        <v>Modify</v>
      </c>
      <c r="I36" s="10" t="str">
        <f>I18N_T(cellLanguage, "RF_Duplicate")</f>
        <v>Duplicate</v>
      </c>
      <c r="J36" s="12"/>
    </row>
    <row r="37" spans="3:10" x14ac:dyDescent="0.25">
      <c r="C37" s="43">
        <v>71</v>
      </c>
      <c r="D37" s="43" t="s">
        <v>21</v>
      </c>
      <c r="E37" s="43" t="s">
        <v>652</v>
      </c>
      <c r="F37" s="43" t="s">
        <v>653</v>
      </c>
      <c r="H37" s="10" t="str">
        <f>I18N_T(cellLanguage, "RF_Modify")</f>
        <v>Modify</v>
      </c>
      <c r="I37" s="10" t="str">
        <f>I18N_T(cellLanguage, "RF_Duplicate")</f>
        <v>Duplicate</v>
      </c>
      <c r="J37" s="12"/>
    </row>
    <row r="38" spans="3:10" x14ac:dyDescent="0.25">
      <c r="C38" s="43">
        <v>73</v>
      </c>
      <c r="D38" s="43" t="s">
        <v>21</v>
      </c>
      <c r="E38" s="43" t="s">
        <v>654</v>
      </c>
      <c r="F38" s="43" t="s">
        <v>655</v>
      </c>
      <c r="H38" s="10" t="str">
        <f>I18N_T(cellLanguage, "RF_Modify")</f>
        <v>Modify</v>
      </c>
      <c r="I38" s="10" t="str">
        <f>I18N_T(cellLanguage, "RF_Duplicate")</f>
        <v>Duplicate</v>
      </c>
      <c r="J38" s="12"/>
    </row>
    <row r="39" spans="3:10" x14ac:dyDescent="0.25">
      <c r="C39" s="43">
        <v>61</v>
      </c>
      <c r="D39" s="43" t="s">
        <v>21</v>
      </c>
      <c r="E39" s="43" t="s">
        <v>656</v>
      </c>
      <c r="F39" s="43" t="s">
        <v>657</v>
      </c>
      <c r="H39" s="10" t="str">
        <f>I18N_T(cellLanguage, "RF_Modify")</f>
        <v>Modify</v>
      </c>
      <c r="I39" s="10" t="str">
        <f>I18N_T(cellLanguage, "RF_Duplicate")</f>
        <v>Duplicate</v>
      </c>
      <c r="J39" s="12"/>
    </row>
    <row r="40" spans="3:10" x14ac:dyDescent="0.25">
      <c r="C40" s="43">
        <v>59</v>
      </c>
      <c r="D40" s="43" t="s">
        <v>21</v>
      </c>
      <c r="E40" s="43" t="s">
        <v>658</v>
      </c>
      <c r="F40" s="43" t="s">
        <v>659</v>
      </c>
      <c r="H40" s="10" t="str">
        <f>I18N_T(cellLanguage, "RF_Modify")</f>
        <v>Modify</v>
      </c>
      <c r="I40" s="10" t="str">
        <f>I18N_T(cellLanguage, "RF_Duplicate")</f>
        <v>Duplicate</v>
      </c>
      <c r="J40" s="12"/>
    </row>
    <row r="41" spans="3:10" x14ac:dyDescent="0.25">
      <c r="C41" s="43">
        <v>60</v>
      </c>
      <c r="D41" s="43" t="s">
        <v>21</v>
      </c>
      <c r="E41" s="43" t="s">
        <v>660</v>
      </c>
      <c r="F41" s="43" t="s">
        <v>661</v>
      </c>
      <c r="H41" s="10" t="str">
        <f>I18N_T(cellLanguage, "RF_Modify")</f>
        <v>Modify</v>
      </c>
      <c r="I41" s="10" t="str">
        <f>I18N_T(cellLanguage, "RF_Duplicate")</f>
        <v>Duplicate</v>
      </c>
      <c r="J41" s="12"/>
    </row>
    <row r="42" spans="3:10" x14ac:dyDescent="0.25">
      <c r="C42"/>
      <c r="D42"/>
      <c r="E42"/>
      <c r="F42"/>
      <c r="H42"/>
      <c r="I42"/>
      <c r="J42" s="12"/>
    </row>
    <row r="43" spans="3:10" x14ac:dyDescent="0.25">
      <c r="C43"/>
      <c r="D43"/>
      <c r="E43"/>
      <c r="F43"/>
      <c r="H43"/>
      <c r="I43"/>
      <c r="J43" s="12"/>
    </row>
    <row r="44" spans="3:10" x14ac:dyDescent="0.25">
      <c r="C44"/>
      <c r="D44"/>
      <c r="E44"/>
      <c r="F44"/>
      <c r="H44"/>
      <c r="I44"/>
      <c r="J44" s="12"/>
    </row>
    <row r="45" spans="3:10" x14ac:dyDescent="0.25">
      <c r="C45"/>
      <c r="D45"/>
      <c r="E45"/>
      <c r="F45"/>
      <c r="H45"/>
      <c r="I45"/>
      <c r="J45" s="12"/>
    </row>
    <row r="46" spans="3:10" x14ac:dyDescent="0.25">
      <c r="C46"/>
      <c r="D46"/>
      <c r="E46"/>
      <c r="F46"/>
      <c r="H46"/>
      <c r="I46"/>
      <c r="J46" s="12"/>
    </row>
    <row r="47" spans="3:10" x14ac:dyDescent="0.25">
      <c r="C47"/>
      <c r="D47"/>
      <c r="E47"/>
      <c r="F47"/>
      <c r="H47"/>
      <c r="I47"/>
      <c r="J47" s="12"/>
    </row>
  </sheetData>
  <sheetProtection sheet="1" objects="1" scenarios="1" formatCells="0" formatColumns="0" formatRows="0" insertRows="0" sort="0" autoFilter="0"/>
  <hyperlinks>
    <hyperlink ref="D10" location="C3" tooltip=" " display="C3" xr:uid="{031A9271-532F-43F1-A682-58F235DA6B66}"/>
    <hyperlink ref="H14" location="C3" tooltip=" " display="C3" xr:uid="{99BEF419-E6B4-4D30-8BE2-5D7A3650123B}"/>
    <hyperlink ref="I14" location="C3" tooltip=" " display="C3" xr:uid="{EC1C66DF-C9C5-491A-B743-E14AFA66653F}"/>
    <hyperlink ref="H15" location="C3" tooltip=" " display="C3" xr:uid="{E84421E9-6AFD-4D71-AB60-6E2AB42F09DB}"/>
    <hyperlink ref="H16" location="C3" tooltip=" " display="C3" xr:uid="{8C18B3AC-7032-4B00-BB8D-F1D93633F613}"/>
    <hyperlink ref="H17" location="C3" tooltip=" " display="C3" xr:uid="{F5C649DE-ED41-4FEC-ABAA-1D568CE15DDD}"/>
    <hyperlink ref="H18" location="C3" tooltip=" " display="C3" xr:uid="{FC2E970D-AE4F-46FA-862E-94429A3E4A81}"/>
    <hyperlink ref="H19" location="C3" tooltip=" " display="C3" xr:uid="{F023D116-3B80-4DC2-8C66-FCA55B9DBC44}"/>
    <hyperlink ref="H20" location="C3" tooltip=" " display="C3" xr:uid="{14A41B86-8EBB-43BE-96DE-ABCC5A5F9535}"/>
    <hyperlink ref="H21" location="C3" tooltip=" " display="C3" xr:uid="{7C3E40BC-D265-46B8-BC40-F69C7961E49F}"/>
    <hyperlink ref="H22" location="C3" tooltip=" " display="C3" xr:uid="{3FA20F9C-091E-4A29-849E-07023BC77425}"/>
    <hyperlink ref="H23" location="C3" tooltip=" " display="C3" xr:uid="{4782B852-B162-479E-8795-3372374E3543}"/>
    <hyperlink ref="H24" location="C3" tooltip=" " display="C3" xr:uid="{76164FE3-4E40-40DC-845F-AE08ECD8BAF7}"/>
    <hyperlink ref="H25" location="C3" tooltip=" " display="C3" xr:uid="{AECEF1E8-10CC-4E2A-BE40-B28F139AE0E7}"/>
    <hyperlink ref="H26" location="C3" tooltip=" " display="C3" xr:uid="{37DF3F86-31F8-436D-A66C-DA2258C493A2}"/>
    <hyperlink ref="H27" location="C3" tooltip=" " display="C3" xr:uid="{EEBC6035-568E-4E3F-B54B-8FAE8373F0A5}"/>
    <hyperlink ref="H28" location="C3" tooltip=" " display="C3" xr:uid="{90009B75-5E17-419E-8BB4-364A8795182D}"/>
    <hyperlink ref="H29" location="C3" tooltip=" " display="C3" xr:uid="{B18D689D-40B2-4010-8AEE-16FE03FE2CDA}"/>
    <hyperlink ref="H30" location="C3" tooltip=" " display="C3" xr:uid="{141B1510-2076-46BC-BCFC-7CAA400152A1}"/>
    <hyperlink ref="H31" location="C3" tooltip=" " display="C3" xr:uid="{3234A0B6-1FCB-44A0-9C30-6A690037B5D5}"/>
    <hyperlink ref="H32" location="C3" tooltip=" " display="C3" xr:uid="{8FF918E6-4982-4386-809F-4E01218F49DE}"/>
    <hyperlink ref="H33" location="C3" tooltip=" " display="C3" xr:uid="{48AC9174-ACC5-4AC2-A986-BE43F30A996A}"/>
    <hyperlink ref="H34" location="C3" tooltip=" " display="C3" xr:uid="{73FC4ED0-C6D9-480D-93C1-917B7F7055B4}"/>
    <hyperlink ref="H35" location="C3" tooltip=" " display="C3" xr:uid="{95E73E30-9144-4E21-915A-AD1D0B74F03C}"/>
    <hyperlink ref="H36" location="C3" tooltip=" " display="C3" xr:uid="{462B975E-66C7-402C-ADEA-C8F36385AE58}"/>
    <hyperlink ref="H37" location="C3" tooltip=" " display="C3" xr:uid="{447B094F-4B41-47EB-9F5E-BEA6BE19101A}"/>
    <hyperlink ref="H38" location="C3" tooltip=" " display="C3" xr:uid="{D71018D5-60C2-4CAE-B724-9258B0F1814A}"/>
    <hyperlink ref="H39" location="C3" tooltip=" " display="C3" xr:uid="{1752B3DA-64E6-48A4-BB5C-47DB6A2C1789}"/>
    <hyperlink ref="H40" location="C3" tooltip=" " display="C3" xr:uid="{6160E719-F7CE-4FD0-9AB7-0FD6F881EA86}"/>
    <hyperlink ref="H41" location="C3" tooltip=" " display="C3" xr:uid="{B0D0FD13-BADA-4C6A-9937-44CC6EE1625D}"/>
    <hyperlink ref="I15" location="C3" tooltip=" " display="C3" xr:uid="{A088CAF1-5C48-4A44-AF3D-5B8706C38A7E}"/>
    <hyperlink ref="I16" location="C3" tooltip=" " display="C3" xr:uid="{D03554FE-1ADB-4CC5-9CEC-39AC42B2C935}"/>
    <hyperlink ref="I17" location="C3" tooltip=" " display="C3" xr:uid="{CF0A3F9F-9A3F-48D8-BD04-EB1F4CFD490A}"/>
    <hyperlink ref="I18" location="C3" tooltip=" " display="C3" xr:uid="{908137FB-E531-4A58-AD59-0FB52FBBA031}"/>
    <hyperlink ref="I19" location="C3" tooltip=" " display="C3" xr:uid="{DB224685-4ED7-43A5-A116-EECAC3849AF9}"/>
    <hyperlink ref="I20" location="C3" tooltip=" " display="C3" xr:uid="{5F9F6194-2439-4D97-B5E3-257845C48FBE}"/>
    <hyperlink ref="I21" location="C3" tooltip=" " display="C3" xr:uid="{02CBC785-F01E-423E-B6DD-413784BF3B0C}"/>
    <hyperlink ref="I22" location="C3" tooltip=" " display="C3" xr:uid="{405003C0-3255-4FF5-B1C0-24440C5CB745}"/>
    <hyperlink ref="I23" location="C3" tooltip=" " display="C3" xr:uid="{26C7D148-5124-4764-A714-C02548BE6C1F}"/>
    <hyperlink ref="I24" location="C3" tooltip=" " display="C3" xr:uid="{0D576E1F-C1DE-4853-A265-F8CD263864BE}"/>
    <hyperlink ref="I25" location="C3" tooltip=" " display="C3" xr:uid="{2E531CCD-9568-47C2-86D1-E82A7DA5A69A}"/>
    <hyperlink ref="I26" location="C3" tooltip=" " display="C3" xr:uid="{41B74CF9-3066-4659-A1BF-347D18881741}"/>
    <hyperlink ref="I27" location="C3" tooltip=" " display="C3" xr:uid="{FFA68A14-8F7B-4B55-A243-A804E544A022}"/>
    <hyperlink ref="I28" location="C3" tooltip=" " display="C3" xr:uid="{2DC987AE-10DC-45C1-9C0E-D83F1CD1C7D7}"/>
    <hyperlink ref="I29" location="C3" tooltip=" " display="C3" xr:uid="{53378071-BB8A-4FDB-BED3-91993F118795}"/>
    <hyperlink ref="I30" location="C3" tooltip=" " display="C3" xr:uid="{46365F8E-AC00-43E6-9BA6-4A487D55A42C}"/>
    <hyperlink ref="I31" location="C3" tooltip=" " display="C3" xr:uid="{197FDAFC-4D06-44B6-839E-20667F5CBF81}"/>
    <hyperlink ref="I32" location="C3" tooltip=" " display="C3" xr:uid="{1BC98E04-BFC0-4BEB-8D90-00C653887B85}"/>
    <hyperlink ref="I33" location="C3" tooltip=" " display="C3" xr:uid="{18E69E04-DC35-4343-B997-BB0E03DAF74F}"/>
    <hyperlink ref="I34" location="C3" tooltip=" " display="C3" xr:uid="{D01FDA8B-3B2F-4999-8CFD-214CCE8DC527}"/>
    <hyperlink ref="I35" location="C3" tooltip=" " display="C3" xr:uid="{2A9B275A-F84D-4B6C-B6E6-CE7F51D3BC05}"/>
    <hyperlink ref="I36" location="C3" tooltip=" " display="C3" xr:uid="{A3915ED1-FF68-4512-88FD-5C1990C4F167}"/>
    <hyperlink ref="I37" location="C3" tooltip=" " display="C3" xr:uid="{F159A238-B887-407C-B011-E6C318918C86}"/>
    <hyperlink ref="I38" location="C3" tooltip=" " display="C3" xr:uid="{655BA7E8-C8F2-43BA-9B5F-916EBD0DEE8E}"/>
    <hyperlink ref="I39" location="C3" tooltip=" " display="C3" xr:uid="{5063920B-D6A7-452F-9E48-96CD259C79DD}"/>
    <hyperlink ref="I40" location="C3" tooltip=" " display="C3" xr:uid="{161FAF3A-647A-4CC5-8C16-375E045DF4F7}"/>
    <hyperlink ref="I41" location="C3" tooltip=" " display="C3" xr:uid="{0C7DE15A-4938-4031-8BCC-9E72AA69E115}"/>
  </hyperlink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D88328-FD3C-448C-85F7-5B63B0B872F1}">
  <sheetPr codeName="Feuil2">
    <outlinePr summaryRight="0"/>
  </sheetPr>
  <dimension ref="B2:CF7"/>
  <sheetViews>
    <sheetView showGridLines="0" workbookViewId="0">
      <selection activeCell="C3" sqref="C3"/>
    </sheetView>
  </sheetViews>
  <sheetFormatPr baseColWidth="10" defaultColWidth="16.7109375" defaultRowHeight="15" outlineLevelCol="3" x14ac:dyDescent="0.25"/>
  <cols>
    <col min="1" max="1" width="16.7109375" style="17"/>
    <col min="2" max="2" width="5.7109375" style="17" customWidth="1"/>
    <col min="3" max="5" width="9.7109375" style="17" customWidth="1" outlineLevel="3"/>
    <col min="6" max="7" width="21.7109375" style="17" customWidth="1" outlineLevel="3"/>
    <col min="8" max="8" width="5.7109375" style="17" customWidth="1" outlineLevel="1"/>
    <col min="9" max="9" width="5.7109375" style="17" customWidth="1" outlineLevel="1" collapsed="1"/>
    <col min="10" max="29" width="9.7109375" style="17" hidden="1" customWidth="1" outlineLevel="3"/>
    <col min="30" max="30" width="5.7109375" style="17" customWidth="1" outlineLevel="1"/>
    <col min="31" max="31" width="21.7109375" style="17" customWidth="1" outlineLevel="3"/>
    <col min="32" max="32" width="10.7109375" style="17" customWidth="1" outlineLevel="3"/>
    <col min="33" max="33" width="5.7109375" style="17" customWidth="1" outlineLevel="2" collapsed="1"/>
    <col min="34" max="37" width="9.7109375" style="17" hidden="1" customWidth="1" outlineLevel="3"/>
    <col min="38" max="38" width="5.7109375" style="17" customWidth="1" outlineLevel="2" collapsed="1"/>
    <col min="39" max="42" width="9.7109375" style="17" hidden="1" customWidth="1" outlineLevel="3"/>
    <col min="43" max="43" width="5.7109375" style="17" customWidth="1"/>
    <col min="44" max="46" width="9.7109375" style="17" customWidth="1" outlineLevel="3"/>
    <col min="47" max="47" width="10.7109375" style="17" customWidth="1" outlineLevel="3"/>
    <col min="48" max="48" width="5.7109375" style="17" customWidth="1" outlineLevel="1" collapsed="1"/>
    <col min="49" max="68" width="9.7109375" style="17" hidden="1" customWidth="1" outlineLevel="3"/>
    <col min="69" max="69" width="5.7109375" style="17" customWidth="1" outlineLevel="1"/>
    <col min="70" max="70" width="10.7109375" style="17" customWidth="1" outlineLevel="3"/>
    <col min="71" max="71" width="21.7109375" style="17" customWidth="1" outlineLevel="3"/>
    <col min="72" max="72" width="10.7109375" style="17" customWidth="1" outlineLevel="3"/>
    <col min="73" max="73" width="5.7109375" style="17" customWidth="1" outlineLevel="2" collapsed="1"/>
    <col min="74" max="78" width="9.7109375" style="17" hidden="1" customWidth="1" outlineLevel="3"/>
    <col min="79" max="79" width="5.7109375" style="17" customWidth="1" outlineLevel="2" collapsed="1"/>
    <col min="80" max="84" width="9.7109375" style="17" hidden="1" customWidth="1" outlineLevel="3"/>
    <col min="85" max="16384" width="16.7109375" style="17"/>
  </cols>
  <sheetData>
    <row r="2" spans="2:84" x14ac:dyDescent="0.25">
      <c r="B2" s="44" t="str">
        <f>I18N_T(cellLanguage, "RF_Save")</f>
        <v>Save changes</v>
      </c>
    </row>
    <row r="3" spans="2:84" x14ac:dyDescent="0.25">
      <c r="C3" s="41">
        <f>SUBTOTAL(103, tReportingNew5[[ 2]])</f>
        <v>2</v>
      </c>
    </row>
    <row r="4" spans="2:84" hidden="1" x14ac:dyDescent="0.25">
      <c r="B4" s="46" t="str">
        <f>I18N_T(cellLanguage, "RF_Reporting")</f>
        <v>Reporting</v>
      </c>
      <c r="C4" s="47" t="str">
        <f>I18N_T(cellLanguage, "RF_Phase")</f>
        <v>Category</v>
      </c>
      <c r="D4" s="47" t="str">
        <f>I18N_T(cellLanguage, "RF_UpdatePeriod")</f>
        <v>Update Period</v>
      </c>
      <c r="E4" s="47" t="str">
        <f>I18N_T(cellLanguage, "RF_FrameworkVersion")</f>
        <v>Category version</v>
      </c>
      <c r="F4" s="47" t="str">
        <f>I18N_T(cellLanguage, "RF_Start")</f>
        <v>Start date</v>
      </c>
      <c r="G4" s="47" t="str">
        <f>I18N_T(cellLanguage, "RF_End")</f>
        <v>End date</v>
      </c>
      <c r="H4" s="47" t="str">
        <f>I18N_T(cellLanguage, "RF_RepDesc")</f>
        <v>Descriptions</v>
      </c>
      <c r="I4" s="47" t="str">
        <f>I18N_T(cellLanguage, "RF_RepPack")</f>
        <v>Package</v>
      </c>
      <c r="J4" s="47" t="str">
        <f>I18N_T(cellLanguage, "RF_UseDefaultWindowsFolder")</f>
        <v>Default Windows Folder?</v>
      </c>
      <c r="K4" s="47" t="str">
        <f>I18N_T(cellLanguage, "RF_WindowsFolder")</f>
        <v>Windows folder</v>
      </c>
      <c r="L4" s="47" t="str">
        <f>I18N_T(cellLanguage, "RF_UseDefaultInternetFolder")</f>
        <v>Default Internet Folder?</v>
      </c>
      <c r="M4" s="47" t="str">
        <f>I18N_T(cellLanguage, "RF_InternetFolder")</f>
        <v>Internet folder</v>
      </c>
      <c r="N4" s="47" t="str">
        <f>I18N_T(cellLanguage, "RF_UseDefaultSetOfControls")</f>
        <v>Control Set: default?</v>
      </c>
      <c r="O4" s="47" t="str">
        <f>I18N_T(cellLanguage, "RF_SetOfControls")</f>
        <v>Control Set</v>
      </c>
      <c r="P4" s="47" t="str">
        <f>I18N_T(cellLanguage, "RF_UseDefaultLevel")</f>
        <v>Default Level?</v>
      </c>
      <c r="Q4" s="47" t="str">
        <f>I18N_T(cellLanguage, "RF_LevelToReach")</f>
        <v>Control Level</v>
      </c>
      <c r="R4" s="47" t="str">
        <f>I18N_T(cellLanguage, "RF_Blocking")</f>
        <v>Blocking?</v>
      </c>
      <c r="S4" s="47" t="str">
        <f>I18N_T(cellLanguage, "RF_UseDefaultLock")</f>
        <v>Lock: default?</v>
      </c>
      <c r="T4" s="47" t="str">
        <f>I18N_T(cellLanguage, "RF_LockOnPublication")</f>
        <v>Lock on publication</v>
      </c>
      <c r="U4" s="47" t="str">
        <f>I18N_T(cellLanguage, "RF_UseDefaultRuleSet")</f>
        <v>Rule Set: default?</v>
      </c>
      <c r="V4" s="47" t="str">
        <f>I18N_T(cellLanguage, "RF_RuleSet")</f>
        <v>Rule Set</v>
      </c>
      <c r="W4" s="47" t="str">
        <f>I18N_T(cellLanguage, "RF_UseDefaultOpbal")</f>
        <v>Opening balance: default?</v>
      </c>
      <c r="X4" s="47" t="str">
        <f>I18N_T(cellLanguage, "RF_HasOpBal")</f>
        <v>Opening balance?</v>
      </c>
      <c r="Y4" s="47" t="str">
        <f>I18N_T(cellLanguage, "RF_OpbPhase")</f>
        <v>OB Category</v>
      </c>
      <c r="Z4" s="47" t="str">
        <f>I18N_T(cellLanguage, "RF_OpbUpdatePeriod")</f>
        <v>OB Update Period</v>
      </c>
      <c r="AA4" s="47" t="str">
        <f>I18N_T(cellLanguage, "RF_OpbScope")</f>
        <v>OB Scope</v>
      </c>
      <c r="AB4" s="47" t="str">
        <f>I18N_T(cellLanguage, "RF_OpbVariant")</f>
        <v>OB Variant</v>
      </c>
      <c r="AC4" s="47" t="str">
        <f>I18N_T(cellLanguage, "RF_OpbConsCurrency")</f>
        <v>OB Currency</v>
      </c>
      <c r="AD4" s="47" t="str">
        <f>I18N_T(cellLanguage, "RF_RepOp")</f>
        <v>Operation</v>
      </c>
      <c r="AE4" s="47" t="str">
        <f>I18N_T(cellLanguage, "RF_CutoffDate")</f>
        <v>Cutoff Date</v>
      </c>
      <c r="AF4" s="47" t="str">
        <f>I18N_T(cellLanguage, "RF_EarlyPublishing")</f>
        <v>Early publishing?</v>
      </c>
      <c r="AG4" s="47" t="str">
        <f>I18N_T(cellLanguage, "RF_RepOpAftPub")</f>
        <v>After publication</v>
      </c>
      <c r="AH4" s="47" t="str">
        <f>I18N_T(cellLanguage, "RF_RepOpAftPubStd")</f>
        <v>Standard pub.</v>
      </c>
      <c r="AI4" s="47" t="str">
        <f>I18N_T(cellLanguage, "RF_RepOpAftPubSpe")</f>
        <v>Special pub.</v>
      </c>
      <c r="AJ4" s="47" t="str">
        <f>I18N_T(cellLanguage, "RF_RepOpAftPubAdv")</f>
        <v>Advanced pub.</v>
      </c>
      <c r="AK4" s="47" t="str">
        <f>I18N_T(cellLanguage, "RF_RepOpAftPubLvl")</f>
        <v>After pub. Level</v>
      </c>
      <c r="AL4" s="47" t="str">
        <f>I18N_T(cellLanguage, "RF_RepOpAftTran")</f>
        <v>After transfert</v>
      </c>
      <c r="AM4" s="47" t="str">
        <f>I18N_T(cellLanguage, "RF_RepOpAftTranStd")</f>
        <v>Standard tran.</v>
      </c>
      <c r="AN4" s="47" t="str">
        <f>I18N_T(cellLanguage, "RF_RepOpAftTranSpe")</f>
        <v>Special tran.</v>
      </c>
      <c r="AO4" s="47" t="str">
        <f>I18N_T(cellLanguage, "RF_RepOpAftTranAdv")</f>
        <v>Advanced tran.</v>
      </c>
      <c r="AP4" s="47" t="str">
        <f>I18N_T(cellLanguage, "RF_RepOpAftTranLvl")</f>
        <v>After tran. Level</v>
      </c>
      <c r="AQ4" s="47" t="str">
        <f>I18N_T(cellLanguage, "RF_Entity")</f>
        <v>Entity</v>
      </c>
      <c r="AR4" s="47" t="str">
        <f>I18N_T(cellLanguage, "RF_Entity2")</f>
        <v>Name</v>
      </c>
      <c r="AS4" s="47" t="str">
        <f>I18N_T(cellLanguage, "RF_InputCurrency")</f>
        <v>Currency</v>
      </c>
      <c r="AT4" s="47" t="str">
        <f>I18N_T(cellLanguage, "RF_InputSite")</f>
        <v>Input Site</v>
      </c>
      <c r="AU4" s="47" t="str">
        <f>I18N_T(cellLanguage, "RF_PublicationSite")</f>
        <v>Publication Site</v>
      </c>
      <c r="AV4" s="47" t="str">
        <f>I18N_T(cellLanguage, "RF_EntPack")</f>
        <v>Package</v>
      </c>
      <c r="AW4" s="47" t="str">
        <f>I18N_T(cellLanguage, "RF_EntUseDefaultWindowsFolder")</f>
        <v>Default Windows Folder?</v>
      </c>
      <c r="AX4" s="47" t="str">
        <f>I18N_T(cellLanguage, "RF_EntWindowsFolder")</f>
        <v>Windows folder</v>
      </c>
      <c r="AY4" s="47" t="str">
        <f>I18N_T(cellLanguage, "RF_EntUseDefaultInternetFolder")</f>
        <v>Default Internet Folder?</v>
      </c>
      <c r="AZ4" s="47" t="str">
        <f>I18N_T(cellLanguage, "RF_EntInternetFolder")</f>
        <v>Internet folder</v>
      </c>
      <c r="BA4" s="47" t="str">
        <f>I18N_T(cellLanguage, "RF_EntUseDefaultSetOfControls")</f>
        <v>Control Set: default?</v>
      </c>
      <c r="BB4" s="47" t="str">
        <f>I18N_T(cellLanguage, "RF_EntSetOfControls")</f>
        <v>Control Set</v>
      </c>
      <c r="BC4" s="47" t="str">
        <f>I18N_T(cellLanguage, "RF_EntUseDefaultLevel")</f>
        <v>Default Level?</v>
      </c>
      <c r="BD4" s="47" t="str">
        <f>I18N_T(cellLanguage, "RF_EntLevelToReach")</f>
        <v>Control Level</v>
      </c>
      <c r="BE4" s="47" t="str">
        <f>I18N_T(cellLanguage, "RF_EntBlocking")</f>
        <v>Blocking?</v>
      </c>
      <c r="BF4" s="47" t="str">
        <f>I18N_T(cellLanguage, "RF_EntUseDefaultLock")</f>
        <v>Lock: default?</v>
      </c>
      <c r="BG4" s="47" t="str">
        <f>I18N_T(cellLanguage, "RF_EntLockOnPublication")</f>
        <v>Lock on publication</v>
      </c>
      <c r="BH4" s="47" t="str">
        <f>I18N_T(cellLanguage, "RF_EntUseDefaultRuleSet")</f>
        <v>Rule Set: default?</v>
      </c>
      <c r="BI4" s="47" t="str">
        <f>I18N_T(cellLanguage, "RF_EntRuleSet")</f>
        <v>Rule Set</v>
      </c>
      <c r="BJ4" s="47" t="str">
        <f>I18N_T(cellLanguage, "RF_EntUseDefaultOpbal")</f>
        <v>Opening balance: default?</v>
      </c>
      <c r="BK4" s="47" t="str">
        <f>I18N_T(cellLanguage, "RF_EntHasOpBal")</f>
        <v>Opening balance?</v>
      </c>
      <c r="BL4" s="47" t="str">
        <f>I18N_T(cellLanguage, "RF_EntOpbPhase")</f>
        <v>OB Category</v>
      </c>
      <c r="BM4" s="47" t="str">
        <f>I18N_T(cellLanguage, "RF_EntOpbUpdatePeriod")</f>
        <v>OB Update Period</v>
      </c>
      <c r="BN4" s="47" t="str">
        <f>I18N_T(cellLanguage, "RF_EntOpbScope")</f>
        <v>OB Scope</v>
      </c>
      <c r="BO4" s="47" t="str">
        <f>I18N_T(cellLanguage, "RF_EntOpbVariant")</f>
        <v>OB Variant</v>
      </c>
      <c r="BP4" s="47" t="str">
        <f>I18N_T(cellLanguage, "RF_EntOpbConsCurrency")</f>
        <v>OB Currency</v>
      </c>
      <c r="BQ4" s="47" t="str">
        <f>I18N_T(cellLanguage, "RF_EntOp")</f>
        <v>Operation</v>
      </c>
      <c r="BR4" s="47" t="str">
        <f>I18N_T(cellLanguage, "RF_EntUseDefaultPublish")</f>
        <v>Operation: default?</v>
      </c>
      <c r="BS4" s="47" t="str">
        <f>I18N_T(cellLanguage, "RF_EntPackPublishingCutOffDate")</f>
        <v>Cutoff Date</v>
      </c>
      <c r="BT4" s="47" t="str">
        <f>I18N_T(cellLanguage, "RF_EntAllowEarlyPublishing")</f>
        <v>Early publishing?</v>
      </c>
      <c r="BU4" s="47" t="str">
        <f>I18N_T(cellLanguage, "RF_EntOpAftPub")</f>
        <v>After publication</v>
      </c>
      <c r="BV4" s="47" t="str">
        <f>I18N_T(cellLanguage, "RF_EntUseDefaultAfterPub")</f>
        <v>After publication: default?</v>
      </c>
      <c r="BW4" s="47" t="str">
        <f>I18N_T(cellLanguage, "RF_EntAftPubStandard")</f>
        <v>Standard pub.</v>
      </c>
      <c r="BX4" s="47" t="str">
        <f>I18N_T(cellLanguage, "RF_EntAftPubSpecial")</f>
        <v>Special pub.</v>
      </c>
      <c r="BY4" s="47" t="str">
        <f>I18N_T(cellLanguage, "RF_EntAftPubAdvanced")</f>
        <v>Advanced pub.</v>
      </c>
      <c r="BZ4" s="47" t="str">
        <f>I18N_T(cellLanguage, "RF_EntAftPubLevel")</f>
        <v>After pub. Level</v>
      </c>
      <c r="CA4" s="47" t="str">
        <f>I18N_T(cellLanguage, "RF_EntOpAftTran")</f>
        <v>After transfert</v>
      </c>
      <c r="CB4" s="47" t="str">
        <f>I18N_T(cellLanguage, "RF_EntUseDefaultAfterTran")</f>
        <v>After transfert: default?</v>
      </c>
      <c r="CC4" s="47" t="str">
        <f>I18N_T(cellLanguage, "RF_EntAftTranStandard")</f>
        <v>Standard tran.</v>
      </c>
      <c r="CD4" s="47" t="str">
        <f>I18N_T(cellLanguage, "RF_EntAftTranSpecial")</f>
        <v>Special tran.</v>
      </c>
      <c r="CE4" s="47" t="str">
        <f>I18N_T(cellLanguage, "RF_EntAftTranAdvanced")</f>
        <v>Advanced tran.</v>
      </c>
      <c r="CF4" s="48" t="str">
        <f>I18N_T(cellLanguage, "RF_EntAftTranLevel")</f>
        <v>After tran. Level</v>
      </c>
    </row>
    <row r="5" spans="2:84" ht="66" customHeight="1" x14ac:dyDescent="0.25">
      <c r="B5" s="45" t="s">
        <v>204</v>
      </c>
      <c r="C5" s="45" t="s">
        <v>205</v>
      </c>
      <c r="D5" s="45" t="s">
        <v>206</v>
      </c>
      <c r="E5" s="45" t="s">
        <v>207</v>
      </c>
      <c r="F5" s="45" t="s">
        <v>670</v>
      </c>
      <c r="G5" s="45" t="s">
        <v>671</v>
      </c>
      <c r="H5" s="45" t="s">
        <v>672</v>
      </c>
      <c r="I5" s="45" t="s">
        <v>673</v>
      </c>
      <c r="J5" s="45" t="s">
        <v>674</v>
      </c>
      <c r="K5" s="45" t="s">
        <v>675</v>
      </c>
      <c r="L5" s="45" t="s">
        <v>676</v>
      </c>
      <c r="M5" s="45" t="s">
        <v>677</v>
      </c>
      <c r="N5" s="45" t="s">
        <v>678</v>
      </c>
      <c r="O5" s="45" t="s">
        <v>679</v>
      </c>
      <c r="P5" s="45" t="s">
        <v>680</v>
      </c>
      <c r="Q5" s="45" t="s">
        <v>681</v>
      </c>
      <c r="R5" s="45" t="s">
        <v>682</v>
      </c>
      <c r="S5" s="45" t="s">
        <v>683</v>
      </c>
      <c r="T5" s="45" t="s">
        <v>684</v>
      </c>
      <c r="U5" s="45" t="s">
        <v>685</v>
      </c>
      <c r="V5" s="45" t="s">
        <v>686</v>
      </c>
      <c r="W5" s="45" t="s">
        <v>687</v>
      </c>
      <c r="X5" s="45" t="s">
        <v>688</v>
      </c>
      <c r="Y5" s="45" t="s">
        <v>689</v>
      </c>
      <c r="Z5" s="45" t="s">
        <v>690</v>
      </c>
      <c r="AA5" s="45" t="s">
        <v>691</v>
      </c>
      <c r="AB5" s="45" t="s">
        <v>692</v>
      </c>
      <c r="AC5" s="45" t="s">
        <v>693</v>
      </c>
      <c r="AD5" s="45" t="s">
        <v>694</v>
      </c>
      <c r="AE5" s="45" t="s">
        <v>695</v>
      </c>
      <c r="AF5" s="45" t="s">
        <v>696</v>
      </c>
      <c r="AG5" s="45" t="s">
        <v>697</v>
      </c>
      <c r="AH5" s="45" t="s">
        <v>698</v>
      </c>
      <c r="AI5" s="45" t="s">
        <v>699</v>
      </c>
      <c r="AJ5" s="45" t="s">
        <v>700</v>
      </c>
      <c r="AK5" s="45" t="s">
        <v>701</v>
      </c>
      <c r="AL5" s="45" t="s">
        <v>702</v>
      </c>
      <c r="AM5" s="45" t="s">
        <v>703</v>
      </c>
      <c r="AN5" s="45" t="s">
        <v>704</v>
      </c>
      <c r="AO5" s="45" t="s">
        <v>705</v>
      </c>
      <c r="AP5" s="45" t="s">
        <v>706</v>
      </c>
      <c r="AQ5" s="45" t="s">
        <v>707</v>
      </c>
      <c r="AR5" s="45" t="s">
        <v>708</v>
      </c>
      <c r="AS5" s="45" t="s">
        <v>709</v>
      </c>
      <c r="AT5" s="45" t="s">
        <v>710</v>
      </c>
      <c r="AU5" s="45" t="s">
        <v>711</v>
      </c>
      <c r="AV5" s="45" t="s">
        <v>712</v>
      </c>
      <c r="AW5" s="45" t="s">
        <v>713</v>
      </c>
      <c r="AX5" s="45" t="s">
        <v>714</v>
      </c>
      <c r="AY5" s="45" t="s">
        <v>715</v>
      </c>
      <c r="AZ5" s="45" t="s">
        <v>716</v>
      </c>
      <c r="BA5" s="45" t="s">
        <v>717</v>
      </c>
      <c r="BB5" s="45" t="s">
        <v>718</v>
      </c>
      <c r="BC5" s="45" t="s">
        <v>719</v>
      </c>
      <c r="BD5" s="45" t="s">
        <v>720</v>
      </c>
      <c r="BE5" s="45" t="s">
        <v>721</v>
      </c>
      <c r="BF5" s="45" t="s">
        <v>722</v>
      </c>
      <c r="BG5" s="45" t="s">
        <v>723</v>
      </c>
      <c r="BH5" s="45" t="s">
        <v>724</v>
      </c>
      <c r="BI5" s="45" t="s">
        <v>725</v>
      </c>
      <c r="BJ5" s="45" t="s">
        <v>726</v>
      </c>
      <c r="BK5" s="45" t="s">
        <v>727</v>
      </c>
      <c r="BL5" s="45" t="s">
        <v>728</v>
      </c>
      <c r="BM5" s="45" t="s">
        <v>729</v>
      </c>
      <c r="BN5" s="45" t="s">
        <v>730</v>
      </c>
      <c r="BO5" s="45" t="s">
        <v>731</v>
      </c>
      <c r="BP5" s="45" t="s">
        <v>732</v>
      </c>
      <c r="BQ5" s="45" t="s">
        <v>733</v>
      </c>
      <c r="BR5" s="45" t="s">
        <v>734</v>
      </c>
      <c r="BS5" s="45" t="s">
        <v>735</v>
      </c>
      <c r="BT5" s="45" t="s">
        <v>736</v>
      </c>
      <c r="BU5" s="45" t="s">
        <v>737</v>
      </c>
      <c r="BV5" s="45" t="s">
        <v>738</v>
      </c>
      <c r="BW5" s="45" t="s">
        <v>739</v>
      </c>
      <c r="BX5" s="45" t="s">
        <v>740</v>
      </c>
      <c r="BY5" s="45" t="s">
        <v>741</v>
      </c>
      <c r="BZ5" s="45" t="s">
        <v>742</v>
      </c>
      <c r="CA5" s="45" t="s">
        <v>743</v>
      </c>
      <c r="CB5" s="45" t="s">
        <v>744</v>
      </c>
      <c r="CC5" s="45" t="s">
        <v>745</v>
      </c>
      <c r="CD5" s="45" t="s">
        <v>746</v>
      </c>
      <c r="CE5" s="45" t="s">
        <v>747</v>
      </c>
      <c r="CF5" s="45" t="s">
        <v>748</v>
      </c>
    </row>
    <row r="6" spans="2:84" ht="66" customHeight="1" x14ac:dyDescent="0.25">
      <c r="B6" s="49"/>
      <c r="C6" s="49" t="s">
        <v>21</v>
      </c>
      <c r="D6" s="49" t="s">
        <v>761</v>
      </c>
      <c r="E6" s="49" t="s">
        <v>762</v>
      </c>
      <c r="F6" s="49" t="s">
        <v>763</v>
      </c>
      <c r="G6" s="49" t="s">
        <v>764</v>
      </c>
      <c r="H6" s="49"/>
      <c r="I6" s="49"/>
      <c r="J6" s="49" t="b">
        <v>1</v>
      </c>
      <c r="K6" s="49"/>
      <c r="L6" s="49" t="b">
        <v>1</v>
      </c>
      <c r="M6" s="49"/>
      <c r="N6" s="49" t="b">
        <v>1</v>
      </c>
      <c r="O6" s="49"/>
      <c r="P6" s="49" t="b">
        <v>1</v>
      </c>
      <c r="Q6" s="49"/>
      <c r="R6" s="49" t="b">
        <v>0</v>
      </c>
      <c r="S6" s="49" t="b">
        <v>1</v>
      </c>
      <c r="T6" s="49">
        <v>0</v>
      </c>
      <c r="U6" s="49" t="b">
        <v>1</v>
      </c>
      <c r="V6" s="49"/>
      <c r="W6" s="49" t="b">
        <v>1</v>
      </c>
      <c r="X6" s="49" t="b">
        <v>0</v>
      </c>
      <c r="Y6" s="49"/>
      <c r="Z6" s="49"/>
      <c r="AA6" s="49"/>
      <c r="AB6" s="49"/>
      <c r="AC6" s="49"/>
      <c r="AD6" s="49"/>
      <c r="AE6" s="49" t="s">
        <v>765</v>
      </c>
      <c r="AF6" s="49" t="b">
        <v>1</v>
      </c>
      <c r="AG6" s="49"/>
      <c r="AH6" s="49" t="b">
        <v>1</v>
      </c>
      <c r="AI6" s="49" t="b">
        <v>1</v>
      </c>
      <c r="AJ6" s="49" t="b">
        <v>1</v>
      </c>
      <c r="AK6" s="49">
        <v>2</v>
      </c>
      <c r="AL6" s="49"/>
      <c r="AM6" s="49" t="b">
        <v>0</v>
      </c>
      <c r="AN6" s="49" t="b">
        <v>1</v>
      </c>
      <c r="AO6" s="49" t="b">
        <v>0</v>
      </c>
      <c r="AP6" s="49"/>
      <c r="AQ6" s="49"/>
      <c r="AR6" s="49" t="s">
        <v>753</v>
      </c>
      <c r="AS6" s="49" t="s">
        <v>754</v>
      </c>
      <c r="AT6" s="49" t="s">
        <v>755</v>
      </c>
      <c r="AU6" s="49" t="s">
        <v>755</v>
      </c>
      <c r="AV6" s="49"/>
      <c r="AW6" s="49" t="b">
        <v>1</v>
      </c>
      <c r="AX6" s="49"/>
      <c r="AY6" s="49" t="b">
        <v>1</v>
      </c>
      <c r="AZ6" s="49"/>
      <c r="BA6" s="49" t="b">
        <v>1</v>
      </c>
      <c r="BB6" s="49"/>
      <c r="BC6" s="49" t="b">
        <v>1</v>
      </c>
      <c r="BD6" s="49"/>
      <c r="BE6" s="49" t="b">
        <v>0</v>
      </c>
      <c r="BF6" s="49" t="b">
        <v>1</v>
      </c>
      <c r="BG6" s="49">
        <v>0</v>
      </c>
      <c r="BH6" s="49" t="b">
        <v>1</v>
      </c>
      <c r="BI6" s="49"/>
      <c r="BJ6" s="49" t="b">
        <v>1</v>
      </c>
      <c r="BK6" s="49" t="b">
        <v>0</v>
      </c>
      <c r="BL6" s="49"/>
      <c r="BM6" s="49"/>
      <c r="BN6" s="49"/>
      <c r="BO6" s="49"/>
      <c r="BP6" s="49"/>
      <c r="BQ6" s="49"/>
      <c r="BR6" s="49" t="b">
        <v>1</v>
      </c>
      <c r="BS6" s="49" t="s">
        <v>765</v>
      </c>
      <c r="BT6" s="49" t="b">
        <v>0</v>
      </c>
      <c r="BU6" s="49"/>
      <c r="BV6" s="49" t="b">
        <v>1</v>
      </c>
      <c r="BW6" s="49" t="b">
        <v>0</v>
      </c>
      <c r="BX6" s="49" t="b">
        <v>0</v>
      </c>
      <c r="BY6" s="49" t="b">
        <v>0</v>
      </c>
      <c r="BZ6" s="49"/>
      <c r="CA6" s="49"/>
      <c r="CB6" s="49"/>
      <c r="CC6" s="49"/>
      <c r="CD6" s="49"/>
      <c r="CE6" s="49"/>
      <c r="CF6" s="49"/>
    </row>
    <row r="7" spans="2:84" x14ac:dyDescent="0.25">
      <c r="B7" s="49"/>
      <c r="C7" s="49" t="s">
        <v>21</v>
      </c>
      <c r="D7" s="49" t="s">
        <v>761</v>
      </c>
      <c r="E7" s="49" t="s">
        <v>762</v>
      </c>
      <c r="F7" s="49" t="s">
        <v>763</v>
      </c>
      <c r="G7" s="49" t="s">
        <v>764</v>
      </c>
      <c r="H7" s="49"/>
      <c r="I7" s="49"/>
      <c r="J7" s="49" t="b">
        <v>1</v>
      </c>
      <c r="K7" s="49"/>
      <c r="L7" s="49" t="b">
        <v>1</v>
      </c>
      <c r="M7" s="49"/>
      <c r="N7" s="49" t="b">
        <v>1</v>
      </c>
      <c r="O7" s="49"/>
      <c r="P7" s="49" t="b">
        <v>1</v>
      </c>
      <c r="Q7" s="49"/>
      <c r="R7" s="49" t="b">
        <v>0</v>
      </c>
      <c r="S7" s="49" t="b">
        <v>1</v>
      </c>
      <c r="T7" s="49">
        <v>0</v>
      </c>
      <c r="U7" s="49" t="b">
        <v>1</v>
      </c>
      <c r="V7" s="49"/>
      <c r="W7" s="49" t="b">
        <v>1</v>
      </c>
      <c r="X7" s="49" t="b">
        <v>0</v>
      </c>
      <c r="Y7" s="49"/>
      <c r="Z7" s="49"/>
      <c r="AA7" s="49"/>
      <c r="AB7" s="49"/>
      <c r="AC7" s="49"/>
      <c r="AD7" s="49"/>
      <c r="AE7" s="49" t="s">
        <v>765</v>
      </c>
      <c r="AF7" s="49" t="b">
        <v>1</v>
      </c>
      <c r="AG7" s="49"/>
      <c r="AH7" s="49" t="b">
        <v>1</v>
      </c>
      <c r="AI7" s="49" t="b">
        <v>1</v>
      </c>
      <c r="AJ7" s="49" t="b">
        <v>1</v>
      </c>
      <c r="AK7" s="49">
        <v>2</v>
      </c>
      <c r="AL7" s="49"/>
      <c r="AM7" s="49" t="b">
        <v>0</v>
      </c>
      <c r="AN7" s="49" t="b">
        <v>1</v>
      </c>
      <c r="AO7" s="49" t="b">
        <v>0</v>
      </c>
      <c r="AP7" s="49"/>
      <c r="AQ7" s="49"/>
      <c r="AR7" s="49" t="s">
        <v>766</v>
      </c>
      <c r="AS7" s="49" t="s">
        <v>754</v>
      </c>
      <c r="AT7" s="49" t="s">
        <v>755</v>
      </c>
      <c r="AU7" s="49" t="s">
        <v>755</v>
      </c>
      <c r="AV7" s="49"/>
      <c r="AW7" s="49" t="b">
        <v>1</v>
      </c>
      <c r="AX7" s="49"/>
      <c r="AY7" s="49" t="b">
        <v>1</v>
      </c>
      <c r="AZ7" s="49"/>
      <c r="BA7" s="49" t="b">
        <v>1</v>
      </c>
      <c r="BB7" s="49"/>
      <c r="BC7" s="49" t="b">
        <v>1</v>
      </c>
      <c r="BD7" s="49"/>
      <c r="BE7" s="49" t="b">
        <v>0</v>
      </c>
      <c r="BF7" s="49" t="b">
        <v>1</v>
      </c>
      <c r="BG7" s="49">
        <v>0</v>
      </c>
      <c r="BH7" s="49" t="b">
        <v>1</v>
      </c>
      <c r="BI7" s="49"/>
      <c r="BJ7" s="49" t="b">
        <v>1</v>
      </c>
      <c r="BK7" s="49" t="b">
        <v>0</v>
      </c>
      <c r="BL7" s="49"/>
      <c r="BM7" s="49"/>
      <c r="BN7" s="49"/>
      <c r="BO7" s="49"/>
      <c r="BP7" s="49"/>
      <c r="BQ7" s="49"/>
      <c r="BR7" s="49" t="b">
        <v>1</v>
      </c>
      <c r="BS7" s="49" t="s">
        <v>765</v>
      </c>
      <c r="BT7" s="49" t="b">
        <v>0</v>
      </c>
      <c r="BU7" s="49"/>
      <c r="BV7" s="49" t="b">
        <v>1</v>
      </c>
      <c r="BW7" s="49" t="b">
        <v>0</v>
      </c>
      <c r="BX7" s="49" t="b">
        <v>0</v>
      </c>
      <c r="BY7" s="49" t="b">
        <v>0</v>
      </c>
      <c r="BZ7" s="49"/>
      <c r="CA7" s="49"/>
      <c r="CB7" s="49" t="b">
        <v>1</v>
      </c>
      <c r="CC7" s="49" t="b">
        <v>0</v>
      </c>
      <c r="CD7" s="49" t="b">
        <v>0</v>
      </c>
      <c r="CE7" s="49" t="b">
        <v>0</v>
      </c>
      <c r="CF7" s="49"/>
    </row>
  </sheetData>
  <sheetProtection sheet="1" objects="1" scenarios="1" formatCells="0" formatColumns="0" formatRows="0" insertRows="0" sort="0" autoFilter="0"/>
  <hyperlinks>
    <hyperlink ref="B2" location="C3" tooltip=" " display="C3" xr:uid="{DC23AF7B-2AE7-480D-A84A-FB1E07DE4FB8}"/>
  </hyperlinks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F8DA81-52D6-46DF-9997-E2A6C971C500}">
  <sheetPr codeName="Feuil3">
    <outlinePr summaryRight="0"/>
  </sheetPr>
  <dimension ref="B2:CF6"/>
  <sheetViews>
    <sheetView showGridLines="0" workbookViewId="0">
      <selection activeCell="C3" sqref="C3"/>
    </sheetView>
  </sheetViews>
  <sheetFormatPr baseColWidth="10" defaultColWidth="6.7109375" defaultRowHeight="15" outlineLevelCol="3" x14ac:dyDescent="0.25"/>
  <cols>
    <col min="1" max="1" width="6.7109375" style="17"/>
    <col min="2" max="2" width="5.7109375" style="17" customWidth="1"/>
    <col min="3" max="5" width="9.7109375" style="17" customWidth="1" outlineLevel="3"/>
    <col min="6" max="7" width="21.7109375" style="17" customWidth="1" outlineLevel="3"/>
    <col min="8" max="8" width="5.7109375" style="17" customWidth="1" outlineLevel="1"/>
    <col min="9" max="9" width="5.7109375" style="17" customWidth="1" outlineLevel="1" collapsed="1"/>
    <col min="10" max="29" width="9.7109375" style="17" hidden="1" customWidth="1" outlineLevel="3"/>
    <col min="30" max="30" width="5.7109375" style="17" customWidth="1" outlineLevel="1"/>
    <col min="31" max="31" width="21.7109375" style="17" customWidth="1" outlineLevel="3"/>
    <col min="32" max="32" width="10.7109375" style="17" customWidth="1" outlineLevel="3"/>
    <col min="33" max="33" width="5.7109375" style="17" customWidth="1" outlineLevel="2" collapsed="1"/>
    <col min="34" max="37" width="9.7109375" style="17" hidden="1" customWidth="1" outlineLevel="3"/>
    <col min="38" max="38" width="5.7109375" style="17" customWidth="1" outlineLevel="2" collapsed="1"/>
    <col min="39" max="42" width="9.7109375" style="17" hidden="1" customWidth="1" outlineLevel="3"/>
    <col min="43" max="43" width="5.7109375" style="17" customWidth="1"/>
    <col min="44" max="46" width="9.7109375" style="17" customWidth="1" outlineLevel="3"/>
    <col min="47" max="47" width="10.7109375" style="17" customWidth="1" outlineLevel="3"/>
    <col min="48" max="48" width="5.7109375" style="17" customWidth="1" outlineLevel="1" collapsed="1"/>
    <col min="49" max="68" width="9.7109375" style="17" hidden="1" customWidth="1" outlineLevel="3"/>
    <col min="69" max="69" width="5.7109375" style="17" customWidth="1" outlineLevel="1"/>
    <col min="70" max="70" width="10.7109375" style="17" customWidth="1" outlineLevel="3"/>
    <col min="71" max="71" width="21.7109375" style="17" customWidth="1" outlineLevel="3"/>
    <col min="72" max="72" width="10.7109375" style="17" customWidth="1" outlineLevel="3"/>
    <col min="73" max="73" width="5.7109375" style="17" customWidth="1" outlineLevel="2" collapsed="1"/>
    <col min="74" max="78" width="9.7109375" style="17" hidden="1" customWidth="1" outlineLevel="3"/>
    <col min="79" max="79" width="5.7109375" style="17" customWidth="1" outlineLevel="2" collapsed="1"/>
    <col min="80" max="84" width="9.7109375" style="17" hidden="1" customWidth="1" outlineLevel="3"/>
    <col min="85" max="16384" width="6.7109375" style="17"/>
  </cols>
  <sheetData>
    <row r="2" spans="2:84" x14ac:dyDescent="0.25">
      <c r="B2" s="44" t="str">
        <f>I18N_T(cellLanguage, "RF_Save")</f>
        <v>Save changes</v>
      </c>
    </row>
    <row r="3" spans="2:84" x14ac:dyDescent="0.25">
      <c r="C3" s="41">
        <f>SUBTOTAL(103, tReporting52428888[[ 2]])</f>
        <v>1</v>
      </c>
    </row>
    <row r="4" spans="2:84" hidden="1" x14ac:dyDescent="0.25">
      <c r="B4" s="46" t="str">
        <f>I18N_T(cellLanguage, "RF_Reporting")</f>
        <v>Reporting</v>
      </c>
      <c r="C4" s="47" t="str">
        <f>I18N_T(cellLanguage, "RF_Phase")</f>
        <v>Category</v>
      </c>
      <c r="D4" s="47" t="str">
        <f>I18N_T(cellLanguage, "RF_UpdatePeriod")</f>
        <v>Update Period</v>
      </c>
      <c r="E4" s="47" t="str">
        <f>I18N_T(cellLanguage, "RF_FrameworkVersion")</f>
        <v>Category version</v>
      </c>
      <c r="F4" s="47" t="str">
        <f>I18N_T(cellLanguage, "RF_Start")</f>
        <v>Start date</v>
      </c>
      <c r="G4" s="47" t="str">
        <f>I18N_T(cellLanguage, "RF_End")</f>
        <v>End date</v>
      </c>
      <c r="H4" s="47" t="str">
        <f>I18N_T(cellLanguage, "RF_RepDesc")</f>
        <v>Descriptions</v>
      </c>
      <c r="I4" s="47" t="str">
        <f>I18N_T(cellLanguage, "RF_RepPack")</f>
        <v>Package</v>
      </c>
      <c r="J4" s="47" t="str">
        <f>I18N_T(cellLanguage, "RF_UseDefaultWindowsFolder")</f>
        <v>Default Windows Folder?</v>
      </c>
      <c r="K4" s="47" t="str">
        <f>I18N_T(cellLanguage, "RF_WindowsFolder")</f>
        <v>Windows folder</v>
      </c>
      <c r="L4" s="47" t="str">
        <f>I18N_T(cellLanguage, "RF_UseDefaultInternetFolder")</f>
        <v>Default Internet Folder?</v>
      </c>
      <c r="M4" s="47" t="str">
        <f>I18N_T(cellLanguage, "RF_InternetFolder")</f>
        <v>Internet folder</v>
      </c>
      <c r="N4" s="47" t="str">
        <f>I18N_T(cellLanguage, "RF_UseDefaultSetOfControls")</f>
        <v>Control Set: default?</v>
      </c>
      <c r="O4" s="47" t="str">
        <f>I18N_T(cellLanguage, "RF_SetOfControls")</f>
        <v>Control Set</v>
      </c>
      <c r="P4" s="47" t="str">
        <f>I18N_T(cellLanguage, "RF_UseDefaultLevel")</f>
        <v>Default Level?</v>
      </c>
      <c r="Q4" s="47" t="str">
        <f>I18N_T(cellLanguage, "RF_LevelToReach")</f>
        <v>Control Level</v>
      </c>
      <c r="R4" s="47" t="str">
        <f>I18N_T(cellLanguage, "RF_Blocking")</f>
        <v>Blocking?</v>
      </c>
      <c r="S4" s="47" t="str">
        <f>I18N_T(cellLanguage, "RF_UseDefaultLock")</f>
        <v>Lock: default?</v>
      </c>
      <c r="T4" s="47" t="str">
        <f>I18N_T(cellLanguage, "RF_LockOnPublication")</f>
        <v>Lock on publication</v>
      </c>
      <c r="U4" s="47" t="str">
        <f>I18N_T(cellLanguage, "RF_UseDefaultRuleSet")</f>
        <v>Rule Set: default?</v>
      </c>
      <c r="V4" s="47" t="str">
        <f>I18N_T(cellLanguage, "RF_RuleSet")</f>
        <v>Rule Set</v>
      </c>
      <c r="W4" s="47" t="str">
        <f>I18N_T(cellLanguage, "RF_UseDefaultOpbal")</f>
        <v>Opening balance: default?</v>
      </c>
      <c r="X4" s="47" t="str">
        <f>I18N_T(cellLanguage, "RF_HasOpBal")</f>
        <v>Opening balance?</v>
      </c>
      <c r="Y4" s="47" t="str">
        <f>I18N_T(cellLanguage, "RF_OpbPhase")</f>
        <v>OB Category</v>
      </c>
      <c r="Z4" s="47" t="str">
        <f>I18N_T(cellLanguage, "RF_OpbUpdatePeriod")</f>
        <v>OB Update Period</v>
      </c>
      <c r="AA4" s="47" t="str">
        <f>I18N_T(cellLanguage, "RF_OpbScope")</f>
        <v>OB Scope</v>
      </c>
      <c r="AB4" s="47" t="str">
        <f>I18N_T(cellLanguage, "RF_OpbVariant")</f>
        <v>OB Variant</v>
      </c>
      <c r="AC4" s="47" t="str">
        <f>I18N_T(cellLanguage, "RF_OpbConsCurrency")</f>
        <v>OB Currency</v>
      </c>
      <c r="AD4" s="47" t="str">
        <f>I18N_T(cellLanguage, "RF_RepOp")</f>
        <v>Operation</v>
      </c>
      <c r="AE4" s="47" t="str">
        <f>I18N_T(cellLanguage, "RF_CutoffDate")</f>
        <v>Cutoff Date</v>
      </c>
      <c r="AF4" s="47" t="str">
        <f>I18N_T(cellLanguage, "RF_EarlyPublishing")</f>
        <v>Early publishing?</v>
      </c>
      <c r="AG4" s="47" t="str">
        <f>I18N_T(cellLanguage, "RF_RepOpAftPub")</f>
        <v>After publication</v>
      </c>
      <c r="AH4" s="47" t="str">
        <f>I18N_T(cellLanguage, "RF_RepOpAftPubStd")</f>
        <v>Standard pub.</v>
      </c>
      <c r="AI4" s="47" t="str">
        <f>I18N_T(cellLanguage, "RF_RepOpAftPubSpe")</f>
        <v>Special pub.</v>
      </c>
      <c r="AJ4" s="47" t="str">
        <f>I18N_T(cellLanguage, "RF_RepOpAftPubAdv")</f>
        <v>Advanced pub.</v>
      </c>
      <c r="AK4" s="47" t="str">
        <f>I18N_T(cellLanguage, "RF_RepOpAftPubLvl")</f>
        <v>After pub. Level</v>
      </c>
      <c r="AL4" s="47" t="str">
        <f>I18N_T(cellLanguage, "RF_RepOpAftTran")</f>
        <v>After transfert</v>
      </c>
      <c r="AM4" s="47" t="str">
        <f>I18N_T(cellLanguage, "RF_RepOpAftTranStd")</f>
        <v>Standard tran.</v>
      </c>
      <c r="AN4" s="47" t="str">
        <f>I18N_T(cellLanguage, "RF_RepOpAftTranSpe")</f>
        <v>Special tran.</v>
      </c>
      <c r="AO4" s="47" t="str">
        <f>I18N_T(cellLanguage, "RF_RepOpAftTranAdv")</f>
        <v>Advanced tran.</v>
      </c>
      <c r="AP4" s="47" t="str">
        <f>I18N_T(cellLanguage, "RF_RepOpAftTranLvl")</f>
        <v>After tran. Level</v>
      </c>
      <c r="AQ4" s="47" t="str">
        <f>I18N_T(cellLanguage, "RF_Entity")</f>
        <v>Entity</v>
      </c>
      <c r="AR4" s="47" t="str">
        <f>I18N_T(cellLanguage, "RF_Entity2")</f>
        <v>Name</v>
      </c>
      <c r="AS4" s="47" t="str">
        <f>I18N_T(cellLanguage, "RF_InputCurrency")</f>
        <v>Currency</v>
      </c>
      <c r="AT4" s="47" t="str">
        <f>I18N_T(cellLanguage, "RF_InputSite")</f>
        <v>Input Site</v>
      </c>
      <c r="AU4" s="47" t="str">
        <f>I18N_T(cellLanguage, "RF_PublicationSite")</f>
        <v>Publication Site</v>
      </c>
      <c r="AV4" s="47" t="str">
        <f>I18N_T(cellLanguage, "RF_EntPack")</f>
        <v>Package</v>
      </c>
      <c r="AW4" s="47" t="str">
        <f>I18N_T(cellLanguage, "RF_EntUseDefaultWindowsFolder")</f>
        <v>Default Windows Folder?</v>
      </c>
      <c r="AX4" s="47" t="str">
        <f>I18N_T(cellLanguage, "RF_EntWindowsFolder")</f>
        <v>Windows folder</v>
      </c>
      <c r="AY4" s="47" t="str">
        <f>I18N_T(cellLanguage, "RF_EntUseDefaultInternetFolder")</f>
        <v>Default Internet Folder?</v>
      </c>
      <c r="AZ4" s="47" t="str">
        <f>I18N_T(cellLanguage, "RF_EntInternetFolder")</f>
        <v>Internet folder</v>
      </c>
      <c r="BA4" s="47" t="str">
        <f>I18N_T(cellLanguage, "RF_EntUseDefaultSetOfControls")</f>
        <v>Control Set: default?</v>
      </c>
      <c r="BB4" s="47" t="str">
        <f>I18N_T(cellLanguage, "RF_EntSetOfControls")</f>
        <v>Control Set</v>
      </c>
      <c r="BC4" s="47" t="str">
        <f>I18N_T(cellLanguage, "RF_EntUseDefaultLevel")</f>
        <v>Default Level?</v>
      </c>
      <c r="BD4" s="47" t="str">
        <f>I18N_T(cellLanguage, "RF_EntLevelToReach")</f>
        <v>Control Level</v>
      </c>
      <c r="BE4" s="47" t="str">
        <f>I18N_T(cellLanguage, "RF_EntBlocking")</f>
        <v>Blocking?</v>
      </c>
      <c r="BF4" s="47" t="str">
        <f>I18N_T(cellLanguage, "RF_EntUseDefaultLock")</f>
        <v>Lock: default?</v>
      </c>
      <c r="BG4" s="47" t="str">
        <f>I18N_T(cellLanguage, "RF_EntLockOnPublication")</f>
        <v>Lock on publication</v>
      </c>
      <c r="BH4" s="47" t="str">
        <f>I18N_T(cellLanguage, "RF_EntUseDefaultRuleSet")</f>
        <v>Rule Set: default?</v>
      </c>
      <c r="BI4" s="47" t="str">
        <f>I18N_T(cellLanguage, "RF_EntRuleSet")</f>
        <v>Rule Set</v>
      </c>
      <c r="BJ4" s="47" t="str">
        <f>I18N_T(cellLanguage, "RF_EntUseDefaultOpbal")</f>
        <v>Opening balance: default?</v>
      </c>
      <c r="BK4" s="47" t="str">
        <f>I18N_T(cellLanguage, "RF_EntHasOpBal")</f>
        <v>Opening balance?</v>
      </c>
      <c r="BL4" s="47" t="str">
        <f>I18N_T(cellLanguage, "RF_EntOpbPhase")</f>
        <v>OB Category</v>
      </c>
      <c r="BM4" s="47" t="str">
        <f>I18N_T(cellLanguage, "RF_EntOpbUpdatePeriod")</f>
        <v>OB Update Period</v>
      </c>
      <c r="BN4" s="47" t="str">
        <f>I18N_T(cellLanguage, "RF_EntOpbScope")</f>
        <v>OB Scope</v>
      </c>
      <c r="BO4" s="47" t="str">
        <f>I18N_T(cellLanguage, "RF_EntOpbVariant")</f>
        <v>OB Variant</v>
      </c>
      <c r="BP4" s="47" t="str">
        <f>I18N_T(cellLanguage, "RF_EntOpbConsCurrency")</f>
        <v>OB Currency</v>
      </c>
      <c r="BQ4" s="47" t="str">
        <f>I18N_T(cellLanguage, "RF_EntOp")</f>
        <v>Operation</v>
      </c>
      <c r="BR4" s="47" t="str">
        <f>I18N_T(cellLanguage, "RF_EntUseDefaultPublish")</f>
        <v>Operation: default?</v>
      </c>
      <c r="BS4" s="47" t="str">
        <f>I18N_T(cellLanguage, "RF_EntPackPublishingCutOffDate")</f>
        <v>Cutoff Date</v>
      </c>
      <c r="BT4" s="47" t="str">
        <f>I18N_T(cellLanguage, "RF_EntAllowEarlyPublishing")</f>
        <v>Early publishing?</v>
      </c>
      <c r="BU4" s="47" t="str">
        <f>I18N_T(cellLanguage, "RF_EntOpAftPub")</f>
        <v>After publication</v>
      </c>
      <c r="BV4" s="47" t="str">
        <f>I18N_T(cellLanguage, "RF_EntUseDefaultAfterPub")</f>
        <v>After publication: default?</v>
      </c>
      <c r="BW4" s="47" t="str">
        <f>I18N_T(cellLanguage, "RF_EntAftPubStandard")</f>
        <v>Standard pub.</v>
      </c>
      <c r="BX4" s="47" t="str">
        <f>I18N_T(cellLanguage, "RF_EntAftPubSpecial")</f>
        <v>Special pub.</v>
      </c>
      <c r="BY4" s="47" t="str">
        <f>I18N_T(cellLanguage, "RF_EntAftPubAdvanced")</f>
        <v>Advanced pub.</v>
      </c>
      <c r="BZ4" s="47" t="str">
        <f>I18N_T(cellLanguage, "RF_EntAftPubLevel")</f>
        <v>After pub. Level</v>
      </c>
      <c r="CA4" s="47" t="str">
        <f>I18N_T(cellLanguage, "RF_EntOpAftTran")</f>
        <v>After transfert</v>
      </c>
      <c r="CB4" s="47" t="str">
        <f>I18N_T(cellLanguage, "RF_EntUseDefaultAfterTran")</f>
        <v>After transfert: default?</v>
      </c>
      <c r="CC4" s="47" t="str">
        <f>I18N_T(cellLanguage, "RF_EntAftTranStandard")</f>
        <v>Standard tran.</v>
      </c>
      <c r="CD4" s="47" t="str">
        <f>I18N_T(cellLanguage, "RF_EntAftTranSpecial")</f>
        <v>Special tran.</v>
      </c>
      <c r="CE4" s="47" t="str">
        <f>I18N_T(cellLanguage, "RF_EntAftTranAdvanced")</f>
        <v>Advanced tran.</v>
      </c>
      <c r="CF4" s="48" t="str">
        <f>I18N_T(cellLanguage, "RF_EntAftTranLevel")</f>
        <v>After tran. Level</v>
      </c>
    </row>
    <row r="5" spans="2:84" ht="66" customHeight="1" x14ac:dyDescent="0.25">
      <c r="B5" s="45" t="s">
        <v>204</v>
      </c>
      <c r="C5" s="45" t="s">
        <v>205</v>
      </c>
      <c r="D5" s="45" t="s">
        <v>206</v>
      </c>
      <c r="E5" s="45" t="s">
        <v>207</v>
      </c>
      <c r="F5" s="45" t="s">
        <v>670</v>
      </c>
      <c r="G5" s="45" t="s">
        <v>671</v>
      </c>
      <c r="H5" s="45" t="s">
        <v>672</v>
      </c>
      <c r="I5" s="45" t="s">
        <v>673</v>
      </c>
      <c r="J5" s="45" t="s">
        <v>674</v>
      </c>
      <c r="K5" s="45" t="s">
        <v>675</v>
      </c>
      <c r="L5" s="45" t="s">
        <v>676</v>
      </c>
      <c r="M5" s="45" t="s">
        <v>677</v>
      </c>
      <c r="N5" s="45" t="s">
        <v>678</v>
      </c>
      <c r="O5" s="45" t="s">
        <v>679</v>
      </c>
      <c r="P5" s="45" t="s">
        <v>680</v>
      </c>
      <c r="Q5" s="45" t="s">
        <v>681</v>
      </c>
      <c r="R5" s="45" t="s">
        <v>682</v>
      </c>
      <c r="S5" s="45" t="s">
        <v>683</v>
      </c>
      <c r="T5" s="45" t="s">
        <v>684</v>
      </c>
      <c r="U5" s="45" t="s">
        <v>685</v>
      </c>
      <c r="V5" s="45" t="s">
        <v>686</v>
      </c>
      <c r="W5" s="45" t="s">
        <v>687</v>
      </c>
      <c r="X5" s="45" t="s">
        <v>688</v>
      </c>
      <c r="Y5" s="45" t="s">
        <v>689</v>
      </c>
      <c r="Z5" s="45" t="s">
        <v>690</v>
      </c>
      <c r="AA5" s="45" t="s">
        <v>691</v>
      </c>
      <c r="AB5" s="45" t="s">
        <v>692</v>
      </c>
      <c r="AC5" s="45" t="s">
        <v>693</v>
      </c>
      <c r="AD5" s="45" t="s">
        <v>694</v>
      </c>
      <c r="AE5" s="45" t="s">
        <v>695</v>
      </c>
      <c r="AF5" s="45" t="s">
        <v>696</v>
      </c>
      <c r="AG5" s="45" t="s">
        <v>697</v>
      </c>
      <c r="AH5" s="45" t="s">
        <v>698</v>
      </c>
      <c r="AI5" s="45" t="s">
        <v>699</v>
      </c>
      <c r="AJ5" s="45" t="s">
        <v>700</v>
      </c>
      <c r="AK5" s="45" t="s">
        <v>701</v>
      </c>
      <c r="AL5" s="45" t="s">
        <v>702</v>
      </c>
      <c r="AM5" s="45" t="s">
        <v>703</v>
      </c>
      <c r="AN5" s="45" t="s">
        <v>704</v>
      </c>
      <c r="AO5" s="45" t="s">
        <v>705</v>
      </c>
      <c r="AP5" s="45" t="s">
        <v>706</v>
      </c>
      <c r="AQ5" s="45" t="s">
        <v>707</v>
      </c>
      <c r="AR5" s="45" t="s">
        <v>708</v>
      </c>
      <c r="AS5" s="45" t="s">
        <v>709</v>
      </c>
      <c r="AT5" s="45" t="s">
        <v>710</v>
      </c>
      <c r="AU5" s="45" t="s">
        <v>711</v>
      </c>
      <c r="AV5" s="45" t="s">
        <v>712</v>
      </c>
      <c r="AW5" s="45" t="s">
        <v>713</v>
      </c>
      <c r="AX5" s="45" t="s">
        <v>714</v>
      </c>
      <c r="AY5" s="45" t="s">
        <v>715</v>
      </c>
      <c r="AZ5" s="45" t="s">
        <v>716</v>
      </c>
      <c r="BA5" s="45" t="s">
        <v>717</v>
      </c>
      <c r="BB5" s="45" t="s">
        <v>718</v>
      </c>
      <c r="BC5" s="45" t="s">
        <v>719</v>
      </c>
      <c r="BD5" s="45" t="s">
        <v>720</v>
      </c>
      <c r="BE5" s="45" t="s">
        <v>721</v>
      </c>
      <c r="BF5" s="45" t="s">
        <v>722</v>
      </c>
      <c r="BG5" s="45" t="s">
        <v>723</v>
      </c>
      <c r="BH5" s="45" t="s">
        <v>724</v>
      </c>
      <c r="BI5" s="45" t="s">
        <v>725</v>
      </c>
      <c r="BJ5" s="45" t="s">
        <v>726</v>
      </c>
      <c r="BK5" s="45" t="s">
        <v>727</v>
      </c>
      <c r="BL5" s="45" t="s">
        <v>728</v>
      </c>
      <c r="BM5" s="45" t="s">
        <v>729</v>
      </c>
      <c r="BN5" s="45" t="s">
        <v>730</v>
      </c>
      <c r="BO5" s="45" t="s">
        <v>731</v>
      </c>
      <c r="BP5" s="45" t="s">
        <v>732</v>
      </c>
      <c r="BQ5" s="45" t="s">
        <v>733</v>
      </c>
      <c r="BR5" s="45" t="s">
        <v>734</v>
      </c>
      <c r="BS5" s="45" t="s">
        <v>735</v>
      </c>
      <c r="BT5" s="45" t="s">
        <v>736</v>
      </c>
      <c r="BU5" s="45" t="s">
        <v>737</v>
      </c>
      <c r="BV5" s="45" t="s">
        <v>738</v>
      </c>
      <c r="BW5" s="45" t="s">
        <v>739</v>
      </c>
      <c r="BX5" s="45" t="s">
        <v>740</v>
      </c>
      <c r="BY5" s="45" t="s">
        <v>741</v>
      </c>
      <c r="BZ5" s="45" t="s">
        <v>742</v>
      </c>
      <c r="CA5" s="45" t="s">
        <v>743</v>
      </c>
      <c r="CB5" s="45" t="s">
        <v>744</v>
      </c>
      <c r="CC5" s="45" t="s">
        <v>745</v>
      </c>
      <c r="CD5" s="45" t="s">
        <v>746</v>
      </c>
      <c r="CE5" s="45" t="s">
        <v>747</v>
      </c>
      <c r="CF5" s="45" t="s">
        <v>748</v>
      </c>
    </row>
    <row r="6" spans="2:84" x14ac:dyDescent="0.25">
      <c r="B6" s="49"/>
      <c r="C6" s="49" t="s">
        <v>21</v>
      </c>
      <c r="D6" s="49" t="s">
        <v>606</v>
      </c>
      <c r="E6" s="49" t="s">
        <v>22</v>
      </c>
      <c r="F6" s="49" t="s">
        <v>750</v>
      </c>
      <c r="G6" s="49" t="s">
        <v>751</v>
      </c>
      <c r="H6" s="49"/>
      <c r="I6" s="49"/>
      <c r="J6" s="49" t="b">
        <v>1</v>
      </c>
      <c r="K6" s="49"/>
      <c r="L6" s="49" t="b">
        <v>1</v>
      </c>
      <c r="M6" s="49"/>
      <c r="N6" s="49" t="b">
        <v>1</v>
      </c>
      <c r="O6" s="49"/>
      <c r="P6" s="49" t="b">
        <v>1</v>
      </c>
      <c r="Q6" s="49"/>
      <c r="R6" s="49" t="b">
        <v>0</v>
      </c>
      <c r="S6" s="49" t="b">
        <v>1</v>
      </c>
      <c r="T6" s="49">
        <v>0</v>
      </c>
      <c r="U6" s="49" t="b">
        <v>1</v>
      </c>
      <c r="V6" s="49"/>
      <c r="W6" s="49" t="b">
        <v>1</v>
      </c>
      <c r="X6" s="49" t="b">
        <v>0</v>
      </c>
      <c r="Y6" s="49"/>
      <c r="Z6" s="49"/>
      <c r="AA6" s="49"/>
      <c r="AB6" s="49"/>
      <c r="AC6" s="49"/>
      <c r="AD6" s="49"/>
      <c r="AE6" s="49" t="s">
        <v>752</v>
      </c>
      <c r="AF6" s="49" t="b">
        <v>1</v>
      </c>
      <c r="AG6" s="49"/>
      <c r="AH6" s="49" t="b">
        <v>1</v>
      </c>
      <c r="AI6" s="49" t="b">
        <v>1</v>
      </c>
      <c r="AJ6" s="49" t="b">
        <v>1</v>
      </c>
      <c r="AK6" s="49">
        <v>2</v>
      </c>
      <c r="AL6" s="49"/>
      <c r="AM6" s="49" t="b">
        <v>0</v>
      </c>
      <c r="AN6" s="49" t="b">
        <v>1</v>
      </c>
      <c r="AO6" s="49" t="b">
        <v>0</v>
      </c>
      <c r="AP6" s="49"/>
      <c r="AQ6" s="49"/>
      <c r="AR6" s="49" t="s">
        <v>753</v>
      </c>
      <c r="AS6" s="49" t="s">
        <v>754</v>
      </c>
      <c r="AT6" s="49" t="s">
        <v>755</v>
      </c>
      <c r="AU6" s="49" t="s">
        <v>755</v>
      </c>
      <c r="AV6" s="49"/>
      <c r="AW6" s="49" t="b">
        <v>1</v>
      </c>
      <c r="AX6" s="49"/>
      <c r="AY6" s="49" t="b">
        <v>1</v>
      </c>
      <c r="AZ6" s="49"/>
      <c r="BA6" s="49" t="b">
        <v>1</v>
      </c>
      <c r="BB6" s="49"/>
      <c r="BC6" s="49" t="b">
        <v>1</v>
      </c>
      <c r="BD6" s="49"/>
      <c r="BE6" s="49" t="b">
        <v>0</v>
      </c>
      <c r="BF6" s="49" t="b">
        <v>1</v>
      </c>
      <c r="BG6" s="49">
        <v>0</v>
      </c>
      <c r="BH6" s="49" t="b">
        <v>1</v>
      </c>
      <c r="BI6" s="49"/>
      <c r="BJ6" s="49" t="b">
        <v>1</v>
      </c>
      <c r="BK6" s="49" t="b">
        <v>0</v>
      </c>
      <c r="BL6" s="49"/>
      <c r="BM6" s="49"/>
      <c r="BN6" s="49"/>
      <c r="BO6" s="49"/>
      <c r="BP6" s="49"/>
      <c r="BQ6" s="49"/>
      <c r="BR6" s="49" t="b">
        <v>1</v>
      </c>
      <c r="BS6" s="49" t="s">
        <v>756</v>
      </c>
      <c r="BT6" s="49" t="b">
        <v>0</v>
      </c>
      <c r="BU6" s="49"/>
      <c r="BV6" s="49" t="b">
        <v>1</v>
      </c>
      <c r="BW6" s="49" t="b">
        <v>0</v>
      </c>
      <c r="BX6" s="49" t="b">
        <v>0</v>
      </c>
      <c r="BY6" s="49" t="b">
        <v>0</v>
      </c>
      <c r="BZ6" s="49"/>
      <c r="CA6" s="49"/>
      <c r="CB6" s="49" t="b">
        <v>1</v>
      </c>
      <c r="CC6" s="49" t="b">
        <v>0</v>
      </c>
      <c r="CD6" s="49" t="b">
        <v>0</v>
      </c>
      <c r="CE6" s="49" t="b">
        <v>0</v>
      </c>
      <c r="CF6" s="49"/>
    </row>
  </sheetData>
  <sheetProtection sheet="1" objects="1" scenarios="1" formatCells="0" formatColumns="0" formatRows="0" insertRows="0" sort="0" autoFilter="0"/>
  <hyperlinks>
    <hyperlink ref="B2" location="C3" tooltip=" " display="C3" xr:uid="{3F0BFC70-A70F-40A9-9EAB-DF338E69535E}"/>
  </hyperlinks>
  <pageMargins left="0.7" right="0.7" top="0.75" bottom="0.75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85FD37-1A81-48CB-B23A-0FEEF1F711B1}">
  <sheetPr codeName="D_Cache"/>
  <dimension ref="A1:K50"/>
  <sheetViews>
    <sheetView topLeftCell="A22" workbookViewId="0">
      <selection activeCell="E50" sqref="E50"/>
    </sheetView>
  </sheetViews>
  <sheetFormatPr baseColWidth="10" defaultRowHeight="15" x14ac:dyDescent="0.25"/>
  <cols>
    <col min="1" max="1" width="18" style="2" bestFit="1" customWidth="1"/>
    <col min="2" max="2" width="18.5703125" style="2" bestFit="1" customWidth="1"/>
    <col min="3" max="3" width="9.140625" style="2" bestFit="1" customWidth="1"/>
    <col min="4" max="4" width="24.42578125" style="30" customWidth="1"/>
    <col min="5" max="5" width="5.85546875" style="2" customWidth="1"/>
    <col min="6" max="6" width="11.7109375" style="2" bestFit="1" customWidth="1"/>
    <col min="7" max="7" width="16.5703125" style="2" bestFit="1" customWidth="1"/>
    <col min="8" max="8" width="7.28515625" style="2" bestFit="1" customWidth="1"/>
    <col min="9" max="9" width="5.28515625" style="2" bestFit="1" customWidth="1"/>
    <col min="10" max="10" width="6.28515625" style="2" bestFit="1" customWidth="1"/>
    <col min="11" max="11" width="21.7109375" style="2" bestFit="1" customWidth="1"/>
    <col min="12" max="16384" width="11.42578125" style="2"/>
  </cols>
  <sheetData>
    <row r="1" spans="1:11" x14ac:dyDescent="0.25">
      <c r="B1" s="2" t="s">
        <v>231</v>
      </c>
      <c r="C1" s="31">
        <v>5</v>
      </c>
      <c r="F1" s="37" t="s">
        <v>499</v>
      </c>
      <c r="G1" s="37" t="s">
        <v>500</v>
      </c>
      <c r="H1" s="37" t="s">
        <v>501</v>
      </c>
      <c r="I1" s="37" t="s">
        <v>502</v>
      </c>
      <c r="J1" s="37" t="s">
        <v>503</v>
      </c>
      <c r="K1" s="37" t="s">
        <v>504</v>
      </c>
    </row>
    <row r="3" spans="1:11" x14ac:dyDescent="0.25">
      <c r="A3" s="2" t="s">
        <v>230</v>
      </c>
      <c r="B3" s="2" t="s">
        <v>238</v>
      </c>
      <c r="C3" s="2" t="s">
        <v>235</v>
      </c>
      <c r="D3" s="30" t="s">
        <v>236</v>
      </c>
      <c r="E3" s="2" t="s">
        <v>229</v>
      </c>
    </row>
    <row r="4" spans="1:11" x14ac:dyDescent="0.25">
      <c r="A4" s="2" t="s">
        <v>495</v>
      </c>
      <c r="B4" s="2" t="s">
        <v>113</v>
      </c>
      <c r="C4" s="2" t="s">
        <v>521</v>
      </c>
      <c r="D4" s="30">
        <v>44262.77579861111</v>
      </c>
      <c r="E4" s="2" t="s">
        <v>522</v>
      </c>
    </row>
    <row r="5" spans="1:11" x14ac:dyDescent="0.25">
      <c r="A5" s="2" t="s">
        <v>523</v>
      </c>
      <c r="B5" s="2" t="s">
        <v>524</v>
      </c>
      <c r="C5" s="2" t="s">
        <v>525</v>
      </c>
      <c r="D5" s="30">
        <v>44262.775925925926</v>
      </c>
      <c r="E5" s="2" t="s">
        <v>526</v>
      </c>
    </row>
    <row r="6" spans="1:11" x14ac:dyDescent="0.25">
      <c r="A6" s="2" t="s">
        <v>523</v>
      </c>
      <c r="B6" s="2" t="s">
        <v>524</v>
      </c>
      <c r="C6" s="2" t="s">
        <v>525</v>
      </c>
      <c r="D6" s="30">
        <v>44262.77615740741</v>
      </c>
      <c r="E6" s="2" t="s">
        <v>526</v>
      </c>
    </row>
    <row r="7" spans="1:11" x14ac:dyDescent="0.25">
      <c r="A7" s="2" t="s">
        <v>523</v>
      </c>
      <c r="B7" s="2" t="s">
        <v>527</v>
      </c>
      <c r="C7" s="2" t="s">
        <v>521</v>
      </c>
      <c r="D7" s="30">
        <v>44262.776192129626</v>
      </c>
      <c r="E7" s="2" t="s">
        <v>528</v>
      </c>
    </row>
    <row r="8" spans="1:11" x14ac:dyDescent="0.25">
      <c r="A8" s="2" t="s">
        <v>495</v>
      </c>
      <c r="B8" s="2" t="s">
        <v>113</v>
      </c>
      <c r="C8" s="2" t="s">
        <v>521</v>
      </c>
      <c r="D8" s="30">
        <v>44262.792280092595</v>
      </c>
      <c r="E8" s="2" t="s">
        <v>522</v>
      </c>
    </row>
    <row r="9" spans="1:11" x14ac:dyDescent="0.25">
      <c r="A9" s="2" t="s">
        <v>529</v>
      </c>
      <c r="B9" s="2" t="s">
        <v>530</v>
      </c>
      <c r="C9" s="2" t="s">
        <v>521</v>
      </c>
      <c r="D9" s="30">
        <v>44262.792395833334</v>
      </c>
      <c r="E9" s="2" t="s">
        <v>531</v>
      </c>
    </row>
    <row r="10" spans="1:11" x14ac:dyDescent="0.25">
      <c r="A10" s="2" t="s">
        <v>523</v>
      </c>
      <c r="B10" s="2" t="s">
        <v>524</v>
      </c>
      <c r="C10" s="2" t="s">
        <v>525</v>
      </c>
      <c r="D10" s="30">
        <v>44262.792453703703</v>
      </c>
      <c r="E10" s="2" t="s">
        <v>532</v>
      </c>
    </row>
    <row r="11" spans="1:11" x14ac:dyDescent="0.25">
      <c r="A11" s="2" t="s">
        <v>523</v>
      </c>
      <c r="B11" s="2" t="s">
        <v>527</v>
      </c>
      <c r="C11" s="2" t="s">
        <v>521</v>
      </c>
      <c r="D11" s="30">
        <v>44262.792488425926</v>
      </c>
      <c r="E11" s="2" t="s">
        <v>533</v>
      </c>
    </row>
    <row r="12" spans="1:11" x14ac:dyDescent="0.25">
      <c r="A12" s="2" t="s">
        <v>523</v>
      </c>
      <c r="B12" s="2" t="s">
        <v>524</v>
      </c>
      <c r="C12" s="2" t="s">
        <v>525</v>
      </c>
      <c r="D12" s="30">
        <v>44262.793749999997</v>
      </c>
      <c r="E12" s="2" t="s">
        <v>534</v>
      </c>
    </row>
    <row r="13" spans="1:11" x14ac:dyDescent="0.25">
      <c r="A13" s="2" t="s">
        <v>523</v>
      </c>
      <c r="B13" s="2" t="s">
        <v>524</v>
      </c>
      <c r="C13" s="2" t="s">
        <v>525</v>
      </c>
      <c r="D13" s="30">
        <v>44262.79614583333</v>
      </c>
      <c r="E13" s="2" t="s">
        <v>534</v>
      </c>
    </row>
    <row r="14" spans="1:11" x14ac:dyDescent="0.25">
      <c r="A14" s="2" t="s">
        <v>523</v>
      </c>
      <c r="B14" s="2" t="s">
        <v>524</v>
      </c>
      <c r="C14" s="2" t="s">
        <v>525</v>
      </c>
      <c r="D14" s="30">
        <v>44262.796886574077</v>
      </c>
      <c r="E14" s="2" t="s">
        <v>534</v>
      </c>
    </row>
    <row r="15" spans="1:11" x14ac:dyDescent="0.25">
      <c r="A15" s="2" t="s">
        <v>523</v>
      </c>
      <c r="B15" s="2" t="s">
        <v>524</v>
      </c>
      <c r="C15" s="2" t="s">
        <v>525</v>
      </c>
      <c r="D15" s="30">
        <v>44262.798067129632</v>
      </c>
      <c r="E15" s="2" t="s">
        <v>534</v>
      </c>
    </row>
    <row r="16" spans="1:11" x14ac:dyDescent="0.25">
      <c r="A16" s="2" t="s">
        <v>523</v>
      </c>
      <c r="B16" s="2" t="s">
        <v>524</v>
      </c>
      <c r="C16" s="2" t="s">
        <v>525</v>
      </c>
      <c r="D16" s="30">
        <v>44262.799444444441</v>
      </c>
      <c r="E16" s="2" t="s">
        <v>534</v>
      </c>
    </row>
    <row r="17" spans="1:5" x14ac:dyDescent="0.25">
      <c r="A17" s="2" t="s">
        <v>523</v>
      </c>
      <c r="B17" s="2" t="s">
        <v>524</v>
      </c>
      <c r="C17" s="2" t="s">
        <v>525</v>
      </c>
      <c r="D17" s="30">
        <v>44262.801377314812</v>
      </c>
      <c r="E17" s="2" t="s">
        <v>534</v>
      </c>
    </row>
    <row r="18" spans="1:5" x14ac:dyDescent="0.25">
      <c r="A18" s="2" t="s">
        <v>495</v>
      </c>
      <c r="B18" s="2" t="s">
        <v>113</v>
      </c>
      <c r="C18" s="2" t="s">
        <v>521</v>
      </c>
      <c r="D18" s="30">
        <v>44262.802071759259</v>
      </c>
      <c r="E18" s="2" t="s">
        <v>522</v>
      </c>
    </row>
    <row r="19" spans="1:5" x14ac:dyDescent="0.25">
      <c r="A19" s="2" t="s">
        <v>523</v>
      </c>
      <c r="B19" s="2" t="s">
        <v>524</v>
      </c>
      <c r="C19" s="2" t="s">
        <v>525</v>
      </c>
      <c r="D19" s="30">
        <v>44262.802222222221</v>
      </c>
      <c r="E19" s="2" t="s">
        <v>534</v>
      </c>
    </row>
    <row r="20" spans="1:5" x14ac:dyDescent="0.25">
      <c r="A20" s="2" t="s">
        <v>523</v>
      </c>
      <c r="B20" s="2" t="s">
        <v>524</v>
      </c>
      <c r="C20" s="2" t="s">
        <v>525</v>
      </c>
      <c r="D20" s="30">
        <v>44262.804849537039</v>
      </c>
      <c r="E20" s="2" t="s">
        <v>534</v>
      </c>
    </row>
    <row r="21" spans="1:5" x14ac:dyDescent="0.25">
      <c r="A21" s="2" t="s">
        <v>495</v>
      </c>
      <c r="B21" s="2" t="s">
        <v>113</v>
      </c>
      <c r="C21" s="2" t="s">
        <v>521</v>
      </c>
      <c r="D21" s="30">
        <v>44262.805937500001</v>
      </c>
      <c r="E21" s="2" t="s">
        <v>522</v>
      </c>
    </row>
    <row r="22" spans="1:5" x14ac:dyDescent="0.25">
      <c r="A22" s="2" t="s">
        <v>523</v>
      </c>
      <c r="B22" s="2" t="s">
        <v>524</v>
      </c>
      <c r="C22" s="2" t="s">
        <v>525</v>
      </c>
      <c r="D22" s="30">
        <v>44262.806064814817</v>
      </c>
      <c r="E22" s="2" t="s">
        <v>534</v>
      </c>
    </row>
    <row r="23" spans="1:5" x14ac:dyDescent="0.25">
      <c r="A23" s="2" t="s">
        <v>523</v>
      </c>
      <c r="B23" s="2" t="s">
        <v>527</v>
      </c>
      <c r="C23" s="2" t="s">
        <v>521</v>
      </c>
      <c r="D23" s="30">
        <v>44262.80609953704</v>
      </c>
      <c r="E23" s="2" t="s">
        <v>535</v>
      </c>
    </row>
    <row r="24" spans="1:5" x14ac:dyDescent="0.25">
      <c r="A24" s="2" t="s">
        <v>495</v>
      </c>
      <c r="B24" s="2" t="s">
        <v>113</v>
      </c>
      <c r="C24" s="2" t="s">
        <v>521</v>
      </c>
      <c r="D24" s="30">
        <v>44262.813148148147</v>
      </c>
      <c r="E24" s="2" t="s">
        <v>536</v>
      </c>
    </row>
    <row r="25" spans="1:5" x14ac:dyDescent="0.25">
      <c r="A25" s="2" t="s">
        <v>523</v>
      </c>
      <c r="B25" s="2" t="s">
        <v>524</v>
      </c>
      <c r="C25" s="2" t="s">
        <v>525</v>
      </c>
      <c r="D25" s="30">
        <v>44262.813275462962</v>
      </c>
      <c r="E25" s="2" t="s">
        <v>534</v>
      </c>
    </row>
    <row r="26" spans="1:5" x14ac:dyDescent="0.25">
      <c r="A26" s="2" t="s">
        <v>495</v>
      </c>
      <c r="B26" s="2" t="s">
        <v>113</v>
      </c>
      <c r="C26" s="2" t="s">
        <v>521</v>
      </c>
      <c r="D26" s="30">
        <v>44262.813773148147</v>
      </c>
      <c r="E26" s="2" t="s">
        <v>522</v>
      </c>
    </row>
    <row r="27" spans="1:5" x14ac:dyDescent="0.25">
      <c r="A27" s="2" t="s">
        <v>523</v>
      </c>
      <c r="B27" s="2" t="s">
        <v>524</v>
      </c>
      <c r="C27" s="2" t="s">
        <v>525</v>
      </c>
      <c r="D27" s="30">
        <v>44262.813877314817</v>
      </c>
      <c r="E27" s="2" t="s">
        <v>534</v>
      </c>
    </row>
    <row r="28" spans="1:5" x14ac:dyDescent="0.25">
      <c r="A28" s="2" t="s">
        <v>495</v>
      </c>
      <c r="B28" s="2" t="s">
        <v>113</v>
      </c>
      <c r="C28" s="2" t="s">
        <v>521</v>
      </c>
      <c r="D28" s="30">
        <v>44262.816469907404</v>
      </c>
      <c r="E28" s="2" t="s">
        <v>536</v>
      </c>
    </row>
    <row r="29" spans="1:5" x14ac:dyDescent="0.25">
      <c r="A29" s="2" t="s">
        <v>523</v>
      </c>
      <c r="B29" s="2" t="s">
        <v>524</v>
      </c>
      <c r="C29" s="2" t="s">
        <v>525</v>
      </c>
      <c r="D29" s="30">
        <v>44262.816550925927</v>
      </c>
      <c r="E29" s="2" t="s">
        <v>534</v>
      </c>
    </row>
    <row r="30" spans="1:5" x14ac:dyDescent="0.25">
      <c r="A30" s="2" t="s">
        <v>523</v>
      </c>
      <c r="B30" s="2" t="s">
        <v>524</v>
      </c>
      <c r="C30" s="2" t="s">
        <v>525</v>
      </c>
      <c r="D30" s="30">
        <v>44262.820439814815</v>
      </c>
      <c r="E30" s="2" t="s">
        <v>534</v>
      </c>
    </row>
    <row r="31" spans="1:5" x14ac:dyDescent="0.25">
      <c r="A31" s="2" t="s">
        <v>523</v>
      </c>
      <c r="B31" s="2" t="s">
        <v>527</v>
      </c>
      <c r="C31" s="2" t="s">
        <v>521</v>
      </c>
      <c r="D31" s="30">
        <v>44262.820439814815</v>
      </c>
      <c r="E31" s="2" t="s">
        <v>535</v>
      </c>
    </row>
    <row r="32" spans="1:5" x14ac:dyDescent="0.25">
      <c r="A32" s="2" t="s">
        <v>523</v>
      </c>
      <c r="B32" s="2" t="s">
        <v>524</v>
      </c>
      <c r="C32" s="2" t="s">
        <v>525</v>
      </c>
      <c r="D32" s="30">
        <v>44262.821435185186</v>
      </c>
      <c r="E32" s="2" t="s">
        <v>534</v>
      </c>
    </row>
    <row r="33" spans="1:5" x14ac:dyDescent="0.25">
      <c r="A33" s="2" t="s">
        <v>523</v>
      </c>
      <c r="B33" s="2" t="s">
        <v>527</v>
      </c>
      <c r="C33" s="2" t="s">
        <v>521</v>
      </c>
      <c r="D33" s="30">
        <v>44262.821435185186</v>
      </c>
      <c r="E33" s="2" t="s">
        <v>535</v>
      </c>
    </row>
    <row r="34" spans="1:5" x14ac:dyDescent="0.25">
      <c r="A34" s="2" t="s">
        <v>523</v>
      </c>
      <c r="B34" s="2" t="s">
        <v>524</v>
      </c>
      <c r="C34" s="2" t="s">
        <v>525</v>
      </c>
      <c r="D34" s="30">
        <v>44262.821643518517</v>
      </c>
      <c r="E34" s="2" t="s">
        <v>534</v>
      </c>
    </row>
    <row r="35" spans="1:5" x14ac:dyDescent="0.25">
      <c r="A35" s="2" t="s">
        <v>523</v>
      </c>
      <c r="B35" s="2" t="s">
        <v>527</v>
      </c>
      <c r="C35" s="2" t="s">
        <v>521</v>
      </c>
      <c r="D35" s="30">
        <v>44262.821643518517</v>
      </c>
      <c r="E35" s="2" t="s">
        <v>535</v>
      </c>
    </row>
    <row r="36" spans="1:5" x14ac:dyDescent="0.25">
      <c r="A36" s="2" t="s">
        <v>523</v>
      </c>
      <c r="B36" s="2" t="s">
        <v>524</v>
      </c>
      <c r="C36" s="2" t="s">
        <v>525</v>
      </c>
      <c r="D36" s="30">
        <v>44262.822534722225</v>
      </c>
      <c r="E36" s="2" t="s">
        <v>534</v>
      </c>
    </row>
    <row r="37" spans="1:5" x14ac:dyDescent="0.25">
      <c r="A37" s="2" t="s">
        <v>495</v>
      </c>
      <c r="B37" s="2" t="s">
        <v>113</v>
      </c>
      <c r="C37" s="2" t="s">
        <v>521</v>
      </c>
      <c r="D37" s="30">
        <v>44262.827407407407</v>
      </c>
      <c r="E37" s="2" t="s">
        <v>522</v>
      </c>
    </row>
    <row r="38" spans="1:5" x14ac:dyDescent="0.25">
      <c r="A38" s="2" t="s">
        <v>523</v>
      </c>
      <c r="B38" s="2" t="s">
        <v>524</v>
      </c>
      <c r="C38" s="2" t="s">
        <v>525</v>
      </c>
      <c r="D38" s="30">
        <v>44262.827523148146</v>
      </c>
      <c r="E38" s="2" t="s">
        <v>534</v>
      </c>
    </row>
    <row r="39" spans="1:5" x14ac:dyDescent="0.25">
      <c r="A39" s="2" t="s">
        <v>523</v>
      </c>
      <c r="B39" s="2" t="s">
        <v>524</v>
      </c>
      <c r="C39" s="2" t="s">
        <v>525</v>
      </c>
      <c r="D39" s="30">
        <v>44262.827708333331</v>
      </c>
      <c r="E39" s="2" t="s">
        <v>534</v>
      </c>
    </row>
    <row r="40" spans="1:5" x14ac:dyDescent="0.25">
      <c r="A40" s="2" t="s">
        <v>495</v>
      </c>
      <c r="B40" s="2" t="s">
        <v>113</v>
      </c>
      <c r="C40" s="2" t="s">
        <v>521</v>
      </c>
      <c r="D40" s="30">
        <v>44262.8280787037</v>
      </c>
      <c r="E40" s="2" t="s">
        <v>537</v>
      </c>
    </row>
    <row r="41" spans="1:5" x14ac:dyDescent="0.25">
      <c r="A41" s="2" t="s">
        <v>523</v>
      </c>
      <c r="B41" s="2" t="s">
        <v>524</v>
      </c>
      <c r="C41" s="2" t="s">
        <v>525</v>
      </c>
      <c r="D41" s="30">
        <v>44262.828159722223</v>
      </c>
      <c r="E41" s="2" t="s">
        <v>534</v>
      </c>
    </row>
    <row r="42" spans="1:5" x14ac:dyDescent="0.25">
      <c r="A42" s="2" t="s">
        <v>523</v>
      </c>
      <c r="B42" s="2" t="s">
        <v>527</v>
      </c>
      <c r="C42" s="2" t="s">
        <v>521</v>
      </c>
      <c r="D42" s="30">
        <v>44262.828206018516</v>
      </c>
      <c r="E42" s="2" t="s">
        <v>538</v>
      </c>
    </row>
    <row r="43" spans="1:5" x14ac:dyDescent="0.25">
      <c r="A43" s="2" t="s">
        <v>663</v>
      </c>
      <c r="B43" s="2" t="s">
        <v>664</v>
      </c>
      <c r="C43" s="2" t="s">
        <v>521</v>
      </c>
      <c r="D43" s="30">
        <v>44265.385289351849</v>
      </c>
      <c r="E43" s="2" t="s">
        <v>665</v>
      </c>
    </row>
    <row r="44" spans="1:5" x14ac:dyDescent="0.25">
      <c r="A44" s="2" t="s">
        <v>666</v>
      </c>
      <c r="B44" s="2" t="s">
        <v>667</v>
      </c>
      <c r="C44" s="2" t="s">
        <v>521</v>
      </c>
      <c r="D44" s="30">
        <v>44265.387361111112</v>
      </c>
      <c r="E44" s="2" t="s">
        <v>668</v>
      </c>
    </row>
    <row r="45" spans="1:5" x14ac:dyDescent="0.25">
      <c r="A45" s="2" t="s">
        <v>495</v>
      </c>
      <c r="B45" s="2" t="s">
        <v>113</v>
      </c>
      <c r="C45" s="2" t="s">
        <v>521</v>
      </c>
      <c r="D45" s="30">
        <v>44265.406875000001</v>
      </c>
      <c r="E45" s="2" t="s">
        <v>669</v>
      </c>
    </row>
    <row r="46" spans="1:5" x14ac:dyDescent="0.25">
      <c r="A46" s="2" t="s">
        <v>529</v>
      </c>
      <c r="B46" s="2" t="s">
        <v>530</v>
      </c>
      <c r="C46" s="2" t="s">
        <v>521</v>
      </c>
      <c r="D46" s="30">
        <v>44265.406990740739</v>
      </c>
      <c r="E46" s="2" t="s">
        <v>749</v>
      </c>
    </row>
    <row r="47" spans="1:5" x14ac:dyDescent="0.25">
      <c r="A47" s="2" t="s">
        <v>529</v>
      </c>
      <c r="B47" s="2" t="s">
        <v>530</v>
      </c>
      <c r="C47" s="2" t="s">
        <v>521</v>
      </c>
      <c r="D47" s="30">
        <v>44265.407569444447</v>
      </c>
      <c r="E47" s="2" t="s">
        <v>757</v>
      </c>
    </row>
    <row r="48" spans="1:5" x14ac:dyDescent="0.25">
      <c r="A48" s="2" t="s">
        <v>758</v>
      </c>
      <c r="B48" s="2" t="s">
        <v>759</v>
      </c>
      <c r="C48" s="2" t="s">
        <v>521</v>
      </c>
      <c r="D48" s="30">
        <v>44265.407592592594</v>
      </c>
      <c r="E48" s="2" t="s">
        <v>760</v>
      </c>
    </row>
    <row r="49" spans="1:5" x14ac:dyDescent="0.25">
      <c r="A49" s="2" t="s">
        <v>523</v>
      </c>
      <c r="B49" s="2" t="s">
        <v>767</v>
      </c>
      <c r="C49" s="2" t="s">
        <v>525</v>
      </c>
      <c r="D49" s="30">
        <v>44265.40834490741</v>
      </c>
      <c r="E49" s="2" t="s">
        <v>768</v>
      </c>
    </row>
    <row r="50" spans="1:5" x14ac:dyDescent="0.25">
      <c r="A50" s="2" t="s">
        <v>523</v>
      </c>
      <c r="B50" s="2" t="s">
        <v>769</v>
      </c>
      <c r="C50" s="2" t="s">
        <v>521</v>
      </c>
      <c r="D50" s="30">
        <v>44265.408379629633</v>
      </c>
      <c r="E50" s="2" t="s">
        <v>770</v>
      </c>
    </row>
  </sheetData>
  <dataConsolidate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A9FDC2-088B-41C0-89BA-6E02F9E4F0F2}">
  <sheetPr codeName="Feuil4" filterMode="1"/>
  <dimension ref="A3:L76"/>
  <sheetViews>
    <sheetView tabSelected="1" topLeftCell="A9" zoomScaleNormal="100" workbookViewId="0">
      <selection activeCell="L39" sqref="L39"/>
    </sheetView>
  </sheetViews>
  <sheetFormatPr baseColWidth="10" defaultRowHeight="15" x14ac:dyDescent="0.25"/>
  <cols>
    <col min="1" max="1" width="15.85546875" bestFit="1" customWidth="1"/>
    <col min="2" max="2" width="39.140625" bestFit="1" customWidth="1"/>
    <col min="6" max="6" width="11.42578125" style="17"/>
  </cols>
  <sheetData>
    <row r="3" spans="1:3" x14ac:dyDescent="0.25">
      <c r="A3" t="s">
        <v>20</v>
      </c>
      <c r="B3" t="s">
        <v>21</v>
      </c>
      <c r="C3" t="s">
        <v>24</v>
      </c>
    </row>
    <row r="4" spans="1:3" x14ac:dyDescent="0.25">
      <c r="B4" t="s">
        <v>25</v>
      </c>
      <c r="C4" t="s">
        <v>26</v>
      </c>
    </row>
    <row r="5" spans="1:3" x14ac:dyDescent="0.25">
      <c r="B5" t="s">
        <v>23</v>
      </c>
      <c r="C5" t="s">
        <v>27</v>
      </c>
    </row>
    <row r="9" spans="1:3" x14ac:dyDescent="0.25">
      <c r="A9" t="s">
        <v>28</v>
      </c>
      <c r="B9" t="s">
        <v>22</v>
      </c>
      <c r="C9" t="s">
        <v>29</v>
      </c>
    </row>
    <row r="12" spans="1:3" x14ac:dyDescent="0.25">
      <c r="A12" t="s">
        <v>30</v>
      </c>
      <c r="B12" t="s">
        <v>31</v>
      </c>
    </row>
    <row r="13" spans="1:3" x14ac:dyDescent="0.25">
      <c r="B13" t="s">
        <v>36</v>
      </c>
    </row>
    <row r="17" spans="1:12" x14ac:dyDescent="0.25">
      <c r="A17" t="s">
        <v>37</v>
      </c>
      <c r="C17" t="s">
        <v>64</v>
      </c>
      <c r="D17" t="s">
        <v>66</v>
      </c>
      <c r="F17" s="18">
        <v>44019</v>
      </c>
      <c r="G17" s="25">
        <v>44033</v>
      </c>
      <c r="H17" s="25">
        <v>44039</v>
      </c>
      <c r="I17" s="25">
        <v>44171</v>
      </c>
      <c r="J17" s="25">
        <v>44255</v>
      </c>
      <c r="K17" s="25">
        <v>44263</v>
      </c>
      <c r="L17" s="25">
        <v>44266</v>
      </c>
    </row>
    <row r="18" spans="1:12" hidden="1" x14ac:dyDescent="0.25">
      <c r="B18" t="s">
        <v>70</v>
      </c>
      <c r="D18">
        <v>1</v>
      </c>
      <c r="F18" s="17" t="s">
        <v>138</v>
      </c>
      <c r="G18" t="s">
        <v>138</v>
      </c>
      <c r="H18" t="s">
        <v>138</v>
      </c>
      <c r="I18" t="s">
        <v>138</v>
      </c>
      <c r="J18" t="s">
        <v>138</v>
      </c>
      <c r="K18" t="s">
        <v>138</v>
      </c>
      <c r="L18" t="s">
        <v>138</v>
      </c>
    </row>
    <row r="19" spans="1:12" hidden="1" x14ac:dyDescent="0.25">
      <c r="B19" t="s">
        <v>65</v>
      </c>
      <c r="C19">
        <v>0.25</v>
      </c>
      <c r="D19">
        <v>0.25</v>
      </c>
      <c r="F19" s="17" t="s">
        <v>138</v>
      </c>
      <c r="G19" t="s">
        <v>138</v>
      </c>
      <c r="H19" t="s">
        <v>138</v>
      </c>
      <c r="I19" t="s">
        <v>138</v>
      </c>
      <c r="J19" t="s">
        <v>138</v>
      </c>
      <c r="K19" t="s">
        <v>138</v>
      </c>
      <c r="L19" t="s">
        <v>138</v>
      </c>
    </row>
    <row r="20" spans="1:12" hidden="1" x14ac:dyDescent="0.25">
      <c r="B20" t="s">
        <v>85</v>
      </c>
      <c r="D20">
        <v>0.25</v>
      </c>
      <c r="G20" t="s">
        <v>138</v>
      </c>
      <c r="H20" t="s">
        <v>138</v>
      </c>
      <c r="I20" t="s">
        <v>138</v>
      </c>
      <c r="J20" t="s">
        <v>138</v>
      </c>
      <c r="K20" t="s">
        <v>138</v>
      </c>
      <c r="L20" t="s">
        <v>138</v>
      </c>
    </row>
    <row r="21" spans="1:12" hidden="1" x14ac:dyDescent="0.25">
      <c r="B21" t="s">
        <v>152</v>
      </c>
      <c r="G21" t="s">
        <v>138</v>
      </c>
      <c r="H21" t="s">
        <v>138</v>
      </c>
      <c r="I21" t="s">
        <v>138</v>
      </c>
      <c r="J21" t="s">
        <v>138</v>
      </c>
      <c r="K21" t="s">
        <v>138</v>
      </c>
      <c r="L21" t="s">
        <v>138</v>
      </c>
    </row>
    <row r="22" spans="1:12" hidden="1" x14ac:dyDescent="0.25">
      <c r="B22" t="s">
        <v>153</v>
      </c>
      <c r="G22" t="s">
        <v>138</v>
      </c>
      <c r="H22" t="s">
        <v>138</v>
      </c>
      <c r="I22" t="s">
        <v>138</v>
      </c>
      <c r="J22" t="s">
        <v>138</v>
      </c>
      <c r="K22" t="s">
        <v>138</v>
      </c>
      <c r="L22" t="s">
        <v>138</v>
      </c>
    </row>
    <row r="23" spans="1:12" x14ac:dyDescent="0.25">
      <c r="B23" t="s">
        <v>86</v>
      </c>
      <c r="D23">
        <v>0.25</v>
      </c>
    </row>
    <row r="24" spans="1:12" hidden="1" x14ac:dyDescent="0.25">
      <c r="B24" t="s">
        <v>218</v>
      </c>
      <c r="H24">
        <v>0.25</v>
      </c>
      <c r="I24" t="s">
        <v>138</v>
      </c>
      <c r="J24" t="s">
        <v>138</v>
      </c>
      <c r="K24" t="s">
        <v>138</v>
      </c>
      <c r="L24" t="s">
        <v>138</v>
      </c>
    </row>
    <row r="25" spans="1:12" x14ac:dyDescent="0.25">
      <c r="B25" t="s">
        <v>208</v>
      </c>
      <c r="H25">
        <v>0.25</v>
      </c>
      <c r="I25">
        <v>0.25</v>
      </c>
      <c r="J25">
        <v>0.25</v>
      </c>
      <c r="K25">
        <v>0.25</v>
      </c>
      <c r="L25">
        <v>0.25</v>
      </c>
    </row>
    <row r="26" spans="1:12" hidden="1" x14ac:dyDescent="0.25">
      <c r="B26" t="s">
        <v>219</v>
      </c>
      <c r="H26">
        <v>0.25</v>
      </c>
      <c r="I26">
        <v>0.25</v>
      </c>
      <c r="J26" t="s">
        <v>138</v>
      </c>
      <c r="K26" t="s">
        <v>138</v>
      </c>
      <c r="L26" t="s">
        <v>138</v>
      </c>
    </row>
    <row r="27" spans="1:12" hidden="1" x14ac:dyDescent="0.25">
      <c r="B27" t="s">
        <v>228</v>
      </c>
      <c r="I27">
        <v>0.25</v>
      </c>
      <c r="J27" t="s">
        <v>138</v>
      </c>
      <c r="K27" t="s">
        <v>138</v>
      </c>
      <c r="L27" t="s">
        <v>138</v>
      </c>
    </row>
    <row r="28" spans="1:12" x14ac:dyDescent="0.25">
      <c r="B28" t="s">
        <v>176</v>
      </c>
      <c r="D28">
        <v>0.25</v>
      </c>
    </row>
    <row r="29" spans="1:12" hidden="1" x14ac:dyDescent="0.25">
      <c r="B29" t="s">
        <v>143</v>
      </c>
      <c r="I29">
        <v>0.25</v>
      </c>
      <c r="J29">
        <v>0.25</v>
      </c>
      <c r="K29" t="s">
        <v>138</v>
      </c>
      <c r="L29" t="s">
        <v>138</v>
      </c>
    </row>
    <row r="30" spans="1:12" hidden="1" x14ac:dyDescent="0.25">
      <c r="B30" t="s">
        <v>141</v>
      </c>
      <c r="D30">
        <v>0.25</v>
      </c>
      <c r="G30" t="s">
        <v>138</v>
      </c>
      <c r="H30" t="s">
        <v>138</v>
      </c>
      <c r="I30" t="s">
        <v>138</v>
      </c>
      <c r="J30" t="s">
        <v>138</v>
      </c>
      <c r="K30" t="s">
        <v>138</v>
      </c>
      <c r="L30" t="s">
        <v>138</v>
      </c>
    </row>
    <row r="31" spans="1:12" x14ac:dyDescent="0.25">
      <c r="B31" t="s">
        <v>144</v>
      </c>
      <c r="D31">
        <v>0.25</v>
      </c>
    </row>
    <row r="32" spans="1:12" hidden="1" x14ac:dyDescent="0.25">
      <c r="B32" t="s">
        <v>142</v>
      </c>
      <c r="D32">
        <v>0.25</v>
      </c>
      <c r="G32" t="s">
        <v>138</v>
      </c>
      <c r="H32" t="s">
        <v>138</v>
      </c>
      <c r="I32" t="s">
        <v>138</v>
      </c>
      <c r="J32" t="s">
        <v>138</v>
      </c>
      <c r="K32" t="s">
        <v>138</v>
      </c>
      <c r="L32" t="s">
        <v>138</v>
      </c>
    </row>
    <row r="33" spans="2:12" hidden="1" x14ac:dyDescent="0.25">
      <c r="B33" t="s">
        <v>179</v>
      </c>
      <c r="H33">
        <v>0.25</v>
      </c>
      <c r="I33" t="s">
        <v>138</v>
      </c>
      <c r="J33" t="s">
        <v>138</v>
      </c>
      <c r="K33" t="s">
        <v>138</v>
      </c>
      <c r="L33" t="s">
        <v>138</v>
      </c>
    </row>
    <row r="34" spans="2:12" hidden="1" x14ac:dyDescent="0.25">
      <c r="B34" t="s">
        <v>203</v>
      </c>
      <c r="H34">
        <v>0.25</v>
      </c>
      <c r="I34" t="s">
        <v>138</v>
      </c>
      <c r="J34" t="s">
        <v>138</v>
      </c>
      <c r="K34" t="s">
        <v>138</v>
      </c>
      <c r="L34" t="s">
        <v>138</v>
      </c>
    </row>
    <row r="35" spans="2:12" x14ac:dyDescent="0.25">
      <c r="B35" t="s">
        <v>145</v>
      </c>
      <c r="D35">
        <v>0.5</v>
      </c>
    </row>
    <row r="36" spans="2:12" x14ac:dyDescent="0.25">
      <c r="B36" t="s">
        <v>241</v>
      </c>
      <c r="I36">
        <v>0.5</v>
      </c>
      <c r="J36">
        <v>0.5</v>
      </c>
      <c r="K36">
        <v>0.5</v>
      </c>
      <c r="L36">
        <v>0.5</v>
      </c>
    </row>
    <row r="37" spans="2:12" x14ac:dyDescent="0.25">
      <c r="B37" t="s">
        <v>67</v>
      </c>
      <c r="C37">
        <v>0.5</v>
      </c>
      <c r="D37">
        <v>1</v>
      </c>
      <c r="I37">
        <v>0.5</v>
      </c>
      <c r="J37">
        <v>0.5</v>
      </c>
      <c r="K37">
        <v>0.5</v>
      </c>
      <c r="L37">
        <v>0.5</v>
      </c>
    </row>
    <row r="38" spans="2:12" hidden="1" x14ac:dyDescent="0.25">
      <c r="B38" t="s">
        <v>68</v>
      </c>
      <c r="C38">
        <v>0.25</v>
      </c>
      <c r="D38">
        <v>0.25</v>
      </c>
      <c r="I38" t="s">
        <v>138</v>
      </c>
      <c r="J38" t="s">
        <v>138</v>
      </c>
      <c r="K38" t="s">
        <v>138</v>
      </c>
      <c r="L38" t="s">
        <v>138</v>
      </c>
    </row>
    <row r="39" spans="2:12" x14ac:dyDescent="0.25">
      <c r="B39" t="s">
        <v>30</v>
      </c>
      <c r="C39">
        <v>0.25</v>
      </c>
    </row>
    <row r="40" spans="2:12" hidden="1" x14ac:dyDescent="0.25">
      <c r="B40" t="s">
        <v>38</v>
      </c>
      <c r="D40">
        <v>0.5</v>
      </c>
      <c r="I40" t="s">
        <v>138</v>
      </c>
      <c r="J40" t="s">
        <v>138</v>
      </c>
      <c r="K40" t="s">
        <v>138</v>
      </c>
      <c r="L40" t="s">
        <v>138</v>
      </c>
    </row>
    <row r="41" spans="2:12" hidden="1" x14ac:dyDescent="0.25">
      <c r="B41" t="s">
        <v>39</v>
      </c>
      <c r="D41">
        <v>0.5</v>
      </c>
      <c r="I41" t="s">
        <v>138</v>
      </c>
      <c r="J41" t="s">
        <v>138</v>
      </c>
      <c r="K41" t="s">
        <v>138</v>
      </c>
      <c r="L41" t="s">
        <v>138</v>
      </c>
    </row>
    <row r="42" spans="2:12" x14ac:dyDescent="0.25">
      <c r="B42" t="s">
        <v>35</v>
      </c>
      <c r="D42">
        <v>0.5</v>
      </c>
    </row>
    <row r="43" spans="2:12" hidden="1" x14ac:dyDescent="0.25">
      <c r="B43" t="s">
        <v>40</v>
      </c>
      <c r="D43">
        <v>0.5</v>
      </c>
      <c r="I43" t="s">
        <v>138</v>
      </c>
      <c r="J43" t="s">
        <v>138</v>
      </c>
      <c r="K43" t="s">
        <v>138</v>
      </c>
      <c r="L43" t="s">
        <v>138</v>
      </c>
    </row>
    <row r="44" spans="2:12" x14ac:dyDescent="0.25">
      <c r="B44" t="s">
        <v>32</v>
      </c>
      <c r="C44">
        <v>0.25</v>
      </c>
    </row>
    <row r="45" spans="2:12" x14ac:dyDescent="0.25">
      <c r="B45" t="s">
        <v>41</v>
      </c>
    </row>
    <row r="46" spans="2:12" x14ac:dyDescent="0.25">
      <c r="B46" t="s">
        <v>33</v>
      </c>
      <c r="C46">
        <v>0.25</v>
      </c>
    </row>
    <row r="47" spans="2:12" x14ac:dyDescent="0.25">
      <c r="B47" t="s">
        <v>42</v>
      </c>
      <c r="C47">
        <v>0.25</v>
      </c>
    </row>
    <row r="48" spans="2:12" x14ac:dyDescent="0.25">
      <c r="B48" t="s">
        <v>43</v>
      </c>
      <c r="D48">
        <v>0.5</v>
      </c>
    </row>
    <row r="49" spans="2:12" x14ac:dyDescent="0.25">
      <c r="B49" t="s">
        <v>44</v>
      </c>
      <c r="C49">
        <v>0.25</v>
      </c>
    </row>
    <row r="50" spans="2:12" x14ac:dyDescent="0.25">
      <c r="B50" t="s">
        <v>45</v>
      </c>
      <c r="C50">
        <v>0.25</v>
      </c>
    </row>
    <row r="51" spans="2:12" hidden="1" x14ac:dyDescent="0.25">
      <c r="B51" t="s">
        <v>69</v>
      </c>
      <c r="C51">
        <v>2</v>
      </c>
      <c r="D51">
        <v>0.5</v>
      </c>
      <c r="I51">
        <v>2</v>
      </c>
      <c r="J51" t="s">
        <v>138</v>
      </c>
      <c r="K51" t="s">
        <v>138</v>
      </c>
      <c r="L51" t="s">
        <v>138</v>
      </c>
    </row>
    <row r="52" spans="2:12" hidden="1" x14ac:dyDescent="0.25">
      <c r="B52" t="s">
        <v>71</v>
      </c>
      <c r="C52">
        <v>4</v>
      </c>
      <c r="D52">
        <v>4</v>
      </c>
      <c r="J52" t="s">
        <v>138</v>
      </c>
      <c r="K52" t="s">
        <v>138</v>
      </c>
      <c r="L52" t="s">
        <v>138</v>
      </c>
    </row>
    <row r="53" spans="2:12" hidden="1" x14ac:dyDescent="0.25">
      <c r="B53" t="s">
        <v>511</v>
      </c>
      <c r="J53" t="s">
        <v>138</v>
      </c>
      <c r="K53" t="s">
        <v>138</v>
      </c>
      <c r="L53" t="s">
        <v>138</v>
      </c>
    </row>
    <row r="54" spans="2:12" x14ac:dyDescent="0.25">
      <c r="B54" t="s">
        <v>602</v>
      </c>
      <c r="K54">
        <v>0.3</v>
      </c>
      <c r="L54" t="s">
        <v>138</v>
      </c>
    </row>
    <row r="55" spans="2:12" hidden="1" x14ac:dyDescent="0.25">
      <c r="B55" t="s">
        <v>518</v>
      </c>
      <c r="J55">
        <v>0.25</v>
      </c>
      <c r="K55" t="s">
        <v>138</v>
      </c>
      <c r="L55" t="s">
        <v>138</v>
      </c>
    </row>
    <row r="56" spans="2:12" hidden="1" x14ac:dyDescent="0.25">
      <c r="B56" t="s">
        <v>544</v>
      </c>
      <c r="K56" t="s">
        <v>138</v>
      </c>
      <c r="L56" t="s">
        <v>138</v>
      </c>
    </row>
    <row r="57" spans="2:12" hidden="1" x14ac:dyDescent="0.25">
      <c r="B57" t="s">
        <v>519</v>
      </c>
      <c r="J57">
        <v>0.25</v>
      </c>
      <c r="K57" t="s">
        <v>138</v>
      </c>
      <c r="L57" t="s">
        <v>138</v>
      </c>
    </row>
    <row r="58" spans="2:12" hidden="1" x14ac:dyDescent="0.25">
      <c r="B58" t="s">
        <v>542</v>
      </c>
      <c r="K58" t="s">
        <v>138</v>
      </c>
      <c r="L58" t="s">
        <v>138</v>
      </c>
    </row>
    <row r="59" spans="2:12" hidden="1" x14ac:dyDescent="0.25">
      <c r="B59" t="s">
        <v>543</v>
      </c>
      <c r="K59" t="s">
        <v>138</v>
      </c>
      <c r="L59" t="s">
        <v>138</v>
      </c>
    </row>
    <row r="60" spans="2:12" x14ac:dyDescent="0.25">
      <c r="B60" t="s">
        <v>512</v>
      </c>
      <c r="J60">
        <v>0.25</v>
      </c>
      <c r="K60">
        <v>0.2</v>
      </c>
      <c r="L60">
        <v>0.2</v>
      </c>
    </row>
    <row r="61" spans="2:12" x14ac:dyDescent="0.25">
      <c r="B61" t="s">
        <v>517</v>
      </c>
      <c r="J61">
        <v>0.25</v>
      </c>
      <c r="K61">
        <v>0.2</v>
      </c>
      <c r="L61">
        <v>0.2</v>
      </c>
    </row>
    <row r="62" spans="2:12" x14ac:dyDescent="0.25">
      <c r="B62" t="s">
        <v>662</v>
      </c>
      <c r="K62">
        <v>0.2</v>
      </c>
      <c r="L62">
        <v>0.2</v>
      </c>
    </row>
    <row r="63" spans="2:12" x14ac:dyDescent="0.25">
      <c r="B63" t="s">
        <v>515</v>
      </c>
      <c r="J63">
        <v>0.5</v>
      </c>
      <c r="K63">
        <v>0.3</v>
      </c>
      <c r="L63">
        <v>0.3</v>
      </c>
    </row>
    <row r="64" spans="2:12" x14ac:dyDescent="0.25">
      <c r="B64" t="s">
        <v>785</v>
      </c>
      <c r="L64">
        <v>0.2</v>
      </c>
    </row>
    <row r="65" spans="2:12" x14ac:dyDescent="0.25">
      <c r="B65" t="s">
        <v>510</v>
      </c>
      <c r="J65">
        <v>0.25</v>
      </c>
      <c r="K65">
        <v>0.1</v>
      </c>
      <c r="L65">
        <v>0.1</v>
      </c>
    </row>
    <row r="66" spans="2:12" x14ac:dyDescent="0.25">
      <c r="B66" t="s">
        <v>514</v>
      </c>
      <c r="J66">
        <v>0.25</v>
      </c>
      <c r="K66">
        <v>0.25</v>
      </c>
      <c r="L66">
        <v>0.25</v>
      </c>
    </row>
    <row r="67" spans="2:12" x14ac:dyDescent="0.25">
      <c r="B67" t="s">
        <v>513</v>
      </c>
      <c r="J67">
        <v>0.5</v>
      </c>
      <c r="K67">
        <v>0.5</v>
      </c>
      <c r="L67">
        <v>0.5</v>
      </c>
    </row>
    <row r="68" spans="2:12" x14ac:dyDescent="0.25">
      <c r="B68" t="s">
        <v>509</v>
      </c>
      <c r="J68">
        <v>1</v>
      </c>
      <c r="K68">
        <v>1</v>
      </c>
      <c r="L68">
        <v>1</v>
      </c>
    </row>
    <row r="69" spans="2:12" x14ac:dyDescent="0.25">
      <c r="B69" t="s">
        <v>551</v>
      </c>
      <c r="K69">
        <v>0.2</v>
      </c>
      <c r="L69">
        <v>0.2</v>
      </c>
    </row>
    <row r="70" spans="2:12" x14ac:dyDescent="0.25">
      <c r="B70" t="s">
        <v>508</v>
      </c>
      <c r="J70">
        <v>0.5</v>
      </c>
      <c r="K70">
        <v>0.5</v>
      </c>
      <c r="L70">
        <v>0.5</v>
      </c>
    </row>
    <row r="71" spans="2:12" x14ac:dyDescent="0.25">
      <c r="B71" t="s">
        <v>72</v>
      </c>
      <c r="C71">
        <v>3</v>
      </c>
      <c r="D71">
        <v>3</v>
      </c>
      <c r="J71">
        <v>2</v>
      </c>
      <c r="K71">
        <v>2</v>
      </c>
      <c r="L71">
        <v>2</v>
      </c>
    </row>
    <row r="73" spans="2:12" x14ac:dyDescent="0.25">
      <c r="B73" s="27">
        <f>0+C73+D73</f>
        <v>26</v>
      </c>
      <c r="C73" s="28">
        <f>SUM(C18:C71)</f>
        <v>11.5</v>
      </c>
      <c r="D73" s="29">
        <f>SUM(D18:D71)</f>
        <v>14.5</v>
      </c>
      <c r="F73" s="17">
        <f t="shared" ref="F73:L73" si="0">SUMIF(F18:F72,"",$C18:$C72)+SUMIF(F18:F72,"",$D18:$D72)+SUBTOTAL(109,F18:F72)</f>
        <v>24.5</v>
      </c>
      <c r="G73" s="17">
        <f t="shared" si="0"/>
        <v>23.75</v>
      </c>
      <c r="H73" s="17">
        <f t="shared" si="0"/>
        <v>24</v>
      </c>
      <c r="I73" s="17">
        <f t="shared" si="0"/>
        <v>19</v>
      </c>
      <c r="J73" s="17">
        <f t="shared" si="0"/>
        <v>10.5</v>
      </c>
      <c r="K73" s="17">
        <f t="shared" ref="K73" si="1">SUMIF(K18:K72,"",$C18:$C72)+SUMIF(K18:K72,"",$D18:$D72)+SUBTOTAL(109,K18:K72)</f>
        <v>10.75</v>
      </c>
      <c r="L73" s="17">
        <f t="shared" si="0"/>
        <v>10.65</v>
      </c>
    </row>
    <row r="76" spans="2:12" x14ac:dyDescent="0.25">
      <c r="B76" t="s">
        <v>46</v>
      </c>
    </row>
  </sheetData>
  <autoFilter ref="F17:L73" xr:uid="{00379212-E3CF-4218-9FEE-9E59D27F5740}">
    <filterColumn colId="6">
      <filters blank="1">
        <filter val="0,1"/>
        <filter val="0,2"/>
        <filter val="0,25"/>
        <filter val="0,3"/>
        <filter val="0,5"/>
        <filter val="1"/>
        <filter val="10,75"/>
        <filter val="2"/>
      </filters>
    </filterColumn>
  </autoFilter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62AB17-4C01-46D2-A8A8-94F27E949FEE}">
  <sheetPr codeName="Feuil6">
    <outlinePr summaryBelow="0"/>
  </sheetPr>
  <dimension ref="A3:C81"/>
  <sheetViews>
    <sheetView workbookViewId="0">
      <selection activeCell="C3" sqref="C3"/>
    </sheetView>
  </sheetViews>
  <sheetFormatPr baseColWidth="10" defaultRowHeight="15" outlineLevelRow="2" x14ac:dyDescent="0.25"/>
  <cols>
    <col min="1" max="1" width="13.42578125" bestFit="1" customWidth="1"/>
  </cols>
  <sheetData>
    <row r="3" spans="1:3" x14ac:dyDescent="0.25">
      <c r="A3" t="s">
        <v>84</v>
      </c>
    </row>
    <row r="4" spans="1:3" outlineLevel="1" x14ac:dyDescent="0.25">
      <c r="B4" t="s">
        <v>220</v>
      </c>
    </row>
    <row r="5" spans="1:3" outlineLevel="1" x14ac:dyDescent="0.25">
      <c r="B5" t="s">
        <v>221</v>
      </c>
    </row>
    <row r="6" spans="1:3" outlineLevel="1" x14ac:dyDescent="0.25">
      <c r="B6" t="s">
        <v>222</v>
      </c>
    </row>
    <row r="7" spans="1:3" outlineLevel="1" x14ac:dyDescent="0.25">
      <c r="B7" t="s">
        <v>507</v>
      </c>
    </row>
    <row r="8" spans="1:3" outlineLevel="1" x14ac:dyDescent="0.25"/>
    <row r="11" spans="1:3" x14ac:dyDescent="0.25">
      <c r="A11" t="s">
        <v>539</v>
      </c>
      <c r="B11" t="s">
        <v>540</v>
      </c>
      <c r="C11" t="s">
        <v>541</v>
      </c>
    </row>
    <row r="12" spans="1:3" outlineLevel="1" x14ac:dyDescent="0.25">
      <c r="B12" t="s">
        <v>496</v>
      </c>
    </row>
    <row r="13" spans="1:3" outlineLevel="1" x14ac:dyDescent="0.25">
      <c r="B13" t="s">
        <v>497</v>
      </c>
    </row>
    <row r="14" spans="1:3" outlineLevel="1" x14ac:dyDescent="0.25">
      <c r="B14" t="s">
        <v>498</v>
      </c>
    </row>
    <row r="15" spans="1:3" outlineLevel="1" x14ac:dyDescent="0.25"/>
    <row r="16" spans="1:3" outlineLevel="1" x14ac:dyDescent="0.25"/>
    <row r="19" spans="1:3" collapsed="1" x14ac:dyDescent="0.25">
      <c r="A19" t="s">
        <v>247</v>
      </c>
      <c r="B19" t="s">
        <v>248</v>
      </c>
      <c r="C19" t="s">
        <v>249</v>
      </c>
    </row>
    <row r="20" spans="1:3" hidden="1" outlineLevel="1" x14ac:dyDescent="0.25">
      <c r="B20" t="s">
        <v>496</v>
      </c>
    </row>
    <row r="21" spans="1:3" hidden="1" outlineLevel="1" x14ac:dyDescent="0.25">
      <c r="B21" t="s">
        <v>497</v>
      </c>
    </row>
    <row r="22" spans="1:3" hidden="1" outlineLevel="1" x14ac:dyDescent="0.25">
      <c r="B22" t="s">
        <v>498</v>
      </c>
    </row>
    <row r="23" spans="1:3" hidden="1" outlineLevel="1" x14ac:dyDescent="0.25"/>
    <row r="24" spans="1:3" hidden="1" outlineLevel="1" x14ac:dyDescent="0.25"/>
    <row r="26" spans="1:3" collapsed="1" x14ac:dyDescent="0.25">
      <c r="A26" t="s">
        <v>246</v>
      </c>
      <c r="B26" t="s">
        <v>227</v>
      </c>
      <c r="C26" t="s">
        <v>243</v>
      </c>
    </row>
    <row r="27" spans="1:3" hidden="1" outlineLevel="1" x14ac:dyDescent="0.25"/>
    <row r="28" spans="1:3" hidden="1" outlineLevel="1" x14ac:dyDescent="0.25"/>
    <row r="29" spans="1:3" hidden="1" outlineLevel="1" x14ac:dyDescent="0.25"/>
    <row r="31" spans="1:3" collapsed="1" x14ac:dyDescent="0.25">
      <c r="A31" t="s">
        <v>242</v>
      </c>
      <c r="B31" t="s">
        <v>227</v>
      </c>
      <c r="C31" t="s">
        <v>243</v>
      </c>
    </row>
    <row r="32" spans="1:3" hidden="1" outlineLevel="1" x14ac:dyDescent="0.25">
      <c r="B32" t="s">
        <v>244</v>
      </c>
    </row>
    <row r="33" spans="1:3" hidden="1" outlineLevel="1" x14ac:dyDescent="0.25">
      <c r="B33" t="s">
        <v>245</v>
      </c>
    </row>
    <row r="34" spans="1:3" hidden="1" outlineLevel="1" x14ac:dyDescent="0.25"/>
    <row r="36" spans="1:3" collapsed="1" x14ac:dyDescent="0.25">
      <c r="A36" t="s">
        <v>226</v>
      </c>
      <c r="B36" t="s">
        <v>227</v>
      </c>
      <c r="C36" t="s">
        <v>80</v>
      </c>
    </row>
    <row r="37" spans="1:3" hidden="1" outlineLevel="1" x14ac:dyDescent="0.25">
      <c r="B37" t="s">
        <v>232</v>
      </c>
    </row>
    <row r="38" spans="1:3" hidden="1" outlineLevel="1" x14ac:dyDescent="0.25">
      <c r="B38" t="s">
        <v>233</v>
      </c>
    </row>
    <row r="39" spans="1:3" hidden="1" outlineLevel="1" x14ac:dyDescent="0.25">
      <c r="B39" t="s">
        <v>234</v>
      </c>
    </row>
    <row r="40" spans="1:3" hidden="1" outlineLevel="1" x14ac:dyDescent="0.25">
      <c r="B40" t="s">
        <v>240</v>
      </c>
    </row>
    <row r="41" spans="1:3" hidden="1" outlineLevel="1" x14ac:dyDescent="0.25"/>
    <row r="43" spans="1:3" collapsed="1" x14ac:dyDescent="0.25">
      <c r="A43" t="s">
        <v>210</v>
      </c>
      <c r="B43" t="s">
        <v>211</v>
      </c>
      <c r="C43" t="s">
        <v>224</v>
      </c>
    </row>
    <row r="44" spans="1:3" hidden="1" outlineLevel="1" x14ac:dyDescent="0.25">
      <c r="B44" t="s">
        <v>214</v>
      </c>
    </row>
    <row r="45" spans="1:3" hidden="1" outlineLevel="1" x14ac:dyDescent="0.25">
      <c r="B45" t="s">
        <v>212</v>
      </c>
    </row>
    <row r="46" spans="1:3" hidden="1" outlineLevel="1" x14ac:dyDescent="0.25">
      <c r="B46" t="s">
        <v>213</v>
      </c>
    </row>
    <row r="47" spans="1:3" hidden="1" outlineLevel="1" x14ac:dyDescent="0.25"/>
    <row r="49" spans="1:3" collapsed="1" x14ac:dyDescent="0.25">
      <c r="A49" t="s">
        <v>215</v>
      </c>
      <c r="B49" t="s">
        <v>216</v>
      </c>
      <c r="C49" t="s">
        <v>225</v>
      </c>
    </row>
    <row r="50" spans="1:3" hidden="1" outlineLevel="1" x14ac:dyDescent="0.25">
      <c r="B50" t="s">
        <v>217</v>
      </c>
    </row>
    <row r="51" spans="1:3" hidden="1" outlineLevel="1" x14ac:dyDescent="0.25"/>
    <row r="52" spans="1:3" hidden="1" outlineLevel="1" x14ac:dyDescent="0.25"/>
    <row r="53" spans="1:3" hidden="1" outlineLevel="1" x14ac:dyDescent="0.25"/>
    <row r="56" spans="1:3" collapsed="1" x14ac:dyDescent="0.25">
      <c r="A56" t="s">
        <v>139</v>
      </c>
    </row>
    <row r="57" spans="1:3" hidden="1" outlineLevel="1" collapsed="1" x14ac:dyDescent="0.25">
      <c r="B57" t="s">
        <v>223</v>
      </c>
    </row>
    <row r="58" spans="1:3" hidden="1" outlineLevel="2" x14ac:dyDescent="0.25">
      <c r="B58" t="s">
        <v>117</v>
      </c>
    </row>
    <row r="59" spans="1:3" hidden="1" outlineLevel="2" x14ac:dyDescent="0.25"/>
    <row r="60" spans="1:3" hidden="1" outlineLevel="2" x14ac:dyDescent="0.25">
      <c r="B60" t="s">
        <v>118</v>
      </c>
    </row>
    <row r="61" spans="1:3" hidden="1" outlineLevel="2" x14ac:dyDescent="0.25"/>
    <row r="62" spans="1:3" hidden="1" outlineLevel="2" x14ac:dyDescent="0.25">
      <c r="B62" t="s">
        <v>119</v>
      </c>
    </row>
    <row r="63" spans="1:3" hidden="1" outlineLevel="2" x14ac:dyDescent="0.25">
      <c r="B63" t="s">
        <v>120</v>
      </c>
    </row>
    <row r="64" spans="1:3" hidden="1" outlineLevel="2" x14ac:dyDescent="0.25">
      <c r="B64" t="s">
        <v>121</v>
      </c>
    </row>
    <row r="65" spans="2:2" hidden="1" outlineLevel="2" x14ac:dyDescent="0.25">
      <c r="B65" t="s">
        <v>122</v>
      </c>
    </row>
    <row r="66" spans="2:2" hidden="1" outlineLevel="2" x14ac:dyDescent="0.25">
      <c r="B66" t="s">
        <v>123</v>
      </c>
    </row>
    <row r="67" spans="2:2" hidden="1" outlineLevel="2" x14ac:dyDescent="0.25">
      <c r="B67" t="s">
        <v>124</v>
      </c>
    </row>
    <row r="68" spans="2:2" hidden="1" outlineLevel="2" x14ac:dyDescent="0.25"/>
    <row r="69" spans="2:2" hidden="1" outlineLevel="2" x14ac:dyDescent="0.25">
      <c r="B69" t="s">
        <v>125</v>
      </c>
    </row>
    <row r="70" spans="2:2" hidden="1" outlineLevel="2" x14ac:dyDescent="0.25">
      <c r="B70" t="s">
        <v>126</v>
      </c>
    </row>
    <row r="71" spans="2:2" hidden="1" outlineLevel="2" x14ac:dyDescent="0.25"/>
    <row r="72" spans="2:2" hidden="1" outlineLevel="2" x14ac:dyDescent="0.25">
      <c r="B72" t="s">
        <v>127</v>
      </c>
    </row>
    <row r="73" spans="2:2" hidden="1" outlineLevel="2" x14ac:dyDescent="0.25">
      <c r="B73" t="s">
        <v>128</v>
      </c>
    </row>
    <row r="74" spans="2:2" hidden="1" outlineLevel="2" x14ac:dyDescent="0.25">
      <c r="B74" t="s">
        <v>129</v>
      </c>
    </row>
    <row r="75" spans="2:2" hidden="1" outlineLevel="2" x14ac:dyDescent="0.25">
      <c r="B75" t="s">
        <v>130</v>
      </c>
    </row>
    <row r="76" spans="2:2" hidden="1" outlineLevel="2" x14ac:dyDescent="0.25">
      <c r="B76" t="s">
        <v>131</v>
      </c>
    </row>
    <row r="77" spans="2:2" hidden="1" outlineLevel="2" x14ac:dyDescent="0.25">
      <c r="B77" t="s">
        <v>132</v>
      </c>
    </row>
    <row r="78" spans="2:2" hidden="1" outlineLevel="2" x14ac:dyDescent="0.25">
      <c r="B78" t="s">
        <v>133</v>
      </c>
    </row>
    <row r="79" spans="2:2" hidden="1" outlineLevel="1" x14ac:dyDescent="0.25"/>
    <row r="80" spans="2:2" hidden="1" outlineLevel="1" collapsed="1" x14ac:dyDescent="0.25">
      <c r="B80" t="s">
        <v>140</v>
      </c>
    </row>
    <row r="81" spans="3:3" hidden="1" outlineLevel="2" x14ac:dyDescent="0.25">
      <c r="C81" t="s">
        <v>56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E9C7FF-75F3-40F3-9B2F-D3EAF1CD8DB9}">
  <sheetPr codeName="I18N_Data"/>
  <dimension ref="A1:L114"/>
  <sheetViews>
    <sheetView topLeftCell="A90" workbookViewId="0">
      <selection activeCell="E35" sqref="E35"/>
    </sheetView>
  </sheetViews>
  <sheetFormatPr baseColWidth="10" defaultRowHeight="15" x14ac:dyDescent="0.25"/>
  <cols>
    <col min="1" max="1" width="20.7109375" bestFit="1" customWidth="1"/>
    <col min="3" max="3" width="12.5703125" bestFit="1" customWidth="1"/>
    <col min="4" max="4" width="11.28515625" bestFit="1" customWidth="1"/>
    <col min="7" max="7" width="25.42578125" bestFit="1" customWidth="1"/>
    <col min="8" max="8" width="24.5703125" bestFit="1" customWidth="1"/>
  </cols>
  <sheetData>
    <row r="1" spans="1:12" ht="17.25" customHeight="1" x14ac:dyDescent="0.25">
      <c r="J1" s="1" t="s">
        <v>11</v>
      </c>
      <c r="L1" t="s">
        <v>56</v>
      </c>
    </row>
    <row r="2" spans="1:12" ht="17.25" customHeight="1" x14ac:dyDescent="0.25"/>
    <row r="3" spans="1:12" x14ac:dyDescent="0.25">
      <c r="A3" t="s">
        <v>0</v>
      </c>
      <c r="B3" t="s">
        <v>1</v>
      </c>
      <c r="C3" t="s">
        <v>2</v>
      </c>
      <c r="D3" t="s">
        <v>3</v>
      </c>
      <c r="E3" t="s">
        <v>4</v>
      </c>
      <c r="F3" t="s">
        <v>5</v>
      </c>
      <c r="G3" t="s">
        <v>11</v>
      </c>
      <c r="H3" t="s">
        <v>12</v>
      </c>
    </row>
    <row r="4" spans="1:12" x14ac:dyDescent="0.25">
      <c r="A4" s="2" t="s">
        <v>12</v>
      </c>
      <c r="B4" s="2"/>
      <c r="C4" s="2"/>
      <c r="D4" s="2"/>
      <c r="E4" s="2"/>
      <c r="F4" s="2"/>
      <c r="G4" s="2" t="s">
        <v>15</v>
      </c>
      <c r="H4" s="2" t="s">
        <v>13</v>
      </c>
    </row>
    <row r="5" spans="1:12" x14ac:dyDescent="0.25">
      <c r="A5" s="2" t="s">
        <v>11</v>
      </c>
      <c r="B5" s="2"/>
      <c r="C5" s="2"/>
      <c r="D5" s="2"/>
      <c r="E5" s="2"/>
      <c r="F5" s="2"/>
      <c r="G5" s="2" t="s">
        <v>16</v>
      </c>
      <c r="H5" s="2" t="s">
        <v>14</v>
      </c>
    </row>
    <row r="6" spans="1:12" x14ac:dyDescent="0.25">
      <c r="A6" s="2" t="s">
        <v>157</v>
      </c>
      <c r="B6" s="2"/>
      <c r="C6" s="3"/>
      <c r="D6" s="3"/>
      <c r="E6" s="2" t="s">
        <v>63</v>
      </c>
      <c r="F6" s="2" t="s">
        <v>63</v>
      </c>
      <c r="G6" s="2" t="s">
        <v>158</v>
      </c>
      <c r="H6" s="2" t="s">
        <v>159</v>
      </c>
    </row>
    <row r="7" spans="1:12" x14ac:dyDescent="0.25">
      <c r="A7" s="2" t="s">
        <v>160</v>
      </c>
      <c r="B7" s="2"/>
      <c r="C7" s="3"/>
      <c r="D7" s="3"/>
      <c r="E7" s="2"/>
      <c r="F7" s="2"/>
      <c r="G7" s="2" t="s">
        <v>161</v>
      </c>
      <c r="H7" s="2" t="s">
        <v>168</v>
      </c>
    </row>
    <row r="8" spans="1:12" x14ac:dyDescent="0.25">
      <c r="A8" s="2" t="s">
        <v>162</v>
      </c>
      <c r="B8" s="2"/>
      <c r="C8" s="3"/>
      <c r="D8" s="3"/>
      <c r="E8" s="2"/>
      <c r="F8" s="2"/>
      <c r="G8" s="2" t="s">
        <v>163</v>
      </c>
      <c r="H8" s="2" t="s">
        <v>164</v>
      </c>
    </row>
    <row r="9" spans="1:12" x14ac:dyDescent="0.25">
      <c r="A9" s="2" t="s">
        <v>167</v>
      </c>
      <c r="B9" s="2"/>
      <c r="C9" s="3"/>
      <c r="D9" s="3"/>
      <c r="E9" s="2"/>
      <c r="F9" s="2"/>
      <c r="G9" s="2" t="s">
        <v>169</v>
      </c>
      <c r="H9" s="2" t="s">
        <v>170</v>
      </c>
    </row>
    <row r="10" spans="1:12" x14ac:dyDescent="0.25">
      <c r="A10" s="2" t="s">
        <v>53</v>
      </c>
      <c r="B10" s="2" t="s">
        <v>165</v>
      </c>
      <c r="C10" s="3" t="s">
        <v>166</v>
      </c>
      <c r="D10" s="3"/>
      <c r="E10" s="2"/>
      <c r="F10" s="2"/>
      <c r="G10" s="2" t="str">
        <f xml:space="preserve"> "Version " &amp; tI18N[[#This Row],[Param1]] &amp; " - " &amp; tI18N[[#This Row],[Param2]]</f>
        <v>Version 01 - 10 12 15</v>
      </c>
      <c r="H10" s="2" t="str">
        <f xml:space="preserve"> "Version " &amp; tI18N[[#This Row],[Param1]] &amp; " du " &amp; tI18N[[#This Row],[Param2]]</f>
        <v>Version 01 du 10 12 15</v>
      </c>
    </row>
    <row r="11" spans="1:12" x14ac:dyDescent="0.25">
      <c r="A11" s="2" t="s">
        <v>57</v>
      </c>
      <c r="B11" s="2" t="s">
        <v>63</v>
      </c>
      <c r="C11" s="2" t="s">
        <v>63</v>
      </c>
      <c r="D11" s="2" t="s">
        <v>63</v>
      </c>
      <c r="E11" s="2" t="s">
        <v>63</v>
      </c>
      <c r="F11" s="2" t="s">
        <v>63</v>
      </c>
      <c r="G11" s="2" t="s">
        <v>58</v>
      </c>
      <c r="H11" s="2" t="s">
        <v>59</v>
      </c>
    </row>
    <row r="12" spans="1:12" x14ac:dyDescent="0.25">
      <c r="A12" s="2" t="s">
        <v>60</v>
      </c>
      <c r="B12" s="2" t="s">
        <v>63</v>
      </c>
      <c r="C12" s="2" t="s">
        <v>63</v>
      </c>
      <c r="D12" s="2" t="s">
        <v>63</v>
      </c>
      <c r="E12" s="2" t="s">
        <v>63</v>
      </c>
      <c r="F12" s="2" t="s">
        <v>63</v>
      </c>
      <c r="G12" s="2" t="s">
        <v>62</v>
      </c>
      <c r="H12" s="2" t="s">
        <v>61</v>
      </c>
    </row>
    <row r="13" spans="1:12" x14ac:dyDescent="0.25">
      <c r="A13" s="2" t="s">
        <v>49</v>
      </c>
      <c r="B13" s="2"/>
      <c r="C13" s="2"/>
      <c r="D13" s="2"/>
      <c r="E13" s="2"/>
      <c r="F13" s="2"/>
      <c r="G13" s="2" t="s">
        <v>6</v>
      </c>
      <c r="H13" s="2" t="s">
        <v>18</v>
      </c>
    </row>
    <row r="14" spans="1:12" x14ac:dyDescent="0.25">
      <c r="A14" s="2" t="s">
        <v>50</v>
      </c>
      <c r="B14" s="2"/>
      <c r="C14" s="2"/>
      <c r="D14" s="2"/>
      <c r="E14" s="2"/>
      <c r="F14" s="2"/>
      <c r="G14" s="2" t="s">
        <v>7</v>
      </c>
      <c r="H14" s="2" t="s">
        <v>7</v>
      </c>
    </row>
    <row r="15" spans="1:12" x14ac:dyDescent="0.25">
      <c r="A15" s="2" t="s">
        <v>51</v>
      </c>
      <c r="B15" s="2"/>
      <c r="C15" s="2"/>
      <c r="D15" s="2"/>
      <c r="E15" s="2"/>
      <c r="F15" s="2"/>
      <c r="G15" s="2" t="s">
        <v>8</v>
      </c>
      <c r="H15" s="2" t="s">
        <v>8</v>
      </c>
    </row>
    <row r="16" spans="1:12" x14ac:dyDescent="0.25">
      <c r="A16" s="2" t="s">
        <v>52</v>
      </c>
      <c r="B16" s="2"/>
      <c r="C16" s="2"/>
      <c r="D16" s="2"/>
      <c r="E16" s="2"/>
      <c r="F16" s="2"/>
      <c r="G16" s="2" t="s">
        <v>9</v>
      </c>
      <c r="H16" s="2" t="s">
        <v>17</v>
      </c>
    </row>
    <row r="17" spans="1:8" x14ac:dyDescent="0.25">
      <c r="A17" s="2" t="s">
        <v>10</v>
      </c>
      <c r="B17" s="2">
        <v>10</v>
      </c>
      <c r="C17" s="2"/>
      <c r="D17" s="2"/>
      <c r="E17" s="2"/>
      <c r="F17" s="2"/>
      <c r="G17" s="2" t="str">
        <f>"End after " &amp; TEXT(tI18N[[#This Row],[Param1]], "### ### ###") &amp; " second" &amp; IF(tI18N[[#This Row],[Param1]] &gt; 1, "s", "")</f>
        <v>End after 10 seconds</v>
      </c>
      <c r="H17" s="2" t="str">
        <f>"Terminé en " &amp; TEXT(tI18N[[#This Row],[Param1]], "### ### ###") &amp; " seconde" &amp; IF(tI18N[[#This Row],[Param1]] &gt; 1, "s", "")</f>
        <v>Terminé en 10 secondes</v>
      </c>
    </row>
    <row r="18" spans="1:8" x14ac:dyDescent="0.25">
      <c r="A18" s="2" t="s">
        <v>171</v>
      </c>
      <c r="B18" s="2"/>
      <c r="C18" s="2"/>
      <c r="D18" s="2"/>
      <c r="E18" s="2"/>
      <c r="F18" s="2"/>
      <c r="G18" s="2" t="s">
        <v>493</v>
      </c>
      <c r="H18" s="2" t="s">
        <v>237</v>
      </c>
    </row>
    <row r="19" spans="1:8" x14ac:dyDescent="0.25">
      <c r="A19" s="2" t="s">
        <v>172</v>
      </c>
      <c r="B19" s="2"/>
      <c r="C19" s="2"/>
      <c r="D19" s="2"/>
      <c r="E19" s="2"/>
      <c r="F19" s="2"/>
      <c r="G19" s="2" t="s">
        <v>174</v>
      </c>
      <c r="H19" s="2" t="s">
        <v>173</v>
      </c>
    </row>
    <row r="20" spans="1:8" x14ac:dyDescent="0.25">
      <c r="A20" s="2" t="s">
        <v>175</v>
      </c>
      <c r="B20" s="2"/>
      <c r="C20" s="2"/>
      <c r="D20" s="2"/>
      <c r="E20" s="2"/>
      <c r="F20" s="2"/>
      <c r="G20" s="2" t="s">
        <v>115</v>
      </c>
      <c r="H20" s="2" t="s">
        <v>65</v>
      </c>
    </row>
    <row r="21" spans="1:8" x14ac:dyDescent="0.25">
      <c r="A21" s="2" t="s">
        <v>75</v>
      </c>
      <c r="B21" s="2"/>
      <c r="C21" s="2"/>
      <c r="D21" s="2"/>
      <c r="E21" s="2"/>
      <c r="F21" s="2"/>
      <c r="G21" s="2" t="s">
        <v>76</v>
      </c>
      <c r="H21" s="2" t="s">
        <v>77</v>
      </c>
    </row>
    <row r="22" spans="1:8" x14ac:dyDescent="0.25">
      <c r="A22" s="2" t="s">
        <v>93</v>
      </c>
      <c r="B22" s="2"/>
      <c r="C22" s="2"/>
      <c r="D22" s="2"/>
      <c r="E22" s="2"/>
      <c r="F22" s="2"/>
      <c r="G22" s="2" t="s">
        <v>0</v>
      </c>
      <c r="H22" s="2" t="s">
        <v>0</v>
      </c>
    </row>
    <row r="23" spans="1:8" x14ac:dyDescent="0.25">
      <c r="A23" s="2" t="s">
        <v>73</v>
      </c>
      <c r="B23" s="2"/>
      <c r="C23" s="2"/>
      <c r="D23" s="2"/>
      <c r="E23" s="2"/>
      <c r="F23" s="2"/>
      <c r="G23" s="2" t="s">
        <v>20</v>
      </c>
      <c r="H23" s="2" t="s">
        <v>47</v>
      </c>
    </row>
    <row r="24" spans="1:8" x14ac:dyDescent="0.25">
      <c r="A24" s="2" t="s">
        <v>105</v>
      </c>
      <c r="B24" s="2"/>
      <c r="C24" s="2"/>
      <c r="D24" s="2"/>
      <c r="E24" s="2"/>
      <c r="F24" s="2"/>
      <c r="G24" s="2" t="s">
        <v>28</v>
      </c>
      <c r="H24" s="2" t="s">
        <v>107</v>
      </c>
    </row>
    <row r="25" spans="1:8" x14ac:dyDescent="0.25">
      <c r="A25" s="2" t="s">
        <v>103</v>
      </c>
      <c r="B25" s="2"/>
      <c r="C25" s="2"/>
      <c r="D25" s="2"/>
      <c r="E25" s="2"/>
      <c r="F25" s="2"/>
      <c r="G25" s="2" t="s">
        <v>104</v>
      </c>
      <c r="H25" s="2" t="s">
        <v>48</v>
      </c>
    </row>
    <row r="26" spans="1:8" x14ac:dyDescent="0.25">
      <c r="A26" s="2" t="s">
        <v>74</v>
      </c>
      <c r="B26" s="2"/>
      <c r="C26" s="2"/>
      <c r="D26" s="2"/>
      <c r="E26" s="2"/>
      <c r="F26" s="2"/>
      <c r="G26" s="2" t="s">
        <v>54</v>
      </c>
      <c r="H26" s="2" t="s">
        <v>55</v>
      </c>
    </row>
    <row r="27" spans="1:8" x14ac:dyDescent="0.25">
      <c r="A27" s="2" t="s">
        <v>87</v>
      </c>
      <c r="B27" s="2"/>
      <c r="C27" s="2"/>
      <c r="D27" s="2"/>
      <c r="E27" s="2"/>
      <c r="F27" s="2"/>
      <c r="G27" s="2" t="s">
        <v>88</v>
      </c>
      <c r="H27" s="2" t="s">
        <v>89</v>
      </c>
    </row>
    <row r="28" spans="1:8" x14ac:dyDescent="0.25">
      <c r="A28" s="2" t="s">
        <v>83</v>
      </c>
      <c r="B28" s="2"/>
      <c r="C28" s="2"/>
      <c r="D28" s="2"/>
      <c r="E28" s="2"/>
      <c r="F28" s="2"/>
      <c r="G28" s="2" t="s">
        <v>79</v>
      </c>
      <c r="H28" s="2" t="s">
        <v>81</v>
      </c>
    </row>
    <row r="29" spans="1:8" x14ac:dyDescent="0.25">
      <c r="A29" s="2" t="s">
        <v>78</v>
      </c>
      <c r="B29" s="2"/>
      <c r="C29" s="2"/>
      <c r="D29" s="2"/>
      <c r="E29" s="2"/>
      <c r="F29" s="2"/>
      <c r="G29" s="2" t="s">
        <v>80</v>
      </c>
      <c r="H29" s="2" t="s">
        <v>82</v>
      </c>
    </row>
    <row r="30" spans="1:8" x14ac:dyDescent="0.25">
      <c r="A30" s="26" t="s">
        <v>146</v>
      </c>
      <c r="B30" s="2"/>
      <c r="C30" s="2"/>
      <c r="D30" s="2"/>
      <c r="E30" s="2"/>
      <c r="F30" s="2"/>
      <c r="G30" s="2" t="s">
        <v>181</v>
      </c>
      <c r="H30" s="2" t="s">
        <v>182</v>
      </c>
    </row>
    <row r="31" spans="1:8" x14ac:dyDescent="0.25">
      <c r="A31" s="26" t="s">
        <v>147</v>
      </c>
      <c r="B31" s="2"/>
      <c r="C31" s="2"/>
      <c r="D31" s="2"/>
      <c r="E31" s="2"/>
      <c r="F31" s="2"/>
      <c r="G31" s="2" t="s">
        <v>45</v>
      </c>
      <c r="H31" s="2" t="s">
        <v>183</v>
      </c>
    </row>
    <row r="32" spans="1:8" x14ac:dyDescent="0.25">
      <c r="A32" s="26" t="s">
        <v>148</v>
      </c>
      <c r="B32" s="2"/>
      <c r="C32" s="2"/>
      <c r="D32" s="2"/>
      <c r="E32" s="2"/>
      <c r="F32" s="2"/>
      <c r="G32" s="2" t="s">
        <v>184</v>
      </c>
      <c r="H32" s="2" t="s">
        <v>185</v>
      </c>
    </row>
    <row r="33" spans="1:8" x14ac:dyDescent="0.25">
      <c r="A33" s="26" t="s">
        <v>180</v>
      </c>
      <c r="B33" s="2"/>
      <c r="C33" s="2"/>
      <c r="D33" s="2"/>
      <c r="E33" s="2"/>
      <c r="F33" s="2"/>
      <c r="G33" s="2" t="s">
        <v>600</v>
      </c>
      <c r="H33" s="2" t="s">
        <v>601</v>
      </c>
    </row>
    <row r="34" spans="1:8" x14ac:dyDescent="0.25">
      <c r="A34" s="26" t="s">
        <v>150</v>
      </c>
      <c r="B34" s="2"/>
      <c r="C34" s="2"/>
      <c r="D34" s="2"/>
      <c r="E34" s="2"/>
      <c r="F34" s="2"/>
      <c r="G34" s="2" t="s">
        <v>186</v>
      </c>
      <c r="H34" s="2" t="s">
        <v>188</v>
      </c>
    </row>
    <row r="35" spans="1:8" x14ac:dyDescent="0.25">
      <c r="A35" s="26" t="s">
        <v>151</v>
      </c>
      <c r="B35" s="2"/>
      <c r="C35" s="2"/>
      <c r="D35" s="2"/>
      <c r="E35" s="2"/>
      <c r="F35" s="2"/>
      <c r="G35" s="2" t="s">
        <v>187</v>
      </c>
      <c r="H35" s="2" t="s">
        <v>189</v>
      </c>
    </row>
    <row r="36" spans="1:8" x14ac:dyDescent="0.25">
      <c r="A36" s="2" t="s">
        <v>134</v>
      </c>
      <c r="B36" s="2"/>
      <c r="C36" s="2"/>
      <c r="D36" s="2"/>
      <c r="E36" s="2"/>
      <c r="F36" s="2"/>
      <c r="G36" s="2" t="s">
        <v>209</v>
      </c>
      <c r="H36" s="2" t="s">
        <v>190</v>
      </c>
    </row>
    <row r="37" spans="1:8" x14ac:dyDescent="0.25">
      <c r="A37" s="26" t="s">
        <v>199</v>
      </c>
      <c r="B37" s="2"/>
      <c r="C37" s="2"/>
      <c r="D37" s="2"/>
      <c r="E37" s="2"/>
      <c r="F37" s="2"/>
      <c r="G37" s="2" t="s">
        <v>19</v>
      </c>
      <c r="H37" s="2" t="s">
        <v>19</v>
      </c>
    </row>
    <row r="38" spans="1:8" x14ac:dyDescent="0.25">
      <c r="A38" s="26" t="s">
        <v>197</v>
      </c>
      <c r="B38" s="2"/>
      <c r="C38" s="2"/>
      <c r="D38" s="2"/>
      <c r="E38" s="2"/>
      <c r="F38" s="2"/>
      <c r="G38" s="2" t="s">
        <v>201</v>
      </c>
      <c r="H38" s="2" t="s">
        <v>200</v>
      </c>
    </row>
    <row r="39" spans="1:8" x14ac:dyDescent="0.25">
      <c r="A39" s="26" t="s">
        <v>198</v>
      </c>
      <c r="B39" s="2"/>
      <c r="C39" s="2"/>
      <c r="D39" s="2"/>
      <c r="E39" s="2"/>
      <c r="F39" s="2"/>
      <c r="G39" s="2" t="s">
        <v>34</v>
      </c>
      <c r="H39" s="2" t="s">
        <v>202</v>
      </c>
    </row>
    <row r="40" spans="1:8" x14ac:dyDescent="0.25">
      <c r="A40" s="36" t="s">
        <v>372</v>
      </c>
      <c r="B40" s="2"/>
      <c r="C40" s="2"/>
      <c r="D40" s="2"/>
      <c r="E40" s="2"/>
      <c r="F40" s="2"/>
      <c r="G40" s="2" t="s">
        <v>470</v>
      </c>
      <c r="H40" s="2" t="s">
        <v>17</v>
      </c>
    </row>
    <row r="41" spans="1:8" x14ac:dyDescent="0.25">
      <c r="A41" s="36" t="s">
        <v>373</v>
      </c>
      <c r="B41" s="2"/>
      <c r="C41" s="2"/>
      <c r="D41" s="2"/>
      <c r="E41" s="2"/>
      <c r="F41" s="2"/>
      <c r="G41" s="2" t="s">
        <v>471</v>
      </c>
      <c r="H41" s="2" t="s">
        <v>472</v>
      </c>
    </row>
    <row r="42" spans="1:8" x14ac:dyDescent="0.25">
      <c r="A42" s="35" t="s">
        <v>323</v>
      </c>
      <c r="B42" s="2"/>
      <c r="C42" s="2"/>
      <c r="D42" s="2"/>
      <c r="E42" s="2"/>
      <c r="F42" s="2"/>
      <c r="G42" s="2" t="s">
        <v>473</v>
      </c>
      <c r="H42" s="2" t="s">
        <v>474</v>
      </c>
    </row>
    <row r="43" spans="1:8" x14ac:dyDescent="0.25">
      <c r="A43" s="36" t="s">
        <v>450</v>
      </c>
      <c r="B43" s="2"/>
      <c r="C43" s="2"/>
      <c r="D43" s="2"/>
      <c r="E43" s="2"/>
      <c r="F43" s="2"/>
      <c r="G43" s="2" t="s">
        <v>475</v>
      </c>
      <c r="H43" s="38" t="s">
        <v>483</v>
      </c>
    </row>
    <row r="44" spans="1:8" x14ac:dyDescent="0.25">
      <c r="A44" s="36" t="s">
        <v>451</v>
      </c>
      <c r="B44" s="2"/>
      <c r="C44" s="2"/>
      <c r="D44" s="2"/>
      <c r="E44" s="2"/>
      <c r="F44" s="2"/>
      <c r="G44" s="2" t="s">
        <v>479</v>
      </c>
      <c r="H44" s="2" t="s">
        <v>481</v>
      </c>
    </row>
    <row r="45" spans="1:8" x14ac:dyDescent="0.25">
      <c r="A45" s="36" t="s">
        <v>452</v>
      </c>
      <c r="B45" s="2"/>
      <c r="C45" s="2"/>
      <c r="D45" s="2"/>
      <c r="E45" s="2"/>
      <c r="F45" s="2"/>
      <c r="G45" s="2" t="s">
        <v>476</v>
      </c>
      <c r="H45" s="38" t="s">
        <v>484</v>
      </c>
    </row>
    <row r="46" spans="1:8" x14ac:dyDescent="0.25">
      <c r="A46" s="36" t="s">
        <v>453</v>
      </c>
      <c r="B46" s="2"/>
      <c r="C46" s="2"/>
      <c r="D46" s="2"/>
      <c r="E46" s="2"/>
      <c r="F46" s="2"/>
      <c r="G46" s="2" t="s">
        <v>480</v>
      </c>
      <c r="H46" s="2" t="s">
        <v>482</v>
      </c>
    </row>
    <row r="47" spans="1:8" x14ac:dyDescent="0.25">
      <c r="A47" s="36" t="s">
        <v>454</v>
      </c>
      <c r="B47" s="2"/>
      <c r="C47" s="2"/>
      <c r="D47" s="2"/>
      <c r="E47" s="2"/>
      <c r="F47" s="2"/>
      <c r="G47" s="2" t="s">
        <v>485</v>
      </c>
      <c r="H47" s="2" t="s">
        <v>486</v>
      </c>
    </row>
    <row r="48" spans="1:8" x14ac:dyDescent="0.25">
      <c r="A48" s="36" t="s">
        <v>455</v>
      </c>
      <c r="B48" s="2"/>
      <c r="C48" s="2"/>
      <c r="D48" s="2"/>
      <c r="E48" s="2"/>
      <c r="F48" s="2"/>
      <c r="G48" s="2" t="s">
        <v>487</v>
      </c>
      <c r="H48" s="2" t="s">
        <v>488</v>
      </c>
    </row>
    <row r="49" spans="1:8" x14ac:dyDescent="0.25">
      <c r="A49" s="36" t="s">
        <v>456</v>
      </c>
      <c r="B49" s="2"/>
      <c r="C49" s="2"/>
      <c r="D49" s="2"/>
      <c r="E49" s="2"/>
      <c r="F49" s="2"/>
      <c r="G49" s="2" t="s">
        <v>477</v>
      </c>
      <c r="H49" s="2" t="s">
        <v>489</v>
      </c>
    </row>
    <row r="50" spans="1:8" x14ac:dyDescent="0.25">
      <c r="A50" s="36" t="s">
        <v>457</v>
      </c>
      <c r="B50" s="2"/>
      <c r="C50" s="2"/>
      <c r="D50" s="2"/>
      <c r="E50" s="2"/>
      <c r="F50" s="2"/>
      <c r="G50" s="2" t="s">
        <v>490</v>
      </c>
      <c r="H50" s="2" t="s">
        <v>491</v>
      </c>
    </row>
    <row r="51" spans="1:8" x14ac:dyDescent="0.25">
      <c r="A51" s="36" t="s">
        <v>458</v>
      </c>
      <c r="B51" s="2"/>
      <c r="C51" s="2"/>
      <c r="D51" s="2"/>
      <c r="E51" s="2"/>
      <c r="F51" s="2"/>
      <c r="G51" s="2" t="s">
        <v>478</v>
      </c>
      <c r="H51" s="2" t="s">
        <v>492</v>
      </c>
    </row>
    <row r="52" spans="1:8" x14ac:dyDescent="0.25">
      <c r="A52" s="36" t="s">
        <v>459</v>
      </c>
      <c r="B52" s="2"/>
      <c r="C52" s="2"/>
      <c r="D52" s="2"/>
      <c r="E52" s="2"/>
      <c r="F52" s="2"/>
      <c r="G52" s="36" t="s">
        <v>545</v>
      </c>
      <c r="H52" s="36" t="s">
        <v>546</v>
      </c>
    </row>
    <row r="53" spans="1:8" x14ac:dyDescent="0.25">
      <c r="A53" s="36" t="s">
        <v>460</v>
      </c>
      <c r="B53" s="2"/>
      <c r="C53" s="2"/>
      <c r="D53" s="2"/>
      <c r="E53" s="2"/>
      <c r="F53" s="2"/>
      <c r="G53" s="36" t="s">
        <v>548</v>
      </c>
      <c r="H53" s="36" t="s">
        <v>547</v>
      </c>
    </row>
    <row r="54" spans="1:8" x14ac:dyDescent="0.25">
      <c r="A54" s="36" t="s">
        <v>461</v>
      </c>
      <c r="B54" s="2"/>
      <c r="C54" s="2"/>
      <c r="D54" s="2"/>
      <c r="E54" s="2"/>
      <c r="F54" s="2"/>
      <c r="G54" s="36" t="s">
        <v>549</v>
      </c>
      <c r="H54" s="36" t="s">
        <v>550</v>
      </c>
    </row>
    <row r="55" spans="1:8" x14ac:dyDescent="0.25">
      <c r="A55" s="36" t="s">
        <v>462</v>
      </c>
      <c r="B55" s="2"/>
      <c r="C55" s="2"/>
      <c r="D55" s="2"/>
      <c r="E55" s="2"/>
      <c r="F55" s="2"/>
      <c r="G55" s="36" t="s">
        <v>552</v>
      </c>
      <c r="H55" s="36" t="s">
        <v>553</v>
      </c>
    </row>
    <row r="56" spans="1:8" x14ac:dyDescent="0.25">
      <c r="A56" s="36" t="s">
        <v>463</v>
      </c>
      <c r="B56" s="2"/>
      <c r="C56" s="2"/>
      <c r="D56" s="2"/>
      <c r="E56" s="2"/>
      <c r="F56" s="2"/>
      <c r="G56" s="36" t="s">
        <v>554</v>
      </c>
      <c r="H56" s="36" t="s">
        <v>556</v>
      </c>
    </row>
    <row r="57" spans="1:8" x14ac:dyDescent="0.25">
      <c r="A57" s="36" t="s">
        <v>464</v>
      </c>
      <c r="B57" s="2"/>
      <c r="C57" s="2"/>
      <c r="D57" s="2"/>
      <c r="E57" s="2"/>
      <c r="F57" s="2"/>
      <c r="G57" s="36" t="s">
        <v>555</v>
      </c>
      <c r="H57" s="36" t="s">
        <v>557</v>
      </c>
    </row>
    <row r="58" spans="1:8" x14ac:dyDescent="0.25">
      <c r="A58" s="36" t="s">
        <v>465</v>
      </c>
      <c r="B58" s="2"/>
      <c r="C58" s="2"/>
      <c r="D58" s="2"/>
      <c r="E58" s="2"/>
      <c r="F58" s="2"/>
      <c r="G58" s="36" t="s">
        <v>558</v>
      </c>
      <c r="H58" s="36" t="s">
        <v>559</v>
      </c>
    </row>
    <row r="59" spans="1:8" x14ac:dyDescent="0.25">
      <c r="A59" s="36" t="s">
        <v>466</v>
      </c>
      <c r="B59" s="2"/>
      <c r="C59" s="2"/>
      <c r="D59" s="2"/>
      <c r="E59" s="2"/>
      <c r="F59" s="2"/>
      <c r="G59" s="36" t="s">
        <v>560</v>
      </c>
      <c r="H59" s="36" t="s">
        <v>561</v>
      </c>
    </row>
    <row r="60" spans="1:8" x14ac:dyDescent="0.25">
      <c r="A60" s="36" t="s">
        <v>467</v>
      </c>
      <c r="B60" s="2"/>
      <c r="C60" s="2"/>
      <c r="D60" s="2"/>
      <c r="E60" s="2"/>
      <c r="F60" s="2"/>
      <c r="G60" s="36" t="s">
        <v>562</v>
      </c>
      <c r="H60" s="36" t="s">
        <v>563</v>
      </c>
    </row>
    <row r="61" spans="1:8" x14ac:dyDescent="0.25">
      <c r="A61" s="36" t="s">
        <v>468</v>
      </c>
      <c r="B61" s="2"/>
      <c r="C61" s="2"/>
      <c r="D61" s="2"/>
      <c r="E61" s="2"/>
      <c r="F61" s="2"/>
      <c r="G61" s="36" t="s">
        <v>564</v>
      </c>
      <c r="H61" s="36" t="s">
        <v>565</v>
      </c>
    </row>
    <row r="62" spans="1:8" x14ac:dyDescent="0.25">
      <c r="A62" s="36" t="s">
        <v>469</v>
      </c>
      <c r="B62" s="2"/>
      <c r="C62" s="2"/>
      <c r="D62" s="2"/>
      <c r="E62" s="2"/>
      <c r="F62" s="2"/>
      <c r="G62" s="36" t="s">
        <v>566</v>
      </c>
      <c r="H62" s="36" t="s">
        <v>567</v>
      </c>
    </row>
    <row r="63" spans="1:8" x14ac:dyDescent="0.25">
      <c r="A63" s="35" t="s">
        <v>324</v>
      </c>
      <c r="B63" s="2"/>
      <c r="C63" s="2"/>
      <c r="D63" s="2"/>
      <c r="E63" s="2"/>
      <c r="F63" s="2"/>
      <c r="G63" s="35" t="s">
        <v>34</v>
      </c>
      <c r="H63" s="35" t="s">
        <v>202</v>
      </c>
    </row>
    <row r="64" spans="1:8" x14ac:dyDescent="0.25">
      <c r="A64" s="35" t="s">
        <v>325</v>
      </c>
      <c r="B64" s="2"/>
      <c r="C64" s="2"/>
      <c r="D64" s="2"/>
      <c r="E64" s="2"/>
      <c r="F64" s="2"/>
      <c r="G64" s="35" t="s">
        <v>568</v>
      </c>
      <c r="H64" s="35" t="s">
        <v>569</v>
      </c>
    </row>
    <row r="65" spans="1:8" x14ac:dyDescent="0.25">
      <c r="A65" s="36" t="s">
        <v>407</v>
      </c>
      <c r="B65" s="2"/>
      <c r="C65" s="2"/>
      <c r="D65" s="2"/>
      <c r="E65" s="2"/>
      <c r="F65" s="2"/>
      <c r="G65" s="36" t="s">
        <v>570</v>
      </c>
      <c r="H65" s="36" t="s">
        <v>571</v>
      </c>
    </row>
    <row r="66" spans="1:8" x14ac:dyDescent="0.25">
      <c r="A66" s="36" t="s">
        <v>408</v>
      </c>
      <c r="B66" s="2"/>
      <c r="C66" s="2"/>
      <c r="D66" s="2"/>
      <c r="E66" s="2"/>
      <c r="F66" s="2"/>
      <c r="G66" s="36" t="s">
        <v>572</v>
      </c>
      <c r="H66" s="36" t="s">
        <v>573</v>
      </c>
    </row>
    <row r="67" spans="1:8" x14ac:dyDescent="0.25">
      <c r="A67" s="36" t="s">
        <v>409</v>
      </c>
      <c r="B67" s="2"/>
      <c r="C67" s="2"/>
      <c r="D67" s="2"/>
      <c r="E67" s="2"/>
      <c r="F67" s="2"/>
      <c r="G67" s="36" t="s">
        <v>574</v>
      </c>
      <c r="H67" s="36" t="s">
        <v>575</v>
      </c>
    </row>
    <row r="68" spans="1:8" x14ac:dyDescent="0.25">
      <c r="A68" s="36" t="s">
        <v>410</v>
      </c>
      <c r="B68" s="2"/>
      <c r="C68" s="2"/>
      <c r="D68" s="2"/>
      <c r="E68" s="2"/>
      <c r="F68" s="2"/>
      <c r="G68" s="36" t="s">
        <v>576</v>
      </c>
      <c r="H68" s="36" t="s">
        <v>577</v>
      </c>
    </row>
    <row r="69" spans="1:8" x14ac:dyDescent="0.25">
      <c r="A69" s="35" t="s">
        <v>326</v>
      </c>
      <c r="B69" s="2"/>
      <c r="C69" s="2"/>
      <c r="D69" s="2"/>
      <c r="E69" s="2"/>
      <c r="F69" s="2"/>
      <c r="G69" s="35" t="s">
        <v>578</v>
      </c>
      <c r="H69" s="35" t="s">
        <v>579</v>
      </c>
    </row>
    <row r="70" spans="1:8" x14ac:dyDescent="0.25">
      <c r="A70" s="36" t="s">
        <v>411</v>
      </c>
      <c r="B70" s="2"/>
      <c r="C70" s="2"/>
      <c r="D70" s="2"/>
      <c r="E70" s="2"/>
      <c r="F70" s="2"/>
      <c r="G70" s="36" t="s">
        <v>580</v>
      </c>
      <c r="H70" s="36" t="s">
        <v>586</v>
      </c>
    </row>
    <row r="71" spans="1:8" x14ac:dyDescent="0.25">
      <c r="A71" s="36" t="s">
        <v>412</v>
      </c>
      <c r="B71" s="2"/>
      <c r="C71" s="2"/>
      <c r="D71" s="2"/>
      <c r="E71" s="2"/>
      <c r="F71" s="2"/>
      <c r="G71" s="36" t="s">
        <v>583</v>
      </c>
      <c r="H71" s="36" t="s">
        <v>587</v>
      </c>
    </row>
    <row r="72" spans="1:8" x14ac:dyDescent="0.25">
      <c r="A72" s="36" t="s">
        <v>413</v>
      </c>
      <c r="B72" s="2"/>
      <c r="C72" s="2"/>
      <c r="D72" s="2"/>
      <c r="E72" s="2"/>
      <c r="F72" s="2"/>
      <c r="G72" s="36" t="s">
        <v>584</v>
      </c>
      <c r="H72" s="36" t="s">
        <v>588</v>
      </c>
    </row>
    <row r="73" spans="1:8" x14ac:dyDescent="0.25">
      <c r="A73" s="36" t="s">
        <v>414</v>
      </c>
      <c r="B73" s="2"/>
      <c r="C73" s="2"/>
      <c r="D73" s="2"/>
      <c r="E73" s="2"/>
      <c r="F73" s="2"/>
      <c r="G73" s="36" t="s">
        <v>585</v>
      </c>
      <c r="H73" s="36" t="s">
        <v>589</v>
      </c>
    </row>
    <row r="74" spans="1:8" x14ac:dyDescent="0.25">
      <c r="A74" s="35" t="s">
        <v>327</v>
      </c>
      <c r="B74" s="2"/>
      <c r="C74" s="2"/>
      <c r="D74" s="2"/>
      <c r="E74" s="2"/>
      <c r="F74" s="2"/>
      <c r="G74" s="35" t="s">
        <v>581</v>
      </c>
      <c r="H74" s="35" t="s">
        <v>582</v>
      </c>
    </row>
    <row r="75" spans="1:8" x14ac:dyDescent="0.25">
      <c r="A75" s="36" t="s">
        <v>251</v>
      </c>
      <c r="B75" s="2"/>
      <c r="C75" s="2"/>
      <c r="D75" s="2"/>
      <c r="E75" s="2"/>
      <c r="F75" s="2"/>
      <c r="G75" s="36" t="s">
        <v>251</v>
      </c>
      <c r="H75" s="36" t="s">
        <v>251</v>
      </c>
    </row>
    <row r="76" spans="1:8" x14ac:dyDescent="0.25">
      <c r="A76" s="36" t="s">
        <v>415</v>
      </c>
      <c r="B76" s="2"/>
      <c r="C76" s="2"/>
      <c r="D76" s="2"/>
      <c r="E76" s="2"/>
      <c r="F76" s="2"/>
      <c r="G76" s="36" t="s">
        <v>590</v>
      </c>
      <c r="H76" s="36" t="s">
        <v>591</v>
      </c>
    </row>
    <row r="77" spans="1:8" x14ac:dyDescent="0.25">
      <c r="A77" s="36" t="s">
        <v>416</v>
      </c>
      <c r="B77" s="2"/>
      <c r="C77" s="2"/>
      <c r="D77" s="2"/>
      <c r="E77" s="2"/>
      <c r="F77" s="2"/>
      <c r="G77" s="36" t="s">
        <v>592</v>
      </c>
      <c r="H77" s="36" t="s">
        <v>593</v>
      </c>
    </row>
    <row r="78" spans="1:8" x14ac:dyDescent="0.25">
      <c r="A78" s="35" t="s">
        <v>364</v>
      </c>
      <c r="B78" s="2"/>
      <c r="C78" s="2"/>
      <c r="D78" s="2"/>
      <c r="E78" s="2"/>
      <c r="F78" s="2"/>
      <c r="G78" s="35" t="s">
        <v>473</v>
      </c>
      <c r="H78" s="35" t="s">
        <v>474</v>
      </c>
    </row>
    <row r="79" spans="1:8" x14ac:dyDescent="0.25">
      <c r="A79" s="36" t="s">
        <v>417</v>
      </c>
      <c r="B79" s="2"/>
      <c r="C79" s="2"/>
      <c r="D79" s="2"/>
      <c r="E79" s="2"/>
      <c r="F79" s="2"/>
      <c r="G79" s="2" t="s">
        <v>475</v>
      </c>
      <c r="H79" s="38" t="s">
        <v>483</v>
      </c>
    </row>
    <row r="80" spans="1:8" x14ac:dyDescent="0.25">
      <c r="A80" s="36" t="s">
        <v>436</v>
      </c>
      <c r="B80" s="2"/>
      <c r="C80" s="2"/>
      <c r="D80" s="2"/>
      <c r="E80" s="2"/>
      <c r="F80" s="2"/>
      <c r="G80" s="2" t="s">
        <v>479</v>
      </c>
      <c r="H80" s="2" t="s">
        <v>481</v>
      </c>
    </row>
    <row r="81" spans="1:8" x14ac:dyDescent="0.25">
      <c r="A81" s="36" t="s">
        <v>418</v>
      </c>
      <c r="B81" s="2"/>
      <c r="C81" s="2"/>
      <c r="D81" s="2"/>
      <c r="E81" s="2"/>
      <c r="F81" s="2"/>
      <c r="G81" s="2" t="s">
        <v>476</v>
      </c>
      <c r="H81" s="38" t="s">
        <v>484</v>
      </c>
    </row>
    <row r="82" spans="1:8" x14ac:dyDescent="0.25">
      <c r="A82" s="36" t="s">
        <v>449</v>
      </c>
      <c r="B82" s="2"/>
      <c r="C82" s="2"/>
      <c r="D82" s="2"/>
      <c r="E82" s="2"/>
      <c r="F82" s="2"/>
      <c r="G82" s="2" t="s">
        <v>480</v>
      </c>
      <c r="H82" s="2" t="s">
        <v>482</v>
      </c>
    </row>
    <row r="83" spans="1:8" x14ac:dyDescent="0.25">
      <c r="A83" s="36" t="s">
        <v>419</v>
      </c>
      <c r="B83" s="2"/>
      <c r="C83" s="2"/>
      <c r="D83" s="2"/>
      <c r="E83" s="2"/>
      <c r="F83" s="2"/>
      <c r="G83" s="2" t="s">
        <v>485</v>
      </c>
      <c r="H83" s="2" t="s">
        <v>486</v>
      </c>
    </row>
    <row r="84" spans="1:8" x14ac:dyDescent="0.25">
      <c r="A84" s="36" t="s">
        <v>437</v>
      </c>
      <c r="B84" s="2"/>
      <c r="C84" s="2"/>
      <c r="D84" s="2"/>
      <c r="E84" s="2"/>
      <c r="F84" s="2"/>
      <c r="G84" s="2" t="s">
        <v>487</v>
      </c>
      <c r="H84" s="2" t="s">
        <v>488</v>
      </c>
    </row>
    <row r="85" spans="1:8" x14ac:dyDescent="0.25">
      <c r="A85" s="36" t="s">
        <v>420</v>
      </c>
      <c r="B85" s="2"/>
      <c r="C85" s="2"/>
      <c r="D85" s="2"/>
      <c r="E85" s="2"/>
      <c r="F85" s="2"/>
      <c r="G85" s="2" t="s">
        <v>477</v>
      </c>
      <c r="H85" s="2" t="s">
        <v>489</v>
      </c>
    </row>
    <row r="86" spans="1:8" x14ac:dyDescent="0.25">
      <c r="A86" s="36" t="s">
        <v>421</v>
      </c>
      <c r="B86" s="2"/>
      <c r="C86" s="2"/>
      <c r="D86" s="2"/>
      <c r="E86" s="2"/>
      <c r="F86" s="2"/>
      <c r="G86" s="2" t="s">
        <v>490</v>
      </c>
      <c r="H86" s="2" t="s">
        <v>491</v>
      </c>
    </row>
    <row r="87" spans="1:8" x14ac:dyDescent="0.25">
      <c r="A87" s="36" t="s">
        <v>422</v>
      </c>
      <c r="B87" s="2"/>
      <c r="C87" s="2"/>
      <c r="D87" s="2"/>
      <c r="E87" s="2"/>
      <c r="F87" s="2"/>
      <c r="G87" s="2" t="s">
        <v>478</v>
      </c>
      <c r="H87" s="2" t="s">
        <v>492</v>
      </c>
    </row>
    <row r="88" spans="1:8" x14ac:dyDescent="0.25">
      <c r="A88" s="36" t="s">
        <v>423</v>
      </c>
      <c r="B88" s="2"/>
      <c r="C88" s="2"/>
      <c r="D88" s="2"/>
      <c r="E88" s="2"/>
      <c r="F88" s="2"/>
      <c r="G88" s="36" t="s">
        <v>545</v>
      </c>
      <c r="H88" s="36" t="s">
        <v>546</v>
      </c>
    </row>
    <row r="89" spans="1:8" x14ac:dyDescent="0.25">
      <c r="A89" s="36" t="s">
        <v>438</v>
      </c>
      <c r="B89" s="2"/>
      <c r="C89" s="2"/>
      <c r="D89" s="2"/>
      <c r="E89" s="2"/>
      <c r="F89" s="2"/>
      <c r="G89" s="36" t="s">
        <v>548</v>
      </c>
      <c r="H89" s="36" t="s">
        <v>547</v>
      </c>
    </row>
    <row r="90" spans="1:8" x14ac:dyDescent="0.25">
      <c r="A90" s="36" t="s">
        <v>424</v>
      </c>
      <c r="B90" s="2"/>
      <c r="C90" s="2"/>
      <c r="D90" s="2"/>
      <c r="E90" s="2"/>
      <c r="F90" s="2"/>
      <c r="G90" s="36" t="s">
        <v>549</v>
      </c>
      <c r="H90" s="36" t="s">
        <v>550</v>
      </c>
    </row>
    <row r="91" spans="1:8" x14ac:dyDescent="0.25">
      <c r="A91" s="36" t="s">
        <v>439</v>
      </c>
      <c r="B91" s="2"/>
      <c r="C91" s="2"/>
      <c r="D91" s="2"/>
      <c r="E91" s="2"/>
      <c r="F91" s="2"/>
      <c r="G91" s="36" t="s">
        <v>552</v>
      </c>
      <c r="H91" s="36" t="s">
        <v>553</v>
      </c>
    </row>
    <row r="92" spans="1:8" x14ac:dyDescent="0.25">
      <c r="A92" s="36" t="s">
        <v>425</v>
      </c>
      <c r="B92" s="2"/>
      <c r="C92" s="2"/>
      <c r="D92" s="2"/>
      <c r="E92" s="2"/>
      <c r="F92" s="2"/>
      <c r="G92" s="36" t="s">
        <v>554</v>
      </c>
      <c r="H92" s="36" t="s">
        <v>556</v>
      </c>
    </row>
    <row r="93" spans="1:8" x14ac:dyDescent="0.25">
      <c r="A93" s="36" t="s">
        <v>426</v>
      </c>
      <c r="B93" s="2"/>
      <c r="C93" s="2"/>
      <c r="D93" s="2"/>
      <c r="E93" s="2"/>
      <c r="F93" s="2"/>
      <c r="G93" s="36" t="s">
        <v>555</v>
      </c>
      <c r="H93" s="36" t="s">
        <v>557</v>
      </c>
    </row>
    <row r="94" spans="1:8" x14ac:dyDescent="0.25">
      <c r="A94" s="36" t="s">
        <v>440</v>
      </c>
      <c r="B94" s="2"/>
      <c r="C94" s="2"/>
      <c r="D94" s="2"/>
      <c r="E94" s="2"/>
      <c r="F94" s="2"/>
      <c r="G94" s="36" t="s">
        <v>558</v>
      </c>
      <c r="H94" s="36" t="s">
        <v>559</v>
      </c>
    </row>
    <row r="95" spans="1:8" x14ac:dyDescent="0.25">
      <c r="A95" s="36" t="s">
        <v>427</v>
      </c>
      <c r="B95" s="2"/>
      <c r="C95" s="2"/>
      <c r="D95" s="2"/>
      <c r="E95" s="2"/>
      <c r="F95" s="2"/>
      <c r="G95" s="36" t="s">
        <v>560</v>
      </c>
      <c r="H95" s="36" t="s">
        <v>561</v>
      </c>
    </row>
    <row r="96" spans="1:8" x14ac:dyDescent="0.25">
      <c r="A96" s="36" t="s">
        <v>428</v>
      </c>
      <c r="B96" s="2"/>
      <c r="C96" s="2"/>
      <c r="D96" s="2"/>
      <c r="E96" s="2"/>
      <c r="F96" s="2"/>
      <c r="G96" s="36" t="s">
        <v>562</v>
      </c>
      <c r="H96" s="36" t="s">
        <v>563</v>
      </c>
    </row>
    <row r="97" spans="1:8" x14ac:dyDescent="0.25">
      <c r="A97" s="36" t="s">
        <v>429</v>
      </c>
      <c r="B97" s="2"/>
      <c r="C97" s="2"/>
      <c r="D97" s="2"/>
      <c r="E97" s="2"/>
      <c r="F97" s="2"/>
      <c r="G97" s="36" t="s">
        <v>564</v>
      </c>
      <c r="H97" s="36" t="s">
        <v>565</v>
      </c>
    </row>
    <row r="98" spans="1:8" x14ac:dyDescent="0.25">
      <c r="A98" s="36" t="s">
        <v>430</v>
      </c>
      <c r="B98" s="2"/>
      <c r="C98" s="2"/>
      <c r="D98" s="2"/>
      <c r="E98" s="2"/>
      <c r="F98" s="2"/>
      <c r="G98" s="36" t="s">
        <v>566</v>
      </c>
      <c r="H98" s="36" t="s">
        <v>567</v>
      </c>
    </row>
    <row r="99" spans="1:8" x14ac:dyDescent="0.25">
      <c r="A99" s="35" t="s">
        <v>365</v>
      </c>
      <c r="B99" s="2"/>
      <c r="C99" s="2"/>
      <c r="D99" s="2"/>
      <c r="E99" s="2"/>
      <c r="F99" s="2"/>
      <c r="G99" s="35" t="s">
        <v>34</v>
      </c>
      <c r="H99" s="35" t="s">
        <v>202</v>
      </c>
    </row>
    <row r="100" spans="1:8" x14ac:dyDescent="0.25">
      <c r="A100" s="36" t="s">
        <v>431</v>
      </c>
      <c r="B100" s="2"/>
      <c r="C100" s="2"/>
      <c r="D100" s="2"/>
      <c r="E100" s="2"/>
      <c r="F100" s="2"/>
      <c r="G100" s="35" t="s">
        <v>598</v>
      </c>
      <c r="H100" s="35" t="s">
        <v>599</v>
      </c>
    </row>
    <row r="101" spans="1:8" x14ac:dyDescent="0.25">
      <c r="A101" s="36" t="s">
        <v>432</v>
      </c>
      <c r="B101" s="2"/>
      <c r="C101" s="2"/>
      <c r="D101" s="2"/>
      <c r="E101" s="2"/>
      <c r="F101" s="2"/>
      <c r="G101" s="36" t="s">
        <v>184</v>
      </c>
      <c r="H101" s="36" t="s">
        <v>185</v>
      </c>
    </row>
    <row r="102" spans="1:8" x14ac:dyDescent="0.25">
      <c r="A102" s="36" t="s">
        <v>433</v>
      </c>
      <c r="B102" s="2"/>
      <c r="C102" s="2"/>
      <c r="D102" s="2"/>
      <c r="E102" s="2"/>
      <c r="F102" s="2"/>
      <c r="G102" s="36" t="s">
        <v>600</v>
      </c>
      <c r="H102" s="36" t="s">
        <v>601</v>
      </c>
    </row>
    <row r="103" spans="1:8" x14ac:dyDescent="0.25">
      <c r="A103" s="35" t="s">
        <v>366</v>
      </c>
      <c r="B103" s="2"/>
      <c r="C103" s="2"/>
      <c r="D103" s="2"/>
      <c r="E103" s="2"/>
      <c r="F103" s="2"/>
      <c r="G103" s="35" t="s">
        <v>568</v>
      </c>
      <c r="H103" s="35" t="s">
        <v>569</v>
      </c>
    </row>
    <row r="104" spans="1:8" x14ac:dyDescent="0.25">
      <c r="A104" s="36" t="s">
        <v>434</v>
      </c>
      <c r="B104" s="2"/>
      <c r="C104" s="2"/>
      <c r="D104" s="2"/>
      <c r="E104" s="2"/>
      <c r="F104" s="2"/>
      <c r="G104" s="35" t="s">
        <v>596</v>
      </c>
      <c r="H104" s="35" t="s">
        <v>597</v>
      </c>
    </row>
    <row r="105" spans="1:8" x14ac:dyDescent="0.25">
      <c r="A105" s="36" t="s">
        <v>441</v>
      </c>
      <c r="B105" s="2"/>
      <c r="C105" s="2"/>
      <c r="D105" s="2"/>
      <c r="E105" s="2"/>
      <c r="F105" s="2"/>
      <c r="G105" s="36" t="s">
        <v>570</v>
      </c>
      <c r="H105" s="36" t="s">
        <v>571</v>
      </c>
    </row>
    <row r="106" spans="1:8" x14ac:dyDescent="0.25">
      <c r="A106" s="36" t="s">
        <v>447</v>
      </c>
      <c r="B106" s="2"/>
      <c r="C106" s="2"/>
      <c r="D106" s="2"/>
      <c r="E106" s="2"/>
      <c r="F106" s="2"/>
      <c r="G106" s="36" t="s">
        <v>572</v>
      </c>
      <c r="H106" s="36" t="s">
        <v>573</v>
      </c>
    </row>
    <row r="107" spans="1:8" x14ac:dyDescent="0.25">
      <c r="A107" s="36" t="s">
        <v>448</v>
      </c>
      <c r="B107" s="2"/>
      <c r="C107" s="2"/>
      <c r="D107" s="2"/>
      <c r="E107" s="2"/>
      <c r="F107" s="2"/>
      <c r="G107" s="36" t="s">
        <v>574</v>
      </c>
      <c r="H107" s="36" t="s">
        <v>575</v>
      </c>
    </row>
    <row r="108" spans="1:8" x14ac:dyDescent="0.25">
      <c r="A108" s="36" t="s">
        <v>442</v>
      </c>
      <c r="B108" s="2"/>
      <c r="C108" s="2"/>
      <c r="D108" s="2"/>
      <c r="E108" s="2"/>
      <c r="F108" s="2"/>
      <c r="G108" s="36" t="s">
        <v>576</v>
      </c>
      <c r="H108" s="36" t="s">
        <v>577</v>
      </c>
    </row>
    <row r="109" spans="1:8" x14ac:dyDescent="0.25">
      <c r="A109" s="35" t="s">
        <v>367</v>
      </c>
      <c r="B109" s="2"/>
      <c r="C109" s="2"/>
      <c r="D109" s="2"/>
      <c r="E109" s="2"/>
      <c r="F109" s="2"/>
      <c r="G109" s="35" t="s">
        <v>578</v>
      </c>
      <c r="H109" s="35" t="s">
        <v>579</v>
      </c>
    </row>
    <row r="110" spans="1:8" x14ac:dyDescent="0.25">
      <c r="A110" s="36" t="s">
        <v>435</v>
      </c>
      <c r="B110" s="2"/>
      <c r="C110" s="2"/>
      <c r="D110" s="2"/>
      <c r="E110" s="2"/>
      <c r="F110" s="2"/>
      <c r="G110" s="35" t="s">
        <v>594</v>
      </c>
      <c r="H110" s="35" t="s">
        <v>595</v>
      </c>
    </row>
    <row r="111" spans="1:8" x14ac:dyDescent="0.25">
      <c r="A111" s="36" t="s">
        <v>443</v>
      </c>
      <c r="B111" s="2"/>
      <c r="C111" s="2"/>
      <c r="D111" s="2"/>
      <c r="E111" s="2"/>
      <c r="F111" s="2"/>
      <c r="G111" s="36" t="s">
        <v>580</v>
      </c>
      <c r="H111" s="36" t="s">
        <v>586</v>
      </c>
    </row>
    <row r="112" spans="1:8" x14ac:dyDescent="0.25">
      <c r="A112" s="36" t="s">
        <v>444</v>
      </c>
      <c r="B112" s="2"/>
      <c r="C112" s="2"/>
      <c r="D112" s="2"/>
      <c r="E112" s="2"/>
      <c r="F112" s="2"/>
      <c r="G112" s="36" t="s">
        <v>583</v>
      </c>
      <c r="H112" s="36" t="s">
        <v>587</v>
      </c>
    </row>
    <row r="113" spans="1:8" x14ac:dyDescent="0.25">
      <c r="A113" s="36" t="s">
        <v>445</v>
      </c>
      <c r="B113" s="2"/>
      <c r="C113" s="2"/>
      <c r="D113" s="2"/>
      <c r="E113" s="2"/>
      <c r="F113" s="2"/>
      <c r="G113" s="36" t="s">
        <v>584</v>
      </c>
      <c r="H113" s="36" t="s">
        <v>588</v>
      </c>
    </row>
    <row r="114" spans="1:8" x14ac:dyDescent="0.25">
      <c r="A114" s="36" t="s">
        <v>446</v>
      </c>
      <c r="B114" s="2"/>
      <c r="C114" s="2"/>
      <c r="D114" s="2"/>
      <c r="E114" s="2"/>
      <c r="F114" s="2"/>
      <c r="G114" s="36" t="s">
        <v>585</v>
      </c>
      <c r="H114" s="36" t="s">
        <v>589</v>
      </c>
    </row>
  </sheetData>
  <phoneticPr fontId="1" type="noConversion"/>
  <dataValidations count="1">
    <dataValidation type="list" showInputMessage="1" promptTitle="Language" prompt="Choose a language" sqref="J1" xr:uid="{C02F734E-D575-4068-8EF5-F6B212AE4DF0}">
      <formula1>"en_US,fr_FR"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D0D0AF-103F-435D-B985-1FB32C40F8E2}">
  <sheetPr codeName="Feuil7"/>
  <dimension ref="B1:S91"/>
  <sheetViews>
    <sheetView topLeftCell="A5" zoomScale="82" zoomScaleNormal="82" workbookViewId="0">
      <selection activeCell="K12" sqref="K12"/>
    </sheetView>
  </sheetViews>
  <sheetFormatPr baseColWidth="10" defaultRowHeight="15" x14ac:dyDescent="0.25"/>
  <cols>
    <col min="2" max="2" width="10.5703125" customWidth="1"/>
    <col min="3" max="3" width="14.5703125" customWidth="1"/>
    <col min="4" max="4" width="7.28515625" bestFit="1" customWidth="1"/>
    <col min="5" max="5" width="24.85546875" customWidth="1"/>
    <col min="6" max="6" width="12" bestFit="1" customWidth="1"/>
    <col min="7" max="7" width="51.42578125" bestFit="1" customWidth="1"/>
    <col min="8" max="8" width="12.7109375" customWidth="1"/>
    <col min="9" max="9" width="11.42578125" bestFit="1" customWidth="1"/>
    <col min="10" max="10" width="30.85546875" bestFit="1" customWidth="1"/>
    <col min="11" max="11" width="16.5703125" customWidth="1"/>
    <col min="12" max="12" width="19.140625" bestFit="1" customWidth="1"/>
    <col min="13" max="13" width="9.7109375" bestFit="1" customWidth="1"/>
    <col min="14" max="14" width="9.7109375" customWidth="1"/>
    <col min="15" max="15" width="12.5703125" bestFit="1" customWidth="1"/>
    <col min="16" max="16" width="12.5703125" customWidth="1"/>
    <col min="17" max="17" width="31.5703125" customWidth="1"/>
    <col min="18" max="18" width="23.28515625" bestFit="1" customWidth="1"/>
    <col min="19" max="19" width="12.5703125" customWidth="1"/>
  </cols>
  <sheetData>
    <row r="1" spans="2:19" x14ac:dyDescent="0.25">
      <c r="B1" t="s">
        <v>114</v>
      </c>
      <c r="J1" s="9"/>
      <c r="P1" s="50" t="s">
        <v>774</v>
      </c>
      <c r="Q1" s="9" t="s">
        <v>775</v>
      </c>
    </row>
    <row r="3" spans="2:19" x14ac:dyDescent="0.25">
      <c r="B3" t="s">
        <v>90</v>
      </c>
      <c r="C3" t="s">
        <v>112</v>
      </c>
      <c r="D3" t="s">
        <v>110</v>
      </c>
      <c r="E3" t="s">
        <v>136</v>
      </c>
      <c r="F3" t="s">
        <v>603</v>
      </c>
      <c r="G3" t="s">
        <v>97</v>
      </c>
      <c r="H3" t="s">
        <v>100</v>
      </c>
      <c r="I3" t="s">
        <v>135</v>
      </c>
      <c r="J3" t="s">
        <v>91</v>
      </c>
      <c r="K3" t="s">
        <v>155</v>
      </c>
      <c r="L3" t="s">
        <v>154</v>
      </c>
      <c r="M3" t="s">
        <v>196</v>
      </c>
      <c r="N3" t="s">
        <v>605</v>
      </c>
      <c r="O3" t="s">
        <v>92</v>
      </c>
      <c r="P3" t="s">
        <v>111</v>
      </c>
      <c r="Q3" s="39" t="s">
        <v>116</v>
      </c>
      <c r="R3" t="s">
        <v>108</v>
      </c>
      <c r="S3" t="s">
        <v>322</v>
      </c>
    </row>
    <row r="4" spans="2:19" ht="30" x14ac:dyDescent="0.25">
      <c r="B4" s="13" t="s">
        <v>495</v>
      </c>
      <c r="C4" s="14" t="s">
        <v>113</v>
      </c>
      <c r="D4" s="14" t="s">
        <v>94</v>
      </c>
      <c r="E4" s="14" t="s">
        <v>137</v>
      </c>
      <c r="F4" s="14" t="s">
        <v>96</v>
      </c>
      <c r="G4" s="14" t="s">
        <v>0</v>
      </c>
      <c r="H4" s="14" t="s">
        <v>98</v>
      </c>
      <c r="I4" s="14" t="s">
        <v>94</v>
      </c>
      <c r="J4" s="14" t="s">
        <v>93</v>
      </c>
      <c r="K4" s="14"/>
      <c r="L4" s="14"/>
      <c r="M4" s="14">
        <v>1</v>
      </c>
      <c r="N4" s="14">
        <v>14</v>
      </c>
      <c r="O4" s="14" t="s">
        <v>94</v>
      </c>
      <c r="P4" s="14" t="s">
        <v>87</v>
      </c>
      <c r="Q4" s="15" t="s">
        <v>177</v>
      </c>
      <c r="R4" s="14" t="s">
        <v>106</v>
      </c>
      <c r="S4" s="14"/>
    </row>
    <row r="5" spans="2:19" ht="30" x14ac:dyDescent="0.25">
      <c r="B5" s="14"/>
      <c r="C5" s="14"/>
      <c r="D5" s="14"/>
      <c r="E5" s="14"/>
      <c r="F5" s="14"/>
      <c r="G5" s="14" t="s">
        <v>47</v>
      </c>
      <c r="H5" s="14" t="s">
        <v>101</v>
      </c>
      <c r="I5" s="14" t="s">
        <v>94</v>
      </c>
      <c r="J5" s="14" t="s">
        <v>73</v>
      </c>
      <c r="K5" s="14"/>
      <c r="L5" s="14"/>
      <c r="M5" s="14">
        <v>1</v>
      </c>
      <c r="N5" s="14">
        <v>14</v>
      </c>
      <c r="O5" s="14" t="s">
        <v>96</v>
      </c>
      <c r="P5" s="14" t="s">
        <v>83</v>
      </c>
      <c r="Q5" s="15" t="s">
        <v>178</v>
      </c>
      <c r="R5" s="14" t="s">
        <v>109</v>
      </c>
      <c r="S5" s="14"/>
    </row>
    <row r="6" spans="2:19" ht="30" x14ac:dyDescent="0.25">
      <c r="B6" s="14"/>
      <c r="C6" s="14"/>
      <c r="D6" s="14"/>
      <c r="E6" s="14"/>
      <c r="F6" s="14"/>
      <c r="G6" s="14" t="s">
        <v>102</v>
      </c>
      <c r="H6" s="14" t="s">
        <v>101</v>
      </c>
      <c r="I6" s="14" t="s">
        <v>94</v>
      </c>
      <c r="J6" s="14" t="s">
        <v>103</v>
      </c>
      <c r="K6" s="14"/>
      <c r="L6" s="14"/>
      <c r="M6" s="14">
        <v>1</v>
      </c>
      <c r="N6" s="14">
        <v>14</v>
      </c>
      <c r="O6" s="14" t="s">
        <v>96</v>
      </c>
      <c r="P6" s="14" t="s">
        <v>78</v>
      </c>
      <c r="Q6" s="15" t="s">
        <v>178</v>
      </c>
      <c r="R6" s="14" t="s">
        <v>109</v>
      </c>
      <c r="S6" s="14"/>
    </row>
    <row r="7" spans="2:19" x14ac:dyDescent="0.25">
      <c r="B7" s="14"/>
      <c r="C7" s="14"/>
      <c r="D7" s="14"/>
      <c r="E7" s="14"/>
      <c r="F7" s="14"/>
      <c r="G7" s="14" t="s">
        <v>95</v>
      </c>
      <c r="H7" s="14" t="s">
        <v>99</v>
      </c>
      <c r="I7" s="14" t="s">
        <v>96</v>
      </c>
      <c r="J7" s="14" t="s">
        <v>74</v>
      </c>
      <c r="K7" s="14"/>
      <c r="L7" s="14" t="s">
        <v>156</v>
      </c>
      <c r="M7" s="14">
        <v>1</v>
      </c>
      <c r="N7" s="14">
        <v>28</v>
      </c>
      <c r="O7" s="14" t="s">
        <v>96</v>
      </c>
      <c r="P7" s="14"/>
      <c r="Q7" s="15"/>
      <c r="R7" s="14"/>
      <c r="S7" s="14"/>
    </row>
    <row r="8" spans="2:19" x14ac:dyDescent="0.25">
      <c r="B8" s="14"/>
      <c r="C8" s="14"/>
      <c r="D8" s="14"/>
      <c r="E8" s="14"/>
      <c r="F8" s="14"/>
      <c r="G8" s="14"/>
      <c r="H8" s="14"/>
      <c r="I8" s="14"/>
      <c r="J8" s="14"/>
      <c r="K8" s="14"/>
      <c r="L8" s="14"/>
      <c r="M8" s="14"/>
      <c r="N8" s="14"/>
      <c r="O8" s="14"/>
      <c r="P8" s="14"/>
      <c r="Q8" s="15"/>
      <c r="R8" s="14"/>
      <c r="S8" s="14"/>
    </row>
    <row r="9" spans="2:19" ht="30" x14ac:dyDescent="0.25">
      <c r="B9" s="13" t="s">
        <v>494</v>
      </c>
      <c r="C9" s="14" t="s">
        <v>239</v>
      </c>
      <c r="D9" s="14" t="s">
        <v>94</v>
      </c>
      <c r="E9" s="15" t="s">
        <v>516</v>
      </c>
      <c r="F9" s="15" t="s">
        <v>94</v>
      </c>
      <c r="G9" s="14" t="s">
        <v>604</v>
      </c>
      <c r="H9" s="14"/>
      <c r="I9" s="14"/>
      <c r="J9" s="14" t="s">
        <v>199</v>
      </c>
      <c r="K9" s="14"/>
      <c r="L9" s="14"/>
      <c r="M9" s="14">
        <v>1</v>
      </c>
      <c r="N9" s="14">
        <v>5</v>
      </c>
      <c r="O9" s="14"/>
      <c r="P9" s="14" t="s">
        <v>134</v>
      </c>
      <c r="Q9" s="15" t="s">
        <v>520</v>
      </c>
      <c r="R9" s="14" t="s">
        <v>106</v>
      </c>
      <c r="S9" s="14"/>
    </row>
    <row r="10" spans="2:19" x14ac:dyDescent="0.25">
      <c r="B10" s="14"/>
      <c r="C10" s="14"/>
      <c r="D10" s="14"/>
      <c r="E10" s="14"/>
      <c r="F10" s="14"/>
      <c r="G10" s="33" t="s">
        <v>191</v>
      </c>
      <c r="H10" s="33" t="s">
        <v>101</v>
      </c>
      <c r="I10" s="33" t="s">
        <v>94</v>
      </c>
      <c r="J10" s="32" t="s">
        <v>73</v>
      </c>
      <c r="K10" s="32" t="s">
        <v>776</v>
      </c>
      <c r="L10" s="33"/>
      <c r="M10" s="33">
        <v>4</v>
      </c>
      <c r="N10" s="33">
        <v>9</v>
      </c>
      <c r="O10" s="33" t="s">
        <v>96</v>
      </c>
      <c r="P10" s="34"/>
      <c r="Q10" s="40"/>
      <c r="R10" s="34"/>
      <c r="S10" s="33" t="s">
        <v>250</v>
      </c>
    </row>
    <row r="11" spans="2:19" x14ac:dyDescent="0.25">
      <c r="B11" s="14"/>
      <c r="C11" s="14"/>
      <c r="D11" s="14"/>
      <c r="E11" s="14"/>
      <c r="F11" s="14"/>
      <c r="G11" s="33" t="s">
        <v>192</v>
      </c>
      <c r="H11" s="33" t="s">
        <v>101</v>
      </c>
      <c r="I11" s="33" t="s">
        <v>94</v>
      </c>
      <c r="J11" s="32" t="s">
        <v>103</v>
      </c>
      <c r="K11" s="33" t="s">
        <v>771</v>
      </c>
      <c r="L11" s="33"/>
      <c r="M11" s="33">
        <v>4</v>
      </c>
      <c r="N11" s="33">
        <v>9</v>
      </c>
      <c r="O11" s="33" t="s">
        <v>96</v>
      </c>
      <c r="P11" s="34"/>
      <c r="Q11" s="40"/>
      <c r="R11" s="34"/>
      <c r="S11" s="33" t="s">
        <v>281</v>
      </c>
    </row>
    <row r="12" spans="2:19" x14ac:dyDescent="0.25">
      <c r="B12" s="14"/>
      <c r="C12" s="14"/>
      <c r="D12" s="14"/>
      <c r="E12" s="14"/>
      <c r="F12" s="14"/>
      <c r="G12" s="33" t="s">
        <v>193</v>
      </c>
      <c r="H12" s="33" t="s">
        <v>101</v>
      </c>
      <c r="I12" s="33" t="s">
        <v>94</v>
      </c>
      <c r="J12" s="32" t="s">
        <v>105</v>
      </c>
      <c r="K12" s="33" t="s">
        <v>777</v>
      </c>
      <c r="L12" s="33"/>
      <c r="M12" s="33">
        <v>4</v>
      </c>
      <c r="N12" s="33">
        <v>9</v>
      </c>
      <c r="O12" s="33" t="s">
        <v>96</v>
      </c>
      <c r="P12" s="34"/>
      <c r="Q12" s="40"/>
      <c r="R12" s="34"/>
      <c r="S12" s="33" t="s">
        <v>282</v>
      </c>
    </row>
    <row r="13" spans="2:19" x14ac:dyDescent="0.25">
      <c r="B13" s="14"/>
      <c r="C13" s="14"/>
      <c r="D13" s="14"/>
      <c r="E13" s="14"/>
      <c r="F13" s="14"/>
      <c r="G13" s="33" t="s">
        <v>374</v>
      </c>
      <c r="H13" s="33" t="s">
        <v>99</v>
      </c>
      <c r="I13" s="33" t="s">
        <v>94</v>
      </c>
      <c r="J13" s="33" t="s">
        <v>372</v>
      </c>
      <c r="K13" s="33"/>
      <c r="L13" s="32" t="s">
        <v>194</v>
      </c>
      <c r="M13" s="33">
        <v>4</v>
      </c>
      <c r="N13" s="33">
        <v>21</v>
      </c>
      <c r="O13" s="33" t="s">
        <v>96</v>
      </c>
      <c r="P13" s="34"/>
      <c r="Q13" s="40"/>
      <c r="R13" s="34"/>
      <c r="S13" s="33" t="s">
        <v>283</v>
      </c>
    </row>
    <row r="14" spans="2:19" x14ac:dyDescent="0.25">
      <c r="B14" s="14"/>
      <c r="C14" s="14"/>
      <c r="D14" s="14"/>
      <c r="E14" s="14"/>
      <c r="F14" s="14"/>
      <c r="G14" s="33" t="s">
        <v>375</v>
      </c>
      <c r="H14" s="33" t="s">
        <v>99</v>
      </c>
      <c r="I14" s="33" t="s">
        <v>94</v>
      </c>
      <c r="J14" s="33" t="s">
        <v>373</v>
      </c>
      <c r="K14" s="33"/>
      <c r="L14" s="32" t="s">
        <v>194</v>
      </c>
      <c r="M14" s="33">
        <v>4</v>
      </c>
      <c r="N14" s="33">
        <v>21</v>
      </c>
      <c r="O14" s="33" t="s">
        <v>96</v>
      </c>
      <c r="P14" s="34"/>
      <c r="Q14" s="40"/>
      <c r="R14" s="34"/>
      <c r="S14" s="33" t="s">
        <v>284</v>
      </c>
    </row>
    <row r="15" spans="2:19" x14ac:dyDescent="0.25">
      <c r="B15" s="14"/>
      <c r="C15" s="14"/>
      <c r="D15" s="14"/>
      <c r="E15" s="14"/>
      <c r="F15" s="14"/>
      <c r="G15" s="32" t="s">
        <v>195</v>
      </c>
      <c r="H15" s="32"/>
      <c r="I15" s="33"/>
      <c r="J15" s="32" t="s">
        <v>327</v>
      </c>
      <c r="K15" s="32"/>
      <c r="L15" s="32"/>
      <c r="M15" s="32">
        <v>2</v>
      </c>
      <c r="N15" s="42">
        <v>5</v>
      </c>
      <c r="O15" s="33"/>
      <c r="P15" s="34"/>
      <c r="Q15" s="40"/>
      <c r="R15" s="34"/>
      <c r="S15" s="33"/>
    </row>
    <row r="16" spans="2:19" x14ac:dyDescent="0.25">
      <c r="B16" s="14"/>
      <c r="C16" s="14"/>
      <c r="D16" s="14"/>
      <c r="E16" s="14"/>
      <c r="F16" s="14"/>
      <c r="G16" s="32" t="s">
        <v>195</v>
      </c>
      <c r="H16" s="32"/>
      <c r="I16" s="33"/>
      <c r="J16" s="32" t="s">
        <v>323</v>
      </c>
      <c r="K16" s="32"/>
      <c r="L16" s="32"/>
      <c r="M16" s="32">
        <v>2</v>
      </c>
      <c r="N16" s="42">
        <v>5</v>
      </c>
      <c r="O16" s="33"/>
      <c r="P16" s="34"/>
      <c r="Q16" s="40"/>
      <c r="R16" s="34"/>
      <c r="S16" s="33"/>
    </row>
    <row r="17" spans="2:19" x14ac:dyDescent="0.25">
      <c r="B17" s="14"/>
      <c r="C17" s="14"/>
      <c r="D17" s="14"/>
      <c r="E17" s="14"/>
      <c r="F17" s="14"/>
      <c r="G17" s="33" t="s">
        <v>376</v>
      </c>
      <c r="H17" s="33" t="s">
        <v>149</v>
      </c>
      <c r="I17" s="33" t="s">
        <v>96</v>
      </c>
      <c r="J17" s="33" t="s">
        <v>450</v>
      </c>
      <c r="K17" s="33"/>
      <c r="L17" s="33"/>
      <c r="M17" s="33">
        <v>4</v>
      </c>
      <c r="N17" s="33">
        <v>9</v>
      </c>
      <c r="O17" s="33" t="s">
        <v>96</v>
      </c>
      <c r="P17" s="34"/>
      <c r="Q17" s="40"/>
      <c r="R17" s="34"/>
      <c r="S17" s="33" t="s">
        <v>252</v>
      </c>
    </row>
    <row r="18" spans="2:19" x14ac:dyDescent="0.25">
      <c r="B18" s="14"/>
      <c r="C18" s="14"/>
      <c r="D18" s="14"/>
      <c r="E18" s="14"/>
      <c r="F18" s="14"/>
      <c r="G18" s="33" t="s">
        <v>377</v>
      </c>
      <c r="H18" s="33" t="s">
        <v>101</v>
      </c>
      <c r="I18" s="33" t="s">
        <v>96</v>
      </c>
      <c r="J18" s="33" t="s">
        <v>451</v>
      </c>
      <c r="K18" s="33" t="s">
        <v>368</v>
      </c>
      <c r="L18" s="33"/>
      <c r="M18" s="33">
        <v>4</v>
      </c>
      <c r="N18" s="33">
        <v>9</v>
      </c>
      <c r="O18" s="33" t="s">
        <v>96</v>
      </c>
      <c r="P18" s="34"/>
      <c r="Q18" s="40"/>
      <c r="R18" s="34"/>
      <c r="S18" s="33" t="s">
        <v>253</v>
      </c>
    </row>
    <row r="19" spans="2:19" x14ac:dyDescent="0.25">
      <c r="B19" s="14"/>
      <c r="C19" s="14"/>
      <c r="D19" s="14"/>
      <c r="E19" s="14"/>
      <c r="F19" s="14"/>
      <c r="G19" s="33" t="s">
        <v>378</v>
      </c>
      <c r="H19" s="33" t="s">
        <v>149</v>
      </c>
      <c r="I19" s="33" t="s">
        <v>96</v>
      </c>
      <c r="J19" s="33" t="s">
        <v>452</v>
      </c>
      <c r="K19" s="33"/>
      <c r="L19" s="33"/>
      <c r="M19" s="33">
        <v>4</v>
      </c>
      <c r="N19" s="33">
        <v>9</v>
      </c>
      <c r="O19" s="33" t="s">
        <v>96</v>
      </c>
      <c r="P19" s="34"/>
      <c r="Q19" s="40"/>
      <c r="R19" s="34"/>
      <c r="S19" s="33" t="s">
        <v>254</v>
      </c>
    </row>
    <row r="20" spans="2:19" x14ac:dyDescent="0.25">
      <c r="B20" s="14"/>
      <c r="C20" s="14"/>
      <c r="D20" s="14"/>
      <c r="E20" s="14"/>
      <c r="F20" s="14"/>
      <c r="G20" s="33" t="s">
        <v>379</v>
      </c>
      <c r="H20" s="33" t="s">
        <v>101</v>
      </c>
      <c r="I20" s="33" t="s">
        <v>96</v>
      </c>
      <c r="J20" s="33" t="s">
        <v>453</v>
      </c>
      <c r="K20" s="33" t="s">
        <v>368</v>
      </c>
      <c r="L20" s="33"/>
      <c r="M20" s="33">
        <v>4</v>
      </c>
      <c r="N20" s="33">
        <v>9</v>
      </c>
      <c r="O20" s="33" t="s">
        <v>96</v>
      </c>
      <c r="P20" s="34"/>
      <c r="Q20" s="40"/>
      <c r="R20" s="34"/>
      <c r="S20" s="33" t="s">
        <v>255</v>
      </c>
    </row>
    <row r="21" spans="2:19" x14ac:dyDescent="0.25">
      <c r="B21" s="14"/>
      <c r="C21" s="14"/>
      <c r="D21" s="14"/>
      <c r="E21" s="14"/>
      <c r="F21" s="14"/>
      <c r="G21" s="33" t="s">
        <v>380</v>
      </c>
      <c r="H21" s="33" t="s">
        <v>149</v>
      </c>
      <c r="I21" s="33" t="s">
        <v>96</v>
      </c>
      <c r="J21" s="33" t="s">
        <v>454</v>
      </c>
      <c r="K21" s="33"/>
      <c r="L21" s="33"/>
      <c r="M21" s="33">
        <v>4</v>
      </c>
      <c r="N21" s="33">
        <v>9</v>
      </c>
      <c r="O21" s="33" t="s">
        <v>96</v>
      </c>
      <c r="P21" s="34"/>
      <c r="Q21" s="40"/>
      <c r="R21" s="34"/>
      <c r="S21" s="33" t="s">
        <v>256</v>
      </c>
    </row>
    <row r="22" spans="2:19" x14ac:dyDescent="0.25">
      <c r="B22" s="14"/>
      <c r="C22" s="14"/>
      <c r="D22" s="14"/>
      <c r="E22" s="14"/>
      <c r="F22" s="14"/>
      <c r="G22" s="33" t="s">
        <v>381</v>
      </c>
      <c r="H22" s="33" t="s">
        <v>101</v>
      </c>
      <c r="I22" s="33" t="s">
        <v>96</v>
      </c>
      <c r="J22" s="33" t="s">
        <v>455</v>
      </c>
      <c r="K22" s="33" t="s">
        <v>783</v>
      </c>
      <c r="L22" s="33"/>
      <c r="M22" s="33">
        <v>4</v>
      </c>
      <c r="N22" s="33">
        <v>9</v>
      </c>
      <c r="O22" s="33" t="s">
        <v>96</v>
      </c>
      <c r="P22" s="34"/>
      <c r="Q22" s="40"/>
      <c r="R22" s="34"/>
      <c r="S22" s="33" t="s">
        <v>257</v>
      </c>
    </row>
    <row r="23" spans="2:19" x14ac:dyDescent="0.25">
      <c r="B23" s="14"/>
      <c r="C23" s="14"/>
      <c r="D23" s="14"/>
      <c r="E23" s="14"/>
      <c r="F23" s="14"/>
      <c r="G23" s="33" t="s">
        <v>382</v>
      </c>
      <c r="H23" s="33" t="s">
        <v>149</v>
      </c>
      <c r="I23" s="33" t="s">
        <v>96</v>
      </c>
      <c r="J23" s="33" t="s">
        <v>456</v>
      </c>
      <c r="K23" s="33"/>
      <c r="L23" s="33"/>
      <c r="M23" s="33">
        <v>4</v>
      </c>
      <c r="N23" s="33">
        <v>9</v>
      </c>
      <c r="O23" s="33" t="s">
        <v>96</v>
      </c>
      <c r="P23" s="34"/>
      <c r="Q23" s="40"/>
      <c r="R23" s="34"/>
      <c r="S23" s="33" t="s">
        <v>258</v>
      </c>
    </row>
    <row r="24" spans="2:19" x14ac:dyDescent="0.25">
      <c r="B24" s="14"/>
      <c r="C24" s="14"/>
      <c r="D24" s="14"/>
      <c r="E24" s="14"/>
      <c r="F24" s="14"/>
      <c r="G24" s="33" t="s">
        <v>383</v>
      </c>
      <c r="H24" s="33" t="s">
        <v>98</v>
      </c>
      <c r="I24" s="33" t="s">
        <v>96</v>
      </c>
      <c r="J24" s="33" t="s">
        <v>457</v>
      </c>
      <c r="K24" s="33" t="s">
        <v>784</v>
      </c>
      <c r="L24" s="33"/>
      <c r="M24" s="33">
        <v>4</v>
      </c>
      <c r="N24" s="33">
        <v>9</v>
      </c>
      <c r="O24" s="33" t="s">
        <v>96</v>
      </c>
      <c r="P24" s="34"/>
      <c r="Q24" s="40"/>
      <c r="R24" s="34"/>
      <c r="S24" s="33" t="s">
        <v>259</v>
      </c>
    </row>
    <row r="25" spans="2:19" x14ac:dyDescent="0.25">
      <c r="B25" s="14"/>
      <c r="C25" s="14"/>
      <c r="D25" s="14"/>
      <c r="E25" s="14"/>
      <c r="F25" s="14"/>
      <c r="G25" s="33" t="s">
        <v>384</v>
      </c>
      <c r="H25" s="33" t="s">
        <v>149</v>
      </c>
      <c r="I25" s="33" t="s">
        <v>96</v>
      </c>
      <c r="J25" s="33" t="s">
        <v>458</v>
      </c>
      <c r="K25" s="33"/>
      <c r="L25" s="33"/>
      <c r="M25" s="33">
        <v>4</v>
      </c>
      <c r="N25" s="33">
        <v>9</v>
      </c>
      <c r="O25" s="33" t="s">
        <v>96</v>
      </c>
      <c r="P25" s="34"/>
      <c r="Q25" s="40"/>
      <c r="R25" s="34"/>
      <c r="S25" s="33" t="s">
        <v>260</v>
      </c>
    </row>
    <row r="26" spans="2:19" x14ac:dyDescent="0.25">
      <c r="B26" s="14"/>
      <c r="C26" s="14"/>
      <c r="D26" s="14"/>
      <c r="E26" s="14"/>
      <c r="F26" s="14"/>
      <c r="G26" s="33" t="s">
        <v>385</v>
      </c>
      <c r="H26" s="33" t="s">
        <v>149</v>
      </c>
      <c r="I26" s="33" t="s">
        <v>96</v>
      </c>
      <c r="J26" s="33" t="s">
        <v>459</v>
      </c>
      <c r="K26" s="33"/>
      <c r="L26" s="33"/>
      <c r="M26" s="33">
        <v>4</v>
      </c>
      <c r="N26" s="33">
        <v>9</v>
      </c>
      <c r="O26" s="33" t="s">
        <v>96</v>
      </c>
      <c r="P26" s="34"/>
      <c r="Q26" s="40"/>
      <c r="R26" s="34"/>
      <c r="S26" s="33" t="s">
        <v>261</v>
      </c>
    </row>
    <row r="27" spans="2:19" x14ac:dyDescent="0.25">
      <c r="B27" s="14"/>
      <c r="C27" s="14"/>
      <c r="D27" s="14"/>
      <c r="E27" s="14"/>
      <c r="F27" s="14"/>
      <c r="G27" s="33" t="s">
        <v>386</v>
      </c>
      <c r="H27" s="33" t="s">
        <v>98</v>
      </c>
      <c r="I27" s="33" t="s">
        <v>96</v>
      </c>
      <c r="J27" s="33" t="s">
        <v>460</v>
      </c>
      <c r="K27" s="33" t="s">
        <v>369</v>
      </c>
      <c r="L27" s="33"/>
      <c r="M27" s="33">
        <v>4</v>
      </c>
      <c r="N27" s="33">
        <v>9</v>
      </c>
      <c r="O27" s="33" t="s">
        <v>96</v>
      </c>
      <c r="P27" s="34"/>
      <c r="Q27" s="40"/>
      <c r="R27" s="34"/>
      <c r="S27" s="33" t="s">
        <v>262</v>
      </c>
    </row>
    <row r="28" spans="2:19" x14ac:dyDescent="0.25">
      <c r="B28" s="14"/>
      <c r="C28" s="14"/>
      <c r="D28" s="14"/>
      <c r="E28" s="14"/>
      <c r="F28" s="14"/>
      <c r="G28" s="33" t="s">
        <v>387</v>
      </c>
      <c r="H28" s="33" t="s">
        <v>149</v>
      </c>
      <c r="I28" s="33" t="s">
        <v>96</v>
      </c>
      <c r="J28" s="33" t="s">
        <v>461</v>
      </c>
      <c r="K28" s="33"/>
      <c r="L28" s="33"/>
      <c r="M28" s="33">
        <v>4</v>
      </c>
      <c r="N28" s="33">
        <v>9</v>
      </c>
      <c r="O28" s="33" t="s">
        <v>96</v>
      </c>
      <c r="P28" s="34"/>
      <c r="Q28" s="40"/>
      <c r="R28" s="34"/>
      <c r="S28" s="33" t="s">
        <v>263</v>
      </c>
    </row>
    <row r="29" spans="2:19" x14ac:dyDescent="0.25">
      <c r="B29" s="14"/>
      <c r="C29" s="14"/>
      <c r="D29" s="14"/>
      <c r="E29" s="14"/>
      <c r="F29" s="14"/>
      <c r="G29" s="33" t="s">
        <v>388</v>
      </c>
      <c r="H29" s="33" t="s">
        <v>101</v>
      </c>
      <c r="I29" s="33" t="s">
        <v>96</v>
      </c>
      <c r="J29" s="33" t="s">
        <v>462</v>
      </c>
      <c r="K29" s="33" t="s">
        <v>370</v>
      </c>
      <c r="L29" s="33"/>
      <c r="M29" s="33">
        <v>4</v>
      </c>
      <c r="N29" s="33">
        <v>9</v>
      </c>
      <c r="O29" s="33" t="s">
        <v>96</v>
      </c>
      <c r="P29" s="34"/>
      <c r="Q29" s="40"/>
      <c r="R29" s="34"/>
      <c r="S29" s="33" t="s">
        <v>264</v>
      </c>
    </row>
    <row r="30" spans="2:19" x14ac:dyDescent="0.25">
      <c r="B30" s="14"/>
      <c r="C30" s="14"/>
      <c r="D30" s="14"/>
      <c r="E30" s="14"/>
      <c r="F30" s="14"/>
      <c r="G30" s="33" t="s">
        <v>389</v>
      </c>
      <c r="H30" s="33" t="s">
        <v>149</v>
      </c>
      <c r="I30" s="33" t="s">
        <v>96</v>
      </c>
      <c r="J30" s="33" t="s">
        <v>463</v>
      </c>
      <c r="K30" s="33"/>
      <c r="L30" s="33"/>
      <c r="M30" s="33">
        <v>4</v>
      </c>
      <c r="N30" s="33">
        <v>9</v>
      </c>
      <c r="O30" s="33" t="s">
        <v>96</v>
      </c>
      <c r="P30" s="34"/>
      <c r="Q30" s="40"/>
      <c r="R30" s="34"/>
      <c r="S30" s="33" t="s">
        <v>265</v>
      </c>
    </row>
    <row r="31" spans="2:19" x14ac:dyDescent="0.25">
      <c r="B31" s="14"/>
      <c r="C31" s="14"/>
      <c r="D31" s="14"/>
      <c r="E31" s="14"/>
      <c r="F31" s="14"/>
      <c r="G31" s="33" t="s">
        <v>390</v>
      </c>
      <c r="H31" s="33" t="s">
        <v>149</v>
      </c>
      <c r="I31" s="33" t="s">
        <v>96</v>
      </c>
      <c r="J31" s="33" t="s">
        <v>464</v>
      </c>
      <c r="K31" s="33"/>
      <c r="L31" s="33"/>
      <c r="M31" s="33">
        <v>4</v>
      </c>
      <c r="N31" s="33">
        <v>9</v>
      </c>
      <c r="O31" s="33" t="s">
        <v>96</v>
      </c>
      <c r="P31" s="34"/>
      <c r="Q31" s="40"/>
      <c r="R31" s="34"/>
      <c r="S31" s="33" t="s">
        <v>266</v>
      </c>
    </row>
    <row r="32" spans="2:19" x14ac:dyDescent="0.25">
      <c r="B32" s="14"/>
      <c r="C32" s="14"/>
      <c r="D32" s="14"/>
      <c r="E32" s="14"/>
      <c r="F32" s="14"/>
      <c r="G32" s="33" t="s">
        <v>391</v>
      </c>
      <c r="H32" s="33" t="s">
        <v>101</v>
      </c>
      <c r="I32" s="33" t="s">
        <v>96</v>
      </c>
      <c r="J32" s="33" t="s">
        <v>465</v>
      </c>
      <c r="K32" s="33" t="s">
        <v>778</v>
      </c>
      <c r="L32" s="33"/>
      <c r="M32" s="33">
        <v>4</v>
      </c>
      <c r="N32" s="33">
        <v>9</v>
      </c>
      <c r="O32" s="33" t="s">
        <v>96</v>
      </c>
      <c r="P32" s="34"/>
      <c r="Q32" s="40"/>
      <c r="R32" s="34"/>
      <c r="S32" s="33" t="s">
        <v>267</v>
      </c>
    </row>
    <row r="33" spans="2:19" x14ac:dyDescent="0.25">
      <c r="B33" s="14"/>
      <c r="C33" s="14"/>
      <c r="D33" s="14"/>
      <c r="E33" s="14"/>
      <c r="F33" s="14"/>
      <c r="G33" s="33" t="s">
        <v>392</v>
      </c>
      <c r="H33" s="33" t="s">
        <v>101</v>
      </c>
      <c r="I33" s="33" t="s">
        <v>96</v>
      </c>
      <c r="J33" s="33" t="s">
        <v>466</v>
      </c>
      <c r="K33" s="33" t="s">
        <v>779</v>
      </c>
      <c r="L33" s="33"/>
      <c r="M33" s="33">
        <v>4</v>
      </c>
      <c r="N33" s="33">
        <v>9</v>
      </c>
      <c r="O33" s="33" t="s">
        <v>96</v>
      </c>
      <c r="P33" s="34"/>
      <c r="Q33" s="40"/>
      <c r="R33" s="34"/>
      <c r="S33" s="33" t="s">
        <v>268</v>
      </c>
    </row>
    <row r="34" spans="2:19" x14ac:dyDescent="0.25">
      <c r="B34" s="14"/>
      <c r="C34" s="14"/>
      <c r="D34" s="14"/>
      <c r="E34" s="14"/>
      <c r="F34" s="14"/>
      <c r="G34" s="33" t="s">
        <v>393</v>
      </c>
      <c r="H34" s="33" t="s">
        <v>101</v>
      </c>
      <c r="I34" s="33" t="s">
        <v>96</v>
      </c>
      <c r="J34" s="33" t="s">
        <v>467</v>
      </c>
      <c r="K34" s="33" t="s">
        <v>780</v>
      </c>
      <c r="L34" s="33"/>
      <c r="M34" s="33">
        <v>4</v>
      </c>
      <c r="N34" s="33">
        <v>9</v>
      </c>
      <c r="O34" s="33" t="s">
        <v>96</v>
      </c>
      <c r="P34" s="34"/>
      <c r="Q34" s="40"/>
      <c r="R34" s="34"/>
      <c r="S34" s="33" t="s">
        <v>269</v>
      </c>
    </row>
    <row r="35" spans="2:19" x14ac:dyDescent="0.25">
      <c r="B35" s="14"/>
      <c r="C35" s="14"/>
      <c r="D35" s="14"/>
      <c r="E35" s="14"/>
      <c r="F35" s="14"/>
      <c r="G35" s="33" t="s">
        <v>394</v>
      </c>
      <c r="H35" s="33" t="s">
        <v>101</v>
      </c>
      <c r="I35" s="33" t="s">
        <v>96</v>
      </c>
      <c r="J35" s="33" t="s">
        <v>468</v>
      </c>
      <c r="K35" s="33" t="s">
        <v>781</v>
      </c>
      <c r="L35" s="33"/>
      <c r="M35" s="33">
        <v>4</v>
      </c>
      <c r="N35" s="33">
        <v>9</v>
      </c>
      <c r="O35" s="33" t="s">
        <v>96</v>
      </c>
      <c r="P35" s="34"/>
      <c r="Q35" s="40"/>
      <c r="R35" s="34"/>
      <c r="S35" s="33" t="s">
        <v>270</v>
      </c>
    </row>
    <row r="36" spans="2:19" x14ac:dyDescent="0.25">
      <c r="B36" s="14"/>
      <c r="C36" s="14"/>
      <c r="D36" s="14"/>
      <c r="E36" s="14"/>
      <c r="F36" s="14"/>
      <c r="G36" s="33" t="s">
        <v>395</v>
      </c>
      <c r="H36" s="33" t="s">
        <v>101</v>
      </c>
      <c r="I36" s="33" t="s">
        <v>96</v>
      </c>
      <c r="J36" s="33" t="s">
        <v>469</v>
      </c>
      <c r="K36" s="33" t="s">
        <v>782</v>
      </c>
      <c r="L36" s="33"/>
      <c r="M36" s="33">
        <v>4</v>
      </c>
      <c r="N36" s="33">
        <v>9</v>
      </c>
      <c r="O36" s="33" t="s">
        <v>96</v>
      </c>
      <c r="P36" s="34"/>
      <c r="Q36" s="40"/>
      <c r="R36" s="34"/>
      <c r="S36" s="33" t="s">
        <v>271</v>
      </c>
    </row>
    <row r="37" spans="2:19" x14ac:dyDescent="0.25">
      <c r="B37" s="14"/>
      <c r="C37" s="14"/>
      <c r="D37" s="14"/>
      <c r="E37" s="14"/>
      <c r="F37" s="14"/>
      <c r="G37" s="32" t="s">
        <v>604</v>
      </c>
      <c r="H37" s="32"/>
      <c r="I37" s="33"/>
      <c r="J37" s="32" t="s">
        <v>324</v>
      </c>
      <c r="K37" s="32"/>
      <c r="L37" s="32"/>
      <c r="M37" s="32">
        <v>2</v>
      </c>
      <c r="N37" s="33">
        <v>5</v>
      </c>
      <c r="O37" s="33"/>
      <c r="P37" s="34"/>
      <c r="Q37" s="40"/>
      <c r="R37" s="34"/>
      <c r="S37" s="33"/>
    </row>
    <row r="38" spans="2:19" x14ac:dyDescent="0.25">
      <c r="B38" s="14"/>
      <c r="C38" s="14"/>
      <c r="D38" s="14"/>
      <c r="E38" s="14"/>
      <c r="F38" s="14"/>
      <c r="G38" s="33" t="s">
        <v>396</v>
      </c>
      <c r="H38" s="33" t="s">
        <v>99</v>
      </c>
      <c r="I38" s="33" t="s">
        <v>96</v>
      </c>
      <c r="J38" s="32" t="s">
        <v>148</v>
      </c>
      <c r="K38" s="33"/>
      <c r="L38" s="32" t="s">
        <v>194</v>
      </c>
      <c r="M38" s="33">
        <v>4</v>
      </c>
      <c r="N38" s="33">
        <v>21</v>
      </c>
      <c r="O38" s="33" t="s">
        <v>96</v>
      </c>
      <c r="P38" s="34"/>
      <c r="Q38" s="40"/>
      <c r="R38" s="34"/>
      <c r="S38" s="33" t="s">
        <v>272</v>
      </c>
    </row>
    <row r="39" spans="2:19" x14ac:dyDescent="0.25">
      <c r="B39" s="14"/>
      <c r="C39" s="14"/>
      <c r="D39" s="14"/>
      <c r="E39" s="14"/>
      <c r="F39" s="14"/>
      <c r="G39" s="33" t="s">
        <v>397</v>
      </c>
      <c r="H39" s="33" t="s">
        <v>149</v>
      </c>
      <c r="I39" s="33" t="s">
        <v>96</v>
      </c>
      <c r="J39" s="32" t="s">
        <v>180</v>
      </c>
      <c r="K39" s="33"/>
      <c r="L39" s="33"/>
      <c r="M39" s="33">
        <v>4</v>
      </c>
      <c r="N39" s="33">
        <v>10</v>
      </c>
      <c r="O39" s="33" t="s">
        <v>96</v>
      </c>
      <c r="P39" s="34"/>
      <c r="Q39" s="40"/>
      <c r="R39" s="34"/>
      <c r="S39" s="33" t="s">
        <v>138</v>
      </c>
    </row>
    <row r="40" spans="2:19" x14ac:dyDescent="0.25">
      <c r="B40" s="14"/>
      <c r="C40" s="14"/>
      <c r="D40" s="14"/>
      <c r="E40" s="14"/>
      <c r="F40" s="14"/>
      <c r="G40" s="32" t="s">
        <v>195</v>
      </c>
      <c r="H40" s="32"/>
      <c r="I40" s="33"/>
      <c r="J40" s="32" t="s">
        <v>325</v>
      </c>
      <c r="K40" s="32"/>
      <c r="L40" s="32"/>
      <c r="M40" s="32">
        <v>3</v>
      </c>
      <c r="N40" s="33">
        <v>5</v>
      </c>
      <c r="O40" s="33"/>
      <c r="P40" s="34"/>
      <c r="Q40" s="40"/>
      <c r="R40" s="34"/>
      <c r="S40" s="33"/>
    </row>
    <row r="41" spans="2:19" x14ac:dyDescent="0.25">
      <c r="B41" s="14"/>
      <c r="C41" s="14"/>
      <c r="D41" s="14"/>
      <c r="E41" s="14"/>
      <c r="F41" s="14"/>
      <c r="G41" s="33" t="s">
        <v>398</v>
      </c>
      <c r="H41" s="33" t="s">
        <v>149</v>
      </c>
      <c r="I41" s="33" t="s">
        <v>96</v>
      </c>
      <c r="J41" s="33" t="s">
        <v>407</v>
      </c>
      <c r="K41" s="33"/>
      <c r="L41" s="33"/>
      <c r="M41" s="33">
        <v>4</v>
      </c>
      <c r="N41" s="33">
        <v>9</v>
      </c>
      <c r="O41" s="33" t="s">
        <v>96</v>
      </c>
      <c r="P41" s="34"/>
      <c r="Q41" s="40"/>
      <c r="R41" s="34"/>
      <c r="S41" s="33" t="s">
        <v>273</v>
      </c>
    </row>
    <row r="42" spans="2:19" x14ac:dyDescent="0.25">
      <c r="B42" s="14"/>
      <c r="C42" s="14"/>
      <c r="D42" s="14"/>
      <c r="E42" s="14"/>
      <c r="F42" s="14"/>
      <c r="G42" s="33" t="s">
        <v>399</v>
      </c>
      <c r="H42" s="33" t="s">
        <v>149</v>
      </c>
      <c r="I42" s="33" t="s">
        <v>96</v>
      </c>
      <c r="J42" s="33" t="s">
        <v>408</v>
      </c>
      <c r="K42" s="33"/>
      <c r="L42" s="33"/>
      <c r="M42" s="33">
        <v>4</v>
      </c>
      <c r="N42" s="33">
        <v>9</v>
      </c>
      <c r="O42" s="33" t="s">
        <v>96</v>
      </c>
      <c r="P42" s="34"/>
      <c r="Q42" s="40"/>
      <c r="R42" s="34"/>
      <c r="S42" s="33" t="s">
        <v>274</v>
      </c>
    </row>
    <row r="43" spans="2:19" x14ac:dyDescent="0.25">
      <c r="B43" s="14"/>
      <c r="C43" s="14"/>
      <c r="D43" s="14"/>
      <c r="E43" s="14"/>
      <c r="F43" s="14"/>
      <c r="G43" s="33" t="s">
        <v>400</v>
      </c>
      <c r="H43" s="33" t="s">
        <v>149</v>
      </c>
      <c r="I43" s="33" t="s">
        <v>96</v>
      </c>
      <c r="J43" s="33" t="s">
        <v>409</v>
      </c>
      <c r="K43" s="33"/>
      <c r="L43" s="33"/>
      <c r="M43" s="33">
        <v>4</v>
      </c>
      <c r="N43" s="33">
        <v>9</v>
      </c>
      <c r="O43" s="33" t="s">
        <v>96</v>
      </c>
      <c r="P43" s="34"/>
      <c r="Q43" s="40"/>
      <c r="R43" s="34"/>
      <c r="S43" s="33" t="s">
        <v>275</v>
      </c>
    </row>
    <row r="44" spans="2:19" x14ac:dyDescent="0.25">
      <c r="B44" s="14"/>
      <c r="C44" s="14"/>
      <c r="D44" s="14"/>
      <c r="E44" s="14"/>
      <c r="F44" s="14"/>
      <c r="G44" s="33" t="s">
        <v>401</v>
      </c>
      <c r="H44" s="33" t="s">
        <v>98</v>
      </c>
      <c r="I44" s="33" t="s">
        <v>96</v>
      </c>
      <c r="J44" s="33" t="s">
        <v>410</v>
      </c>
      <c r="K44" s="33" t="s">
        <v>784</v>
      </c>
      <c r="L44" s="33"/>
      <c r="M44" s="33">
        <v>4</v>
      </c>
      <c r="N44" s="33">
        <v>9</v>
      </c>
      <c r="O44" s="33" t="s">
        <v>96</v>
      </c>
      <c r="P44" s="34"/>
      <c r="Q44" s="40"/>
      <c r="R44" s="34"/>
      <c r="S44" s="33" t="s">
        <v>276</v>
      </c>
    </row>
    <row r="45" spans="2:19" x14ac:dyDescent="0.25">
      <c r="B45" s="14"/>
      <c r="C45" s="14"/>
      <c r="D45" s="14"/>
      <c r="E45" s="14"/>
      <c r="F45" s="14"/>
      <c r="G45" s="32" t="s">
        <v>195</v>
      </c>
      <c r="H45" s="32"/>
      <c r="I45" s="33"/>
      <c r="J45" s="32" t="s">
        <v>326</v>
      </c>
      <c r="K45" s="32"/>
      <c r="L45" s="32"/>
      <c r="M45" s="32">
        <v>3</v>
      </c>
      <c r="N45" s="33">
        <v>5</v>
      </c>
      <c r="O45" s="33"/>
      <c r="P45" s="34"/>
      <c r="Q45" s="40"/>
      <c r="R45" s="34"/>
      <c r="S45" s="33"/>
    </row>
    <row r="46" spans="2:19" x14ac:dyDescent="0.25">
      <c r="B46" s="14"/>
      <c r="C46" s="14"/>
      <c r="D46" s="14"/>
      <c r="E46" s="14"/>
      <c r="F46" s="14"/>
      <c r="G46" s="33" t="s">
        <v>402</v>
      </c>
      <c r="H46" s="33" t="s">
        <v>149</v>
      </c>
      <c r="I46" s="33" t="s">
        <v>96</v>
      </c>
      <c r="J46" s="33" t="s">
        <v>411</v>
      </c>
      <c r="K46" s="33"/>
      <c r="L46" s="33"/>
      <c r="M46" s="33">
        <v>4</v>
      </c>
      <c r="N46" s="33">
        <v>9</v>
      </c>
      <c r="O46" s="33" t="s">
        <v>96</v>
      </c>
      <c r="P46" s="34"/>
      <c r="Q46" s="40"/>
      <c r="R46" s="34"/>
      <c r="S46" s="33" t="s">
        <v>277</v>
      </c>
    </row>
    <row r="47" spans="2:19" x14ac:dyDescent="0.25">
      <c r="B47" s="14"/>
      <c r="C47" s="14"/>
      <c r="D47" s="14"/>
      <c r="E47" s="14"/>
      <c r="F47" s="14"/>
      <c r="G47" s="33" t="s">
        <v>403</v>
      </c>
      <c r="H47" s="33" t="s">
        <v>149</v>
      </c>
      <c r="I47" s="33" t="s">
        <v>96</v>
      </c>
      <c r="J47" s="33" t="s">
        <v>412</v>
      </c>
      <c r="K47" s="33"/>
      <c r="L47" s="33"/>
      <c r="M47" s="33">
        <v>4</v>
      </c>
      <c r="N47" s="33">
        <v>9</v>
      </c>
      <c r="O47" s="33" t="s">
        <v>96</v>
      </c>
      <c r="P47" s="34"/>
      <c r="Q47" s="40"/>
      <c r="R47" s="34"/>
      <c r="S47" s="33" t="s">
        <v>278</v>
      </c>
    </row>
    <row r="48" spans="2:19" x14ac:dyDescent="0.25">
      <c r="B48" s="14"/>
      <c r="C48" s="14"/>
      <c r="D48" s="14"/>
      <c r="E48" s="14"/>
      <c r="F48" s="14"/>
      <c r="G48" s="33" t="s">
        <v>404</v>
      </c>
      <c r="H48" s="33" t="s">
        <v>149</v>
      </c>
      <c r="I48" s="33" t="s">
        <v>96</v>
      </c>
      <c r="J48" s="33" t="s">
        <v>413</v>
      </c>
      <c r="K48" s="33"/>
      <c r="L48" s="33"/>
      <c r="M48" s="33">
        <v>4</v>
      </c>
      <c r="N48" s="33">
        <v>9</v>
      </c>
      <c r="O48" s="33" t="s">
        <v>96</v>
      </c>
      <c r="P48" s="34"/>
      <c r="Q48" s="40"/>
      <c r="R48" s="34"/>
      <c r="S48" s="33" t="s">
        <v>279</v>
      </c>
    </row>
    <row r="49" spans="2:19" x14ac:dyDescent="0.25">
      <c r="B49" s="14"/>
      <c r="C49" s="14"/>
      <c r="D49" s="14"/>
      <c r="E49" s="14"/>
      <c r="F49" s="14"/>
      <c r="G49" s="33" t="s">
        <v>405</v>
      </c>
      <c r="H49" s="33" t="s">
        <v>98</v>
      </c>
      <c r="I49" s="33" t="s">
        <v>96</v>
      </c>
      <c r="J49" s="33" t="s">
        <v>414</v>
      </c>
      <c r="K49" s="33" t="s">
        <v>784</v>
      </c>
      <c r="L49" s="33"/>
      <c r="M49" s="33">
        <v>4</v>
      </c>
      <c r="N49" s="33">
        <v>9</v>
      </c>
      <c r="O49" s="33" t="s">
        <v>96</v>
      </c>
      <c r="P49" s="34"/>
      <c r="Q49" s="40"/>
      <c r="R49" s="34"/>
      <c r="S49" s="33" t="s">
        <v>280</v>
      </c>
    </row>
    <row r="50" spans="2:19" x14ac:dyDescent="0.25">
      <c r="B50" s="14"/>
      <c r="C50" s="14"/>
      <c r="D50" s="14"/>
      <c r="E50" s="14"/>
      <c r="F50" s="14"/>
      <c r="G50" s="32" t="s">
        <v>604</v>
      </c>
      <c r="H50" s="32"/>
      <c r="I50" s="33"/>
      <c r="J50" s="32" t="s">
        <v>146</v>
      </c>
      <c r="K50" s="32"/>
      <c r="L50" s="32"/>
      <c r="M50" s="32">
        <v>1</v>
      </c>
      <c r="N50" s="33">
        <v>5</v>
      </c>
      <c r="O50" s="33"/>
      <c r="P50" s="34"/>
      <c r="Q50" s="40"/>
      <c r="R50" s="34"/>
      <c r="S50" s="33"/>
    </row>
    <row r="51" spans="2:19" x14ac:dyDescent="0.25">
      <c r="B51" s="14"/>
      <c r="C51" s="14"/>
      <c r="D51" s="14"/>
      <c r="E51" s="14"/>
      <c r="F51" s="14"/>
      <c r="G51" s="33" t="s">
        <v>181</v>
      </c>
      <c r="H51" s="33" t="s">
        <v>101</v>
      </c>
      <c r="I51" s="33" t="s">
        <v>94</v>
      </c>
      <c r="J51" s="32" t="s">
        <v>197</v>
      </c>
      <c r="K51" s="33" t="s">
        <v>773</v>
      </c>
      <c r="L51" s="33"/>
      <c r="M51" s="33">
        <v>4</v>
      </c>
      <c r="N51" s="33">
        <v>9</v>
      </c>
      <c r="O51" s="33" t="s">
        <v>96</v>
      </c>
      <c r="P51" s="34"/>
      <c r="Q51" s="40"/>
      <c r="R51" s="34"/>
      <c r="S51" s="33" t="s">
        <v>285</v>
      </c>
    </row>
    <row r="52" spans="2:19" x14ac:dyDescent="0.25">
      <c r="B52" s="14"/>
      <c r="C52" s="14"/>
      <c r="D52" s="14"/>
      <c r="E52" s="14"/>
      <c r="F52" s="14"/>
      <c r="G52" s="33" t="s">
        <v>328</v>
      </c>
      <c r="H52" s="33" t="s">
        <v>101</v>
      </c>
      <c r="I52" s="33" t="s">
        <v>94</v>
      </c>
      <c r="J52" s="32" t="s">
        <v>147</v>
      </c>
      <c r="K52" s="33" t="s">
        <v>772</v>
      </c>
      <c r="L52" s="33"/>
      <c r="M52" s="33">
        <v>4</v>
      </c>
      <c r="N52" s="33">
        <v>9</v>
      </c>
      <c r="O52" s="33" t="s">
        <v>96</v>
      </c>
      <c r="P52" s="34"/>
      <c r="Q52" s="40"/>
      <c r="R52" s="34"/>
      <c r="S52" s="33" t="s">
        <v>286</v>
      </c>
    </row>
    <row r="53" spans="2:19" x14ac:dyDescent="0.25">
      <c r="B53" s="14"/>
      <c r="C53" s="14"/>
      <c r="D53" s="14"/>
      <c r="E53" s="14"/>
      <c r="F53" s="14"/>
      <c r="G53" s="33" t="s">
        <v>329</v>
      </c>
      <c r="H53" s="33" t="s">
        <v>101</v>
      </c>
      <c r="I53" s="33" t="s">
        <v>94</v>
      </c>
      <c r="J53" s="33" t="s">
        <v>415</v>
      </c>
      <c r="K53" s="33" t="s">
        <v>371</v>
      </c>
      <c r="L53" s="33"/>
      <c r="M53" s="33">
        <v>4</v>
      </c>
      <c r="N53" s="33">
        <v>9</v>
      </c>
      <c r="O53" s="33" t="s">
        <v>96</v>
      </c>
      <c r="P53" s="34"/>
      <c r="Q53" s="40"/>
      <c r="R53" s="34"/>
      <c r="S53" s="33" t="s">
        <v>287</v>
      </c>
    </row>
    <row r="54" spans="2:19" x14ac:dyDescent="0.25">
      <c r="B54" s="14"/>
      <c r="C54" s="14"/>
      <c r="D54" s="14"/>
      <c r="E54" s="14"/>
      <c r="F54" s="14"/>
      <c r="G54" s="33" t="s">
        <v>330</v>
      </c>
      <c r="H54" s="33" t="s">
        <v>101</v>
      </c>
      <c r="I54" s="33" t="s">
        <v>94</v>
      </c>
      <c r="J54" s="33" t="s">
        <v>416</v>
      </c>
      <c r="K54" s="33" t="s">
        <v>371</v>
      </c>
      <c r="L54" s="33"/>
      <c r="M54" s="33">
        <v>4</v>
      </c>
      <c r="N54" s="33">
        <v>10</v>
      </c>
      <c r="O54" s="33" t="s">
        <v>96</v>
      </c>
      <c r="P54" s="34"/>
      <c r="Q54" s="40"/>
      <c r="R54" s="34"/>
      <c r="S54" s="33" t="s">
        <v>288</v>
      </c>
    </row>
    <row r="55" spans="2:19" x14ac:dyDescent="0.25">
      <c r="B55" s="14"/>
      <c r="C55" s="14"/>
      <c r="D55" s="14"/>
      <c r="E55" s="14"/>
      <c r="F55" s="14"/>
      <c r="G55" s="32" t="s">
        <v>195</v>
      </c>
      <c r="H55" s="32"/>
      <c r="I55" s="33"/>
      <c r="J55" s="32" t="s">
        <v>364</v>
      </c>
      <c r="K55" s="32"/>
      <c r="L55" s="32"/>
      <c r="M55" s="32">
        <v>2</v>
      </c>
      <c r="N55" s="33">
        <v>5</v>
      </c>
      <c r="O55" s="33"/>
      <c r="P55" s="34"/>
      <c r="Q55" s="40"/>
      <c r="R55" s="34"/>
      <c r="S55" s="33"/>
    </row>
    <row r="56" spans="2:19" x14ac:dyDescent="0.25">
      <c r="B56" s="14"/>
      <c r="C56" s="14"/>
      <c r="D56" s="14"/>
      <c r="E56" s="14"/>
      <c r="F56" s="14"/>
      <c r="G56" s="33" t="s">
        <v>331</v>
      </c>
      <c r="H56" s="33" t="s">
        <v>149</v>
      </c>
      <c r="I56" s="33" t="s">
        <v>96</v>
      </c>
      <c r="J56" s="33" t="s">
        <v>417</v>
      </c>
      <c r="K56" s="33"/>
      <c r="L56" s="33"/>
      <c r="M56" s="33">
        <v>4</v>
      </c>
      <c r="N56" s="33">
        <v>9</v>
      </c>
      <c r="O56" s="33" t="s">
        <v>96</v>
      </c>
      <c r="P56" s="34"/>
      <c r="Q56" s="40"/>
      <c r="R56" s="34"/>
      <c r="S56" s="33" t="s">
        <v>289</v>
      </c>
    </row>
    <row r="57" spans="2:19" x14ac:dyDescent="0.25">
      <c r="B57" s="14"/>
      <c r="C57" s="14"/>
      <c r="D57" s="14"/>
      <c r="E57" s="14"/>
      <c r="F57" s="14"/>
      <c r="G57" s="33" t="s">
        <v>332</v>
      </c>
      <c r="H57" s="33" t="s">
        <v>101</v>
      </c>
      <c r="I57" s="33" t="s">
        <v>96</v>
      </c>
      <c r="J57" s="33" t="s">
        <v>436</v>
      </c>
      <c r="K57" s="33" t="s">
        <v>368</v>
      </c>
      <c r="L57" s="33"/>
      <c r="M57" s="33">
        <v>4</v>
      </c>
      <c r="N57" s="33">
        <v>9</v>
      </c>
      <c r="O57" s="33" t="s">
        <v>96</v>
      </c>
      <c r="P57" s="34"/>
      <c r="Q57" s="40"/>
      <c r="R57" s="34"/>
      <c r="S57" s="33" t="s">
        <v>290</v>
      </c>
    </row>
    <row r="58" spans="2:19" x14ac:dyDescent="0.25">
      <c r="B58" s="14"/>
      <c r="C58" s="14"/>
      <c r="D58" s="14"/>
      <c r="E58" s="14"/>
      <c r="F58" s="14"/>
      <c r="G58" s="33" t="s">
        <v>333</v>
      </c>
      <c r="H58" s="33" t="s">
        <v>149</v>
      </c>
      <c r="I58" s="33" t="s">
        <v>96</v>
      </c>
      <c r="J58" s="33" t="s">
        <v>418</v>
      </c>
      <c r="K58" s="33"/>
      <c r="L58" s="33"/>
      <c r="M58" s="33">
        <v>4</v>
      </c>
      <c r="N58" s="33">
        <v>9</v>
      </c>
      <c r="O58" s="33" t="s">
        <v>96</v>
      </c>
      <c r="P58" s="34"/>
      <c r="Q58" s="40"/>
      <c r="R58" s="34"/>
      <c r="S58" s="33" t="s">
        <v>291</v>
      </c>
    </row>
    <row r="59" spans="2:19" x14ac:dyDescent="0.25">
      <c r="B59" s="14"/>
      <c r="C59" s="14"/>
      <c r="D59" s="14"/>
      <c r="E59" s="14"/>
      <c r="F59" s="14"/>
      <c r="G59" s="33" t="s">
        <v>334</v>
      </c>
      <c r="H59" s="33" t="s">
        <v>101</v>
      </c>
      <c r="I59" s="33" t="s">
        <v>96</v>
      </c>
      <c r="J59" s="33" t="s">
        <v>449</v>
      </c>
      <c r="K59" s="33" t="s">
        <v>368</v>
      </c>
      <c r="L59" s="33"/>
      <c r="M59" s="33">
        <v>4</v>
      </c>
      <c r="N59" s="33">
        <v>9</v>
      </c>
      <c r="O59" s="33" t="s">
        <v>96</v>
      </c>
      <c r="P59" s="34"/>
      <c r="Q59" s="40"/>
      <c r="R59" s="34"/>
      <c r="S59" s="33" t="s">
        <v>292</v>
      </c>
    </row>
    <row r="60" spans="2:19" x14ac:dyDescent="0.25">
      <c r="B60" s="14"/>
      <c r="C60" s="14"/>
      <c r="D60" s="14"/>
      <c r="E60" s="14"/>
      <c r="F60" s="14"/>
      <c r="G60" s="33" t="s">
        <v>335</v>
      </c>
      <c r="H60" s="33" t="s">
        <v>149</v>
      </c>
      <c r="I60" s="33" t="s">
        <v>96</v>
      </c>
      <c r="J60" s="33" t="s">
        <v>419</v>
      </c>
      <c r="K60" s="33"/>
      <c r="L60" s="33"/>
      <c r="M60" s="33">
        <v>4</v>
      </c>
      <c r="N60" s="33">
        <v>9</v>
      </c>
      <c r="O60" s="33" t="s">
        <v>96</v>
      </c>
      <c r="P60" s="34"/>
      <c r="Q60" s="40"/>
      <c r="R60" s="34"/>
      <c r="S60" s="33" t="s">
        <v>293</v>
      </c>
    </row>
    <row r="61" spans="2:19" x14ac:dyDescent="0.25">
      <c r="B61" s="14"/>
      <c r="C61" s="14"/>
      <c r="D61" s="14"/>
      <c r="E61" s="14"/>
      <c r="F61" s="14"/>
      <c r="G61" s="33" t="s">
        <v>336</v>
      </c>
      <c r="H61" s="33" t="s">
        <v>101</v>
      </c>
      <c r="I61" s="33" t="s">
        <v>96</v>
      </c>
      <c r="J61" s="33" t="s">
        <v>437</v>
      </c>
      <c r="K61" s="33" t="s">
        <v>783</v>
      </c>
      <c r="L61" s="33"/>
      <c r="M61" s="33">
        <v>4</v>
      </c>
      <c r="N61" s="33">
        <v>9</v>
      </c>
      <c r="O61" s="33" t="s">
        <v>96</v>
      </c>
      <c r="P61" s="34"/>
      <c r="Q61" s="40"/>
      <c r="R61" s="34"/>
      <c r="S61" s="33" t="s">
        <v>294</v>
      </c>
    </row>
    <row r="62" spans="2:19" x14ac:dyDescent="0.25">
      <c r="B62" s="14"/>
      <c r="C62" s="14"/>
      <c r="D62" s="14"/>
      <c r="E62" s="14"/>
      <c r="F62" s="14"/>
      <c r="G62" s="33" t="s">
        <v>337</v>
      </c>
      <c r="H62" s="33" t="s">
        <v>149</v>
      </c>
      <c r="I62" s="33" t="s">
        <v>96</v>
      </c>
      <c r="J62" s="33" t="s">
        <v>420</v>
      </c>
      <c r="K62" s="33"/>
      <c r="L62" s="33"/>
      <c r="M62" s="33">
        <v>4</v>
      </c>
      <c r="N62" s="33">
        <v>9</v>
      </c>
      <c r="O62" s="33" t="s">
        <v>96</v>
      </c>
      <c r="P62" s="34"/>
      <c r="Q62" s="40"/>
      <c r="R62" s="34"/>
      <c r="S62" s="33" t="s">
        <v>295</v>
      </c>
    </row>
    <row r="63" spans="2:19" x14ac:dyDescent="0.25">
      <c r="B63" s="14"/>
      <c r="C63" s="14"/>
      <c r="D63" s="14"/>
      <c r="E63" s="14"/>
      <c r="F63" s="14"/>
      <c r="G63" s="33" t="s">
        <v>338</v>
      </c>
      <c r="H63" s="33" t="s">
        <v>98</v>
      </c>
      <c r="I63" s="33" t="s">
        <v>96</v>
      </c>
      <c r="J63" s="33" t="s">
        <v>421</v>
      </c>
      <c r="K63" s="33" t="s">
        <v>784</v>
      </c>
      <c r="L63" s="33"/>
      <c r="M63" s="33">
        <v>4</v>
      </c>
      <c r="N63" s="33">
        <v>9</v>
      </c>
      <c r="O63" s="33" t="s">
        <v>96</v>
      </c>
      <c r="P63" s="34"/>
      <c r="Q63" s="40"/>
      <c r="R63" s="34"/>
      <c r="S63" s="33" t="s">
        <v>296</v>
      </c>
    </row>
    <row r="64" spans="2:19" x14ac:dyDescent="0.25">
      <c r="B64" s="14"/>
      <c r="C64" s="14"/>
      <c r="D64" s="14"/>
      <c r="E64" s="14"/>
      <c r="F64" s="14"/>
      <c r="G64" s="33" t="s">
        <v>339</v>
      </c>
      <c r="H64" s="33" t="s">
        <v>149</v>
      </c>
      <c r="I64" s="33" t="s">
        <v>96</v>
      </c>
      <c r="J64" s="33" t="s">
        <v>422</v>
      </c>
      <c r="K64" s="33"/>
      <c r="L64" s="33"/>
      <c r="M64" s="33">
        <v>4</v>
      </c>
      <c r="N64" s="33">
        <v>9</v>
      </c>
      <c r="O64" s="33" t="s">
        <v>96</v>
      </c>
      <c r="P64" s="34"/>
      <c r="Q64" s="40"/>
      <c r="R64" s="34"/>
      <c r="S64" s="33" t="s">
        <v>297</v>
      </c>
    </row>
    <row r="65" spans="2:19" x14ac:dyDescent="0.25">
      <c r="B65" s="14"/>
      <c r="C65" s="14"/>
      <c r="D65" s="14"/>
      <c r="E65" s="14"/>
      <c r="F65" s="14"/>
      <c r="G65" s="33" t="s">
        <v>340</v>
      </c>
      <c r="H65" s="33" t="s">
        <v>149</v>
      </c>
      <c r="I65" s="33" t="s">
        <v>96</v>
      </c>
      <c r="J65" s="33" t="s">
        <v>423</v>
      </c>
      <c r="K65" s="33"/>
      <c r="L65" s="33"/>
      <c r="M65" s="33">
        <v>4</v>
      </c>
      <c r="N65" s="33">
        <v>9</v>
      </c>
      <c r="O65" s="33" t="s">
        <v>96</v>
      </c>
      <c r="P65" s="34"/>
      <c r="Q65" s="40"/>
      <c r="R65" s="34"/>
      <c r="S65" s="33" t="s">
        <v>298</v>
      </c>
    </row>
    <row r="66" spans="2:19" x14ac:dyDescent="0.25">
      <c r="B66" s="14"/>
      <c r="C66" s="14"/>
      <c r="D66" s="14"/>
      <c r="E66" s="14"/>
      <c r="F66" s="14"/>
      <c r="G66" s="33" t="s">
        <v>341</v>
      </c>
      <c r="H66" s="33" t="s">
        <v>98</v>
      </c>
      <c r="I66" s="33" t="s">
        <v>96</v>
      </c>
      <c r="J66" s="33" t="s">
        <v>438</v>
      </c>
      <c r="K66" s="33" t="s">
        <v>369</v>
      </c>
      <c r="L66" s="33"/>
      <c r="M66" s="33">
        <v>4</v>
      </c>
      <c r="N66" s="33">
        <v>9</v>
      </c>
      <c r="O66" s="33" t="s">
        <v>96</v>
      </c>
      <c r="P66" s="34"/>
      <c r="Q66" s="40"/>
      <c r="R66" s="34"/>
      <c r="S66" s="33" t="s">
        <v>299</v>
      </c>
    </row>
    <row r="67" spans="2:19" x14ac:dyDescent="0.25">
      <c r="B67" s="14"/>
      <c r="C67" s="14"/>
      <c r="D67" s="14"/>
      <c r="E67" s="14"/>
      <c r="F67" s="14"/>
      <c r="G67" s="33" t="s">
        <v>342</v>
      </c>
      <c r="H67" s="33" t="s">
        <v>149</v>
      </c>
      <c r="I67" s="33" t="s">
        <v>96</v>
      </c>
      <c r="J67" s="33" t="s">
        <v>424</v>
      </c>
      <c r="K67" s="33"/>
      <c r="L67" s="33"/>
      <c r="M67" s="33">
        <v>4</v>
      </c>
      <c r="N67" s="33">
        <v>9</v>
      </c>
      <c r="O67" s="33" t="s">
        <v>96</v>
      </c>
      <c r="P67" s="34"/>
      <c r="Q67" s="40"/>
      <c r="R67" s="34"/>
      <c r="S67" s="33" t="s">
        <v>300</v>
      </c>
    </row>
    <row r="68" spans="2:19" x14ac:dyDescent="0.25">
      <c r="B68" s="14"/>
      <c r="C68" s="14"/>
      <c r="D68" s="14"/>
      <c r="E68" s="14"/>
      <c r="F68" s="14"/>
      <c r="G68" s="33" t="s">
        <v>343</v>
      </c>
      <c r="H68" s="33" t="s">
        <v>101</v>
      </c>
      <c r="I68" s="33" t="s">
        <v>96</v>
      </c>
      <c r="J68" s="33" t="s">
        <v>439</v>
      </c>
      <c r="K68" s="33" t="s">
        <v>370</v>
      </c>
      <c r="L68" s="33"/>
      <c r="M68" s="33">
        <v>4</v>
      </c>
      <c r="N68" s="33">
        <v>9</v>
      </c>
      <c r="O68" s="33" t="s">
        <v>96</v>
      </c>
      <c r="P68" s="34"/>
      <c r="Q68" s="40"/>
      <c r="R68" s="34"/>
      <c r="S68" s="33" t="s">
        <v>301</v>
      </c>
    </row>
    <row r="69" spans="2:19" x14ac:dyDescent="0.25">
      <c r="B69" s="14"/>
      <c r="C69" s="14"/>
      <c r="D69" s="14"/>
      <c r="E69" s="14"/>
      <c r="F69" s="14"/>
      <c r="G69" s="33" t="s">
        <v>344</v>
      </c>
      <c r="H69" s="33" t="s">
        <v>149</v>
      </c>
      <c r="I69" s="33" t="s">
        <v>96</v>
      </c>
      <c r="J69" s="33" t="s">
        <v>425</v>
      </c>
      <c r="K69" s="33"/>
      <c r="L69" s="33"/>
      <c r="M69" s="33">
        <v>4</v>
      </c>
      <c r="N69" s="33">
        <v>9</v>
      </c>
      <c r="O69" s="33" t="s">
        <v>96</v>
      </c>
      <c r="P69" s="34"/>
      <c r="Q69" s="40"/>
      <c r="R69" s="34"/>
      <c r="S69" s="33" t="s">
        <v>302</v>
      </c>
    </row>
    <row r="70" spans="2:19" x14ac:dyDescent="0.25">
      <c r="B70" s="14"/>
      <c r="C70" s="14"/>
      <c r="D70" s="14"/>
      <c r="E70" s="14"/>
      <c r="F70" s="14"/>
      <c r="G70" s="33" t="s">
        <v>345</v>
      </c>
      <c r="H70" s="33" t="s">
        <v>149</v>
      </c>
      <c r="I70" s="33" t="s">
        <v>96</v>
      </c>
      <c r="J70" s="33" t="s">
        <v>426</v>
      </c>
      <c r="K70" s="33"/>
      <c r="L70" s="33"/>
      <c r="M70" s="33">
        <v>4</v>
      </c>
      <c r="N70" s="33">
        <v>9</v>
      </c>
      <c r="O70" s="33" t="s">
        <v>96</v>
      </c>
      <c r="P70" s="34"/>
      <c r="Q70" s="40"/>
      <c r="R70" s="34"/>
      <c r="S70" s="33" t="s">
        <v>303</v>
      </c>
    </row>
    <row r="71" spans="2:19" x14ac:dyDescent="0.25">
      <c r="B71" s="14"/>
      <c r="C71" s="14"/>
      <c r="D71" s="14"/>
      <c r="E71" s="14"/>
      <c r="F71" s="14"/>
      <c r="G71" s="33" t="s">
        <v>346</v>
      </c>
      <c r="H71" s="33" t="s">
        <v>101</v>
      </c>
      <c r="I71" s="33" t="s">
        <v>96</v>
      </c>
      <c r="J71" s="33" t="s">
        <v>440</v>
      </c>
      <c r="K71" s="33" t="s">
        <v>778</v>
      </c>
      <c r="L71" s="33"/>
      <c r="M71" s="33">
        <v>4</v>
      </c>
      <c r="N71" s="33">
        <v>9</v>
      </c>
      <c r="O71" s="33" t="s">
        <v>96</v>
      </c>
      <c r="P71" s="34"/>
      <c r="Q71" s="40"/>
      <c r="R71" s="34"/>
      <c r="S71" s="33" t="s">
        <v>304</v>
      </c>
    </row>
    <row r="72" spans="2:19" x14ac:dyDescent="0.25">
      <c r="B72" s="14"/>
      <c r="C72" s="14"/>
      <c r="D72" s="14"/>
      <c r="E72" s="14"/>
      <c r="F72" s="14"/>
      <c r="G72" s="33" t="s">
        <v>347</v>
      </c>
      <c r="H72" s="33" t="s">
        <v>101</v>
      </c>
      <c r="I72" s="33" t="s">
        <v>96</v>
      </c>
      <c r="J72" s="33" t="s">
        <v>427</v>
      </c>
      <c r="K72" s="33" t="s">
        <v>779</v>
      </c>
      <c r="L72" s="33"/>
      <c r="M72" s="33">
        <v>4</v>
      </c>
      <c r="N72" s="33">
        <v>9</v>
      </c>
      <c r="O72" s="33" t="s">
        <v>96</v>
      </c>
      <c r="P72" s="34"/>
      <c r="Q72" s="40"/>
      <c r="R72" s="34"/>
      <c r="S72" s="33" t="s">
        <v>305</v>
      </c>
    </row>
    <row r="73" spans="2:19" x14ac:dyDescent="0.25">
      <c r="B73" s="14"/>
      <c r="C73" s="14"/>
      <c r="D73" s="14"/>
      <c r="E73" s="14"/>
      <c r="F73" s="14"/>
      <c r="G73" s="33" t="s">
        <v>348</v>
      </c>
      <c r="H73" s="33" t="s">
        <v>101</v>
      </c>
      <c r="I73" s="33" t="s">
        <v>96</v>
      </c>
      <c r="J73" s="33" t="s">
        <v>428</v>
      </c>
      <c r="K73" s="33" t="s">
        <v>780</v>
      </c>
      <c r="L73" s="33"/>
      <c r="M73" s="33">
        <v>4</v>
      </c>
      <c r="N73" s="33">
        <v>9</v>
      </c>
      <c r="O73" s="33" t="s">
        <v>96</v>
      </c>
      <c r="P73" s="34"/>
      <c r="Q73" s="40"/>
      <c r="R73" s="34"/>
      <c r="S73" s="33" t="s">
        <v>306</v>
      </c>
    </row>
    <row r="74" spans="2:19" x14ac:dyDescent="0.25">
      <c r="B74" s="14"/>
      <c r="C74" s="14"/>
      <c r="D74" s="14"/>
      <c r="E74" s="14"/>
      <c r="F74" s="14"/>
      <c r="G74" s="33" t="s">
        <v>349</v>
      </c>
      <c r="H74" s="33" t="s">
        <v>101</v>
      </c>
      <c r="I74" s="33" t="s">
        <v>96</v>
      </c>
      <c r="J74" s="33" t="s">
        <v>429</v>
      </c>
      <c r="K74" s="33" t="s">
        <v>781</v>
      </c>
      <c r="L74" s="33"/>
      <c r="M74" s="33">
        <v>4</v>
      </c>
      <c r="N74" s="33">
        <v>9</v>
      </c>
      <c r="O74" s="33" t="s">
        <v>96</v>
      </c>
      <c r="P74" s="34"/>
      <c r="Q74" s="40"/>
      <c r="R74" s="34"/>
      <c r="S74" s="33" t="s">
        <v>307</v>
      </c>
    </row>
    <row r="75" spans="2:19" x14ac:dyDescent="0.25">
      <c r="B75" s="14"/>
      <c r="C75" s="14"/>
      <c r="D75" s="14"/>
      <c r="E75" s="14"/>
      <c r="F75" s="14"/>
      <c r="G75" s="33" t="s">
        <v>350</v>
      </c>
      <c r="H75" s="33" t="s">
        <v>101</v>
      </c>
      <c r="I75" s="33" t="s">
        <v>96</v>
      </c>
      <c r="J75" s="33" t="s">
        <v>430</v>
      </c>
      <c r="K75" s="33" t="s">
        <v>782</v>
      </c>
      <c r="L75" s="33"/>
      <c r="M75" s="33">
        <v>4</v>
      </c>
      <c r="N75" s="33">
        <v>9</v>
      </c>
      <c r="O75" s="33" t="s">
        <v>96</v>
      </c>
      <c r="P75" s="34"/>
      <c r="Q75" s="40"/>
      <c r="R75" s="34"/>
      <c r="S75" s="33" t="s">
        <v>308</v>
      </c>
    </row>
    <row r="76" spans="2:19" x14ac:dyDescent="0.25">
      <c r="B76" s="14"/>
      <c r="C76" s="14"/>
      <c r="D76" s="14"/>
      <c r="E76" s="14"/>
      <c r="F76" s="14"/>
      <c r="G76" s="32" t="s">
        <v>604</v>
      </c>
      <c r="H76" s="32"/>
      <c r="I76" s="33"/>
      <c r="J76" s="32" t="s">
        <v>365</v>
      </c>
      <c r="K76" s="32"/>
      <c r="L76" s="32"/>
      <c r="M76" s="32">
        <v>2</v>
      </c>
      <c r="N76" s="33">
        <v>5</v>
      </c>
      <c r="O76" s="33"/>
      <c r="P76" s="34"/>
      <c r="Q76" s="40"/>
      <c r="R76" s="34"/>
      <c r="S76" s="33"/>
    </row>
    <row r="77" spans="2:19" x14ac:dyDescent="0.25">
      <c r="B77" s="14"/>
      <c r="C77" s="14"/>
      <c r="D77" s="14"/>
      <c r="E77" s="14"/>
      <c r="F77" s="14"/>
      <c r="G77" s="33" t="s">
        <v>351</v>
      </c>
      <c r="H77" s="33" t="s">
        <v>149</v>
      </c>
      <c r="I77" s="33" t="s">
        <v>96</v>
      </c>
      <c r="J77" s="33" t="s">
        <v>431</v>
      </c>
      <c r="K77" s="33"/>
      <c r="L77" s="33"/>
      <c r="M77" s="33">
        <v>4</v>
      </c>
      <c r="N77" s="33">
        <v>10</v>
      </c>
      <c r="O77" s="33" t="s">
        <v>96</v>
      </c>
      <c r="P77" s="34"/>
      <c r="Q77" s="40"/>
      <c r="R77" s="34"/>
      <c r="S77" s="33" t="s">
        <v>309</v>
      </c>
    </row>
    <row r="78" spans="2:19" x14ac:dyDescent="0.25">
      <c r="B78" s="14"/>
      <c r="C78" s="14"/>
      <c r="D78" s="14"/>
      <c r="E78" s="14"/>
      <c r="F78" s="14"/>
      <c r="G78" s="33" t="s">
        <v>352</v>
      </c>
      <c r="H78" s="33" t="s">
        <v>99</v>
      </c>
      <c r="I78" s="33" t="s">
        <v>96</v>
      </c>
      <c r="J78" s="33" t="s">
        <v>432</v>
      </c>
      <c r="K78" s="33"/>
      <c r="L78" s="32" t="s">
        <v>194</v>
      </c>
      <c r="M78" s="33">
        <v>4</v>
      </c>
      <c r="N78" s="33">
        <v>21</v>
      </c>
      <c r="O78" s="33" t="s">
        <v>96</v>
      </c>
      <c r="P78" s="34"/>
      <c r="Q78" s="40"/>
      <c r="R78" s="34"/>
      <c r="S78" s="33" t="s">
        <v>310</v>
      </c>
    </row>
    <row r="79" spans="2:19" x14ac:dyDescent="0.25">
      <c r="B79" s="14"/>
      <c r="C79" s="14"/>
      <c r="D79" s="14"/>
      <c r="E79" s="14"/>
      <c r="F79" s="14"/>
      <c r="G79" s="33" t="s">
        <v>353</v>
      </c>
      <c r="H79" s="33" t="s">
        <v>149</v>
      </c>
      <c r="I79" s="33" t="s">
        <v>96</v>
      </c>
      <c r="J79" s="33" t="s">
        <v>433</v>
      </c>
      <c r="K79" s="33"/>
      <c r="L79" s="33"/>
      <c r="M79" s="33">
        <v>4</v>
      </c>
      <c r="N79" s="33">
        <v>10</v>
      </c>
      <c r="O79" s="33" t="s">
        <v>96</v>
      </c>
      <c r="P79" s="34"/>
      <c r="Q79" s="40"/>
      <c r="R79" s="34"/>
      <c r="S79" s="33" t="s">
        <v>311</v>
      </c>
    </row>
    <row r="80" spans="2:19" x14ac:dyDescent="0.25">
      <c r="B80" s="14"/>
      <c r="C80" s="14"/>
      <c r="D80" s="14"/>
      <c r="E80" s="14"/>
      <c r="F80" s="14"/>
      <c r="G80" s="32" t="s">
        <v>195</v>
      </c>
      <c r="H80" s="32"/>
      <c r="I80" s="33"/>
      <c r="J80" s="32" t="s">
        <v>366</v>
      </c>
      <c r="K80" s="32"/>
      <c r="L80" s="32"/>
      <c r="M80" s="32">
        <v>3</v>
      </c>
      <c r="N80" s="33">
        <v>5</v>
      </c>
      <c r="O80" s="33"/>
      <c r="P80" s="34"/>
      <c r="Q80" s="40"/>
      <c r="R80" s="34"/>
      <c r="S80" s="33"/>
    </row>
    <row r="81" spans="2:19" x14ac:dyDescent="0.25">
      <c r="B81" s="14"/>
      <c r="C81" s="14"/>
      <c r="D81" s="14"/>
      <c r="E81" s="14"/>
      <c r="F81" s="14"/>
      <c r="G81" s="33" t="s">
        <v>354</v>
      </c>
      <c r="H81" s="33" t="s">
        <v>149</v>
      </c>
      <c r="I81" s="33" t="s">
        <v>96</v>
      </c>
      <c r="J81" s="33" t="s">
        <v>434</v>
      </c>
      <c r="K81" s="33"/>
      <c r="L81" s="33"/>
      <c r="M81" s="33">
        <v>4</v>
      </c>
      <c r="N81" s="33">
        <v>9</v>
      </c>
      <c r="O81" s="33" t="s">
        <v>96</v>
      </c>
      <c r="P81" s="34"/>
      <c r="Q81" s="40"/>
      <c r="R81" s="34"/>
      <c r="S81" s="33" t="s">
        <v>312</v>
      </c>
    </row>
    <row r="82" spans="2:19" x14ac:dyDescent="0.25">
      <c r="B82" s="14"/>
      <c r="C82" s="14"/>
      <c r="D82" s="14"/>
      <c r="E82" s="14"/>
      <c r="F82" s="14"/>
      <c r="G82" s="33" t="s">
        <v>355</v>
      </c>
      <c r="H82" s="33" t="s">
        <v>149</v>
      </c>
      <c r="I82" s="33" t="s">
        <v>96</v>
      </c>
      <c r="J82" s="33" t="s">
        <v>441</v>
      </c>
      <c r="K82" s="33"/>
      <c r="L82" s="33"/>
      <c r="M82" s="33">
        <v>4</v>
      </c>
      <c r="N82" s="33">
        <v>9</v>
      </c>
      <c r="O82" s="33" t="s">
        <v>96</v>
      </c>
      <c r="P82" s="34"/>
      <c r="Q82" s="40"/>
      <c r="R82" s="34"/>
      <c r="S82" s="33" t="s">
        <v>313</v>
      </c>
    </row>
    <row r="83" spans="2:19" x14ac:dyDescent="0.25">
      <c r="B83" s="14"/>
      <c r="C83" s="14"/>
      <c r="D83" s="14"/>
      <c r="E83" s="14"/>
      <c r="F83" s="14"/>
      <c r="G83" s="33" t="s">
        <v>356</v>
      </c>
      <c r="H83" s="33" t="s">
        <v>149</v>
      </c>
      <c r="I83" s="33" t="s">
        <v>96</v>
      </c>
      <c r="J83" s="33" t="s">
        <v>447</v>
      </c>
      <c r="K83" s="33"/>
      <c r="L83" s="33"/>
      <c r="M83" s="33">
        <v>4</v>
      </c>
      <c r="N83" s="33">
        <v>9</v>
      </c>
      <c r="O83" s="33" t="s">
        <v>96</v>
      </c>
      <c r="P83" s="34"/>
      <c r="Q83" s="40"/>
      <c r="R83" s="34"/>
      <c r="S83" s="33" t="s">
        <v>314</v>
      </c>
    </row>
    <row r="84" spans="2:19" x14ac:dyDescent="0.25">
      <c r="B84" s="14"/>
      <c r="C84" s="14"/>
      <c r="D84" s="14"/>
      <c r="E84" s="14"/>
      <c r="F84" s="14"/>
      <c r="G84" s="33" t="s">
        <v>357</v>
      </c>
      <c r="H84" s="33" t="s">
        <v>149</v>
      </c>
      <c r="I84" s="33" t="s">
        <v>96</v>
      </c>
      <c r="J84" s="33" t="s">
        <v>448</v>
      </c>
      <c r="K84" s="33"/>
      <c r="L84" s="33"/>
      <c r="M84" s="33">
        <v>4</v>
      </c>
      <c r="N84" s="33">
        <v>9</v>
      </c>
      <c r="O84" s="33" t="s">
        <v>96</v>
      </c>
      <c r="P84" s="34"/>
      <c r="Q84" s="40"/>
      <c r="R84" s="34"/>
      <c r="S84" s="33" t="s">
        <v>315</v>
      </c>
    </row>
    <row r="85" spans="2:19" x14ac:dyDescent="0.25">
      <c r="B85" s="14"/>
      <c r="C85" s="14"/>
      <c r="D85" s="14"/>
      <c r="E85" s="14"/>
      <c r="F85" s="14"/>
      <c r="G85" s="33" t="s">
        <v>358</v>
      </c>
      <c r="H85" s="33" t="s">
        <v>98</v>
      </c>
      <c r="I85" s="33" t="s">
        <v>96</v>
      </c>
      <c r="J85" s="33" t="s">
        <v>442</v>
      </c>
      <c r="K85" s="33" t="s">
        <v>784</v>
      </c>
      <c r="L85" s="33"/>
      <c r="M85" s="33">
        <v>4</v>
      </c>
      <c r="N85" s="33">
        <v>9</v>
      </c>
      <c r="O85" s="33" t="s">
        <v>96</v>
      </c>
      <c r="P85" s="34"/>
      <c r="Q85" s="40"/>
      <c r="R85" s="34"/>
      <c r="S85" s="33" t="s">
        <v>316</v>
      </c>
    </row>
    <row r="86" spans="2:19" x14ac:dyDescent="0.25">
      <c r="B86" s="14"/>
      <c r="C86" s="14"/>
      <c r="D86" s="14"/>
      <c r="E86" s="14"/>
      <c r="F86" s="14"/>
      <c r="G86" s="32" t="s">
        <v>195</v>
      </c>
      <c r="H86" s="32"/>
      <c r="I86" s="33"/>
      <c r="J86" s="32" t="s">
        <v>367</v>
      </c>
      <c r="K86" s="32"/>
      <c r="L86" s="32"/>
      <c r="M86" s="32">
        <v>3</v>
      </c>
      <c r="N86" s="33">
        <v>5</v>
      </c>
      <c r="O86" s="33"/>
      <c r="P86" s="34"/>
      <c r="Q86" s="40"/>
      <c r="R86" s="34"/>
      <c r="S86" s="33"/>
    </row>
    <row r="87" spans="2:19" x14ac:dyDescent="0.25">
      <c r="B87" s="14"/>
      <c r="C87" s="14"/>
      <c r="D87" s="14"/>
      <c r="E87" s="14"/>
      <c r="F87" s="14"/>
      <c r="G87" s="33" t="s">
        <v>359</v>
      </c>
      <c r="H87" s="33" t="s">
        <v>149</v>
      </c>
      <c r="I87" s="33" t="s">
        <v>96</v>
      </c>
      <c r="J87" s="33" t="s">
        <v>435</v>
      </c>
      <c r="K87" s="33"/>
      <c r="L87" s="33"/>
      <c r="M87" s="33">
        <v>4</v>
      </c>
      <c r="N87" s="33">
        <v>9</v>
      </c>
      <c r="O87" s="33" t="s">
        <v>96</v>
      </c>
      <c r="P87" s="34"/>
      <c r="Q87" s="40"/>
      <c r="R87" s="34"/>
      <c r="S87" s="33" t="s">
        <v>317</v>
      </c>
    </row>
    <row r="88" spans="2:19" x14ac:dyDescent="0.25">
      <c r="B88" s="14"/>
      <c r="C88" s="14"/>
      <c r="D88" s="14"/>
      <c r="E88" s="14"/>
      <c r="F88" s="14"/>
      <c r="G88" s="33" t="s">
        <v>360</v>
      </c>
      <c r="H88" s="33" t="s">
        <v>149</v>
      </c>
      <c r="I88" s="33" t="s">
        <v>96</v>
      </c>
      <c r="J88" s="33" t="s">
        <v>443</v>
      </c>
      <c r="K88" s="33"/>
      <c r="L88" s="33"/>
      <c r="M88" s="33">
        <v>4</v>
      </c>
      <c r="N88" s="33">
        <v>9</v>
      </c>
      <c r="O88" s="33" t="s">
        <v>96</v>
      </c>
      <c r="P88" s="34"/>
      <c r="Q88" s="40"/>
      <c r="R88" s="34"/>
      <c r="S88" s="33" t="s">
        <v>318</v>
      </c>
    </row>
    <row r="89" spans="2:19" x14ac:dyDescent="0.25">
      <c r="B89" s="14"/>
      <c r="C89" s="14"/>
      <c r="D89" s="14"/>
      <c r="E89" s="14"/>
      <c r="F89" s="14"/>
      <c r="G89" s="33" t="s">
        <v>361</v>
      </c>
      <c r="H89" s="33" t="s">
        <v>149</v>
      </c>
      <c r="I89" s="33" t="s">
        <v>96</v>
      </c>
      <c r="J89" s="33" t="s">
        <v>444</v>
      </c>
      <c r="K89" s="33"/>
      <c r="L89" s="33"/>
      <c r="M89" s="33">
        <v>4</v>
      </c>
      <c r="N89" s="33">
        <v>9</v>
      </c>
      <c r="O89" s="33" t="s">
        <v>96</v>
      </c>
      <c r="P89" s="34"/>
      <c r="Q89" s="40"/>
      <c r="R89" s="34"/>
      <c r="S89" s="33" t="s">
        <v>319</v>
      </c>
    </row>
    <row r="90" spans="2:19" x14ac:dyDescent="0.25">
      <c r="B90" s="14"/>
      <c r="C90" s="14"/>
      <c r="D90" s="14"/>
      <c r="E90" s="14"/>
      <c r="F90" s="14"/>
      <c r="G90" s="33" t="s">
        <v>362</v>
      </c>
      <c r="H90" s="33" t="s">
        <v>149</v>
      </c>
      <c r="I90" s="33" t="s">
        <v>96</v>
      </c>
      <c r="J90" s="33" t="s">
        <v>445</v>
      </c>
      <c r="K90" s="33"/>
      <c r="L90" s="33"/>
      <c r="M90" s="33">
        <v>4</v>
      </c>
      <c r="N90" s="33">
        <v>9</v>
      </c>
      <c r="O90" s="33" t="s">
        <v>96</v>
      </c>
      <c r="P90" s="34"/>
      <c r="Q90" s="40"/>
      <c r="R90" s="34"/>
      <c r="S90" s="33" t="s">
        <v>320</v>
      </c>
    </row>
    <row r="91" spans="2:19" x14ac:dyDescent="0.25">
      <c r="B91" s="14"/>
      <c r="C91" s="14"/>
      <c r="D91" s="14"/>
      <c r="E91" s="14"/>
      <c r="F91" s="14"/>
      <c r="G91" s="33" t="s">
        <v>363</v>
      </c>
      <c r="H91" s="33" t="s">
        <v>98</v>
      </c>
      <c r="I91" s="33" t="s">
        <v>96</v>
      </c>
      <c r="J91" s="33" t="s">
        <v>446</v>
      </c>
      <c r="K91" s="33" t="s">
        <v>784</v>
      </c>
      <c r="L91" s="33"/>
      <c r="M91" s="33">
        <v>4</v>
      </c>
      <c r="N91" s="33">
        <v>9</v>
      </c>
      <c r="O91" s="33" t="s">
        <v>96</v>
      </c>
      <c r="P91" s="34"/>
      <c r="Q91" s="40"/>
      <c r="R91" s="34"/>
      <c r="S91" s="33" t="s">
        <v>321</v>
      </c>
    </row>
  </sheetData>
  <hyperlinks>
    <hyperlink ref="B9" r:id="rId1" display="http://20.188.62.95/reportingmanager/api/reporting/{ID}" xr:uid="{10FE6A28-D839-4124-AB92-F50F125C824C}"/>
    <hyperlink ref="B4" r:id="rId2" display="http://20.188.62.95/reportingmanager/api/reporting" xr:uid="{E4BC7E82-3420-4C54-88BD-3467497FFFFC}"/>
  </hyperlinks>
  <pageMargins left="0.7" right="0.7" top="0.75" bottom="0.75" header="0.3" footer="0.3"/>
  <pageSetup paperSize="9" orientation="portrait" horizontalDpi="4294967295" verticalDpi="4294967295" r:id="rId3"/>
  <tableParts count="1">
    <tablePart r:id="rId4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5641F5-F8A6-4AF1-BA7A-867EDA62C716}">
  <sheetPr codeName="Feuil8"/>
  <dimension ref="B1:Q7"/>
  <sheetViews>
    <sheetView topLeftCell="A68" zoomScale="82" zoomScaleNormal="82" workbookViewId="0">
      <selection activeCell="E35" sqref="E35"/>
    </sheetView>
  </sheetViews>
  <sheetFormatPr baseColWidth="10" defaultRowHeight="15" x14ac:dyDescent="0.25"/>
  <cols>
    <col min="2" max="2" width="10.5703125" customWidth="1"/>
    <col min="3" max="3" width="14.5703125" customWidth="1"/>
    <col min="4" max="4" width="7.28515625" bestFit="1" customWidth="1"/>
    <col min="5" max="5" width="24.85546875" customWidth="1"/>
    <col min="6" max="6" width="51.42578125" bestFit="1" customWidth="1"/>
    <col min="7" max="7" width="12.7109375" customWidth="1"/>
    <col min="8" max="8" width="11.42578125" bestFit="1" customWidth="1"/>
    <col min="9" max="9" width="30.85546875" bestFit="1" customWidth="1"/>
    <col min="10" max="10" width="16.5703125" customWidth="1"/>
    <col min="11" max="11" width="19.140625" bestFit="1" customWidth="1"/>
    <col min="12" max="12" width="9.7109375" bestFit="1" customWidth="1"/>
    <col min="13" max="13" width="12.5703125" bestFit="1" customWidth="1"/>
    <col min="14" max="14" width="12.5703125" customWidth="1"/>
    <col min="15" max="15" width="15.28515625" bestFit="1" customWidth="1"/>
    <col min="16" max="16" width="23.28515625" bestFit="1" customWidth="1"/>
    <col min="17" max="17" width="12.5703125" customWidth="1"/>
  </cols>
  <sheetData>
    <row r="1" spans="2:17" x14ac:dyDescent="0.25">
      <c r="B1" t="s">
        <v>114</v>
      </c>
      <c r="I1" s="9"/>
    </row>
    <row r="3" spans="2:17" x14ac:dyDescent="0.25">
      <c r="B3" t="s">
        <v>90</v>
      </c>
      <c r="C3" t="s">
        <v>112</v>
      </c>
      <c r="D3" t="s">
        <v>110</v>
      </c>
      <c r="E3" t="s">
        <v>136</v>
      </c>
      <c r="F3" t="s">
        <v>97</v>
      </c>
      <c r="G3" t="s">
        <v>100</v>
      </c>
      <c r="H3" t="s">
        <v>135</v>
      </c>
      <c r="I3" t="s">
        <v>91</v>
      </c>
      <c r="J3" t="s">
        <v>155</v>
      </c>
      <c r="K3" t="s">
        <v>154</v>
      </c>
      <c r="L3" t="s">
        <v>196</v>
      </c>
      <c r="M3" t="s">
        <v>92</v>
      </c>
      <c r="N3" t="s">
        <v>111</v>
      </c>
      <c r="O3" t="s">
        <v>116</v>
      </c>
      <c r="P3" t="s">
        <v>108</v>
      </c>
      <c r="Q3" t="s">
        <v>322</v>
      </c>
    </row>
    <row r="4" spans="2:17" x14ac:dyDescent="0.25">
      <c r="B4" s="13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7" spans="2:17" x14ac:dyDescent="0.25">
      <c r="B7" s="14"/>
      <c r="C7" s="14"/>
      <c r="D7" s="14"/>
      <c r="E7" s="14"/>
      <c r="F7" s="33" t="s">
        <v>406</v>
      </c>
      <c r="G7" s="33" t="s">
        <v>101</v>
      </c>
      <c r="H7" s="33" t="s">
        <v>96</v>
      </c>
      <c r="I7" s="33" t="s">
        <v>506</v>
      </c>
      <c r="J7" s="33"/>
      <c r="K7" s="33"/>
      <c r="L7" s="33">
        <v>3</v>
      </c>
      <c r="M7" s="33" t="s">
        <v>96</v>
      </c>
      <c r="N7" s="34"/>
      <c r="O7" s="34"/>
      <c r="P7" s="34"/>
      <c r="Q7" s="33" t="s">
        <v>505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9</vt:i4>
      </vt:variant>
      <vt:variant>
        <vt:lpstr>Plages nommées</vt:lpstr>
      </vt:variant>
      <vt:variant>
        <vt:i4>11</vt:i4>
      </vt:variant>
    </vt:vector>
  </HeadingPairs>
  <TitlesOfParts>
    <vt:vector size="20" baseType="lpstr">
      <vt:lpstr>Reporting List</vt:lpstr>
      <vt:lpstr>A - 2000.11</vt:lpstr>
      <vt:lpstr>A - 2000.12</vt:lpstr>
      <vt:lpstr>CACHE</vt:lpstr>
      <vt:lpstr>Planning</vt:lpstr>
      <vt:lpstr>History</vt:lpstr>
      <vt:lpstr>I18N</vt:lpstr>
      <vt:lpstr>JSON</vt:lpstr>
      <vt:lpstr>JSON (2)</vt:lpstr>
      <vt:lpstr>'JSON (2)'!cell_JSON_Param</vt:lpstr>
      <vt:lpstr>cell_JSON_Param</vt:lpstr>
      <vt:lpstr>cellLanguage</vt:lpstr>
      <vt:lpstr>JSON_MetadataQuery</vt:lpstr>
      <vt:lpstr>lCategory</vt:lpstr>
      <vt:lpstr>lCategoryVersion</vt:lpstr>
      <vt:lpstr>lFolders</vt:lpstr>
      <vt:lpstr>tReporting52428888___RF_Save</vt:lpstr>
      <vt:lpstr>tReportingNew5___RF_Save</vt:lpstr>
      <vt:lpstr>tReportings____ROWS_</vt:lpstr>
      <vt:lpstr>tReportings___RF_Refresh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Pierre</dc:creator>
  <cp:lastModifiedBy>Pierre</cp:lastModifiedBy>
  <dcterms:created xsi:type="dcterms:W3CDTF">2015-06-05T18:19:34Z</dcterms:created>
  <dcterms:modified xsi:type="dcterms:W3CDTF">2021-03-11T19:57:25Z</dcterms:modified>
</cp:coreProperties>
</file>