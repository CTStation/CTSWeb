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rre\Documents\GitHub\CTSWeb\Client\"/>
    </mc:Choice>
  </mc:AlternateContent>
  <xr:revisionPtr revIDLastSave="0" documentId="13_ncr:1_{BF26EDA2-9D01-4E6A-A0E8-35D46716EDD2}" xr6:coauthVersionLast="46" xr6:coauthVersionMax="46" xr10:uidLastSave="{00000000-0000-0000-0000-000000000000}"/>
  <bookViews>
    <workbookView xWindow="-28920" yWindow="-4815" windowWidth="29040" windowHeight="17640" tabRatio="723" xr2:uid="{00000000-000D-0000-FFFF-FFFF00000000}"/>
  </bookViews>
  <sheets>
    <sheet name="Reporting List" sheetId="6" r:id="rId1"/>
    <sheet name="CACHE" sheetId="10" state="hidden" r:id="rId2"/>
    <sheet name="Planning" sheetId="4" state="hidden" r:id="rId3"/>
    <sheet name="History" sheetId="7" r:id="rId4"/>
    <sheet name="I18N" sheetId="2" state="hidden" r:id="rId5"/>
    <sheet name="JSON" sheetId="8" state="hidden" r:id="rId6"/>
    <sheet name="JSON (2)" sheetId="13" state="hidden" r:id="rId7"/>
  </sheets>
  <functionGroups builtInGroupCount="19"/>
  <definedNames>
    <definedName name="_xlnm._FilterDatabase" localSheetId="2" hidden="1">Planning!$F$17:$K$72</definedName>
    <definedName name="_xlnm._FilterDatabase" localSheetId="0" hidden="1">'Reporting List'!$C$10:$E$14</definedName>
    <definedName name="cell_JSON_Param" localSheetId="6">'JSON (2)'!$I$1</definedName>
    <definedName name="cell_JSON_Param">JSON!$J$1</definedName>
    <definedName name="cellLanguage">I18N!$J$1</definedName>
    <definedName name="lCategory">Planning!$B$3:$B$5</definedName>
    <definedName name="lCategoryVersion">Planning!$B$9</definedName>
    <definedName name="lFolders">Planning!$B$12:$B$13</definedName>
    <definedName name="tReporting52428888___RF_Save">#REF!</definedName>
    <definedName name="tReportingNew3___RF_Save">#REF!</definedName>
    <definedName name="tReportingNew4___RF_Save">#REF!</definedName>
    <definedName name="tReportings____ROWS_">'Reporting List'!$H$14:$I$41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" i="6" l="1"/>
  <c r="I41" i="6"/>
  <c r="I39" i="6"/>
  <c r="I37" i="6"/>
  <c r="I35" i="6"/>
  <c r="I33" i="6"/>
  <c r="I31" i="6"/>
  <c r="I29" i="6"/>
  <c r="I27" i="6"/>
  <c r="I25" i="6"/>
  <c r="I23" i="6"/>
  <c r="I21" i="6"/>
  <c r="I19" i="6"/>
  <c r="I17" i="6"/>
  <c r="I15" i="6"/>
  <c r="H41" i="6"/>
  <c r="H39" i="6"/>
  <c r="H37" i="6"/>
  <c r="H35" i="6"/>
  <c r="H33" i="6"/>
  <c r="H31" i="6"/>
  <c r="H29" i="6"/>
  <c r="H27" i="6"/>
  <c r="H25" i="6"/>
  <c r="H23" i="6"/>
  <c r="H21" i="6"/>
  <c r="H19" i="6"/>
  <c r="H17" i="6"/>
  <c r="H15" i="6"/>
  <c r="I40" i="6"/>
  <c r="I38" i="6"/>
  <c r="I36" i="6"/>
  <c r="I34" i="6"/>
  <c r="I32" i="6"/>
  <c r="I30" i="6"/>
  <c r="I28" i="6"/>
  <c r="I26" i="6"/>
  <c r="I24" i="6"/>
  <c r="I22" i="6"/>
  <c r="I20" i="6"/>
  <c r="I18" i="6"/>
  <c r="I16" i="6"/>
  <c r="H40" i="6"/>
  <c r="H38" i="6"/>
  <c r="H36" i="6"/>
  <c r="H34" i="6"/>
  <c r="H32" i="6"/>
  <c r="H30" i="6"/>
  <c r="H28" i="6"/>
  <c r="H26" i="6"/>
  <c r="H24" i="6"/>
  <c r="H22" i="6"/>
  <c r="H20" i="6"/>
  <c r="H18" i="6"/>
  <c r="H16" i="6"/>
  <c r="I14" i="6"/>
  <c r="H14" i="6"/>
  <c r="F12" i="6"/>
  <c r="E12" i="6"/>
  <c r="D12" i="6"/>
  <c r="C12" i="6"/>
  <c r="D10" i="6"/>
  <c r="K72" i="4" l="1"/>
  <c r="J72" i="4"/>
  <c r="I72" i="4" l="1"/>
  <c r="H72" i="4"/>
  <c r="F72" i="4" l="1"/>
  <c r="G72" i="4"/>
  <c r="D72" i="4"/>
  <c r="C72" i="4"/>
  <c r="I4" i="6" a="1"/>
  <c r="B72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<sst xmlns="http://schemas.openxmlformats.org/spreadsheetml/2006/main" count="1386" uniqueCount="675">
  <si>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</si>
  <si>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</si>
  <si>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</si>
  <si>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</si>
  <si>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</si>
  <si>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</si>
  <si>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</si>
  <si>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</si>
  <si>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</si>
  <si>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</si>
  <si>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</si>
  <si>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</si>
  <si>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</si>
  <si>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</si>
  <si>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</si>
  <si>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</si>
  <si>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</si>
  <si>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</si>
  <si>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</si>
  <si>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</si>
  <si>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</si>
  <si>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</si>
  <si>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</si>
  <si>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</si>
  <si>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</si>
  <si>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</si>
  <si>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</si>
  <si>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</si>
  <si>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</si>
  <si>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</si>
  <si>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</si>
  <si>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</si>
  <si>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</si>
  <si>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</si>
  <si>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</si>
  <si>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</si>
  <si>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</si>
  <si>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</si>
  <si>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</si>
  <si>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</si>
  <si>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</si>
  <si>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</si>
  <si>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</si>
  <si>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</si>
  <si>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</si>
  <si>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</si>
  <si>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</si>
  <si>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</si>
  <si>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</si>
  <si>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</si>
  <si>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</si>
  <si>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</si>
  <si>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</si>
  <si>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</si>
  <si>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</si>
  <si>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</si>
  <si>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</si>
  <si>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</si>
  <si>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</si>
  <si>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</si>
  <si>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</si>
  <si>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</si>
  <si>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</si>
  <si>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</si>
  <si>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</si>
  <si>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</si>
  <si>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</si>
  <si>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</si>
  <si>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</si>
  <si>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</si>
  <si>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</si>
  <si>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</si>
  <si>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</si>
  <si>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</si>
  <si>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</si>
  <si>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</si>
  <si>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</si>
  <si>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</si>
  <si>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</si>
  <si>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</si>
  <si>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</si>
  <si>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</si>
  <si>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</si>
  <si>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</si>
  <si>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</si>
  <si>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</si>
  <si>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</si>
  <si>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</si>
  <si>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</si>
  <si>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</si>
  <si>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</si>
  <si>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</si>
  <si>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</si>
  <si>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</si>
  <si>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</si>
  <si>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</si>
  <si>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</si>
  <si>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</si>
  <si>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</si>
  <si>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</si>
  <si>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</si>
  <si>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</si>
  <si>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</si>
  <si>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</si>
  <si>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</si>
  <si>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</si>
  <si>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</si>
  <si>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</si>
  <si>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</si>
  <si>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</si>
  <si>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</si>
  <si>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</si>
  <si>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</si>
  <si>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</si>
  <si>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</si>
  <si>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</si>
  <si>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</si>
  <si>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</si>
  <si>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</si>
  <si>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</si>
  <si>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</si>
  <si>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</si>
  <si>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</si>
  <si>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</si>
  <si>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</si>
  <si>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</si>
  <si>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</si>
  <si>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</si>
  <si>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</si>
  <si>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</si>
  <si>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</si>
  <si>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</si>
  <si>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</si>
  <si>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</si>
  <si>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</si>
  <si>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</si>
  <si>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</si>
  <si>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</si>
  <si>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</si>
  <si>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</si>
  <si>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</si>
  <si>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</si>
  <si>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</si>
  <si>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</si>
  <si>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</si>
  <si>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</si>
  <si>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</si>
  <si>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</si>
  <si>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</si>
  <si>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</si>
  <si>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</si>
  <si>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</si>
  <si>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</si>
  <si>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</si>
  <si>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</si>
  <si>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</si>
  <si>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</si>
  <si>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</si>
  <si>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</si>
  <si>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</si>
  <si>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</si>
  <si>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</si>
  <si>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</si>
  <si>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</si>
  <si>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</si>
  <si>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</si>
  <si>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</si>
  <si>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</si>
  <si>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</si>
  <si>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</si>
  <si>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</si>
  <si>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</si>
  <si>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</si>
  <si>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</si>
  <si>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</si>
  <si>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</si>
  <si>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</si>
  <si>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</si>
  <si>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</si>
  <si>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</si>
  <si>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</si>
  <si>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</si>
  <si>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</si>
  <si>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</si>
  <si>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</si>
  <si>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</si>
  <si>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</si>
  <si>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</si>
  <si>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</si>
  <si>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</si>
  <si>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</si>
  <si>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</si>
  <si>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</si>
  <si>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</si>
  <si>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</si>
  <si>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</si>
  <si>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</si>
  <si>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</si>
  <si>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</si>
  <si>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</si>
  <si>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</si>
  <si>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</si>
  <si>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</si>
  <si>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</si>
  <si>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</si>
  <si>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</si>
  <si>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</si>
  <si>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</si>
  <si>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</si>
  <si>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</si>
  <si>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</si>
  <si>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</si>
  <si>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</si>
  <si>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</si>
  <si>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</si>
  <si>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</si>
  <si>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</si>
  <si>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</si>
  <si>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</si>
  <si>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</si>
  <si>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</si>
  <si>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</si>
  <si>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</si>
  <si>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</si>
  <si>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</si>
  <si>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</si>
  <si>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</si>
  <si>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</si>
  <si>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</si>
  <si>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</si>
  <si>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</si>
  <si>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</si>
  <si>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</si>
  <si>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</si>
  <si>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</si>
  <si>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</si>
  <si>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</si>
  <si>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</si>
  <si>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</si>
  <si>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</si>
  <si>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</si>
  <si>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</si>
  <si>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</si>
  <si>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</si>
  <si>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</si>
  <si>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</si>
  <si>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</si>
  <si>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</si>
  <si>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</si>
  <si>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</si>
  <si>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</si>
  <si>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</si>
  <si>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</si>
  <si>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</si>
  <si>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</si>
  <si>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</si>
  <si>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</si>
  <si>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</si>
  <si>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</si>
  <si>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</si>
  <si>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</si>
  <si>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</si>
  <si>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</si>
  <si>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</si>
  <si>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</si>
  <si>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</si>
  <si>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</si>
  <si>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</si>
  <si>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</si>
  <si>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</si>
  <si>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</si>
  <si>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</si>
  <si>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</si>
  <si>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</si>
  <si>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</si>
  <si>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</si>
  <si>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</si>
  <si>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</si>
  <si>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</si>
  <si>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</si>
  <si>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</si>
  <si>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</si>
  <si>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</si>
  <si>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</si>
  <si>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</si>
  <si>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</si>
  <si>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</si>
  <si>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</si>
  <si>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</si>
  <si>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</si>
  <si>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</si>
  <si>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</si>
  <si>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</si>
  <si>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</si>
  <si>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</si>
  <si>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</si>
  <si>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</si>
  <si>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</si>
  <si>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</si>
  <si>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</si>
  <si>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</si>
  <si>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</si>
  <si>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</si>
  <si>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</si>
  <si>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</si>
  <si>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</si>
  <si>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</si>
  <si>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</si>
  <si>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</si>
  <si>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</si>
  <si>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</si>
  <si>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</si>
  <si>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</si>
  <si>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</si>
  <si>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</si>
  <si>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</si>
  <si>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</si>
  <si>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</si>
  <si>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</si>
  <si>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</si>
  <si>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</si>
  <si>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</si>
  <si>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</si>
  <si>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</si>
  <si>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</si>
  <si>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</si>
  <si>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</si>
  <si>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</si>
  <si>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</si>
  <si>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</si>
  <si>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</si>
  <si>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</si>
  <si>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</si>
  <si>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</si>
  <si>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</si>
  <si>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</si>
  <si>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</si>
  <si>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</si>
  <si>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</si>
  <si>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</si>
  <si>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</si>
  <si>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</si>
  <si>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</si>
  <si>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</si>
  <si>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</si>
  <si>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</si>
  <si>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</si>
  <si>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</si>
  <si>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</si>
  <si>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</si>
  <si>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</si>
  <si>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</si>
  <si>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</si>
  <si>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</si>
  <si>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</si>
  <si>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</si>
  <si>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</si>
  <si>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</si>
  <si>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</si>
  <si>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</si>
  <si>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</si>
  <si>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</si>
  <si>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</si>
  <si>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</si>
  <si>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</si>
  <si>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</si>
  <si>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</si>
  <si>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</si>
  <si>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Dim/Phase</t>
  </si>
  <si>
    <t>Dim/UpdPer</t>
  </si>
  <si>
    <t>Dim/FrameworkVersion</t>
  </si>
  <si>
    <t>Folder</t>
  </si>
  <si>
    <t>SetOfCtrl</t>
  </si>
  <si>
    <t>Lock</t>
  </si>
  <si>
    <t>SetOfRules</t>
  </si>
  <si>
    <t>Dim/Entity</t>
  </si>
  <si>
    <t>Dim/Currency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</si>
  <si>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</si>
  <si>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</si>
  <si>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</si>
  <si>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</si>
  <si>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</si>
  <si>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</si>
  <si>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</si>
  <si>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</si>
  <si>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</si>
  <si>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</si>
  <si>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</si>
  <si>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</si>
  <si>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</si>
  <si>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</si>
  <si>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</si>
  <si>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</si>
  <si>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</si>
  <si>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</si>
  <si>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</si>
  <si>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</si>
  <si>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</si>
  <si>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</si>
  <si>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</si>
  <si>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</si>
  <si>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</si>
  <si>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</si>
  <si>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</si>
  <si>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</si>
  <si>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</si>
  <si>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</si>
  <si>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</si>
  <si>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</si>
  <si>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</si>
  <si>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</si>
  <si>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</si>
  <si>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</si>
  <si>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</si>
  <si>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</si>
  <si>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</si>
  <si>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</si>
  <si>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</si>
  <si>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</si>
  <si>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</si>
  <si>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</si>
  <si>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</si>
  <si>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</si>
  <si>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</si>
  <si>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</si>
  <si>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</si>
  <si>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</si>
  <si>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</si>
  <si>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</si>
  <si>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</si>
  <si>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</si>
  <si>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</si>
  <si>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</si>
  <si>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</si>
  <si>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</si>
  <si>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</si>
  <si>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</si>
  <si>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</si>
  <si>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</si>
  <si>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</si>
  <si>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</si>
  <si>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</si>
  <si>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</si>
  <si>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</si>
  <si>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</si>
  <si>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</si>
  <si>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</si>
  <si>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</si>
  <si>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</si>
  <si>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</si>
  <si>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</si>
  <si>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</si>
  <si>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</si>
  <si>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</si>
  <si>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</si>
  <si>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</si>
  <si>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</si>
  <si>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</si>
  <si>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</si>
  <si>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</si>
  <si>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</si>
  <si>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</si>
  <si>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</si>
  <si>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</si>
  <si>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</si>
  <si>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</si>
  <si>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</si>
  <si>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</si>
  <si>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</si>
  <si>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</si>
  <si>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</si>
  <si>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</si>
  <si>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</si>
  <si>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</si>
  <si>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</si>
  <si>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</si>
  <si>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</si>
  <si>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</si>
  <si>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</si>
  <si>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</si>
  <si>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</si>
  <si>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</si>
  <si>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</si>
  <si>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</si>
  <si>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</si>
  <si>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</si>
  <si>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</si>
  <si>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</si>
  <si>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</si>
  <si>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</si>
  <si>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</si>
  <si>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</si>
  <si>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</si>
  <si>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</si>
  <si>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</si>
  <si>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</si>
  <si>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</si>
  <si>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</si>
  <si>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</si>
  <si>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</si>
  <si>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</si>
  <si>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</si>
  <si>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</si>
  <si>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</si>
  <si>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</si>
  <si>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</si>
  <si>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</si>
  <si>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</si>
  <si>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</si>
  <si>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</si>
  <si>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</si>
  <si>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</si>
  <si>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</si>
  <si>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</si>
  <si>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</si>
  <si>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</si>
  <si>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</si>
  <si>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</si>
  <si>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</si>
  <si>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</si>
  <si>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</si>
  <si>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</si>
  <si>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</si>
  <si>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</si>
  <si>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</si>
  <si>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</si>
  <si>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</si>
  <si>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In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</si>
  <si>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</si>
  <si>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>/api/Reporting</t>
  </si>
  <si>
    <t>Post#tReporting52428888</t>
  </si>
  <si>
    <t>Out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</si>
  <si>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00:00:00.000Z","da":false,"db":true,"dc":false,"dd":false,"de":false,"df":0,"dg":true,"dh":false,"di":false,"dj":false,"dk":0}]}</t>
  </si>
  <si>
    <t>PostResponse#tReporting52428888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</si>
  <si>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</si>
  <si>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/api/reporting/52428888</t>
  </si>
  <si>
    <t>tReporting52428888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</si>
  <si>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</si>
  <si>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</si>
  <si>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choisi","SourceRow":0,"SourceCol":0},{"Code":"RF0512","Severity":8,"Description":"La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choisi","SourceRow":0,"SourceCol":0}],"UsedHints":{"RF0512":"Corrigez les dates","RF0515":"Corrigez les paramètres d'exploitation","RF0516":"Corrigez les paramètres d'exploitation"}}}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</si>
  <si>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</si>
  <si>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</si>
  <si>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</si>
  <si>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51:46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</si>
  <si>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37.408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- 2000.12"}],"Messages":{"Messages":[],"UsedHints":{}}}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</si>
  <si>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</si>
  <si>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</si>
  <si>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</si>
  <si>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</si>
  <si>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</si>
  <si>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</si>
  <si>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</si>
  <si>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</si>
  <si>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</si>
  <si>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</si>
  <si>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</si>
  <si>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</si>
  <si>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</si>
  <si>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</si>
  <si>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</si>
  <si>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</si>
  <si>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</si>
  <si>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</si>
  <si>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</si>
  <si>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</si>
  <si>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</si>
  <si>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</si>
  <si>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</si>
  <si>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</si>
  <si>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</si>
  <si>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</si>
  <si>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</si>
  <si>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</si>
  <si>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</si>
  <si>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</si>
  <si>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</si>
  <si>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</si>
  <si>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</si>
  <si>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</si>
  <si>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</si>
  <si>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</si>
  <si>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</si>
  <si>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</si>
  <si>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</si>
  <si>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</si>
  <si>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</si>
  <si>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</si>
  <si>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</si>
  <si>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</si>
  <si>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</si>
  <si>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</si>
  <si>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</si>
  <si>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</si>
  <si>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</si>
  <si>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</si>
  <si>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</si>
  <si>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</si>
  <si>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</si>
  <si>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</si>
  <si>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</si>
  <si>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</si>
  <si>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</si>
  <si>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</si>
  <si>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</si>
  <si>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</si>
  <si>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</si>
  <si>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</si>
  <si>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</si>
  <si>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</si>
  <si>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</si>
  <si>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</si>
  <si>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</si>
  <si>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</si>
  <si>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</si>
  <si>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</si>
  <si>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</si>
  <si>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</si>
  <si>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</si>
  <si>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</si>
  <si>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</si>
  <si>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</si>
  <si>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</si>
  <si>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</si>
  <si>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</si>
  <si>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</si>
  <si>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</si>
  <si>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</si>
  <si>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</si>
  <si>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</si>
  <si>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</si>
  <si>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</si>
  <si>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</si>
  <si>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</si>
  <si>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</si>
  <si>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</si>
  <si>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</si>
  <si>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</si>
  <si>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</si>
  <si>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</si>
  <si>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</si>
  <si>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</si>
  <si>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</si>
  <si>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</si>
  <si>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</si>
  <si>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</si>
  <si>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</si>
  <si>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</si>
  <si>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</si>
  <si>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</si>
  <si>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</si>
  <si>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</si>
  <si>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</si>
  <si>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</si>
  <si>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</si>
  <si>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</si>
  <si>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</si>
  <si>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</si>
  <si>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</si>
  <si>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</si>
  <si>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</si>
  <si>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</si>
  <si>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</si>
  <si>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</si>
  <si>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</si>
  <si>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</si>
  <si>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</si>
  <si>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</si>
  <si>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</si>
  <si>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>Commande Add entities</t>
  </si>
  <si>
    <t>/api/reporting/New3</t>
  </si>
  <si>
    <t>tReportingNew3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</si>
  <si>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Q2-2019","ReportingStartDate":"2021-03-09T23:00:00.000Z","ReportingEndDate":"2021-03-20T23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</si>
  <si>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/api/reporting/New4</t>
  </si>
  <si>
    <t>tReportingNew4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</si>
  <si>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-03-12T23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V1","ReportingStartDate":"2021-03-09T23:00:00.000Z","ReportingEndDate":"2021-03-20T23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</si>
</sst>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Font="1" applyFill="1" applyBorder="1" applyAlignment="1">
      <alignment vertical="center"/>
    </xf>
    <xf numFmtId="49" fontId="0" fillId="0" borderId="0" xfId="0" applyNumberFormat="1" applyAlignment="1" applyProtection="1"/>
  </cellXfs>
  <cellStyles count="2">
    <cellStyle name="Lien hypertexte" xfId="1" builtinId="8"/>
    <cellStyle name="Normal" xfId="0" builtinId="0"/>
  </cellStyles>
  <dxfs count="52">
    <dxf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0.93 - 03/08/21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JSON_TableHeaderClick" textlink="$C$12">
      <xdr:nvSpPr>
        <xdr:cNvPr id="8" name="tReportings_1">
          <a:extLst>
            <a:ext uri="{FF2B5EF4-FFF2-40B4-BE49-F238E27FC236}">
              <a16:creationId xmlns:a16="http://schemas.microsoft.com/office/drawing/2014/main" id="{0B765DA1-EABA-4DAD-B451-F5A9554B1E33}"/>
            </a:ext>
          </a:extLst>
        </xdr:cNvPr>
        <xdr:cNvSpPr/>
      </xdr:nvSpPr>
      <xdr:spPr>
        <a:xfrm>
          <a:off x="71437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3E0570A-6AC0-4B0D-9D6C-00AFDAD8B81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ID</a:t>
          </a:fld>
          <a:endParaRPr lang="en-US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10" name="tReportings_2">
          <a:extLst>
            <a:ext uri="{FF2B5EF4-FFF2-40B4-BE49-F238E27FC236}">
              <a16:creationId xmlns:a16="http://schemas.microsoft.com/office/drawing/2014/main" id="{C85F38A1-E78F-4851-8D85-3B44A41FBD08}"/>
            </a:ext>
          </a:extLst>
        </xdr:cNvPr>
        <xdr:cNvSpPr/>
      </xdr:nvSpPr>
      <xdr:spPr>
        <a:xfrm>
          <a:off x="1695450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5BEA3AB-5254-44B9-B920-FEACF855C26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11" name="tReportings_3">
          <a:extLst>
            <a:ext uri="{FF2B5EF4-FFF2-40B4-BE49-F238E27FC236}">
              <a16:creationId xmlns:a16="http://schemas.microsoft.com/office/drawing/2014/main" id="{428EB4CD-7DF7-4E3B-A444-23D487DB77D6}"/>
            </a:ext>
          </a:extLst>
        </xdr:cNvPr>
        <xdr:cNvSpPr/>
      </xdr:nvSpPr>
      <xdr:spPr>
        <a:xfrm>
          <a:off x="267652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C45A076-04BE-4BD8-8D83-D92266ACF11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Update Period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12" name="tReportings_4">
          <a:extLst>
            <a:ext uri="{FF2B5EF4-FFF2-40B4-BE49-F238E27FC236}">
              <a16:creationId xmlns:a16="http://schemas.microsoft.com/office/drawing/2014/main" id="{7FBAD444-89E2-4D42-B5FB-AA75FB5352AD}"/>
            </a:ext>
          </a:extLst>
        </xdr:cNvPr>
        <xdr:cNvSpPr/>
      </xdr:nvSpPr>
      <xdr:spPr>
        <a:xfrm>
          <a:off x="3657600" y="2095500"/>
          <a:ext cx="191452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014BED0-E577-447C-8DE2-7A34B2AF725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Created</a:t>
          </a:fld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FECB94-1AC4-4FC8-A245-F2D11688B9E4}" name="tReportings" displayName="tReportings" ref="C13:F41" totalsRowShown="0" headerRowDxfId="5" dataDxfId="0" tableBorderDxfId="6">
  <autoFilter ref="C13:F41" xr:uid="{744A2AF3-7EDE-461A-BF2F-E67A1F306FAF}"/>
  <tableColumns count="4">
    <tableColumn id="1" xr3:uid="{9DA5515F-1609-48C6-9235-7787510DA324}" name=" 1" dataDxfId="4"/>
    <tableColumn id="2" xr3:uid="{091F9CB0-1AFF-4DFF-ABBA-AEB86E111F0B}" name=" 2" dataDxfId="3"/>
    <tableColumn id="3" xr3:uid="{28EBBE7A-2F14-4BF5-83FD-237A8FFFC0C3}" name=" 3" dataDxfId="2"/>
    <tableColumn id="4" xr3:uid="{BC5407C2-FEEB-4D63-93F7-7C92994C6EB2}" name=" 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7">
  <autoFilter ref="A3:H114" xr:uid="{20495ABC-A0D8-40BE-8188-61D0FEE75739}"/>
  <tableColumns count="8">
    <tableColumn id="1" xr3:uid="{73903A16-45BE-4CB3-B71C-3468798E69E6}" name="ID" dataDxfId="15"/>
    <tableColumn id="3" xr3:uid="{02ADB156-C3E9-44A8-BC1B-FB2018DC836B}" name="Param1" dataDxfId="14"/>
    <tableColumn id="4" xr3:uid="{CF8C7CB6-4B86-4085-ACCC-19CBFD4C59FE}" name="Param2" dataDxfId="13"/>
    <tableColumn id="5" xr3:uid="{1227E0CB-DF13-4AEB-9B7C-A5B66DBC0C3F}" name="Param3" dataDxfId="12"/>
    <tableColumn id="6" xr3:uid="{2E60890B-30E9-4D21-92C9-7B06D14BAF00}" name="Param4" dataDxfId="11"/>
    <tableColumn id="7" xr3:uid="{03AC2232-F9FA-428A-BCAB-A8039123FBB5}" name="Param5" dataDxfId="10"/>
    <tableColumn id="9" xr3:uid="{5D6B89C0-1432-4927-AC0D-CC962FDD7705}" name="en_US" dataDxfId="9"/>
    <tableColumn id="8" xr3:uid="{8F5786B6-467E-46BD-A85E-B24EA01C31DC}" name="fr_FR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51">
  <autoFilter ref="B3:S91" xr:uid="{D9E8808B-D9E1-4272-8694-E8D5F2C45F29}"/>
  <tableColumns count="18">
    <tableColumn id="1" xr3:uid="{3A646773-BE89-4522-98D7-B786E44BE0DC}" name="Query" dataDxfId="50"/>
    <tableColumn id="9" xr3:uid="{C4EB6F9D-3EAD-42F0-84FF-9BBD170B0DE5}" name="Table" dataDxfId="49"/>
    <tableColumn id="8" xr3:uid="{70E4004F-52ED-4A60-A759-27AFE028F894}" name="I18N" dataDxfId="48"/>
    <tableColumn id="13" xr3:uid="{A78438C4-24D6-4E6E-A29B-E72CABDED5AB}" name="JSON Row Array" dataDxfId="47"/>
    <tableColumn id="16" xr3:uid="{02735810-2DA9-4B37-A9AB-CC1D7668127D}" name="Editable?" dataDxfId="46"/>
    <tableColumn id="2" xr3:uid="{DFC5B263-91CC-4653-8ADC-74A0368CD202}" name="JSON Column" dataDxfId="45"/>
    <tableColumn id="3" xr3:uid="{D5540814-CF2F-4ACB-B92D-22093C535E0C}" name="JSON Type" dataDxfId="44"/>
    <tableColumn id="11" xr3:uid="{EDC8EA7C-C33C-4E55-9909-B09F730AE94B}" name="Required" dataDxfId="43"/>
    <tableColumn id="4" xr3:uid="{8D0A36EB-752B-47BA-B4F5-009678ACFDD0}" name="Title" dataDxfId="42"/>
    <tableColumn id="12" xr3:uid="{B7222461-457D-4B90-9925-68BAF8D1E421}" name="Editor" dataDxfId="41"/>
    <tableColumn id="14" xr3:uid="{C8DD975C-C222-4560-AD83-9B3E4EF275CD}" name="Format" dataDxfId="40"/>
    <tableColumn id="15" xr3:uid="{30CC9560-5D67-406A-B687-D2883B19A560}" name="Level" dataDxfId="39"/>
    <tableColumn id="18" xr3:uid="{9414E3E8-B630-435F-9660-16EFF4CAEFD7}" name="Width" dataDxfId="38"/>
    <tableColumn id="5" xr3:uid="{3613A1E0-361B-4D77-AB85-A190D3D733FC}" name="Hidden" dataDxfId="37"/>
    <tableColumn id="6" xr3:uid="{4FC768DF-246E-41E4-8A37-38EE7A822849}" name="Command" dataDxfId="36"/>
    <tableColumn id="10" xr3:uid="{08F0F3AA-70C9-46BE-9E8F-F9089FF43A15}" name="Params" dataDxfId="35"/>
    <tableColumn id="7" xr3:uid="{C3148FB9-B4AC-439B-977D-F7DC6FE2F875}" name="Position" dataDxfId="34"/>
    <tableColumn id="17" xr3:uid="{AAA7A96E-0AF3-43EB-9CAA-11C66E543F5D}" name="ReturnCol" dataDxfId="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32">
  <autoFilter ref="B3:Q4" xr:uid="{D9E8808B-D9E1-4272-8694-E8D5F2C45F29}"/>
  <tableColumns count="16">
    <tableColumn id="1" xr3:uid="{848A5172-BE10-4671-A96C-19CB95280C30}" name="Query" dataDxfId="31"/>
    <tableColumn id="9" xr3:uid="{D4503C74-5BC6-42E3-9059-14AE6DF0435F}" name="Table" dataDxfId="30"/>
    <tableColumn id="8" xr3:uid="{6B1E570F-3015-4379-A06B-47DE792E9FF7}" name="I18N" dataDxfId="29"/>
    <tableColumn id="13" xr3:uid="{1F3DA983-C15A-44A1-9F86-08FE41BABCC4}" name="JSON Row Array" dataDxfId="28"/>
    <tableColumn id="2" xr3:uid="{2146287D-FA7C-4DC4-A184-861C99FB53FA}" name="JSON Column" dataDxfId="27"/>
    <tableColumn id="3" xr3:uid="{41F1B5AB-7B7D-4E20-9599-A4A18E607AC2}" name="JSON Type" dataDxfId="26"/>
    <tableColumn id="11" xr3:uid="{6B6D5F65-9066-427A-9E8E-83BC24FDA24E}" name="Required" dataDxfId="25"/>
    <tableColumn id="4" xr3:uid="{5632F87F-624C-41CA-9F02-FC8191282D24}" name="Title" dataDxfId="24"/>
    <tableColumn id="12" xr3:uid="{42F4ED45-AB09-422F-A7F0-D0219F6C21FB}" name="Editor" dataDxfId="23"/>
    <tableColumn id="14" xr3:uid="{2AA5569E-51E1-495E-B26C-0E3F01504CAF}" name="Format" dataDxfId="22"/>
    <tableColumn id="15" xr3:uid="{9FF31EFB-98A5-441C-AEEE-A8D70F766993}" name="Level" dataDxfId="21"/>
    <tableColumn id="5" xr3:uid="{AAEEF1F0-17A9-4995-BF9B-AB4346088E71}" name="Hidden" dataDxfId="20"/>
    <tableColumn id="6" xr3:uid="{7BDF45C7-3CB9-461B-82E3-465AF4328F16}" name="Command" dataDxfId="19"/>
    <tableColumn id="10" xr3:uid="{CC86848F-2654-487A-90EA-707ECEAFF905}" name="Params" dataDxfId="18"/>
    <tableColumn id="7" xr3:uid="{EB4FA941-2795-46FC-8CA9-7D002B610299}" name="Position" dataDxfId="17"/>
    <tableColumn id="17" xr3:uid="{CA1F3260-0D6C-4F7F-B7AE-4DFA8A856532}" name="ReturnCol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L47"/>
  <sheetViews>
    <sheetView showGridLines="0" showRowColHeaders="0" tabSelected="1" zoomScaleNormal="100" workbookViewId="0">
      <selection activeCell="C3" sqref="C3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6"/>
    </row>
    <row r="4" spans="2:12" x14ac:dyDescent="0.25">
      <c r="B4" s="4" t="str" cm="1">
        <f t="array" ref="B4">I18N_T(cellLanguage, "RF_Title")</f>
        <v>CTS Reporting Factory</v>
      </c>
      <c r="F4" s="11"/>
      <c r="I4" s="5" t="str" cm="1">
        <f t="array" ref="I4">I18N_Version(cellLanguage)</f>
        <v>Version 0.93 - 03/08/21</v>
      </c>
    </row>
    <row r="5" spans="2:12" x14ac:dyDescent="0.25">
      <c r="C5" s="19"/>
      <c r="D5" s="20"/>
      <c r="E5" s="21"/>
      <c r="F5" s="22"/>
    </row>
    <row r="6" spans="2:12" x14ac:dyDescent="0.25">
      <c r="C6" s="23"/>
      <c r="D6" s="23"/>
      <c r="E6" s="23"/>
      <c r="F6" s="23"/>
    </row>
    <row r="7" spans="2:12" x14ac:dyDescent="0.25">
      <c r="C7"/>
      <c r="D7"/>
      <c r="E7"/>
      <c r="F7"/>
    </row>
    <row r="10" spans="2:12" x14ac:dyDescent="0.25">
      <c r="C10"/>
      <c r="D10" s="10" t="str">
        <f>I18N_T(cellLanguage, "RF_Refresh")</f>
        <v>Refresh list</v>
      </c>
      <c r="E10"/>
      <c r="F10"/>
      <c r="G10"/>
      <c r="I10" s="7"/>
      <c r="J10" s="7"/>
      <c r="L10" s="6"/>
    </row>
    <row r="11" spans="2:12" x14ac:dyDescent="0.25">
      <c r="C11"/>
      <c r="D11" s="41">
        <f>SUBTOTAL(103, tReportings[[ 2]])</f>
        <v>28</v>
      </c>
      <c r="E11"/>
      <c r="F11" s="24"/>
      <c r="G11"/>
      <c r="H11" s="16"/>
      <c r="I11" s="12"/>
      <c r="J11" s="12"/>
    </row>
    <row r="12" spans="2:12" hidden="1" x14ac:dyDescent="0.25">
      <c r="C12" s="20" t="str">
        <f>I18N_T(cellLanguage, "RF_ID")</f>
        <v>ID</v>
      </c>
      <c r="D12" s="21" t="str">
        <f>I18N_T(cellLanguage, "RF_Phase")</f>
        <v>Category</v>
      </c>
      <c r="E12" s="21" t="str">
        <f>I18N_T(cellLanguage, "RF_UpdatePeriod")</f>
        <v>Update Period</v>
      </c>
      <c r="F12" s="22" t="str">
        <f>I18N_T(cellLanguage, "RF_CreationDate")</f>
        <v>Created</v>
      </c>
      <c r="G12"/>
      <c r="H12" s="16"/>
      <c r="I12" s="12"/>
      <c r="J12" s="12"/>
    </row>
    <row r="13" spans="2:12" ht="15" customHeight="1" x14ac:dyDescent="0.25">
      <c r="C13" s="23" t="s">
        <v>204</v>
      </c>
      <c r="D13" s="23" t="s">
        <v>205</v>
      </c>
      <c r="E13" s="23" t="s">
        <v>206</v>
      </c>
      <c r="F13" s="23" t="s">
        <v>207</v>
      </c>
      <c r="H13" s="16"/>
      <c r="I13" s="12"/>
      <c r="J13" s="12"/>
    </row>
    <row r="14" spans="2:12" x14ac:dyDescent="0.25">
      <c r="C14" s="43">
        <v>52428888</v>
      </c>
      <c r="D14" s="43" t="s">
        <v>21</v>
      </c>
      <c r="E14" s="43" t="s">
        <v>612</v>
      </c>
      <c r="F14" s="43" t="s">
        <v>613</v>
      </c>
      <c r="H14" s="10" t="str">
        <f>I18N_T(cellLanguage, "RF_Modify")</f>
        <v>Modify</v>
      </c>
      <c r="I14" s="10" t="str">
        <f>I18N_T(cellLanguage, "RF_Duplicate")</f>
        <v>Duplicate</v>
      </c>
      <c r="J14" s="12"/>
      <c r="L14" s="8"/>
    </row>
    <row r="15" spans="2:12" x14ac:dyDescent="0.25">
      <c r="C15" s="43">
        <v>52428859</v>
      </c>
      <c r="D15" s="43" t="s">
        <v>21</v>
      </c>
      <c r="E15" s="43" t="s">
        <v>614</v>
      </c>
      <c r="F15" s="43" t="s">
        <v>615</v>
      </c>
      <c r="H15" s="10" t="str">
        <f>I18N_T(cellLanguage, "RF_Modify")</f>
        <v>Modify</v>
      </c>
      <c r="I15" s="10" t="str">
        <f>I18N_T(cellLanguage, "RF_Duplicate")</f>
        <v>Duplicate</v>
      </c>
      <c r="J15" s="12"/>
    </row>
    <row r="16" spans="2:12" x14ac:dyDescent="0.25">
      <c r="C16" s="43">
        <v>52428858</v>
      </c>
      <c r="D16" s="43" t="s">
        <v>21</v>
      </c>
      <c r="E16" s="43" t="s">
        <v>616</v>
      </c>
      <c r="F16" s="43" t="s">
        <v>617</v>
      </c>
      <c r="H16" s="10" t="str">
        <f>I18N_T(cellLanguage, "RF_Modify")</f>
        <v>Modify</v>
      </c>
      <c r="I16" s="10" t="str">
        <f>I18N_T(cellLanguage, "RF_Duplicate")</f>
        <v>Duplicate</v>
      </c>
      <c r="J16" s="12"/>
    </row>
    <row r="17" spans="3:10" x14ac:dyDescent="0.25">
      <c r="C17" s="43">
        <v>52428847</v>
      </c>
      <c r="D17" s="43" t="s">
        <v>21</v>
      </c>
      <c r="E17" s="43" t="s">
        <v>618</v>
      </c>
      <c r="F17" s="43" t="s">
        <v>619</v>
      </c>
      <c r="H17" s="10" t="str">
        <f>I18N_T(cellLanguage, "RF_Modify")</f>
        <v>Modify</v>
      </c>
      <c r="I17" s="10" t="str">
        <f>I18N_T(cellLanguage, "RF_Duplicate")</f>
        <v>Duplicate</v>
      </c>
      <c r="J17" s="12"/>
    </row>
    <row r="18" spans="3:10" x14ac:dyDescent="0.25">
      <c r="C18" s="43">
        <v>52428855</v>
      </c>
      <c r="D18" s="43" t="s">
        <v>21</v>
      </c>
      <c r="E18" s="43" t="s">
        <v>620</v>
      </c>
      <c r="F18" s="43" t="s">
        <v>621</v>
      </c>
      <c r="H18" s="10" t="str">
        <f>I18N_T(cellLanguage, "RF_Modify")</f>
        <v>Modify</v>
      </c>
      <c r="I18" s="10" t="str">
        <f>I18N_T(cellLanguage, "RF_Duplicate")</f>
        <v>Duplicate</v>
      </c>
      <c r="J18" s="12"/>
    </row>
    <row r="19" spans="3:10" x14ac:dyDescent="0.25">
      <c r="C19" s="43">
        <v>52428853</v>
      </c>
      <c r="D19" s="43" t="s">
        <v>21</v>
      </c>
      <c r="E19" s="43" t="s">
        <v>622</v>
      </c>
      <c r="F19" s="43" t="s">
        <v>623</v>
      </c>
      <c r="H19" s="10" t="str">
        <f>I18N_T(cellLanguage, "RF_Modify")</f>
        <v>Modify</v>
      </c>
      <c r="I19" s="10" t="str">
        <f>I18N_T(cellLanguage, "RF_Duplicate")</f>
        <v>Duplicate</v>
      </c>
      <c r="J19" s="12"/>
    </row>
    <row r="20" spans="3:10" x14ac:dyDescent="0.25">
      <c r="C20" s="43">
        <v>52428851</v>
      </c>
      <c r="D20" s="43" t="s">
        <v>21</v>
      </c>
      <c r="E20" s="43" t="s">
        <v>624</v>
      </c>
      <c r="F20" s="43" t="s">
        <v>625</v>
      </c>
      <c r="H20" s="10" t="str">
        <f>I18N_T(cellLanguage, "RF_Modify")</f>
        <v>Modify</v>
      </c>
      <c r="I20" s="10" t="str">
        <f>I18N_T(cellLanguage, "RF_Duplicate")</f>
        <v>Duplicate</v>
      </c>
      <c r="J20" s="12"/>
    </row>
    <row r="21" spans="3:10" x14ac:dyDescent="0.25">
      <c r="C21" s="43">
        <v>52428848</v>
      </c>
      <c r="D21" s="43" t="s">
        <v>21</v>
      </c>
      <c r="E21" s="43" t="s">
        <v>626</v>
      </c>
      <c r="F21" s="43" t="s">
        <v>627</v>
      </c>
      <c r="H21" s="10" t="str">
        <f>I18N_T(cellLanguage, "RF_Modify")</f>
        <v>Modify</v>
      </c>
      <c r="I21" s="10" t="str">
        <f>I18N_T(cellLanguage, "RF_Duplicate")</f>
        <v>Duplicate</v>
      </c>
      <c r="J21" s="12"/>
    </row>
    <row r="22" spans="3:10" x14ac:dyDescent="0.25">
      <c r="C22" s="43">
        <v>52428841</v>
      </c>
      <c r="D22" s="43" t="s">
        <v>21</v>
      </c>
      <c r="E22" s="43" t="s">
        <v>628</v>
      </c>
      <c r="F22" s="43" t="s">
        <v>629</v>
      </c>
      <c r="H22" s="10" t="str">
        <f>I18N_T(cellLanguage, "RF_Modify")</f>
        <v>Modify</v>
      </c>
      <c r="I22" s="10" t="str">
        <f>I18N_T(cellLanguage, "RF_Duplicate")</f>
        <v>Duplicate</v>
      </c>
      <c r="J22" s="12"/>
    </row>
    <row r="23" spans="3:10" x14ac:dyDescent="0.25">
      <c r="C23" s="43">
        <v>52428840</v>
      </c>
      <c r="D23" s="43" t="s">
        <v>21</v>
      </c>
      <c r="E23" s="43" t="s">
        <v>630</v>
      </c>
      <c r="F23" s="43" t="s">
        <v>631</v>
      </c>
      <c r="H23" s="10" t="str">
        <f>I18N_T(cellLanguage, "RF_Modify")</f>
        <v>Modify</v>
      </c>
      <c r="I23" s="10" t="str">
        <f>I18N_T(cellLanguage, "RF_Duplicate")</f>
        <v>Duplicate</v>
      </c>
      <c r="J23" s="12"/>
    </row>
    <row r="24" spans="3:10" x14ac:dyDescent="0.25">
      <c r="C24" s="43">
        <v>52428838</v>
      </c>
      <c r="D24" s="43" t="s">
        <v>21</v>
      </c>
      <c r="E24" s="43" t="s">
        <v>632</v>
      </c>
      <c r="F24" s="43" t="s">
        <v>633</v>
      </c>
      <c r="H24" s="10" t="str">
        <f>I18N_T(cellLanguage, "RF_Modify")</f>
        <v>Modify</v>
      </c>
      <c r="I24" s="10" t="str">
        <f>I18N_T(cellLanguage, "RF_Duplicate")</f>
        <v>Duplicate</v>
      </c>
      <c r="J24" s="12"/>
    </row>
    <row r="25" spans="3:10" x14ac:dyDescent="0.25">
      <c r="C25" s="43">
        <v>52428832</v>
      </c>
      <c r="D25" s="43" t="s">
        <v>21</v>
      </c>
      <c r="E25" s="43" t="s">
        <v>634</v>
      </c>
      <c r="F25" s="43" t="s">
        <v>635</v>
      </c>
      <c r="H25" s="10" t="str">
        <f>I18N_T(cellLanguage, "RF_Modify")</f>
        <v>Modify</v>
      </c>
      <c r="I25" s="10" t="str">
        <f>I18N_T(cellLanguage, "RF_Duplicate")</f>
        <v>Duplicate</v>
      </c>
      <c r="J25" s="12"/>
    </row>
    <row r="26" spans="3:10" x14ac:dyDescent="0.25">
      <c r="C26" s="43">
        <v>52428830</v>
      </c>
      <c r="D26" s="43" t="s">
        <v>21</v>
      </c>
      <c r="E26" s="43" t="s">
        <v>636</v>
      </c>
      <c r="F26" s="43" t="s">
        <v>637</v>
      </c>
      <c r="H26" s="10" t="str">
        <f>I18N_T(cellLanguage, "RF_Modify")</f>
        <v>Modify</v>
      </c>
      <c r="I26" s="10" t="str">
        <f>I18N_T(cellLanguage, "RF_Duplicate")</f>
        <v>Duplicate</v>
      </c>
      <c r="J26" s="12"/>
    </row>
    <row r="27" spans="3:10" x14ac:dyDescent="0.25">
      <c r="C27" s="43">
        <v>52428829</v>
      </c>
      <c r="D27" s="43" t="s">
        <v>21</v>
      </c>
      <c r="E27" s="43" t="s">
        <v>638</v>
      </c>
      <c r="F27" s="43" t="s">
        <v>639</v>
      </c>
      <c r="H27" s="10" t="str">
        <f>I18N_T(cellLanguage, "RF_Modify")</f>
        <v>Modify</v>
      </c>
      <c r="I27" s="10" t="str">
        <f>I18N_T(cellLanguage, "RF_Duplicate")</f>
        <v>Duplicate</v>
      </c>
      <c r="J27" s="12"/>
    </row>
    <row r="28" spans="3:10" x14ac:dyDescent="0.25">
      <c r="C28" s="43">
        <v>52428827</v>
      </c>
      <c r="D28" s="43" t="s">
        <v>21</v>
      </c>
      <c r="E28" s="43" t="s">
        <v>640</v>
      </c>
      <c r="F28" s="43" t="s">
        <v>641</v>
      </c>
      <c r="H28" s="10" t="str">
        <f>I18N_T(cellLanguage, "RF_Modify")</f>
        <v>Modify</v>
      </c>
      <c r="I28" s="10" t="str">
        <f>I18N_T(cellLanguage, "RF_Duplicate")</f>
        <v>Duplicate</v>
      </c>
      <c r="J28" s="12"/>
    </row>
    <row r="29" spans="3:10" x14ac:dyDescent="0.25">
      <c r="C29" s="43">
        <v>79</v>
      </c>
      <c r="D29" s="43" t="s">
        <v>21</v>
      </c>
      <c r="E29" s="43" t="s">
        <v>642</v>
      </c>
      <c r="F29" s="43" t="s">
        <v>643</v>
      </c>
      <c r="H29" s="10" t="str">
        <f>I18N_T(cellLanguage, "RF_Modify")</f>
        <v>Modify</v>
      </c>
      <c r="I29" s="10" t="str">
        <f>I18N_T(cellLanguage, "RF_Duplicate")</f>
        <v>Duplicate</v>
      </c>
      <c r="J29" s="12"/>
    </row>
    <row r="30" spans="3:10" x14ac:dyDescent="0.25">
      <c r="C30" s="43">
        <v>77</v>
      </c>
      <c r="D30" s="43" t="s">
        <v>21</v>
      </c>
      <c r="E30" s="43" t="s">
        <v>644</v>
      </c>
      <c r="F30" s="43" t="s">
        <v>645</v>
      </c>
      <c r="H30" s="10" t="str">
        <f>I18N_T(cellLanguage, "RF_Modify")</f>
        <v>Modify</v>
      </c>
      <c r="I30" s="10" t="str">
        <f>I18N_T(cellLanguage, "RF_Duplicate")</f>
        <v>Duplicate</v>
      </c>
      <c r="J30" s="12"/>
    </row>
    <row r="31" spans="3:10" x14ac:dyDescent="0.25">
      <c r="C31" s="43">
        <v>55</v>
      </c>
      <c r="D31" s="43" t="s">
        <v>21</v>
      </c>
      <c r="E31" s="43" t="s">
        <v>646</v>
      </c>
      <c r="F31" s="43" t="s">
        <v>647</v>
      </c>
      <c r="H31" s="10" t="str">
        <f>I18N_T(cellLanguage, "RF_Modify")</f>
        <v>Modify</v>
      </c>
      <c r="I31" s="10" t="str">
        <f>I18N_T(cellLanguage, "RF_Duplicate")</f>
        <v>Duplicate</v>
      </c>
      <c r="J31" s="12"/>
    </row>
    <row r="32" spans="3:10" x14ac:dyDescent="0.25">
      <c r="C32" s="43">
        <v>67</v>
      </c>
      <c r="D32" s="43" t="s">
        <v>21</v>
      </c>
      <c r="E32" s="43" t="s">
        <v>648</v>
      </c>
      <c r="F32" s="43" t="s">
        <v>649</v>
      </c>
      <c r="H32" s="10" t="str">
        <f>I18N_T(cellLanguage, "RF_Modify")</f>
        <v>Modify</v>
      </c>
      <c r="I32" s="10" t="str">
        <f>I18N_T(cellLanguage, "RF_Duplicate")</f>
        <v>Duplicate</v>
      </c>
      <c r="J32" s="12"/>
    </row>
    <row r="33" spans="3:10" x14ac:dyDescent="0.25">
      <c r="C33" s="43">
        <v>68</v>
      </c>
      <c r="D33" s="43" t="s">
        <v>21</v>
      </c>
      <c r="E33" s="43" t="s">
        <v>650</v>
      </c>
      <c r="F33" s="43" t="s">
        <v>651</v>
      </c>
      <c r="H33" s="10" t="str">
        <f>I18N_T(cellLanguage, "RF_Modify")</f>
        <v>Modify</v>
      </c>
      <c r="I33" s="10" t="str">
        <f>I18N_T(cellLanguage, "RF_Duplicate")</f>
        <v>Duplicate</v>
      </c>
      <c r="J33" s="12"/>
    </row>
    <row r="34" spans="3:10" x14ac:dyDescent="0.25">
      <c r="C34" s="43">
        <v>69</v>
      </c>
      <c r="D34" s="43" t="s">
        <v>21</v>
      </c>
      <c r="E34" s="43" t="s">
        <v>652</v>
      </c>
      <c r="F34" s="43" t="s">
        <v>653</v>
      </c>
      <c r="H34" s="10" t="str">
        <f>I18N_T(cellLanguage, "RF_Modify")</f>
        <v>Modify</v>
      </c>
      <c r="I34" s="10" t="str">
        <f>I18N_T(cellLanguage, "RF_Duplicate")</f>
        <v>Duplicate</v>
      </c>
      <c r="J34" s="12"/>
    </row>
    <row r="35" spans="3:10" x14ac:dyDescent="0.25">
      <c r="C35" s="43">
        <v>56</v>
      </c>
      <c r="D35" s="43" t="s">
        <v>21</v>
      </c>
      <c r="E35" s="43" t="s">
        <v>654</v>
      </c>
      <c r="F35" s="43" t="s">
        <v>655</v>
      </c>
      <c r="H35" s="10" t="str">
        <f>I18N_T(cellLanguage, "RF_Modify")</f>
        <v>Modify</v>
      </c>
      <c r="I35" s="10" t="str">
        <f>I18N_T(cellLanguage, "RF_Duplicate")</f>
        <v>Duplicate</v>
      </c>
      <c r="J35" s="12"/>
    </row>
    <row r="36" spans="3:10" x14ac:dyDescent="0.25">
      <c r="C36" s="43">
        <v>52428802</v>
      </c>
      <c r="D36" s="43" t="s">
        <v>21</v>
      </c>
      <c r="E36" s="43" t="s">
        <v>656</v>
      </c>
      <c r="F36" s="43" t="s">
        <v>657</v>
      </c>
      <c r="H36" s="10" t="str">
        <f>I18N_T(cellLanguage, "RF_Modify")</f>
        <v>Modify</v>
      </c>
      <c r="I36" s="10" t="str">
        <f>I18N_T(cellLanguage, "RF_Duplicate")</f>
        <v>Duplicate</v>
      </c>
      <c r="J36" s="12"/>
    </row>
    <row r="37" spans="3:10" x14ac:dyDescent="0.25">
      <c r="C37" s="43">
        <v>71</v>
      </c>
      <c r="D37" s="43" t="s">
        <v>21</v>
      </c>
      <c r="E37" s="43" t="s">
        <v>658</v>
      </c>
      <c r="F37" s="43" t="s">
        <v>659</v>
      </c>
      <c r="H37" s="10" t="str">
        <f>I18N_T(cellLanguage, "RF_Modify")</f>
        <v>Modify</v>
      </c>
      <c r="I37" s="10" t="str">
        <f>I18N_T(cellLanguage, "RF_Duplicate")</f>
        <v>Duplicate</v>
      </c>
      <c r="J37" s="12"/>
    </row>
    <row r="38" spans="3:10" x14ac:dyDescent="0.25">
      <c r="C38" s="43">
        <v>73</v>
      </c>
      <c r="D38" s="43" t="s">
        <v>21</v>
      </c>
      <c r="E38" s="43" t="s">
        <v>660</v>
      </c>
      <c r="F38" s="43" t="s">
        <v>661</v>
      </c>
      <c r="H38" s="10" t="str">
        <f>I18N_T(cellLanguage, "RF_Modify")</f>
        <v>Modify</v>
      </c>
      <c r="I38" s="10" t="str">
        <f>I18N_T(cellLanguage, "RF_Duplicate")</f>
        <v>Duplicate</v>
      </c>
      <c r="J38" s="12"/>
    </row>
    <row r="39" spans="3:10" x14ac:dyDescent="0.25">
      <c r="C39" s="43">
        <v>61</v>
      </c>
      <c r="D39" s="43" t="s">
        <v>21</v>
      </c>
      <c r="E39" s="43" t="s">
        <v>662</v>
      </c>
      <c r="F39" s="43" t="s">
        <v>663</v>
      </c>
      <c r="H39" s="10" t="str">
        <f>I18N_T(cellLanguage, "RF_Modify")</f>
        <v>Modify</v>
      </c>
      <c r="I39" s="10" t="str">
        <f>I18N_T(cellLanguage, "RF_Duplicate")</f>
        <v>Duplicate</v>
      </c>
      <c r="J39" s="12"/>
    </row>
    <row r="40" spans="3:10" x14ac:dyDescent="0.25">
      <c r="C40" s="43">
        <v>59</v>
      </c>
      <c r="D40" s="43" t="s">
        <v>21</v>
      </c>
      <c r="E40" s="43" t="s">
        <v>664</v>
      </c>
      <c r="F40" s="43" t="s">
        <v>665</v>
      </c>
      <c r="H40" s="10" t="str">
        <f>I18N_T(cellLanguage, "RF_Modify")</f>
        <v>Modify</v>
      </c>
      <c r="I40" s="10" t="str">
        <f>I18N_T(cellLanguage, "RF_Duplicate")</f>
        <v>Duplicate</v>
      </c>
      <c r="J40" s="12"/>
    </row>
    <row r="41" spans="3:10" x14ac:dyDescent="0.25">
      <c r="C41" s="43">
        <v>60</v>
      </c>
      <c r="D41" s="43" t="s">
        <v>21</v>
      </c>
      <c r="E41" s="43" t="s">
        <v>666</v>
      </c>
      <c r="F41" s="43" t="s">
        <v>667</v>
      </c>
      <c r="H41" s="10" t="str">
        <f>I18N_T(cellLanguage, "RF_Modify")</f>
        <v>Modify</v>
      </c>
      <c r="I41" s="10" t="str">
        <f>I18N_T(cellLanguage, "RF_Duplicate")</f>
        <v>Duplicate</v>
      </c>
      <c r="J41" s="12"/>
    </row>
    <row r="42" spans="3:10" x14ac:dyDescent="0.25">
      <c r="C42"/>
      <c r="D42"/>
      <c r="E42"/>
      <c r="F42"/>
      <c r="H42"/>
      <c r="I42"/>
      <c r="J42" s="12"/>
    </row>
    <row r="43" spans="3:10" x14ac:dyDescent="0.25">
      <c r="C43"/>
      <c r="D43"/>
      <c r="E43"/>
      <c r="F43"/>
      <c r="H43"/>
      <c r="I43"/>
      <c r="J43" s="12"/>
    </row>
    <row r="44" spans="3:10" x14ac:dyDescent="0.25">
      <c r="C44"/>
      <c r="D44"/>
      <c r="E44"/>
      <c r="F44"/>
      <c r="H44"/>
      <c r="I44"/>
      <c r="J44" s="12"/>
    </row>
    <row r="45" spans="3:10" x14ac:dyDescent="0.25">
      <c r="C45"/>
      <c r="D45"/>
      <c r="E45"/>
      <c r="F45"/>
      <c r="H45"/>
      <c r="I45"/>
      <c r="J45" s="12"/>
    </row>
    <row r="46" spans="3:10" x14ac:dyDescent="0.25">
      <c r="C46"/>
      <c r="D46"/>
      <c r="E46"/>
      <c r="F46"/>
      <c r="H46"/>
      <c r="I46"/>
      <c r="J46" s="12"/>
    </row>
    <row r="47" spans="3:10" x14ac:dyDescent="0.25">
      <c r="C47"/>
      <c r="D47"/>
      <c r="E47"/>
      <c r="F47"/>
      <c r="H47"/>
      <c r="I47"/>
      <c r="J47" s="12"/>
    </row>
  </sheetData>
  <sheetProtection sheet="1" objects="1" scenarios="1" formatCells="0" formatColumns="0" formatRows="0" insertRows="0" sort="0" autoFilter="0"/>
  <hyperlinks>
    <hyperlink ref="D10" location="C3" tooltip=" " display="C3" xr:uid="{B14F03BE-1C34-4AC5-A8F7-AE4AA35D1014}"/>
    <hyperlink ref="H14" location="C3" tooltip=" " display="C3" xr:uid="{99994A30-3C7C-4796-A66C-1B6F3855001A}"/>
    <hyperlink ref="I14" location="C3" tooltip=" " display="C3" xr:uid="{CA7A4ADA-F6A6-4471-8ACF-46888756F695}"/>
    <hyperlink ref="H15" location="C3" tooltip=" " display="C3" xr:uid="{37A26E77-78F1-4F0D-9D97-87D96D6FDB71}"/>
    <hyperlink ref="H16" location="C3" tooltip=" " display="C3" xr:uid="{0C5A3356-7945-4AF6-9E4B-A2764F85F462}"/>
    <hyperlink ref="H17" location="C3" tooltip=" " display="C3" xr:uid="{12A01F91-8853-4B44-9BC4-C1AE18580BE3}"/>
    <hyperlink ref="H18" location="C3" tooltip=" " display="C3" xr:uid="{DAC7DD03-6C0E-439D-A757-F7DB325008D1}"/>
    <hyperlink ref="H19" location="C3" tooltip=" " display="C3" xr:uid="{0999DCAA-42EC-4F58-AA32-5BB6CE6BC536}"/>
    <hyperlink ref="H20" location="C3" tooltip=" " display="C3" xr:uid="{CC63FA76-2EF3-4D65-A202-254E293BD9CD}"/>
    <hyperlink ref="H21" location="C3" tooltip=" " display="C3" xr:uid="{9C761657-EA0F-4869-8743-523118C566B6}"/>
    <hyperlink ref="H22" location="C3" tooltip=" " display="C3" xr:uid="{A1208F1C-D2A5-43CA-B40A-53AF4181F5DF}"/>
    <hyperlink ref="H23" location="C3" tooltip=" " display="C3" xr:uid="{E45E60F0-22BF-4D82-95CB-98747ECDDC57}"/>
    <hyperlink ref="H24" location="C3" tooltip=" " display="C3" xr:uid="{2F74DC9E-A96C-44C5-AB78-2C4D55F43079}"/>
    <hyperlink ref="H25" location="C3" tooltip=" " display="C3" xr:uid="{A87F985E-0022-48B6-AE6A-A8CB5A05B16A}"/>
    <hyperlink ref="H26" location="C3" tooltip=" " display="C3" xr:uid="{1F174423-8C96-404D-9C89-DB0CD0BB5793}"/>
    <hyperlink ref="H27" location="C3" tooltip=" " display="C3" xr:uid="{60F6E508-13AD-46CF-A257-54983F44F314}"/>
    <hyperlink ref="H28" location="C3" tooltip=" " display="C3" xr:uid="{144FB8EC-E125-4F09-BA29-46ED48114C59}"/>
    <hyperlink ref="H29" location="C3" tooltip=" " display="C3" xr:uid="{E4A25ECD-17D9-4A0D-966E-79A2ECA8053D}"/>
    <hyperlink ref="H30" location="C3" tooltip=" " display="C3" xr:uid="{57FF1A90-1A25-4143-B1BF-71C3D2FD7318}"/>
    <hyperlink ref="H31" location="C3" tooltip=" " display="C3" xr:uid="{AC67B1F9-77C0-4CA2-944C-E1CAA73592A6}"/>
    <hyperlink ref="H32" location="C3" tooltip=" " display="C3" xr:uid="{E9A6A37F-F2A6-4D5E-878C-7E74EBDBB41C}"/>
    <hyperlink ref="H33" location="C3" tooltip=" " display="C3" xr:uid="{449719BA-EDAD-42E3-888C-7DBD0C8BB56D}"/>
    <hyperlink ref="H34" location="C3" tooltip=" " display="C3" xr:uid="{53AB7201-2647-4DAA-B3AB-E9A2606F6CF7}"/>
    <hyperlink ref="H35" location="C3" tooltip=" " display="C3" xr:uid="{8E555E62-B43B-4EB0-AE38-27933F46B548}"/>
    <hyperlink ref="H36" location="C3" tooltip=" " display="C3" xr:uid="{087C3772-6DF2-468D-8AA0-218072FDC8CB}"/>
    <hyperlink ref="H37" location="C3" tooltip=" " display="C3" xr:uid="{5DC85FF6-6689-4DF7-8580-648CA3FA8984}"/>
    <hyperlink ref="H38" location="C3" tooltip=" " display="C3" xr:uid="{8AD6B7DB-BD75-4A42-934F-500F9E8088B9}"/>
    <hyperlink ref="H39" location="C3" tooltip=" " display="C3" xr:uid="{03228DAE-985E-4437-B73F-0B7149C9FA7E}"/>
    <hyperlink ref="H40" location="C3" tooltip=" " display="C3" xr:uid="{F97B9962-31BD-47D1-AEF5-B98EDB0E2308}"/>
    <hyperlink ref="H41" location="C3" tooltip=" " display="C3" xr:uid="{ED02AA56-C41A-45FB-93C0-34A4A3074E25}"/>
    <hyperlink ref="I15" location="C3" tooltip=" " display="C3" xr:uid="{EBC9C7B8-1472-4136-A2DF-71DA5497E325}"/>
    <hyperlink ref="I16" location="C3" tooltip=" " display="C3" xr:uid="{C99A193B-EA0B-4E29-A029-B183F8889DCF}"/>
    <hyperlink ref="I17" location="C3" tooltip=" " display="C3" xr:uid="{4EABCAD6-6AE9-4B5E-8246-2C2403FB4E2A}"/>
    <hyperlink ref="I18" location="C3" tooltip=" " display="C3" xr:uid="{CC2B29E1-45CC-43B8-8E69-301BF0047A4F}"/>
    <hyperlink ref="I19" location="C3" tooltip=" " display="C3" xr:uid="{DD6A9EA9-CF33-4498-AAF1-4E160357FD73}"/>
    <hyperlink ref="I20" location="C3" tooltip=" " display="C3" xr:uid="{D91ECE3E-46B0-440F-9D22-723C6C4BFAF8}"/>
    <hyperlink ref="I21" location="C3" tooltip=" " display="C3" xr:uid="{B78F8CC2-28C7-414E-BF51-EA7EBFCE4E31}"/>
    <hyperlink ref="I22" location="C3" tooltip=" " display="C3" xr:uid="{62FF5CAF-8E5E-4316-BDFE-E7E7F21A7277}"/>
    <hyperlink ref="I23" location="C3" tooltip=" " display="C3" xr:uid="{81EE06AF-BC4F-4C78-B00A-22B0B9A888FB}"/>
    <hyperlink ref="I24" location="C3" tooltip=" " display="C3" xr:uid="{D4C36CC2-F05A-4E1D-BB1E-E092618EEAE9}"/>
    <hyperlink ref="I25" location="C3" tooltip=" " display="C3" xr:uid="{AB64FFB2-8ADD-4BCC-B6F8-268825D3A5EE}"/>
    <hyperlink ref="I26" location="C3" tooltip=" " display="C3" xr:uid="{23C3F73F-7142-4FA9-9341-0FB8158797A7}"/>
    <hyperlink ref="I27" location="C3" tooltip=" " display="C3" xr:uid="{A2EBA991-591A-4BAA-AAFF-284A0A0DC1F1}"/>
    <hyperlink ref="I28" location="C3" tooltip=" " display="C3" xr:uid="{2D1980CE-6B41-477A-9208-23AE287C5E3F}"/>
    <hyperlink ref="I29" location="C3" tooltip=" " display="C3" xr:uid="{2A42AB42-1DDA-447B-A32C-8AF60F9B1B29}"/>
    <hyperlink ref="I30" location="C3" tooltip=" " display="C3" xr:uid="{862F1419-0DA4-464D-B162-2758BFEC36F0}"/>
    <hyperlink ref="I31" location="C3" tooltip=" " display="C3" xr:uid="{0C7A3856-71A9-466E-ADED-1F9D54DE44EB}"/>
    <hyperlink ref="I32" location="C3" tooltip=" " display="C3" xr:uid="{4229E490-E3E5-4F1D-B2D7-E7CF054FE933}"/>
    <hyperlink ref="I33" location="C3" tooltip=" " display="C3" xr:uid="{7BF38E2A-5DAA-45FD-8085-567957179040}"/>
    <hyperlink ref="I34" location="C3" tooltip=" " display="C3" xr:uid="{6C408979-809E-4BC0-BA0C-59E21022D64F}"/>
    <hyperlink ref="I35" location="C3" tooltip=" " display="C3" xr:uid="{D325A9B9-B8AD-4F9E-9D64-30A633CD4D60}"/>
    <hyperlink ref="I36" location="C3" tooltip=" " display="C3" xr:uid="{97DFE396-50FB-45F7-9591-04DA65EDDDDA}"/>
    <hyperlink ref="I37" location="C3" tooltip=" " display="C3" xr:uid="{43BEC2F8-177A-4130-A01F-C2EC49EDEF51}"/>
    <hyperlink ref="I38" location="C3" tooltip=" " display="C3" xr:uid="{AE622393-6E10-4383-98FA-D11C7B389D60}"/>
    <hyperlink ref="I39" location="C3" tooltip=" " display="C3" xr:uid="{FADF8858-9123-4BA2-B1EA-4B66778D471C}"/>
    <hyperlink ref="I40" location="C3" tooltip=" " display="C3" xr:uid="{6F96F996-0F59-4CC9-852F-104CD64D201D}"/>
    <hyperlink ref="I41" location="C3" tooltip=" " display="C3" xr:uid="{BE7EF51A-5685-4970-A809-18F506052064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44"/>
  <sheetViews>
    <sheetView topLeftCell="A22" workbookViewId="0">
      <selection activeCell="E35" sqref="E35"/>
    </sheetView>
  </sheetViews>
  <sheetFormatPr baseColWidth="10" defaultRowHeight="15" x14ac:dyDescent="0.25"/>
  <cols>
    <col min="1" max="1" width="18" style="2" bestFit="1" customWidth="1"/>
    <col min="2" max="2" width="18.5703125" style="2" bestFit="1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231</v>
      </c>
      <c r="C1" s="31">
        <v>4</v>
      </c>
      <c r="F1" s="37" t="s">
        <v>505</v>
      </c>
      <c r="G1" s="37" t="s">
        <v>506</v>
      </c>
      <c r="H1" s="37" t="s">
        <v>507</v>
      </c>
      <c r="I1" s="37" t="s">
        <v>508</v>
      </c>
      <c r="J1" s="37" t="s">
        <v>509</v>
      </c>
      <c r="K1" s="37" t="s">
        <v>510</v>
      </c>
    </row>
    <row r="3" spans="1:11" x14ac:dyDescent="0.25">
      <c r="A3" s="2" t="s">
        <v>230</v>
      </c>
      <c r="B3" s="2" t="s">
        <v>238</v>
      </c>
      <c r="C3" s="2" t="s">
        <v>235</v>
      </c>
      <c r="D3" s="30" t="s">
        <v>236</v>
      </c>
      <c r="E3" s="2" t="s">
        <v>229</v>
      </c>
    </row>
    <row r="4" spans="1:11" x14ac:dyDescent="0.25">
      <c r="A4" s="2" t="s">
        <v>501</v>
      </c>
      <c r="B4" s="2" t="s">
        <v>113</v>
      </c>
      <c r="C4" s="2" t="s">
        <v>527</v>
      </c>
      <c r="D4" s="30">
        <v>44262.77579861111</v>
      </c>
      <c r="E4" s="2" t="s">
        <v>528</v>
      </c>
    </row>
    <row r="5" spans="1:11" x14ac:dyDescent="0.25">
      <c r="A5" s="2" t="s">
        <v>529</v>
      </c>
      <c r="B5" s="2" t="s">
        <v>530</v>
      </c>
      <c r="C5" s="2" t="s">
        <v>531</v>
      </c>
      <c r="D5" s="30">
        <v>44262.775925925926</v>
      </c>
      <c r="E5" s="2" t="s">
        <v>532</v>
      </c>
    </row>
    <row r="6" spans="1:11" x14ac:dyDescent="0.25">
      <c r="A6" s="2" t="s">
        <v>529</v>
      </c>
      <c r="B6" s="2" t="s">
        <v>530</v>
      </c>
      <c r="C6" s="2" t="s">
        <v>531</v>
      </c>
      <c r="D6" s="30">
        <v>44262.77615740741</v>
      </c>
      <c r="E6" s="2" t="s">
        <v>532</v>
      </c>
    </row>
    <row r="7" spans="1:11" x14ac:dyDescent="0.25">
      <c r="A7" s="2" t="s">
        <v>529</v>
      </c>
      <c r="B7" s="2" t="s">
        <v>533</v>
      </c>
      <c r="C7" s="2" t="s">
        <v>527</v>
      </c>
      <c r="D7" s="30">
        <v>44262.776192129626</v>
      </c>
      <c r="E7" s="2" t="s">
        <v>534</v>
      </c>
    </row>
    <row r="8" spans="1:11" x14ac:dyDescent="0.25">
      <c r="A8" s="2" t="s">
        <v>501</v>
      </c>
      <c r="B8" s="2" t="s">
        <v>113</v>
      </c>
      <c r="C8" s="2" t="s">
        <v>527</v>
      </c>
      <c r="D8" s="30">
        <v>44262.792280092595</v>
      </c>
      <c r="E8" s="2" t="s">
        <v>528</v>
      </c>
    </row>
    <row r="9" spans="1:11" x14ac:dyDescent="0.25">
      <c r="A9" s="2" t="s">
        <v>535</v>
      </c>
      <c r="B9" s="2" t="s">
        <v>536</v>
      </c>
      <c r="C9" s="2" t="s">
        <v>527</v>
      </c>
      <c r="D9" s="30">
        <v>44262.792395833334</v>
      </c>
      <c r="E9" s="2" t="s">
        <v>537</v>
      </c>
    </row>
    <row r="10" spans="1:11" x14ac:dyDescent="0.25">
      <c r="A10" s="2" t="s">
        <v>529</v>
      </c>
      <c r="B10" s="2" t="s">
        <v>530</v>
      </c>
      <c r="C10" s="2" t="s">
        <v>531</v>
      </c>
      <c r="D10" s="30">
        <v>44262.792453703703</v>
      </c>
      <c r="E10" s="2" t="s">
        <v>538</v>
      </c>
    </row>
    <row r="11" spans="1:11" x14ac:dyDescent="0.25">
      <c r="A11" s="2" t="s">
        <v>529</v>
      </c>
      <c r="B11" s="2" t="s">
        <v>533</v>
      </c>
      <c r="C11" s="2" t="s">
        <v>527</v>
      </c>
      <c r="D11" s="30">
        <v>44262.792488425926</v>
      </c>
      <c r="E11" s="2" t="s">
        <v>539</v>
      </c>
    </row>
    <row r="12" spans="1:11" x14ac:dyDescent="0.25">
      <c r="A12" s="2" t="s">
        <v>529</v>
      </c>
      <c r="B12" s="2" t="s">
        <v>530</v>
      </c>
      <c r="C12" s="2" t="s">
        <v>531</v>
      </c>
      <c r="D12" s="30">
        <v>44262.793749999997</v>
      </c>
      <c r="E12" s="2" t="s">
        <v>540</v>
      </c>
    </row>
    <row r="13" spans="1:11" x14ac:dyDescent="0.25">
      <c r="A13" s="2" t="s">
        <v>529</v>
      </c>
      <c r="B13" s="2" t="s">
        <v>530</v>
      </c>
      <c r="C13" s="2" t="s">
        <v>531</v>
      </c>
      <c r="D13" s="30">
        <v>44262.79614583333</v>
      </c>
      <c r="E13" s="2" t="s">
        <v>540</v>
      </c>
    </row>
    <row r="14" spans="1:11" x14ac:dyDescent="0.25">
      <c r="A14" s="2" t="s">
        <v>529</v>
      </c>
      <c r="B14" s="2" t="s">
        <v>530</v>
      </c>
      <c r="C14" s="2" t="s">
        <v>531</v>
      </c>
      <c r="D14" s="30">
        <v>44262.796886574077</v>
      </c>
      <c r="E14" s="2" t="s">
        <v>540</v>
      </c>
    </row>
    <row r="15" spans="1:11" x14ac:dyDescent="0.25">
      <c r="A15" s="2" t="s">
        <v>529</v>
      </c>
      <c r="B15" s="2" t="s">
        <v>530</v>
      </c>
      <c r="C15" s="2" t="s">
        <v>531</v>
      </c>
      <c r="D15" s="30">
        <v>44262.798067129632</v>
      </c>
      <c r="E15" s="2" t="s">
        <v>540</v>
      </c>
    </row>
    <row r="16" spans="1:11" x14ac:dyDescent="0.25">
      <c r="A16" s="2" t="s">
        <v>529</v>
      </c>
      <c r="B16" s="2" t="s">
        <v>530</v>
      </c>
      <c r="C16" s="2" t="s">
        <v>531</v>
      </c>
      <c r="D16" s="30">
        <v>44262.799444444441</v>
      </c>
      <c r="E16" s="2" t="s">
        <v>540</v>
      </c>
    </row>
    <row r="17" spans="1:5" x14ac:dyDescent="0.25">
      <c r="A17" s="2" t="s">
        <v>529</v>
      </c>
      <c r="B17" s="2" t="s">
        <v>530</v>
      </c>
      <c r="C17" s="2" t="s">
        <v>531</v>
      </c>
      <c r="D17" s="30">
        <v>44262.801377314812</v>
      </c>
      <c r="E17" s="2" t="s">
        <v>540</v>
      </c>
    </row>
    <row r="18" spans="1:5" x14ac:dyDescent="0.25">
      <c r="A18" s="2" t="s">
        <v>501</v>
      </c>
      <c r="B18" s="2" t="s">
        <v>113</v>
      </c>
      <c r="C18" s="2" t="s">
        <v>527</v>
      </c>
      <c r="D18" s="30">
        <v>44262.802071759259</v>
      </c>
      <c r="E18" s="2" t="s">
        <v>528</v>
      </c>
    </row>
    <row r="19" spans="1:5" x14ac:dyDescent="0.25">
      <c r="A19" s="2" t="s">
        <v>529</v>
      </c>
      <c r="B19" s="2" t="s">
        <v>530</v>
      </c>
      <c r="C19" s="2" t="s">
        <v>531</v>
      </c>
      <c r="D19" s="30">
        <v>44262.802222222221</v>
      </c>
      <c r="E19" s="2" t="s">
        <v>540</v>
      </c>
    </row>
    <row r="20" spans="1:5" x14ac:dyDescent="0.25">
      <c r="A20" s="2" t="s">
        <v>529</v>
      </c>
      <c r="B20" s="2" t="s">
        <v>530</v>
      </c>
      <c r="C20" s="2" t="s">
        <v>531</v>
      </c>
      <c r="D20" s="30">
        <v>44262.804849537039</v>
      </c>
      <c r="E20" s="2" t="s">
        <v>540</v>
      </c>
    </row>
    <row r="21" spans="1:5" x14ac:dyDescent="0.25">
      <c r="A21" s="2" t="s">
        <v>501</v>
      </c>
      <c r="B21" s="2" t="s">
        <v>113</v>
      </c>
      <c r="C21" s="2" t="s">
        <v>527</v>
      </c>
      <c r="D21" s="30">
        <v>44262.805937500001</v>
      </c>
      <c r="E21" s="2" t="s">
        <v>528</v>
      </c>
    </row>
    <row r="22" spans="1:5" x14ac:dyDescent="0.25">
      <c r="A22" s="2" t="s">
        <v>529</v>
      </c>
      <c r="B22" s="2" t="s">
        <v>530</v>
      </c>
      <c r="C22" s="2" t="s">
        <v>531</v>
      </c>
      <c r="D22" s="30">
        <v>44262.806064814817</v>
      </c>
      <c r="E22" s="2" t="s">
        <v>540</v>
      </c>
    </row>
    <row r="23" spans="1:5" x14ac:dyDescent="0.25">
      <c r="A23" s="2" t="s">
        <v>529</v>
      </c>
      <c r="B23" s="2" t="s">
        <v>533</v>
      </c>
      <c r="C23" s="2" t="s">
        <v>527</v>
      </c>
      <c r="D23" s="30">
        <v>44262.80609953704</v>
      </c>
      <c r="E23" s="2" t="s">
        <v>541</v>
      </c>
    </row>
    <row r="24" spans="1:5" x14ac:dyDescent="0.25">
      <c r="A24" s="2" t="s">
        <v>501</v>
      </c>
      <c r="B24" s="2" t="s">
        <v>113</v>
      </c>
      <c r="C24" s="2" t="s">
        <v>527</v>
      </c>
      <c r="D24" s="30">
        <v>44262.813148148147</v>
      </c>
      <c r="E24" s="2" t="s">
        <v>542</v>
      </c>
    </row>
    <row r="25" spans="1:5" x14ac:dyDescent="0.25">
      <c r="A25" s="2" t="s">
        <v>529</v>
      </c>
      <c r="B25" s="2" t="s">
        <v>530</v>
      </c>
      <c r="C25" s="2" t="s">
        <v>531</v>
      </c>
      <c r="D25" s="30">
        <v>44262.813275462962</v>
      </c>
      <c r="E25" s="2" t="s">
        <v>540</v>
      </c>
    </row>
    <row r="26" spans="1:5" x14ac:dyDescent="0.25">
      <c r="A26" s="2" t="s">
        <v>501</v>
      </c>
      <c r="B26" s="2" t="s">
        <v>113</v>
      </c>
      <c r="C26" s="2" t="s">
        <v>527</v>
      </c>
      <c r="D26" s="30">
        <v>44262.813773148147</v>
      </c>
      <c r="E26" s="2" t="s">
        <v>528</v>
      </c>
    </row>
    <row r="27" spans="1:5" x14ac:dyDescent="0.25">
      <c r="A27" s="2" t="s">
        <v>529</v>
      </c>
      <c r="B27" s="2" t="s">
        <v>530</v>
      </c>
      <c r="C27" s="2" t="s">
        <v>531</v>
      </c>
      <c r="D27" s="30">
        <v>44262.813877314817</v>
      </c>
      <c r="E27" s="2" t="s">
        <v>540</v>
      </c>
    </row>
    <row r="28" spans="1:5" x14ac:dyDescent="0.25">
      <c r="A28" s="2" t="s">
        <v>501</v>
      </c>
      <c r="B28" s="2" t="s">
        <v>113</v>
      </c>
      <c r="C28" s="2" t="s">
        <v>527</v>
      </c>
      <c r="D28" s="30">
        <v>44262.816469907404</v>
      </c>
      <c r="E28" s="2" t="s">
        <v>542</v>
      </c>
    </row>
    <row r="29" spans="1:5" x14ac:dyDescent="0.25">
      <c r="A29" s="2" t="s">
        <v>529</v>
      </c>
      <c r="B29" s="2" t="s">
        <v>530</v>
      </c>
      <c r="C29" s="2" t="s">
        <v>531</v>
      </c>
      <c r="D29" s="30">
        <v>44262.816550925927</v>
      </c>
      <c r="E29" s="2" t="s">
        <v>540</v>
      </c>
    </row>
    <row r="30" spans="1:5" x14ac:dyDescent="0.25">
      <c r="A30" s="2" t="s">
        <v>529</v>
      </c>
      <c r="B30" s="2" t="s">
        <v>530</v>
      </c>
      <c r="C30" s="2" t="s">
        <v>531</v>
      </c>
      <c r="D30" s="30">
        <v>44262.820439814815</v>
      </c>
      <c r="E30" s="2" t="s">
        <v>540</v>
      </c>
    </row>
    <row r="31" spans="1:5" x14ac:dyDescent="0.25">
      <c r="A31" s="2" t="s">
        <v>529</v>
      </c>
      <c r="B31" s="2" t="s">
        <v>533</v>
      </c>
      <c r="C31" s="2" t="s">
        <v>527</v>
      </c>
      <c r="D31" s="30">
        <v>44262.820439814815</v>
      </c>
      <c r="E31" s="2" t="s">
        <v>541</v>
      </c>
    </row>
    <row r="32" spans="1:5" x14ac:dyDescent="0.25">
      <c r="A32" s="2" t="s">
        <v>529</v>
      </c>
      <c r="B32" s="2" t="s">
        <v>530</v>
      </c>
      <c r="C32" s="2" t="s">
        <v>531</v>
      </c>
      <c r="D32" s="30">
        <v>44262.821435185186</v>
      </c>
      <c r="E32" s="2" t="s">
        <v>540</v>
      </c>
    </row>
    <row r="33" spans="1:5" x14ac:dyDescent="0.25">
      <c r="A33" s="2" t="s">
        <v>529</v>
      </c>
      <c r="B33" s="2" t="s">
        <v>533</v>
      </c>
      <c r="C33" s="2" t="s">
        <v>527</v>
      </c>
      <c r="D33" s="30">
        <v>44262.821435185186</v>
      </c>
      <c r="E33" s="2" t="s">
        <v>541</v>
      </c>
    </row>
    <row r="34" spans="1:5" x14ac:dyDescent="0.25">
      <c r="A34" s="2" t="s">
        <v>529</v>
      </c>
      <c r="B34" s="2" t="s">
        <v>530</v>
      </c>
      <c r="C34" s="2" t="s">
        <v>531</v>
      </c>
      <c r="D34" s="30">
        <v>44262.821643518517</v>
      </c>
      <c r="E34" s="2" t="s">
        <v>540</v>
      </c>
    </row>
    <row r="35" spans="1:5" x14ac:dyDescent="0.25">
      <c r="A35" s="2" t="s">
        <v>529</v>
      </c>
      <c r="B35" s="2" t="s">
        <v>533</v>
      </c>
      <c r="C35" s="2" t="s">
        <v>527</v>
      </c>
      <c r="D35" s="30">
        <v>44262.821643518517</v>
      </c>
      <c r="E35" s="2" t="s">
        <v>541</v>
      </c>
    </row>
    <row r="36" spans="1:5" x14ac:dyDescent="0.25">
      <c r="A36" s="2" t="s">
        <v>529</v>
      </c>
      <c r="B36" s="2" t="s">
        <v>530</v>
      </c>
      <c r="C36" s="2" t="s">
        <v>531</v>
      </c>
      <c r="D36" s="30">
        <v>44262.822534722225</v>
      </c>
      <c r="E36" s="2" t="s">
        <v>540</v>
      </c>
    </row>
    <row r="37" spans="1:5" x14ac:dyDescent="0.25">
      <c r="A37" s="2" t="s">
        <v>501</v>
      </c>
      <c r="B37" s="2" t="s">
        <v>113</v>
      </c>
      <c r="C37" s="2" t="s">
        <v>527</v>
      </c>
      <c r="D37" s="30">
        <v>44262.827407407407</v>
      </c>
      <c r="E37" s="2" t="s">
        <v>528</v>
      </c>
    </row>
    <row r="38" spans="1:5" x14ac:dyDescent="0.25">
      <c r="A38" s="2" t="s">
        <v>529</v>
      </c>
      <c r="B38" s="2" t="s">
        <v>530</v>
      </c>
      <c r="C38" s="2" t="s">
        <v>531</v>
      </c>
      <c r="D38" s="30">
        <v>44262.827523148146</v>
      </c>
      <c r="E38" s="2" t="s">
        <v>540</v>
      </c>
    </row>
    <row r="39" spans="1:5" x14ac:dyDescent="0.25">
      <c r="A39" s="2" t="s">
        <v>529</v>
      </c>
      <c r="B39" s="2" t="s">
        <v>530</v>
      </c>
      <c r="C39" s="2" t="s">
        <v>531</v>
      </c>
      <c r="D39" s="30">
        <v>44262.827708333331</v>
      </c>
      <c r="E39" s="2" t="s">
        <v>540</v>
      </c>
    </row>
    <row r="40" spans="1:5" x14ac:dyDescent="0.25">
      <c r="A40" s="2" t="s">
        <v>501</v>
      </c>
      <c r="B40" s="2" t="s">
        <v>113</v>
      </c>
      <c r="C40" s="2" t="s">
        <v>527</v>
      </c>
      <c r="D40" s="30">
        <v>44262.8280787037</v>
      </c>
      <c r="E40" s="2" t="s">
        <v>543</v>
      </c>
    </row>
    <row r="41" spans="1:5" x14ac:dyDescent="0.25">
      <c r="A41" s="2" t="s">
        <v>529</v>
      </c>
      <c r="B41" s="2" t="s">
        <v>530</v>
      </c>
      <c r="C41" s="2" t="s">
        <v>531</v>
      </c>
      <c r="D41" s="30">
        <v>44262.828159722223</v>
      </c>
      <c r="E41" s="2" t="s">
        <v>540</v>
      </c>
    </row>
    <row r="42" spans="1:5" x14ac:dyDescent="0.25">
      <c r="A42" s="2" t="s">
        <v>529</v>
      </c>
      <c r="B42" s="2" t="s">
        <v>533</v>
      </c>
      <c r="C42" s="2" t="s">
        <v>527</v>
      </c>
      <c r="D42" s="30">
        <v>44262.828206018516</v>
      </c>
      <c r="E42" s="2" t="s">
        <v>544</v>
      </c>
    </row>
    <row r="43" spans="1:5" x14ac:dyDescent="0.25">
      <c r="A43" s="2" t="s">
        <v>669</v>
      </c>
      <c r="B43" s="2" t="s">
        <v>670</v>
      </c>
      <c r="C43" s="2" t="s">
        <v>527</v>
      </c>
      <c r="D43" s="30">
        <v>44265.385289351849</v>
      </c>
      <c r="E43" s="2" t="s">
        <v>671</v>
      </c>
    </row>
    <row r="44" spans="1:5" x14ac:dyDescent="0.25">
      <c r="A44" s="2" t="s">
        <v>672</v>
      </c>
      <c r="B44" s="2" t="s">
        <v>673</v>
      </c>
      <c r="C44" s="2" t="s">
        <v>527</v>
      </c>
      <c r="D44" s="30">
        <v>44265.387361111112</v>
      </c>
      <c r="E44" s="2" t="s">
        <v>674</v>
      </c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K75"/>
  <sheetViews>
    <sheetView topLeftCell="A13" zoomScaleNormal="100" workbookViewId="0">
      <selection activeCell="E35" sqref="E35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7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1" x14ac:dyDescent="0.25">
      <c r="A17" t="s">
        <v>37</v>
      </c>
      <c r="C17" t="s">
        <v>64</v>
      </c>
      <c r="D17" t="s">
        <v>66</v>
      </c>
      <c r="F17" s="18">
        <v>44019</v>
      </c>
      <c r="G17" s="25">
        <v>44033</v>
      </c>
      <c r="H17" s="25">
        <v>44039</v>
      </c>
      <c r="I17" s="25">
        <v>44171</v>
      </c>
      <c r="J17" s="25">
        <v>44255</v>
      </c>
      <c r="K17" s="25">
        <v>44263</v>
      </c>
    </row>
    <row r="18" spans="1:11" hidden="1" x14ac:dyDescent="0.25">
      <c r="B18" t="s">
        <v>70</v>
      </c>
      <c r="D18">
        <v>1</v>
      </c>
      <c r="F18" s="17" t="s">
        <v>138</v>
      </c>
      <c r="G18" t="s">
        <v>138</v>
      </c>
      <c r="H18" t="s">
        <v>138</v>
      </c>
      <c r="I18" t="s">
        <v>138</v>
      </c>
      <c r="J18" t="s">
        <v>138</v>
      </c>
      <c r="K18" t="s">
        <v>138</v>
      </c>
    </row>
    <row r="19" spans="1:11" hidden="1" x14ac:dyDescent="0.25">
      <c r="B19" t="s">
        <v>65</v>
      </c>
      <c r="C19">
        <v>0.25</v>
      </c>
      <c r="D19">
        <v>0.25</v>
      </c>
      <c r="F19" s="17" t="s">
        <v>138</v>
      </c>
      <c r="G19" t="s">
        <v>138</v>
      </c>
      <c r="H19" t="s">
        <v>138</v>
      </c>
      <c r="I19" t="s">
        <v>138</v>
      </c>
      <c r="J19" t="s">
        <v>138</v>
      </c>
      <c r="K19" t="s">
        <v>138</v>
      </c>
    </row>
    <row r="20" spans="1:11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  <c r="K20" t="s">
        <v>138</v>
      </c>
    </row>
    <row r="21" spans="1:11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  <c r="K21" t="s">
        <v>138</v>
      </c>
    </row>
    <row r="22" spans="1:11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  <c r="K22" t="s">
        <v>138</v>
      </c>
    </row>
    <row r="23" spans="1:11" x14ac:dyDescent="0.25">
      <c r="B23" t="s">
        <v>86</v>
      </c>
      <c r="D23">
        <v>0.25</v>
      </c>
    </row>
    <row r="24" spans="1:11" hidden="1" x14ac:dyDescent="0.25">
      <c r="B24" t="s">
        <v>218</v>
      </c>
      <c r="H24">
        <v>0.25</v>
      </c>
      <c r="I24" t="s">
        <v>138</v>
      </c>
      <c r="J24" t="s">
        <v>138</v>
      </c>
      <c r="K24" t="s">
        <v>138</v>
      </c>
    </row>
    <row r="25" spans="1:11" x14ac:dyDescent="0.25">
      <c r="B25" t="s">
        <v>208</v>
      </c>
      <c r="H25">
        <v>0.25</v>
      </c>
      <c r="I25">
        <v>0.25</v>
      </c>
      <c r="J25">
        <v>0.25</v>
      </c>
      <c r="K25">
        <v>0.25</v>
      </c>
    </row>
    <row r="26" spans="1:11" hidden="1" x14ac:dyDescent="0.25">
      <c r="B26" t="s">
        <v>219</v>
      </c>
      <c r="H26">
        <v>0.25</v>
      </c>
      <c r="I26">
        <v>0.25</v>
      </c>
      <c r="J26" t="s">
        <v>138</v>
      </c>
      <c r="K26" t="s">
        <v>138</v>
      </c>
    </row>
    <row r="27" spans="1:11" hidden="1" x14ac:dyDescent="0.25">
      <c r="B27" t="s">
        <v>228</v>
      </c>
      <c r="I27">
        <v>0.25</v>
      </c>
      <c r="J27" t="s">
        <v>138</v>
      </c>
      <c r="K27" t="s">
        <v>138</v>
      </c>
    </row>
    <row r="28" spans="1:11" x14ac:dyDescent="0.25">
      <c r="B28" t="s">
        <v>176</v>
      </c>
      <c r="D28">
        <v>0.25</v>
      </c>
    </row>
    <row r="29" spans="1:11" hidden="1" x14ac:dyDescent="0.25">
      <c r="B29" t="s">
        <v>143</v>
      </c>
      <c r="I29">
        <v>0.25</v>
      </c>
      <c r="J29">
        <v>0.25</v>
      </c>
      <c r="K29" t="s">
        <v>138</v>
      </c>
    </row>
    <row r="30" spans="1:11" hidden="1" x14ac:dyDescent="0.25">
      <c r="B30" t="s">
        <v>141</v>
      </c>
      <c r="D30">
        <v>0.25</v>
      </c>
      <c r="G30" t="s">
        <v>138</v>
      </c>
      <c r="H30" t="s">
        <v>138</v>
      </c>
      <c r="I30" t="s">
        <v>138</v>
      </c>
      <c r="J30" t="s">
        <v>138</v>
      </c>
      <c r="K30" t="s">
        <v>138</v>
      </c>
    </row>
    <row r="31" spans="1:11" x14ac:dyDescent="0.25">
      <c r="B31" t="s">
        <v>144</v>
      </c>
      <c r="D31">
        <v>0.25</v>
      </c>
    </row>
    <row r="32" spans="1:11" hidden="1" x14ac:dyDescent="0.25">
      <c r="B32" t="s">
        <v>142</v>
      </c>
      <c r="D32">
        <v>0.25</v>
      </c>
      <c r="G32" t="s">
        <v>138</v>
      </c>
      <c r="H32" t="s">
        <v>138</v>
      </c>
      <c r="I32" t="s">
        <v>138</v>
      </c>
      <c r="J32" t="s">
        <v>138</v>
      </c>
      <c r="K32" t="s">
        <v>138</v>
      </c>
    </row>
    <row r="33" spans="2:11" hidden="1" x14ac:dyDescent="0.25">
      <c r="B33" t="s">
        <v>179</v>
      </c>
      <c r="H33">
        <v>0.25</v>
      </c>
      <c r="I33" t="s">
        <v>138</v>
      </c>
      <c r="J33" t="s">
        <v>138</v>
      </c>
      <c r="K33" t="s">
        <v>138</v>
      </c>
    </row>
    <row r="34" spans="2:11" hidden="1" x14ac:dyDescent="0.25">
      <c r="B34" t="s">
        <v>203</v>
      </c>
      <c r="H34">
        <v>0.25</v>
      </c>
      <c r="I34" t="s">
        <v>138</v>
      </c>
      <c r="J34" t="s">
        <v>138</v>
      </c>
      <c r="K34" t="s">
        <v>138</v>
      </c>
    </row>
    <row r="35" spans="2:11" x14ac:dyDescent="0.25">
      <c r="B35" t="s">
        <v>145</v>
      </c>
      <c r="D35">
        <v>0.5</v>
      </c>
    </row>
    <row r="36" spans="2:11" x14ac:dyDescent="0.25">
      <c r="B36" t="s">
        <v>241</v>
      </c>
      <c r="I36">
        <v>0.5</v>
      </c>
      <c r="J36">
        <v>0.5</v>
      </c>
      <c r="K36">
        <v>0.5</v>
      </c>
    </row>
    <row r="37" spans="2:11" x14ac:dyDescent="0.25">
      <c r="B37" t="s">
        <v>67</v>
      </c>
      <c r="C37">
        <v>0.5</v>
      </c>
      <c r="D37">
        <v>1</v>
      </c>
      <c r="I37">
        <v>0.5</v>
      </c>
      <c r="J37">
        <v>0.5</v>
      </c>
      <c r="K37">
        <v>0.5</v>
      </c>
    </row>
    <row r="38" spans="2:11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  <c r="K38" t="s">
        <v>138</v>
      </c>
    </row>
    <row r="39" spans="2:11" x14ac:dyDescent="0.25">
      <c r="B39" t="s">
        <v>30</v>
      </c>
      <c r="C39">
        <v>0.25</v>
      </c>
    </row>
    <row r="40" spans="2:11" hidden="1" x14ac:dyDescent="0.25">
      <c r="B40" t="s">
        <v>38</v>
      </c>
      <c r="D40">
        <v>0.5</v>
      </c>
      <c r="I40" t="s">
        <v>138</v>
      </c>
      <c r="J40" t="s">
        <v>138</v>
      </c>
      <c r="K40" t="s">
        <v>138</v>
      </c>
    </row>
    <row r="41" spans="2:11" hidden="1" x14ac:dyDescent="0.25">
      <c r="B41" t="s">
        <v>39</v>
      </c>
      <c r="D41">
        <v>0.5</v>
      </c>
      <c r="I41" t="s">
        <v>138</v>
      </c>
      <c r="J41" t="s">
        <v>138</v>
      </c>
      <c r="K41" t="s">
        <v>138</v>
      </c>
    </row>
    <row r="42" spans="2:11" x14ac:dyDescent="0.25">
      <c r="B42" t="s">
        <v>35</v>
      </c>
      <c r="D42">
        <v>0.5</v>
      </c>
    </row>
    <row r="43" spans="2:11" hidden="1" x14ac:dyDescent="0.25">
      <c r="B43" t="s">
        <v>40</v>
      </c>
      <c r="D43">
        <v>0.5</v>
      </c>
      <c r="I43" t="s">
        <v>138</v>
      </c>
      <c r="J43" t="s">
        <v>138</v>
      </c>
      <c r="K43" t="s">
        <v>138</v>
      </c>
    </row>
    <row r="44" spans="2:11" x14ac:dyDescent="0.25">
      <c r="B44" t="s">
        <v>32</v>
      </c>
      <c r="C44">
        <v>0.25</v>
      </c>
    </row>
    <row r="45" spans="2:11" x14ac:dyDescent="0.25">
      <c r="B45" t="s">
        <v>41</v>
      </c>
    </row>
    <row r="46" spans="2:11" x14ac:dyDescent="0.25">
      <c r="B46" t="s">
        <v>33</v>
      </c>
      <c r="C46">
        <v>0.25</v>
      </c>
    </row>
    <row r="47" spans="2:11" x14ac:dyDescent="0.25">
      <c r="B47" t="s">
        <v>42</v>
      </c>
      <c r="C47">
        <v>0.25</v>
      </c>
    </row>
    <row r="48" spans="2:11" x14ac:dyDescent="0.25">
      <c r="B48" t="s">
        <v>43</v>
      </c>
      <c r="D48">
        <v>0.5</v>
      </c>
    </row>
    <row r="49" spans="2:11" x14ac:dyDescent="0.25">
      <c r="B49" t="s">
        <v>44</v>
      </c>
      <c r="C49">
        <v>0.25</v>
      </c>
    </row>
    <row r="50" spans="2:11" x14ac:dyDescent="0.25">
      <c r="B50" t="s">
        <v>45</v>
      </c>
      <c r="C50">
        <v>0.25</v>
      </c>
    </row>
    <row r="51" spans="2:11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  <c r="K51" t="s">
        <v>138</v>
      </c>
    </row>
    <row r="52" spans="2:11" hidden="1" x14ac:dyDescent="0.25">
      <c r="B52" t="s">
        <v>71</v>
      </c>
      <c r="C52">
        <v>4</v>
      </c>
      <c r="D52">
        <v>4</v>
      </c>
      <c r="J52" t="s">
        <v>138</v>
      </c>
      <c r="K52" t="s">
        <v>138</v>
      </c>
    </row>
    <row r="53" spans="2:11" hidden="1" x14ac:dyDescent="0.25">
      <c r="B53" t="s">
        <v>517</v>
      </c>
      <c r="J53" t="s">
        <v>138</v>
      </c>
      <c r="K53" t="s">
        <v>138</v>
      </c>
    </row>
    <row r="54" spans="2:11" x14ac:dyDescent="0.25">
      <c r="B54" t="s">
        <v>608</v>
      </c>
      <c r="K54">
        <v>0.3</v>
      </c>
    </row>
    <row r="55" spans="2:11" hidden="1" x14ac:dyDescent="0.25">
      <c r="B55" t="s">
        <v>524</v>
      </c>
      <c r="J55">
        <v>0.25</v>
      </c>
      <c r="K55" t="s">
        <v>138</v>
      </c>
    </row>
    <row r="56" spans="2:11" hidden="1" x14ac:dyDescent="0.25">
      <c r="B56" t="s">
        <v>550</v>
      </c>
      <c r="K56" t="s">
        <v>138</v>
      </c>
    </row>
    <row r="57" spans="2:11" hidden="1" x14ac:dyDescent="0.25">
      <c r="B57" t="s">
        <v>525</v>
      </c>
      <c r="J57">
        <v>0.25</v>
      </c>
      <c r="K57" t="s">
        <v>138</v>
      </c>
    </row>
    <row r="58" spans="2:11" hidden="1" x14ac:dyDescent="0.25">
      <c r="B58" t="s">
        <v>548</v>
      </c>
      <c r="K58" t="s">
        <v>138</v>
      </c>
    </row>
    <row r="59" spans="2:11" hidden="1" x14ac:dyDescent="0.25">
      <c r="B59" t="s">
        <v>549</v>
      </c>
      <c r="K59" t="s">
        <v>138</v>
      </c>
    </row>
    <row r="60" spans="2:11" x14ac:dyDescent="0.25">
      <c r="B60" t="s">
        <v>518</v>
      </c>
      <c r="J60">
        <v>0.25</v>
      </c>
      <c r="K60">
        <v>0.2</v>
      </c>
    </row>
    <row r="61" spans="2:11" x14ac:dyDescent="0.25">
      <c r="B61" t="s">
        <v>523</v>
      </c>
      <c r="J61">
        <v>0.25</v>
      </c>
      <c r="K61">
        <v>0.2</v>
      </c>
    </row>
    <row r="62" spans="2:11" x14ac:dyDescent="0.25">
      <c r="B62" t="s">
        <v>668</v>
      </c>
      <c r="K62">
        <v>0.2</v>
      </c>
    </row>
    <row r="63" spans="2:11" x14ac:dyDescent="0.25">
      <c r="B63" t="s">
        <v>521</v>
      </c>
      <c r="J63">
        <v>0.5</v>
      </c>
      <c r="K63">
        <v>0.3</v>
      </c>
    </row>
    <row r="64" spans="2:11" x14ac:dyDescent="0.25">
      <c r="B64" t="s">
        <v>516</v>
      </c>
      <c r="J64">
        <v>0.25</v>
      </c>
      <c r="K64">
        <v>0.1</v>
      </c>
    </row>
    <row r="65" spans="2:11" x14ac:dyDescent="0.25">
      <c r="B65" t="s">
        <v>520</v>
      </c>
      <c r="J65">
        <v>0.25</v>
      </c>
      <c r="K65">
        <v>0.25</v>
      </c>
    </row>
    <row r="66" spans="2:11" x14ac:dyDescent="0.25">
      <c r="B66" t="s">
        <v>519</v>
      </c>
      <c r="J66">
        <v>0.5</v>
      </c>
      <c r="K66">
        <v>0.5</v>
      </c>
    </row>
    <row r="67" spans="2:11" x14ac:dyDescent="0.25">
      <c r="B67" t="s">
        <v>515</v>
      </c>
      <c r="J67">
        <v>1</v>
      </c>
      <c r="K67">
        <v>1</v>
      </c>
    </row>
    <row r="68" spans="2:11" x14ac:dyDescent="0.25">
      <c r="B68" t="s">
        <v>557</v>
      </c>
      <c r="K68">
        <v>0.2</v>
      </c>
    </row>
    <row r="69" spans="2:11" x14ac:dyDescent="0.25">
      <c r="B69" t="s">
        <v>514</v>
      </c>
      <c r="J69">
        <v>0.5</v>
      </c>
      <c r="K69">
        <v>0.5</v>
      </c>
    </row>
    <row r="70" spans="2:11" x14ac:dyDescent="0.25">
      <c r="B70" t="s">
        <v>72</v>
      </c>
      <c r="C70">
        <v>3</v>
      </c>
      <c r="D70">
        <v>3</v>
      </c>
      <c r="J70">
        <v>2</v>
      </c>
      <c r="K70">
        <v>2</v>
      </c>
    </row>
    <row r="72" spans="2:11" x14ac:dyDescent="0.25">
      <c r="B72" s="27">
        <f>0+C72+D72</f>
        <v>26</v>
      </c>
      <c r="C72" s="28">
        <f>SUM(C18:C70)</f>
        <v>11.5</v>
      </c>
      <c r="D72" s="29">
        <f>SUM(D18:D70)</f>
        <v>14.5</v>
      </c>
      <c r="F72" s="17">
        <f t="shared" ref="F72:K72" si="0">SUMIF(F18:F71,"",$C18:$C71)+SUMIF(F18:F71,"",$D18:$D71)+SUBTOTAL(109,F18:F71)</f>
        <v>24.5</v>
      </c>
      <c r="G72" s="17">
        <f t="shared" si="0"/>
        <v>23.75</v>
      </c>
      <c r="H72" s="17">
        <f t="shared" si="0"/>
        <v>24</v>
      </c>
      <c r="I72" s="17">
        <f t="shared" si="0"/>
        <v>19</v>
      </c>
      <c r="J72" s="17">
        <f t="shared" si="0"/>
        <v>10.5</v>
      </c>
      <c r="K72" s="17">
        <f t="shared" si="0"/>
        <v>10.75</v>
      </c>
    </row>
    <row r="75" spans="2:11" x14ac:dyDescent="0.25">
      <c r="B75" t="s">
        <v>46</v>
      </c>
    </row>
  </sheetData>
  <autoFilter ref="F17:K72" xr:uid="{00379212-E3CF-4218-9FEE-9E59D27F5740}">
    <filterColumn colId="5">
      <filters blank="1">
        <filter val="0,1"/>
        <filter val="0,2"/>
        <filter val="0,25"/>
        <filter val="0,3"/>
        <filter val="0,5"/>
        <filter val="1"/>
        <filter val="10,55"/>
        <filter val="2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workbookViewId="0">
      <selection activeCell="E35" sqref="E35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220</v>
      </c>
    </row>
    <row r="5" spans="1:3" outlineLevel="1" x14ac:dyDescent="0.25">
      <c r="B5" t="s">
        <v>221</v>
      </c>
    </row>
    <row r="6" spans="1:3" outlineLevel="1" x14ac:dyDescent="0.25">
      <c r="B6" t="s">
        <v>222</v>
      </c>
    </row>
    <row r="7" spans="1:3" outlineLevel="1" x14ac:dyDescent="0.25">
      <c r="B7" t="s">
        <v>513</v>
      </c>
    </row>
    <row r="8" spans="1:3" outlineLevel="1" x14ac:dyDescent="0.25"/>
    <row r="11" spans="1:3" x14ac:dyDescent="0.25">
      <c r="A11" t="s">
        <v>545</v>
      </c>
      <c r="B11" t="s">
        <v>546</v>
      </c>
      <c r="C11" t="s">
        <v>547</v>
      </c>
    </row>
    <row r="12" spans="1:3" outlineLevel="1" x14ac:dyDescent="0.25">
      <c r="B12" t="s">
        <v>502</v>
      </c>
    </row>
    <row r="13" spans="1:3" outlineLevel="1" x14ac:dyDescent="0.25">
      <c r="B13" t="s">
        <v>503</v>
      </c>
    </row>
    <row r="14" spans="1:3" outlineLevel="1" x14ac:dyDescent="0.25">
      <c r="B14" t="s">
        <v>504</v>
      </c>
    </row>
    <row r="15" spans="1:3" outlineLevel="1" x14ac:dyDescent="0.25"/>
    <row r="16" spans="1:3" outlineLevel="1" x14ac:dyDescent="0.25"/>
    <row r="19" spans="1:3" collapsed="1" x14ac:dyDescent="0.25">
      <c r="A19" t="s">
        <v>247</v>
      </c>
      <c r="B19" t="s">
        <v>248</v>
      </c>
      <c r="C19" t="s">
        <v>249</v>
      </c>
    </row>
    <row r="20" spans="1:3" hidden="1" outlineLevel="1" x14ac:dyDescent="0.25">
      <c r="B20" t="s">
        <v>502</v>
      </c>
    </row>
    <row r="21" spans="1:3" hidden="1" outlineLevel="1" x14ac:dyDescent="0.25">
      <c r="B21" t="s">
        <v>503</v>
      </c>
    </row>
    <row r="22" spans="1:3" hidden="1" outlineLevel="1" x14ac:dyDescent="0.25">
      <c r="B22" t="s">
        <v>504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246</v>
      </c>
      <c r="B26" t="s">
        <v>227</v>
      </c>
      <c r="C26" t="s">
        <v>243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242</v>
      </c>
      <c r="B31" t="s">
        <v>227</v>
      </c>
      <c r="C31" t="s">
        <v>243</v>
      </c>
    </row>
    <row r="32" spans="1:3" hidden="1" outlineLevel="1" x14ac:dyDescent="0.25">
      <c r="B32" t="s">
        <v>244</v>
      </c>
    </row>
    <row r="33" spans="1:3" hidden="1" outlineLevel="1" x14ac:dyDescent="0.25">
      <c r="B33" t="s">
        <v>245</v>
      </c>
    </row>
    <row r="34" spans="1:3" hidden="1" outlineLevel="1" x14ac:dyDescent="0.25"/>
    <row r="36" spans="1:3" collapsed="1" x14ac:dyDescent="0.25">
      <c r="A36" t="s">
        <v>226</v>
      </c>
      <c r="B36" t="s">
        <v>227</v>
      </c>
      <c r="C36" t="s">
        <v>80</v>
      </c>
    </row>
    <row r="37" spans="1:3" hidden="1" outlineLevel="1" x14ac:dyDescent="0.25">
      <c r="B37" t="s">
        <v>232</v>
      </c>
    </row>
    <row r="38" spans="1:3" hidden="1" outlineLevel="1" x14ac:dyDescent="0.25">
      <c r="B38" t="s">
        <v>233</v>
      </c>
    </row>
    <row r="39" spans="1:3" hidden="1" outlineLevel="1" x14ac:dyDescent="0.25">
      <c r="B39" t="s">
        <v>234</v>
      </c>
    </row>
    <row r="40" spans="1:3" hidden="1" outlineLevel="1" x14ac:dyDescent="0.25">
      <c r="B40" t="s">
        <v>240</v>
      </c>
    </row>
    <row r="41" spans="1:3" hidden="1" outlineLevel="1" x14ac:dyDescent="0.25"/>
    <row r="43" spans="1:3" collapsed="1" x14ac:dyDescent="0.25">
      <c r="A43" t="s">
        <v>210</v>
      </c>
      <c r="B43" t="s">
        <v>211</v>
      </c>
      <c r="C43" t="s">
        <v>224</v>
      </c>
    </row>
    <row r="44" spans="1:3" hidden="1" outlineLevel="1" x14ac:dyDescent="0.25">
      <c r="B44" t="s">
        <v>214</v>
      </c>
    </row>
    <row r="45" spans="1:3" hidden="1" outlineLevel="1" x14ac:dyDescent="0.25">
      <c r="B45" t="s">
        <v>212</v>
      </c>
    </row>
    <row r="46" spans="1:3" hidden="1" outlineLevel="1" x14ac:dyDescent="0.25">
      <c r="B46" t="s">
        <v>213</v>
      </c>
    </row>
    <row r="47" spans="1:3" hidden="1" outlineLevel="1" x14ac:dyDescent="0.25"/>
    <row r="49" spans="1:3" collapsed="1" x14ac:dyDescent="0.25">
      <c r="A49" t="s">
        <v>215</v>
      </c>
      <c r="B49" t="s">
        <v>216</v>
      </c>
      <c r="C49" t="s">
        <v>225</v>
      </c>
    </row>
    <row r="50" spans="1:3" hidden="1" outlineLevel="1" x14ac:dyDescent="0.25">
      <c r="B50" t="s">
        <v>217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139</v>
      </c>
    </row>
    <row r="57" spans="1:3" hidden="1" outlineLevel="1" collapsed="1" x14ac:dyDescent="0.25">
      <c r="B57" t="s">
        <v>223</v>
      </c>
    </row>
    <row r="58" spans="1:3" hidden="1" outlineLevel="2" x14ac:dyDescent="0.25">
      <c r="B58" t="s">
        <v>117</v>
      </c>
    </row>
    <row r="59" spans="1:3" hidden="1" outlineLevel="2" x14ac:dyDescent="0.25"/>
    <row r="60" spans="1:3" hidden="1" outlineLevel="2" x14ac:dyDescent="0.25">
      <c r="B60" t="s">
        <v>118</v>
      </c>
    </row>
    <row r="61" spans="1:3" hidden="1" outlineLevel="2" x14ac:dyDescent="0.25"/>
    <row r="62" spans="1:3" hidden="1" outlineLevel="2" x14ac:dyDescent="0.25">
      <c r="B62" t="s">
        <v>119</v>
      </c>
    </row>
    <row r="63" spans="1:3" hidden="1" outlineLevel="2" x14ac:dyDescent="0.25">
      <c r="B63" t="s">
        <v>120</v>
      </c>
    </row>
    <row r="64" spans="1:3" hidden="1" outlineLevel="2" x14ac:dyDescent="0.25">
      <c r="B64" t="s">
        <v>121</v>
      </c>
    </row>
    <row r="65" spans="2:2" hidden="1" outlineLevel="2" x14ac:dyDescent="0.25">
      <c r="B65" t="s">
        <v>122</v>
      </c>
    </row>
    <row r="66" spans="2:2" hidden="1" outlineLevel="2" x14ac:dyDescent="0.25">
      <c r="B66" t="s">
        <v>123</v>
      </c>
    </row>
    <row r="67" spans="2:2" hidden="1" outlineLevel="2" x14ac:dyDescent="0.25">
      <c r="B67" t="s">
        <v>124</v>
      </c>
    </row>
    <row r="68" spans="2:2" hidden="1" outlineLevel="2" x14ac:dyDescent="0.25"/>
    <row r="69" spans="2:2" hidden="1" outlineLevel="2" x14ac:dyDescent="0.25">
      <c r="B69" t="s">
        <v>125</v>
      </c>
    </row>
    <row r="70" spans="2:2" hidden="1" outlineLevel="2" x14ac:dyDescent="0.25">
      <c r="B70" t="s">
        <v>126</v>
      </c>
    </row>
    <row r="71" spans="2:2" hidden="1" outlineLevel="2" x14ac:dyDescent="0.25"/>
    <row r="72" spans="2:2" hidden="1" outlineLevel="2" x14ac:dyDescent="0.25">
      <c r="B72" t="s">
        <v>127</v>
      </c>
    </row>
    <row r="73" spans="2:2" hidden="1" outlineLevel="2" x14ac:dyDescent="0.25">
      <c r="B73" t="s">
        <v>128</v>
      </c>
    </row>
    <row r="74" spans="2:2" hidden="1" outlineLevel="2" x14ac:dyDescent="0.25">
      <c r="B74" t="s">
        <v>129</v>
      </c>
    </row>
    <row r="75" spans="2:2" hidden="1" outlineLevel="2" x14ac:dyDescent="0.25">
      <c r="B75" t="s">
        <v>130</v>
      </c>
    </row>
    <row r="76" spans="2:2" hidden="1" outlineLevel="2" x14ac:dyDescent="0.25">
      <c r="B76" t="s">
        <v>131</v>
      </c>
    </row>
    <row r="77" spans="2:2" hidden="1" outlineLevel="2" x14ac:dyDescent="0.25">
      <c r="B77" t="s">
        <v>132</v>
      </c>
    </row>
    <row r="78" spans="2:2" hidden="1" outlineLevel="2" x14ac:dyDescent="0.25">
      <c r="B78" t="s">
        <v>133</v>
      </c>
    </row>
    <row r="79" spans="2:2" hidden="1" outlineLevel="1" x14ac:dyDescent="0.25"/>
    <row r="80" spans="2:2" hidden="1" outlineLevel="1" collapsed="1" x14ac:dyDescent="0.25">
      <c r="B80" t="s">
        <v>140</v>
      </c>
    </row>
    <row r="81" spans="3:3" hidden="1" outlineLevel="2" x14ac:dyDescent="0.25">
      <c r="C81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topLeftCell="A90" workbookViewId="0">
      <selection activeCell="E35" sqref="E35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499</v>
      </c>
      <c r="H18" s="2" t="s">
        <v>237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6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6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6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6" t="s">
        <v>180</v>
      </c>
      <c r="B33" s="2"/>
      <c r="C33" s="2"/>
      <c r="D33" s="2"/>
      <c r="E33" s="2"/>
      <c r="F33" s="2"/>
      <c r="G33" s="2" t="s">
        <v>606</v>
      </c>
      <c r="H33" s="2" t="s">
        <v>607</v>
      </c>
    </row>
    <row r="34" spans="1:8" x14ac:dyDescent="0.25">
      <c r="A34" s="26" t="s">
        <v>150</v>
      </c>
      <c r="B34" s="2"/>
      <c r="C34" s="2"/>
      <c r="D34" s="2"/>
      <c r="E34" s="2"/>
      <c r="F34" s="2"/>
      <c r="G34" s="2" t="s">
        <v>186</v>
      </c>
      <c r="H34" s="2" t="s">
        <v>188</v>
      </c>
    </row>
    <row r="35" spans="1:8" x14ac:dyDescent="0.25">
      <c r="A35" s="26" t="s">
        <v>151</v>
      </c>
      <c r="B35" s="2"/>
      <c r="C35" s="2"/>
      <c r="D35" s="2"/>
      <c r="E35" s="2"/>
      <c r="F35" s="2"/>
      <c r="G35" s="2" t="s">
        <v>187</v>
      </c>
      <c r="H35" s="2" t="s">
        <v>189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209</v>
      </c>
      <c r="H36" s="2" t="s">
        <v>190</v>
      </c>
    </row>
    <row r="37" spans="1:8" x14ac:dyDescent="0.25">
      <c r="A37" s="26" t="s">
        <v>199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6" t="s">
        <v>197</v>
      </c>
      <c r="B38" s="2"/>
      <c r="C38" s="2"/>
      <c r="D38" s="2"/>
      <c r="E38" s="2"/>
      <c r="F38" s="2"/>
      <c r="G38" s="2" t="s">
        <v>201</v>
      </c>
      <c r="H38" s="2" t="s">
        <v>200</v>
      </c>
    </row>
    <row r="39" spans="1:8" x14ac:dyDescent="0.25">
      <c r="A39" s="26" t="s">
        <v>198</v>
      </c>
      <c r="B39" s="2"/>
      <c r="C39" s="2"/>
      <c r="D39" s="2"/>
      <c r="E39" s="2"/>
      <c r="F39" s="2"/>
      <c r="G39" s="2" t="s">
        <v>34</v>
      </c>
      <c r="H39" s="2" t="s">
        <v>202</v>
      </c>
    </row>
    <row r="40" spans="1:8" x14ac:dyDescent="0.25">
      <c r="A40" s="36" t="s">
        <v>378</v>
      </c>
      <c r="B40" s="2"/>
      <c r="C40" s="2"/>
      <c r="D40" s="2"/>
      <c r="E40" s="2"/>
      <c r="F40" s="2"/>
      <c r="G40" s="2" t="s">
        <v>476</v>
      </c>
      <c r="H40" s="2" t="s">
        <v>17</v>
      </c>
    </row>
    <row r="41" spans="1:8" x14ac:dyDescent="0.25">
      <c r="A41" s="36" t="s">
        <v>379</v>
      </c>
      <c r="B41" s="2"/>
      <c r="C41" s="2"/>
      <c r="D41" s="2"/>
      <c r="E41" s="2"/>
      <c r="F41" s="2"/>
      <c r="G41" s="2" t="s">
        <v>477</v>
      </c>
      <c r="H41" s="2" t="s">
        <v>478</v>
      </c>
    </row>
    <row r="42" spans="1:8" x14ac:dyDescent="0.25">
      <c r="A42" s="35" t="s">
        <v>323</v>
      </c>
      <c r="B42" s="2"/>
      <c r="C42" s="2"/>
      <c r="D42" s="2"/>
      <c r="E42" s="2"/>
      <c r="F42" s="2"/>
      <c r="G42" s="2" t="s">
        <v>479</v>
      </c>
      <c r="H42" s="2" t="s">
        <v>480</v>
      </c>
    </row>
    <row r="43" spans="1:8" x14ac:dyDescent="0.25">
      <c r="A43" s="36" t="s">
        <v>456</v>
      </c>
      <c r="B43" s="2"/>
      <c r="C43" s="2"/>
      <c r="D43" s="2"/>
      <c r="E43" s="2"/>
      <c r="F43" s="2"/>
      <c r="G43" s="2" t="s">
        <v>481</v>
      </c>
      <c r="H43" s="38" t="s">
        <v>489</v>
      </c>
    </row>
    <row r="44" spans="1:8" x14ac:dyDescent="0.25">
      <c r="A44" s="36" t="s">
        <v>457</v>
      </c>
      <c r="B44" s="2"/>
      <c r="C44" s="2"/>
      <c r="D44" s="2"/>
      <c r="E44" s="2"/>
      <c r="F44" s="2"/>
      <c r="G44" s="2" t="s">
        <v>485</v>
      </c>
      <c r="H44" s="2" t="s">
        <v>487</v>
      </c>
    </row>
    <row r="45" spans="1:8" x14ac:dyDescent="0.25">
      <c r="A45" s="36" t="s">
        <v>458</v>
      </c>
      <c r="B45" s="2"/>
      <c r="C45" s="2"/>
      <c r="D45" s="2"/>
      <c r="E45" s="2"/>
      <c r="F45" s="2"/>
      <c r="G45" s="2" t="s">
        <v>482</v>
      </c>
      <c r="H45" s="38" t="s">
        <v>490</v>
      </c>
    </row>
    <row r="46" spans="1:8" x14ac:dyDescent="0.25">
      <c r="A46" s="36" t="s">
        <v>459</v>
      </c>
      <c r="B46" s="2"/>
      <c r="C46" s="2"/>
      <c r="D46" s="2"/>
      <c r="E46" s="2"/>
      <c r="F46" s="2"/>
      <c r="G46" s="2" t="s">
        <v>486</v>
      </c>
      <c r="H46" s="2" t="s">
        <v>488</v>
      </c>
    </row>
    <row r="47" spans="1:8" x14ac:dyDescent="0.25">
      <c r="A47" s="36" t="s">
        <v>460</v>
      </c>
      <c r="B47" s="2"/>
      <c r="C47" s="2"/>
      <c r="D47" s="2"/>
      <c r="E47" s="2"/>
      <c r="F47" s="2"/>
      <c r="G47" s="2" t="s">
        <v>491</v>
      </c>
      <c r="H47" s="2" t="s">
        <v>492</v>
      </c>
    </row>
    <row r="48" spans="1:8" x14ac:dyDescent="0.25">
      <c r="A48" s="36" t="s">
        <v>461</v>
      </c>
      <c r="B48" s="2"/>
      <c r="C48" s="2"/>
      <c r="D48" s="2"/>
      <c r="E48" s="2"/>
      <c r="F48" s="2"/>
      <c r="G48" s="2" t="s">
        <v>493</v>
      </c>
      <c r="H48" s="2" t="s">
        <v>494</v>
      </c>
    </row>
    <row r="49" spans="1:8" x14ac:dyDescent="0.25">
      <c r="A49" s="36" t="s">
        <v>462</v>
      </c>
      <c r="B49" s="2"/>
      <c r="C49" s="2"/>
      <c r="D49" s="2"/>
      <c r="E49" s="2"/>
      <c r="F49" s="2"/>
      <c r="G49" s="2" t="s">
        <v>483</v>
      </c>
      <c r="H49" s="2" t="s">
        <v>495</v>
      </c>
    </row>
    <row r="50" spans="1:8" x14ac:dyDescent="0.25">
      <c r="A50" s="36" t="s">
        <v>463</v>
      </c>
      <c r="B50" s="2"/>
      <c r="C50" s="2"/>
      <c r="D50" s="2"/>
      <c r="E50" s="2"/>
      <c r="F50" s="2"/>
      <c r="G50" s="2" t="s">
        <v>496</v>
      </c>
      <c r="H50" s="2" t="s">
        <v>497</v>
      </c>
    </row>
    <row r="51" spans="1:8" x14ac:dyDescent="0.25">
      <c r="A51" s="36" t="s">
        <v>464</v>
      </c>
      <c r="B51" s="2"/>
      <c r="C51" s="2"/>
      <c r="D51" s="2"/>
      <c r="E51" s="2"/>
      <c r="F51" s="2"/>
      <c r="G51" s="2" t="s">
        <v>484</v>
      </c>
      <c r="H51" s="2" t="s">
        <v>498</v>
      </c>
    </row>
    <row r="52" spans="1:8" x14ac:dyDescent="0.25">
      <c r="A52" s="36" t="s">
        <v>465</v>
      </c>
      <c r="B52" s="2"/>
      <c r="C52" s="2"/>
      <c r="D52" s="2"/>
      <c r="E52" s="2"/>
      <c r="F52" s="2"/>
      <c r="G52" s="36" t="s">
        <v>551</v>
      </c>
      <c r="H52" s="36" t="s">
        <v>552</v>
      </c>
    </row>
    <row r="53" spans="1:8" x14ac:dyDescent="0.25">
      <c r="A53" s="36" t="s">
        <v>466</v>
      </c>
      <c r="B53" s="2"/>
      <c r="C53" s="2"/>
      <c r="D53" s="2"/>
      <c r="E53" s="2"/>
      <c r="F53" s="2"/>
      <c r="G53" s="36" t="s">
        <v>554</v>
      </c>
      <c r="H53" s="36" t="s">
        <v>553</v>
      </c>
    </row>
    <row r="54" spans="1:8" x14ac:dyDescent="0.25">
      <c r="A54" s="36" t="s">
        <v>467</v>
      </c>
      <c r="B54" s="2"/>
      <c r="C54" s="2"/>
      <c r="D54" s="2"/>
      <c r="E54" s="2"/>
      <c r="F54" s="2"/>
      <c r="G54" s="36" t="s">
        <v>555</v>
      </c>
      <c r="H54" s="36" t="s">
        <v>556</v>
      </c>
    </row>
    <row r="55" spans="1:8" x14ac:dyDescent="0.25">
      <c r="A55" s="36" t="s">
        <v>468</v>
      </c>
      <c r="B55" s="2"/>
      <c r="C55" s="2"/>
      <c r="D55" s="2"/>
      <c r="E55" s="2"/>
      <c r="F55" s="2"/>
      <c r="G55" s="36" t="s">
        <v>558</v>
      </c>
      <c r="H55" s="36" t="s">
        <v>559</v>
      </c>
    </row>
    <row r="56" spans="1:8" x14ac:dyDescent="0.25">
      <c r="A56" s="36" t="s">
        <v>469</v>
      </c>
      <c r="B56" s="2"/>
      <c r="C56" s="2"/>
      <c r="D56" s="2"/>
      <c r="E56" s="2"/>
      <c r="F56" s="2"/>
      <c r="G56" s="36" t="s">
        <v>560</v>
      </c>
      <c r="H56" s="36" t="s">
        <v>562</v>
      </c>
    </row>
    <row r="57" spans="1:8" x14ac:dyDescent="0.25">
      <c r="A57" s="36" t="s">
        <v>470</v>
      </c>
      <c r="B57" s="2"/>
      <c r="C57" s="2"/>
      <c r="D57" s="2"/>
      <c r="E57" s="2"/>
      <c r="F57" s="2"/>
      <c r="G57" s="36" t="s">
        <v>561</v>
      </c>
      <c r="H57" s="36" t="s">
        <v>563</v>
      </c>
    </row>
    <row r="58" spans="1:8" x14ac:dyDescent="0.25">
      <c r="A58" s="36" t="s">
        <v>471</v>
      </c>
      <c r="B58" s="2"/>
      <c r="C58" s="2"/>
      <c r="D58" s="2"/>
      <c r="E58" s="2"/>
      <c r="F58" s="2"/>
      <c r="G58" s="36" t="s">
        <v>564</v>
      </c>
      <c r="H58" s="36" t="s">
        <v>565</v>
      </c>
    </row>
    <row r="59" spans="1:8" x14ac:dyDescent="0.25">
      <c r="A59" s="36" t="s">
        <v>472</v>
      </c>
      <c r="B59" s="2"/>
      <c r="C59" s="2"/>
      <c r="D59" s="2"/>
      <c r="E59" s="2"/>
      <c r="F59" s="2"/>
      <c r="G59" s="36" t="s">
        <v>566</v>
      </c>
      <c r="H59" s="36" t="s">
        <v>567</v>
      </c>
    </row>
    <row r="60" spans="1:8" x14ac:dyDescent="0.25">
      <c r="A60" s="36" t="s">
        <v>473</v>
      </c>
      <c r="B60" s="2"/>
      <c r="C60" s="2"/>
      <c r="D60" s="2"/>
      <c r="E60" s="2"/>
      <c r="F60" s="2"/>
      <c r="G60" s="36" t="s">
        <v>568</v>
      </c>
      <c r="H60" s="36" t="s">
        <v>569</v>
      </c>
    </row>
    <row r="61" spans="1:8" x14ac:dyDescent="0.25">
      <c r="A61" s="36" t="s">
        <v>474</v>
      </c>
      <c r="B61" s="2"/>
      <c r="C61" s="2"/>
      <c r="D61" s="2"/>
      <c r="E61" s="2"/>
      <c r="F61" s="2"/>
      <c r="G61" s="36" t="s">
        <v>570</v>
      </c>
      <c r="H61" s="36" t="s">
        <v>571</v>
      </c>
    </row>
    <row r="62" spans="1:8" x14ac:dyDescent="0.25">
      <c r="A62" s="36" t="s">
        <v>475</v>
      </c>
      <c r="B62" s="2"/>
      <c r="C62" s="2"/>
      <c r="D62" s="2"/>
      <c r="E62" s="2"/>
      <c r="F62" s="2"/>
      <c r="G62" s="36" t="s">
        <v>572</v>
      </c>
      <c r="H62" s="36" t="s">
        <v>573</v>
      </c>
    </row>
    <row r="63" spans="1:8" x14ac:dyDescent="0.25">
      <c r="A63" s="35" t="s">
        <v>324</v>
      </c>
      <c r="B63" s="2"/>
      <c r="C63" s="2"/>
      <c r="D63" s="2"/>
      <c r="E63" s="2"/>
      <c r="F63" s="2"/>
      <c r="G63" s="35" t="s">
        <v>34</v>
      </c>
      <c r="H63" s="35" t="s">
        <v>202</v>
      </c>
    </row>
    <row r="64" spans="1:8" x14ac:dyDescent="0.25">
      <c r="A64" s="35" t="s">
        <v>325</v>
      </c>
      <c r="B64" s="2"/>
      <c r="C64" s="2"/>
      <c r="D64" s="2"/>
      <c r="E64" s="2"/>
      <c r="F64" s="2"/>
      <c r="G64" s="35" t="s">
        <v>574</v>
      </c>
      <c r="H64" s="35" t="s">
        <v>575</v>
      </c>
    </row>
    <row r="65" spans="1:8" x14ac:dyDescent="0.25">
      <c r="A65" s="36" t="s">
        <v>413</v>
      </c>
      <c r="B65" s="2"/>
      <c r="C65" s="2"/>
      <c r="D65" s="2"/>
      <c r="E65" s="2"/>
      <c r="F65" s="2"/>
      <c r="G65" s="36" t="s">
        <v>576</v>
      </c>
      <c r="H65" s="36" t="s">
        <v>577</v>
      </c>
    </row>
    <row r="66" spans="1:8" x14ac:dyDescent="0.25">
      <c r="A66" s="36" t="s">
        <v>414</v>
      </c>
      <c r="B66" s="2"/>
      <c r="C66" s="2"/>
      <c r="D66" s="2"/>
      <c r="E66" s="2"/>
      <c r="F66" s="2"/>
      <c r="G66" s="36" t="s">
        <v>578</v>
      </c>
      <c r="H66" s="36" t="s">
        <v>579</v>
      </c>
    </row>
    <row r="67" spans="1:8" x14ac:dyDescent="0.25">
      <c r="A67" s="36" t="s">
        <v>415</v>
      </c>
      <c r="B67" s="2"/>
      <c r="C67" s="2"/>
      <c r="D67" s="2"/>
      <c r="E67" s="2"/>
      <c r="F67" s="2"/>
      <c r="G67" s="36" t="s">
        <v>580</v>
      </c>
      <c r="H67" s="36" t="s">
        <v>581</v>
      </c>
    </row>
    <row r="68" spans="1:8" x14ac:dyDescent="0.25">
      <c r="A68" s="36" t="s">
        <v>416</v>
      </c>
      <c r="B68" s="2"/>
      <c r="C68" s="2"/>
      <c r="D68" s="2"/>
      <c r="E68" s="2"/>
      <c r="F68" s="2"/>
      <c r="G68" s="36" t="s">
        <v>582</v>
      </c>
      <c r="H68" s="36" t="s">
        <v>583</v>
      </c>
    </row>
    <row r="69" spans="1:8" x14ac:dyDescent="0.25">
      <c r="A69" s="35" t="s">
        <v>326</v>
      </c>
      <c r="B69" s="2"/>
      <c r="C69" s="2"/>
      <c r="D69" s="2"/>
      <c r="E69" s="2"/>
      <c r="F69" s="2"/>
      <c r="G69" s="35" t="s">
        <v>584</v>
      </c>
      <c r="H69" s="35" t="s">
        <v>585</v>
      </c>
    </row>
    <row r="70" spans="1:8" x14ac:dyDescent="0.25">
      <c r="A70" s="36" t="s">
        <v>417</v>
      </c>
      <c r="B70" s="2"/>
      <c r="C70" s="2"/>
      <c r="D70" s="2"/>
      <c r="E70" s="2"/>
      <c r="F70" s="2"/>
      <c r="G70" s="36" t="s">
        <v>586</v>
      </c>
      <c r="H70" s="36" t="s">
        <v>592</v>
      </c>
    </row>
    <row r="71" spans="1:8" x14ac:dyDescent="0.25">
      <c r="A71" s="36" t="s">
        <v>418</v>
      </c>
      <c r="B71" s="2"/>
      <c r="C71" s="2"/>
      <c r="D71" s="2"/>
      <c r="E71" s="2"/>
      <c r="F71" s="2"/>
      <c r="G71" s="36" t="s">
        <v>589</v>
      </c>
      <c r="H71" s="36" t="s">
        <v>593</v>
      </c>
    </row>
    <row r="72" spans="1:8" x14ac:dyDescent="0.25">
      <c r="A72" s="36" t="s">
        <v>419</v>
      </c>
      <c r="B72" s="2"/>
      <c r="C72" s="2"/>
      <c r="D72" s="2"/>
      <c r="E72" s="2"/>
      <c r="F72" s="2"/>
      <c r="G72" s="36" t="s">
        <v>590</v>
      </c>
      <c r="H72" s="36" t="s">
        <v>594</v>
      </c>
    </row>
    <row r="73" spans="1:8" x14ac:dyDescent="0.25">
      <c r="A73" s="36" t="s">
        <v>420</v>
      </c>
      <c r="B73" s="2"/>
      <c r="C73" s="2"/>
      <c r="D73" s="2"/>
      <c r="E73" s="2"/>
      <c r="F73" s="2"/>
      <c r="G73" s="36" t="s">
        <v>591</v>
      </c>
      <c r="H73" s="36" t="s">
        <v>595</v>
      </c>
    </row>
    <row r="74" spans="1:8" x14ac:dyDescent="0.25">
      <c r="A74" s="35" t="s">
        <v>327</v>
      </c>
      <c r="B74" s="2"/>
      <c r="C74" s="2"/>
      <c r="D74" s="2"/>
      <c r="E74" s="2"/>
      <c r="F74" s="2"/>
      <c r="G74" s="35" t="s">
        <v>587</v>
      </c>
      <c r="H74" s="35" t="s">
        <v>588</v>
      </c>
    </row>
    <row r="75" spans="1:8" x14ac:dyDescent="0.25">
      <c r="A75" s="36" t="s">
        <v>251</v>
      </c>
      <c r="B75" s="2"/>
      <c r="C75" s="2"/>
      <c r="D75" s="2"/>
      <c r="E75" s="2"/>
      <c r="F75" s="2"/>
      <c r="G75" s="36" t="s">
        <v>251</v>
      </c>
      <c r="H75" s="36" t="s">
        <v>251</v>
      </c>
    </row>
    <row r="76" spans="1:8" x14ac:dyDescent="0.25">
      <c r="A76" s="36" t="s">
        <v>421</v>
      </c>
      <c r="B76" s="2"/>
      <c r="C76" s="2"/>
      <c r="D76" s="2"/>
      <c r="E76" s="2"/>
      <c r="F76" s="2"/>
      <c r="G76" s="36" t="s">
        <v>596</v>
      </c>
      <c r="H76" s="36" t="s">
        <v>597</v>
      </c>
    </row>
    <row r="77" spans="1:8" x14ac:dyDescent="0.25">
      <c r="A77" s="36" t="s">
        <v>422</v>
      </c>
      <c r="B77" s="2"/>
      <c r="C77" s="2"/>
      <c r="D77" s="2"/>
      <c r="E77" s="2"/>
      <c r="F77" s="2"/>
      <c r="G77" s="36" t="s">
        <v>598</v>
      </c>
      <c r="H77" s="36" t="s">
        <v>599</v>
      </c>
    </row>
    <row r="78" spans="1:8" x14ac:dyDescent="0.25">
      <c r="A78" s="35" t="s">
        <v>364</v>
      </c>
      <c r="B78" s="2"/>
      <c r="C78" s="2"/>
      <c r="D78" s="2"/>
      <c r="E78" s="2"/>
      <c r="F78" s="2"/>
      <c r="G78" s="35" t="s">
        <v>479</v>
      </c>
      <c r="H78" s="35" t="s">
        <v>480</v>
      </c>
    </row>
    <row r="79" spans="1:8" x14ac:dyDescent="0.25">
      <c r="A79" s="36" t="s">
        <v>423</v>
      </c>
      <c r="B79" s="2"/>
      <c r="C79" s="2"/>
      <c r="D79" s="2"/>
      <c r="E79" s="2"/>
      <c r="F79" s="2"/>
      <c r="G79" s="2" t="s">
        <v>481</v>
      </c>
      <c r="H79" s="38" t="s">
        <v>489</v>
      </c>
    </row>
    <row r="80" spans="1:8" x14ac:dyDescent="0.25">
      <c r="A80" s="36" t="s">
        <v>442</v>
      </c>
      <c r="B80" s="2"/>
      <c r="C80" s="2"/>
      <c r="D80" s="2"/>
      <c r="E80" s="2"/>
      <c r="F80" s="2"/>
      <c r="G80" s="2" t="s">
        <v>485</v>
      </c>
      <c r="H80" s="2" t="s">
        <v>487</v>
      </c>
    </row>
    <row r="81" spans="1:8" x14ac:dyDescent="0.25">
      <c r="A81" s="36" t="s">
        <v>424</v>
      </c>
      <c r="B81" s="2"/>
      <c r="C81" s="2"/>
      <c r="D81" s="2"/>
      <c r="E81" s="2"/>
      <c r="F81" s="2"/>
      <c r="G81" s="2" t="s">
        <v>482</v>
      </c>
      <c r="H81" s="38" t="s">
        <v>490</v>
      </c>
    </row>
    <row r="82" spans="1:8" x14ac:dyDescent="0.25">
      <c r="A82" s="36" t="s">
        <v>455</v>
      </c>
      <c r="B82" s="2"/>
      <c r="C82" s="2"/>
      <c r="D82" s="2"/>
      <c r="E82" s="2"/>
      <c r="F82" s="2"/>
      <c r="G82" s="2" t="s">
        <v>486</v>
      </c>
      <c r="H82" s="2" t="s">
        <v>488</v>
      </c>
    </row>
    <row r="83" spans="1:8" x14ac:dyDescent="0.25">
      <c r="A83" s="36" t="s">
        <v>425</v>
      </c>
      <c r="B83" s="2"/>
      <c r="C83" s="2"/>
      <c r="D83" s="2"/>
      <c r="E83" s="2"/>
      <c r="F83" s="2"/>
      <c r="G83" s="2" t="s">
        <v>491</v>
      </c>
      <c r="H83" s="2" t="s">
        <v>492</v>
      </c>
    </row>
    <row r="84" spans="1:8" x14ac:dyDescent="0.25">
      <c r="A84" s="36" t="s">
        <v>443</v>
      </c>
      <c r="B84" s="2"/>
      <c r="C84" s="2"/>
      <c r="D84" s="2"/>
      <c r="E84" s="2"/>
      <c r="F84" s="2"/>
      <c r="G84" s="2" t="s">
        <v>493</v>
      </c>
      <c r="H84" s="2" t="s">
        <v>494</v>
      </c>
    </row>
    <row r="85" spans="1:8" x14ac:dyDescent="0.25">
      <c r="A85" s="36" t="s">
        <v>426</v>
      </c>
      <c r="B85" s="2"/>
      <c r="C85" s="2"/>
      <c r="D85" s="2"/>
      <c r="E85" s="2"/>
      <c r="F85" s="2"/>
      <c r="G85" s="2" t="s">
        <v>483</v>
      </c>
      <c r="H85" s="2" t="s">
        <v>495</v>
      </c>
    </row>
    <row r="86" spans="1:8" x14ac:dyDescent="0.25">
      <c r="A86" s="36" t="s">
        <v>427</v>
      </c>
      <c r="B86" s="2"/>
      <c r="C86" s="2"/>
      <c r="D86" s="2"/>
      <c r="E86" s="2"/>
      <c r="F86" s="2"/>
      <c r="G86" s="2" t="s">
        <v>496</v>
      </c>
      <c r="H86" s="2" t="s">
        <v>497</v>
      </c>
    </row>
    <row r="87" spans="1:8" x14ac:dyDescent="0.25">
      <c r="A87" s="36" t="s">
        <v>428</v>
      </c>
      <c r="B87" s="2"/>
      <c r="C87" s="2"/>
      <c r="D87" s="2"/>
      <c r="E87" s="2"/>
      <c r="F87" s="2"/>
      <c r="G87" s="2" t="s">
        <v>484</v>
      </c>
      <c r="H87" s="2" t="s">
        <v>498</v>
      </c>
    </row>
    <row r="88" spans="1:8" x14ac:dyDescent="0.25">
      <c r="A88" s="36" t="s">
        <v>429</v>
      </c>
      <c r="B88" s="2"/>
      <c r="C88" s="2"/>
      <c r="D88" s="2"/>
      <c r="E88" s="2"/>
      <c r="F88" s="2"/>
      <c r="G88" s="36" t="s">
        <v>551</v>
      </c>
      <c r="H88" s="36" t="s">
        <v>552</v>
      </c>
    </row>
    <row r="89" spans="1:8" x14ac:dyDescent="0.25">
      <c r="A89" s="36" t="s">
        <v>444</v>
      </c>
      <c r="B89" s="2"/>
      <c r="C89" s="2"/>
      <c r="D89" s="2"/>
      <c r="E89" s="2"/>
      <c r="F89" s="2"/>
      <c r="G89" s="36" t="s">
        <v>554</v>
      </c>
      <c r="H89" s="36" t="s">
        <v>553</v>
      </c>
    </row>
    <row r="90" spans="1:8" x14ac:dyDescent="0.25">
      <c r="A90" s="36" t="s">
        <v>430</v>
      </c>
      <c r="B90" s="2"/>
      <c r="C90" s="2"/>
      <c r="D90" s="2"/>
      <c r="E90" s="2"/>
      <c r="F90" s="2"/>
      <c r="G90" s="36" t="s">
        <v>555</v>
      </c>
      <c r="H90" s="36" t="s">
        <v>556</v>
      </c>
    </row>
    <row r="91" spans="1:8" x14ac:dyDescent="0.25">
      <c r="A91" s="36" t="s">
        <v>445</v>
      </c>
      <c r="B91" s="2"/>
      <c r="C91" s="2"/>
      <c r="D91" s="2"/>
      <c r="E91" s="2"/>
      <c r="F91" s="2"/>
      <c r="G91" s="36" t="s">
        <v>558</v>
      </c>
      <c r="H91" s="36" t="s">
        <v>559</v>
      </c>
    </row>
    <row r="92" spans="1:8" x14ac:dyDescent="0.25">
      <c r="A92" s="36" t="s">
        <v>431</v>
      </c>
      <c r="B92" s="2"/>
      <c r="C92" s="2"/>
      <c r="D92" s="2"/>
      <c r="E92" s="2"/>
      <c r="F92" s="2"/>
      <c r="G92" s="36" t="s">
        <v>560</v>
      </c>
      <c r="H92" s="36" t="s">
        <v>562</v>
      </c>
    </row>
    <row r="93" spans="1:8" x14ac:dyDescent="0.25">
      <c r="A93" s="36" t="s">
        <v>432</v>
      </c>
      <c r="B93" s="2"/>
      <c r="C93" s="2"/>
      <c r="D93" s="2"/>
      <c r="E93" s="2"/>
      <c r="F93" s="2"/>
      <c r="G93" s="36" t="s">
        <v>561</v>
      </c>
      <c r="H93" s="36" t="s">
        <v>563</v>
      </c>
    </row>
    <row r="94" spans="1:8" x14ac:dyDescent="0.25">
      <c r="A94" s="36" t="s">
        <v>446</v>
      </c>
      <c r="B94" s="2"/>
      <c r="C94" s="2"/>
      <c r="D94" s="2"/>
      <c r="E94" s="2"/>
      <c r="F94" s="2"/>
      <c r="G94" s="36" t="s">
        <v>564</v>
      </c>
      <c r="H94" s="36" t="s">
        <v>565</v>
      </c>
    </row>
    <row r="95" spans="1:8" x14ac:dyDescent="0.25">
      <c r="A95" s="36" t="s">
        <v>433</v>
      </c>
      <c r="B95" s="2"/>
      <c r="C95" s="2"/>
      <c r="D95" s="2"/>
      <c r="E95" s="2"/>
      <c r="F95" s="2"/>
      <c r="G95" s="36" t="s">
        <v>566</v>
      </c>
      <c r="H95" s="36" t="s">
        <v>567</v>
      </c>
    </row>
    <row r="96" spans="1:8" x14ac:dyDescent="0.25">
      <c r="A96" s="36" t="s">
        <v>434</v>
      </c>
      <c r="B96" s="2"/>
      <c r="C96" s="2"/>
      <c r="D96" s="2"/>
      <c r="E96" s="2"/>
      <c r="F96" s="2"/>
      <c r="G96" s="36" t="s">
        <v>568</v>
      </c>
      <c r="H96" s="36" t="s">
        <v>569</v>
      </c>
    </row>
    <row r="97" spans="1:8" x14ac:dyDescent="0.25">
      <c r="A97" s="36" t="s">
        <v>435</v>
      </c>
      <c r="B97" s="2"/>
      <c r="C97" s="2"/>
      <c r="D97" s="2"/>
      <c r="E97" s="2"/>
      <c r="F97" s="2"/>
      <c r="G97" s="36" t="s">
        <v>570</v>
      </c>
      <c r="H97" s="36" t="s">
        <v>571</v>
      </c>
    </row>
    <row r="98" spans="1:8" x14ac:dyDescent="0.25">
      <c r="A98" s="36" t="s">
        <v>436</v>
      </c>
      <c r="B98" s="2"/>
      <c r="C98" s="2"/>
      <c r="D98" s="2"/>
      <c r="E98" s="2"/>
      <c r="F98" s="2"/>
      <c r="G98" s="36" t="s">
        <v>572</v>
      </c>
      <c r="H98" s="36" t="s">
        <v>573</v>
      </c>
    </row>
    <row r="99" spans="1:8" x14ac:dyDescent="0.25">
      <c r="A99" s="35" t="s">
        <v>365</v>
      </c>
      <c r="B99" s="2"/>
      <c r="C99" s="2"/>
      <c r="D99" s="2"/>
      <c r="E99" s="2"/>
      <c r="F99" s="2"/>
      <c r="G99" s="35" t="s">
        <v>34</v>
      </c>
      <c r="H99" s="35" t="s">
        <v>202</v>
      </c>
    </row>
    <row r="100" spans="1:8" x14ac:dyDescent="0.25">
      <c r="A100" s="36" t="s">
        <v>437</v>
      </c>
      <c r="B100" s="2"/>
      <c r="C100" s="2"/>
      <c r="D100" s="2"/>
      <c r="E100" s="2"/>
      <c r="F100" s="2"/>
      <c r="G100" s="35" t="s">
        <v>604</v>
      </c>
      <c r="H100" s="35" t="s">
        <v>605</v>
      </c>
    </row>
    <row r="101" spans="1:8" x14ac:dyDescent="0.25">
      <c r="A101" s="36" t="s">
        <v>438</v>
      </c>
      <c r="B101" s="2"/>
      <c r="C101" s="2"/>
      <c r="D101" s="2"/>
      <c r="E101" s="2"/>
      <c r="F101" s="2"/>
      <c r="G101" s="36" t="s">
        <v>184</v>
      </c>
      <c r="H101" s="36" t="s">
        <v>185</v>
      </c>
    </row>
    <row r="102" spans="1:8" x14ac:dyDescent="0.25">
      <c r="A102" s="36" t="s">
        <v>439</v>
      </c>
      <c r="B102" s="2"/>
      <c r="C102" s="2"/>
      <c r="D102" s="2"/>
      <c r="E102" s="2"/>
      <c r="F102" s="2"/>
      <c r="G102" s="36" t="s">
        <v>606</v>
      </c>
      <c r="H102" s="36" t="s">
        <v>607</v>
      </c>
    </row>
    <row r="103" spans="1:8" x14ac:dyDescent="0.25">
      <c r="A103" s="35" t="s">
        <v>366</v>
      </c>
      <c r="B103" s="2"/>
      <c r="C103" s="2"/>
      <c r="D103" s="2"/>
      <c r="E103" s="2"/>
      <c r="F103" s="2"/>
      <c r="G103" s="35" t="s">
        <v>574</v>
      </c>
      <c r="H103" s="35" t="s">
        <v>575</v>
      </c>
    </row>
    <row r="104" spans="1:8" x14ac:dyDescent="0.25">
      <c r="A104" s="36" t="s">
        <v>440</v>
      </c>
      <c r="B104" s="2"/>
      <c r="C104" s="2"/>
      <c r="D104" s="2"/>
      <c r="E104" s="2"/>
      <c r="F104" s="2"/>
      <c r="G104" s="35" t="s">
        <v>602</v>
      </c>
      <c r="H104" s="35" t="s">
        <v>603</v>
      </c>
    </row>
    <row r="105" spans="1:8" x14ac:dyDescent="0.25">
      <c r="A105" s="36" t="s">
        <v>447</v>
      </c>
      <c r="B105" s="2"/>
      <c r="C105" s="2"/>
      <c r="D105" s="2"/>
      <c r="E105" s="2"/>
      <c r="F105" s="2"/>
      <c r="G105" s="36" t="s">
        <v>576</v>
      </c>
      <c r="H105" s="36" t="s">
        <v>577</v>
      </c>
    </row>
    <row r="106" spans="1:8" x14ac:dyDescent="0.25">
      <c r="A106" s="36" t="s">
        <v>453</v>
      </c>
      <c r="B106" s="2"/>
      <c r="C106" s="2"/>
      <c r="D106" s="2"/>
      <c r="E106" s="2"/>
      <c r="F106" s="2"/>
      <c r="G106" s="36" t="s">
        <v>578</v>
      </c>
      <c r="H106" s="36" t="s">
        <v>579</v>
      </c>
    </row>
    <row r="107" spans="1:8" x14ac:dyDescent="0.25">
      <c r="A107" s="36" t="s">
        <v>454</v>
      </c>
      <c r="B107" s="2"/>
      <c r="C107" s="2"/>
      <c r="D107" s="2"/>
      <c r="E107" s="2"/>
      <c r="F107" s="2"/>
      <c r="G107" s="36" t="s">
        <v>580</v>
      </c>
      <c r="H107" s="36" t="s">
        <v>581</v>
      </c>
    </row>
    <row r="108" spans="1:8" x14ac:dyDescent="0.25">
      <c r="A108" s="36" t="s">
        <v>448</v>
      </c>
      <c r="B108" s="2"/>
      <c r="C108" s="2"/>
      <c r="D108" s="2"/>
      <c r="E108" s="2"/>
      <c r="F108" s="2"/>
      <c r="G108" s="36" t="s">
        <v>582</v>
      </c>
      <c r="H108" s="36" t="s">
        <v>583</v>
      </c>
    </row>
    <row r="109" spans="1:8" x14ac:dyDescent="0.25">
      <c r="A109" s="35" t="s">
        <v>367</v>
      </c>
      <c r="B109" s="2"/>
      <c r="C109" s="2"/>
      <c r="D109" s="2"/>
      <c r="E109" s="2"/>
      <c r="F109" s="2"/>
      <c r="G109" s="35" t="s">
        <v>584</v>
      </c>
      <c r="H109" s="35" t="s">
        <v>585</v>
      </c>
    </row>
    <row r="110" spans="1:8" x14ac:dyDescent="0.25">
      <c r="A110" s="36" t="s">
        <v>441</v>
      </c>
      <c r="B110" s="2"/>
      <c r="C110" s="2"/>
      <c r="D110" s="2"/>
      <c r="E110" s="2"/>
      <c r="F110" s="2"/>
      <c r="G110" s="35" t="s">
        <v>600</v>
      </c>
      <c r="H110" s="35" t="s">
        <v>601</v>
      </c>
    </row>
    <row r="111" spans="1:8" x14ac:dyDescent="0.25">
      <c r="A111" s="36" t="s">
        <v>449</v>
      </c>
      <c r="B111" s="2"/>
      <c r="C111" s="2"/>
      <c r="D111" s="2"/>
      <c r="E111" s="2"/>
      <c r="F111" s="2"/>
      <c r="G111" s="36" t="s">
        <v>586</v>
      </c>
      <c r="H111" s="36" t="s">
        <v>592</v>
      </c>
    </row>
    <row r="112" spans="1:8" x14ac:dyDescent="0.25">
      <c r="A112" s="36" t="s">
        <v>450</v>
      </c>
      <c r="B112" s="2"/>
      <c r="C112" s="2"/>
      <c r="D112" s="2"/>
      <c r="E112" s="2"/>
      <c r="F112" s="2"/>
      <c r="G112" s="36" t="s">
        <v>589</v>
      </c>
      <c r="H112" s="36" t="s">
        <v>593</v>
      </c>
    </row>
    <row r="113" spans="1:8" x14ac:dyDescent="0.25">
      <c r="A113" s="36" t="s">
        <v>451</v>
      </c>
      <c r="B113" s="2"/>
      <c r="C113" s="2"/>
      <c r="D113" s="2"/>
      <c r="E113" s="2"/>
      <c r="F113" s="2"/>
      <c r="G113" s="36" t="s">
        <v>590</v>
      </c>
      <c r="H113" s="36" t="s">
        <v>594</v>
      </c>
    </row>
    <row r="114" spans="1:8" x14ac:dyDescent="0.25">
      <c r="A114" s="36" t="s">
        <v>452</v>
      </c>
      <c r="B114" s="2"/>
      <c r="C114" s="2"/>
      <c r="D114" s="2"/>
      <c r="E114" s="2"/>
      <c r="F114" s="2"/>
      <c r="G114" s="36" t="s">
        <v>591</v>
      </c>
      <c r="H114" s="36" t="s">
        <v>595</v>
      </c>
    </row>
  </sheetData>
  <phoneticPr fontId="1" type="noConversion"/>
  <dataValidations count="1">
    <dataValidation type="list" showInputMessage="1" promptTitle="Language" prompt="Choose a language" sqref="J1" xr:uid="{C02F734E-D575-4068-8EF5-F6B212AE4DF0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A39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114</v>
      </c>
      <c r="J1" s="9"/>
    </row>
    <row r="3" spans="2:19" x14ac:dyDescent="0.25">
      <c r="B3" t="s">
        <v>90</v>
      </c>
      <c r="C3" t="s">
        <v>112</v>
      </c>
      <c r="D3" t="s">
        <v>110</v>
      </c>
      <c r="E3" t="s">
        <v>136</v>
      </c>
      <c r="F3" t="s">
        <v>609</v>
      </c>
      <c r="G3" t="s">
        <v>97</v>
      </c>
      <c r="H3" t="s">
        <v>100</v>
      </c>
      <c r="I3" t="s">
        <v>135</v>
      </c>
      <c r="J3" t="s">
        <v>91</v>
      </c>
      <c r="K3" t="s">
        <v>155</v>
      </c>
      <c r="L3" t="s">
        <v>154</v>
      </c>
      <c r="M3" t="s">
        <v>196</v>
      </c>
      <c r="N3" t="s">
        <v>611</v>
      </c>
      <c r="O3" t="s">
        <v>92</v>
      </c>
      <c r="P3" t="s">
        <v>111</v>
      </c>
      <c r="Q3" s="39" t="s">
        <v>116</v>
      </c>
      <c r="R3" t="s">
        <v>108</v>
      </c>
      <c r="S3" t="s">
        <v>322</v>
      </c>
    </row>
    <row r="4" spans="2:19" ht="30" x14ac:dyDescent="0.25">
      <c r="B4" s="13" t="s">
        <v>501</v>
      </c>
      <c r="C4" s="14" t="s">
        <v>113</v>
      </c>
      <c r="D4" s="14" t="s">
        <v>94</v>
      </c>
      <c r="E4" s="14" t="s">
        <v>137</v>
      </c>
      <c r="F4" s="14" t="s">
        <v>96</v>
      </c>
      <c r="G4" s="14" t="s">
        <v>0</v>
      </c>
      <c r="H4" s="14" t="s">
        <v>98</v>
      </c>
      <c r="I4" s="14" t="s">
        <v>94</v>
      </c>
      <c r="J4" s="14" t="s">
        <v>93</v>
      </c>
      <c r="K4" s="14"/>
      <c r="L4" s="14"/>
      <c r="M4" s="14">
        <v>1</v>
      </c>
      <c r="N4" s="14">
        <v>14</v>
      </c>
      <c r="O4" s="14" t="s">
        <v>94</v>
      </c>
      <c r="P4" s="14" t="s">
        <v>87</v>
      </c>
      <c r="Q4" s="15" t="s">
        <v>177</v>
      </c>
      <c r="R4" s="14" t="s">
        <v>106</v>
      </c>
      <c r="S4" s="14"/>
    </row>
    <row r="5" spans="2:19" ht="30" x14ac:dyDescent="0.25">
      <c r="B5" s="14"/>
      <c r="C5" s="14"/>
      <c r="D5" s="14"/>
      <c r="E5" s="14"/>
      <c r="F5" s="14"/>
      <c r="G5" s="14" t="s">
        <v>47</v>
      </c>
      <c r="H5" s="14" t="s">
        <v>101</v>
      </c>
      <c r="I5" s="14" t="s">
        <v>94</v>
      </c>
      <c r="J5" s="14" t="s">
        <v>73</v>
      </c>
      <c r="K5" s="14"/>
      <c r="L5" s="14"/>
      <c r="M5" s="14">
        <v>1</v>
      </c>
      <c r="N5" s="14">
        <v>14</v>
      </c>
      <c r="O5" s="14" t="s">
        <v>96</v>
      </c>
      <c r="P5" s="14" t="s">
        <v>83</v>
      </c>
      <c r="Q5" s="15" t="s">
        <v>178</v>
      </c>
      <c r="R5" s="14" t="s">
        <v>109</v>
      </c>
      <c r="S5" s="14"/>
    </row>
    <row r="6" spans="2:19" ht="30" x14ac:dyDescent="0.25">
      <c r="B6" s="14"/>
      <c r="C6" s="14"/>
      <c r="D6" s="14"/>
      <c r="E6" s="14"/>
      <c r="F6" s="14"/>
      <c r="G6" s="14" t="s">
        <v>102</v>
      </c>
      <c r="H6" s="14" t="s">
        <v>101</v>
      </c>
      <c r="I6" s="14" t="s">
        <v>94</v>
      </c>
      <c r="J6" s="14" t="s">
        <v>103</v>
      </c>
      <c r="K6" s="14"/>
      <c r="L6" s="14"/>
      <c r="M6" s="14">
        <v>1</v>
      </c>
      <c r="N6" s="14">
        <v>14</v>
      </c>
      <c r="O6" s="14" t="s">
        <v>96</v>
      </c>
      <c r="P6" s="14" t="s">
        <v>78</v>
      </c>
      <c r="Q6" s="15" t="s">
        <v>178</v>
      </c>
      <c r="R6" s="14" t="s">
        <v>109</v>
      </c>
      <c r="S6" s="14"/>
    </row>
    <row r="7" spans="2:19" x14ac:dyDescent="0.25">
      <c r="B7" s="14"/>
      <c r="C7" s="14"/>
      <c r="D7" s="14"/>
      <c r="E7" s="14"/>
      <c r="F7" s="14"/>
      <c r="G7" s="14" t="s">
        <v>95</v>
      </c>
      <c r="H7" s="14" t="s">
        <v>99</v>
      </c>
      <c r="I7" s="14" t="s">
        <v>96</v>
      </c>
      <c r="J7" s="14" t="s">
        <v>74</v>
      </c>
      <c r="K7" s="14"/>
      <c r="L7" s="14" t="s">
        <v>156</v>
      </c>
      <c r="M7" s="14">
        <v>1</v>
      </c>
      <c r="N7" s="14">
        <v>28</v>
      </c>
      <c r="O7" s="14" t="s">
        <v>96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500</v>
      </c>
      <c r="C9" s="14" t="s">
        <v>239</v>
      </c>
      <c r="D9" s="14" t="s">
        <v>94</v>
      </c>
      <c r="E9" s="15" t="s">
        <v>522</v>
      </c>
      <c r="F9" s="15" t="s">
        <v>94</v>
      </c>
      <c r="G9" s="14" t="s">
        <v>610</v>
      </c>
      <c r="H9" s="14"/>
      <c r="I9" s="14"/>
      <c r="J9" s="14" t="s">
        <v>199</v>
      </c>
      <c r="K9" s="14"/>
      <c r="L9" s="14"/>
      <c r="M9" s="14">
        <v>1</v>
      </c>
      <c r="N9" s="14">
        <v>5</v>
      </c>
      <c r="O9" s="14"/>
      <c r="P9" s="14" t="s">
        <v>134</v>
      </c>
      <c r="Q9" s="15" t="s">
        <v>526</v>
      </c>
      <c r="R9" s="14" t="s">
        <v>106</v>
      </c>
      <c r="S9" s="14"/>
    </row>
    <row r="10" spans="2:19" x14ac:dyDescent="0.25">
      <c r="B10" s="14"/>
      <c r="C10" s="14"/>
      <c r="D10" s="14"/>
      <c r="E10" s="14"/>
      <c r="F10" s="14"/>
      <c r="G10" s="33" t="s">
        <v>191</v>
      </c>
      <c r="H10" s="33" t="s">
        <v>101</v>
      </c>
      <c r="I10" s="33" t="s">
        <v>94</v>
      </c>
      <c r="J10" s="32" t="s">
        <v>73</v>
      </c>
      <c r="K10" s="32" t="s">
        <v>368</v>
      </c>
      <c r="L10" s="33"/>
      <c r="M10" s="33">
        <v>4</v>
      </c>
      <c r="N10" s="33">
        <v>9</v>
      </c>
      <c r="O10" s="33" t="s">
        <v>96</v>
      </c>
      <c r="P10" s="34"/>
      <c r="Q10" s="40"/>
      <c r="R10" s="34"/>
      <c r="S10" s="33" t="s">
        <v>250</v>
      </c>
    </row>
    <row r="11" spans="2:19" x14ac:dyDescent="0.25">
      <c r="B11" s="14"/>
      <c r="C11" s="14"/>
      <c r="D11" s="14"/>
      <c r="E11" s="14"/>
      <c r="F11" s="14"/>
      <c r="G11" s="33" t="s">
        <v>192</v>
      </c>
      <c r="H11" s="33" t="s">
        <v>101</v>
      </c>
      <c r="I11" s="33" t="s">
        <v>94</v>
      </c>
      <c r="J11" s="32" t="s">
        <v>103</v>
      </c>
      <c r="K11" s="33" t="s">
        <v>369</v>
      </c>
      <c r="L11" s="33"/>
      <c r="M11" s="33">
        <v>4</v>
      </c>
      <c r="N11" s="33">
        <v>9</v>
      </c>
      <c r="O11" s="33" t="s">
        <v>96</v>
      </c>
      <c r="P11" s="34"/>
      <c r="Q11" s="40"/>
      <c r="R11" s="34"/>
      <c r="S11" s="33" t="s">
        <v>281</v>
      </c>
    </row>
    <row r="12" spans="2:19" x14ac:dyDescent="0.25">
      <c r="B12" s="14"/>
      <c r="C12" s="14"/>
      <c r="D12" s="14"/>
      <c r="E12" s="14"/>
      <c r="F12" s="14"/>
      <c r="G12" s="33" t="s">
        <v>193</v>
      </c>
      <c r="H12" s="33" t="s">
        <v>101</v>
      </c>
      <c r="I12" s="33" t="s">
        <v>94</v>
      </c>
      <c r="J12" s="32" t="s">
        <v>105</v>
      </c>
      <c r="K12" s="33" t="s">
        <v>370</v>
      </c>
      <c r="L12" s="33"/>
      <c r="M12" s="33">
        <v>4</v>
      </c>
      <c r="N12" s="33">
        <v>9</v>
      </c>
      <c r="O12" s="33" t="s">
        <v>96</v>
      </c>
      <c r="P12" s="34"/>
      <c r="Q12" s="40"/>
      <c r="R12" s="34"/>
      <c r="S12" s="33" t="s">
        <v>282</v>
      </c>
    </row>
    <row r="13" spans="2:19" x14ac:dyDescent="0.25">
      <c r="B13" s="14"/>
      <c r="C13" s="14"/>
      <c r="D13" s="14"/>
      <c r="E13" s="14"/>
      <c r="F13" s="14"/>
      <c r="G13" s="33" t="s">
        <v>380</v>
      </c>
      <c r="H13" s="33" t="s">
        <v>99</v>
      </c>
      <c r="I13" s="33" t="s">
        <v>94</v>
      </c>
      <c r="J13" s="33" t="s">
        <v>378</v>
      </c>
      <c r="K13" s="33"/>
      <c r="L13" s="32" t="s">
        <v>194</v>
      </c>
      <c r="M13" s="33">
        <v>4</v>
      </c>
      <c r="N13" s="33">
        <v>21</v>
      </c>
      <c r="O13" s="33" t="s">
        <v>96</v>
      </c>
      <c r="P13" s="34"/>
      <c r="Q13" s="40"/>
      <c r="R13" s="34"/>
      <c r="S13" s="33" t="s">
        <v>283</v>
      </c>
    </row>
    <row r="14" spans="2:19" x14ac:dyDescent="0.25">
      <c r="B14" s="14"/>
      <c r="C14" s="14"/>
      <c r="D14" s="14"/>
      <c r="E14" s="14"/>
      <c r="F14" s="14"/>
      <c r="G14" s="33" t="s">
        <v>381</v>
      </c>
      <c r="H14" s="33" t="s">
        <v>99</v>
      </c>
      <c r="I14" s="33" t="s">
        <v>94</v>
      </c>
      <c r="J14" s="33" t="s">
        <v>379</v>
      </c>
      <c r="K14" s="33"/>
      <c r="L14" s="32" t="s">
        <v>194</v>
      </c>
      <c r="M14" s="33">
        <v>4</v>
      </c>
      <c r="N14" s="33">
        <v>21</v>
      </c>
      <c r="O14" s="33" t="s">
        <v>96</v>
      </c>
      <c r="P14" s="34"/>
      <c r="Q14" s="40"/>
      <c r="R14" s="34"/>
      <c r="S14" s="33" t="s">
        <v>284</v>
      </c>
    </row>
    <row r="15" spans="2:19" x14ac:dyDescent="0.25">
      <c r="B15" s="14"/>
      <c r="C15" s="14"/>
      <c r="D15" s="14"/>
      <c r="E15" s="14"/>
      <c r="F15" s="14"/>
      <c r="G15" s="32" t="s">
        <v>195</v>
      </c>
      <c r="H15" s="32"/>
      <c r="I15" s="33"/>
      <c r="J15" s="32" t="s">
        <v>327</v>
      </c>
      <c r="K15" s="32"/>
      <c r="L15" s="32"/>
      <c r="M15" s="32">
        <v>2</v>
      </c>
      <c r="N15" s="42">
        <v>5</v>
      </c>
      <c r="O15" s="33"/>
      <c r="P15" s="34"/>
      <c r="Q15" s="40"/>
      <c r="R15" s="34"/>
      <c r="S15" s="33"/>
    </row>
    <row r="16" spans="2:19" x14ac:dyDescent="0.25">
      <c r="B16" s="14"/>
      <c r="C16" s="14"/>
      <c r="D16" s="14"/>
      <c r="E16" s="14"/>
      <c r="F16" s="14"/>
      <c r="G16" s="32" t="s">
        <v>195</v>
      </c>
      <c r="H16" s="32"/>
      <c r="I16" s="33"/>
      <c r="J16" s="32" t="s">
        <v>323</v>
      </c>
      <c r="K16" s="32"/>
      <c r="L16" s="32"/>
      <c r="M16" s="32">
        <v>2</v>
      </c>
      <c r="N16" s="42">
        <v>5</v>
      </c>
      <c r="O16" s="33"/>
      <c r="P16" s="34"/>
      <c r="Q16" s="40"/>
      <c r="R16" s="34"/>
      <c r="S16" s="33"/>
    </row>
    <row r="17" spans="2:19" x14ac:dyDescent="0.25">
      <c r="B17" s="14"/>
      <c r="C17" s="14"/>
      <c r="D17" s="14"/>
      <c r="E17" s="14"/>
      <c r="F17" s="14"/>
      <c r="G17" s="33" t="s">
        <v>382</v>
      </c>
      <c r="H17" s="33" t="s">
        <v>149</v>
      </c>
      <c r="I17" s="33" t="s">
        <v>96</v>
      </c>
      <c r="J17" s="33" t="s">
        <v>456</v>
      </c>
      <c r="K17" s="33"/>
      <c r="L17" s="33"/>
      <c r="M17" s="33">
        <v>4</v>
      </c>
      <c r="N17" s="33">
        <v>9</v>
      </c>
      <c r="O17" s="33" t="s">
        <v>96</v>
      </c>
      <c r="P17" s="34"/>
      <c r="Q17" s="40"/>
      <c r="R17" s="34"/>
      <c r="S17" s="33" t="s">
        <v>252</v>
      </c>
    </row>
    <row r="18" spans="2:19" x14ac:dyDescent="0.25">
      <c r="B18" s="14"/>
      <c r="C18" s="14"/>
      <c r="D18" s="14"/>
      <c r="E18" s="14"/>
      <c r="F18" s="14"/>
      <c r="G18" s="33" t="s">
        <v>383</v>
      </c>
      <c r="H18" s="33" t="s">
        <v>101</v>
      </c>
      <c r="I18" s="33" t="s">
        <v>96</v>
      </c>
      <c r="J18" s="33" t="s">
        <v>457</v>
      </c>
      <c r="K18" s="33" t="s">
        <v>371</v>
      </c>
      <c r="L18" s="33"/>
      <c r="M18" s="33">
        <v>4</v>
      </c>
      <c r="N18" s="33">
        <v>9</v>
      </c>
      <c r="O18" s="33" t="s">
        <v>96</v>
      </c>
      <c r="P18" s="34"/>
      <c r="Q18" s="40"/>
      <c r="R18" s="34"/>
      <c r="S18" s="33" t="s">
        <v>253</v>
      </c>
    </row>
    <row r="19" spans="2:19" x14ac:dyDescent="0.25">
      <c r="B19" s="14"/>
      <c r="C19" s="14"/>
      <c r="D19" s="14"/>
      <c r="E19" s="14"/>
      <c r="F19" s="14"/>
      <c r="G19" s="33" t="s">
        <v>384</v>
      </c>
      <c r="H19" s="33" t="s">
        <v>149</v>
      </c>
      <c r="I19" s="33" t="s">
        <v>96</v>
      </c>
      <c r="J19" s="33" t="s">
        <v>458</v>
      </c>
      <c r="K19" s="33"/>
      <c r="L19" s="33"/>
      <c r="M19" s="33">
        <v>4</v>
      </c>
      <c r="N19" s="33">
        <v>9</v>
      </c>
      <c r="O19" s="33" t="s">
        <v>96</v>
      </c>
      <c r="P19" s="34"/>
      <c r="Q19" s="40"/>
      <c r="R19" s="34"/>
      <c r="S19" s="33" t="s">
        <v>254</v>
      </c>
    </row>
    <row r="20" spans="2:19" x14ac:dyDescent="0.25">
      <c r="B20" s="14"/>
      <c r="C20" s="14"/>
      <c r="D20" s="14"/>
      <c r="E20" s="14"/>
      <c r="F20" s="14"/>
      <c r="G20" s="33" t="s">
        <v>385</v>
      </c>
      <c r="H20" s="33" t="s">
        <v>101</v>
      </c>
      <c r="I20" s="33" t="s">
        <v>96</v>
      </c>
      <c r="J20" s="33" t="s">
        <v>459</v>
      </c>
      <c r="K20" s="33" t="s">
        <v>371</v>
      </c>
      <c r="L20" s="33"/>
      <c r="M20" s="33">
        <v>4</v>
      </c>
      <c r="N20" s="33">
        <v>9</v>
      </c>
      <c r="O20" s="33" t="s">
        <v>96</v>
      </c>
      <c r="P20" s="34"/>
      <c r="Q20" s="40"/>
      <c r="R20" s="34"/>
      <c r="S20" s="33" t="s">
        <v>255</v>
      </c>
    </row>
    <row r="21" spans="2:19" x14ac:dyDescent="0.25">
      <c r="B21" s="14"/>
      <c r="C21" s="14"/>
      <c r="D21" s="14"/>
      <c r="E21" s="14"/>
      <c r="F21" s="14"/>
      <c r="G21" s="33" t="s">
        <v>386</v>
      </c>
      <c r="H21" s="33" t="s">
        <v>149</v>
      </c>
      <c r="I21" s="33" t="s">
        <v>96</v>
      </c>
      <c r="J21" s="33" t="s">
        <v>460</v>
      </c>
      <c r="K21" s="33"/>
      <c r="L21" s="33"/>
      <c r="M21" s="33">
        <v>4</v>
      </c>
      <c r="N21" s="33">
        <v>9</v>
      </c>
      <c r="O21" s="33" t="s">
        <v>96</v>
      </c>
      <c r="P21" s="34"/>
      <c r="Q21" s="40"/>
      <c r="R21" s="34"/>
      <c r="S21" s="33" t="s">
        <v>256</v>
      </c>
    </row>
    <row r="22" spans="2:19" x14ac:dyDescent="0.25">
      <c r="B22" s="14"/>
      <c r="C22" s="14"/>
      <c r="D22" s="14"/>
      <c r="E22" s="14"/>
      <c r="F22" s="14"/>
      <c r="G22" s="33" t="s">
        <v>387</v>
      </c>
      <c r="H22" s="33" t="s">
        <v>101</v>
      </c>
      <c r="I22" s="33" t="s">
        <v>96</v>
      </c>
      <c r="J22" s="33" t="s">
        <v>461</v>
      </c>
      <c r="K22" s="33" t="s">
        <v>372</v>
      </c>
      <c r="L22" s="33"/>
      <c r="M22" s="33">
        <v>4</v>
      </c>
      <c r="N22" s="33">
        <v>9</v>
      </c>
      <c r="O22" s="33" t="s">
        <v>96</v>
      </c>
      <c r="P22" s="34"/>
      <c r="Q22" s="40"/>
      <c r="R22" s="34"/>
      <c r="S22" s="33" t="s">
        <v>257</v>
      </c>
    </row>
    <row r="23" spans="2:19" x14ac:dyDescent="0.25">
      <c r="B23" s="14"/>
      <c r="C23" s="14"/>
      <c r="D23" s="14"/>
      <c r="E23" s="14"/>
      <c r="F23" s="14"/>
      <c r="G23" s="33" t="s">
        <v>388</v>
      </c>
      <c r="H23" s="33" t="s">
        <v>149</v>
      </c>
      <c r="I23" s="33" t="s">
        <v>96</v>
      </c>
      <c r="J23" s="33" t="s">
        <v>462</v>
      </c>
      <c r="K23" s="33"/>
      <c r="L23" s="33"/>
      <c r="M23" s="33">
        <v>4</v>
      </c>
      <c r="N23" s="33">
        <v>9</v>
      </c>
      <c r="O23" s="33" t="s">
        <v>96</v>
      </c>
      <c r="P23" s="34"/>
      <c r="Q23" s="40"/>
      <c r="R23" s="34"/>
      <c r="S23" s="33" t="s">
        <v>258</v>
      </c>
    </row>
    <row r="24" spans="2:19" x14ac:dyDescent="0.25">
      <c r="B24" s="14"/>
      <c r="C24" s="14"/>
      <c r="D24" s="14"/>
      <c r="E24" s="14"/>
      <c r="F24" s="14"/>
      <c r="G24" s="33" t="s">
        <v>389</v>
      </c>
      <c r="H24" s="33" t="s">
        <v>98</v>
      </c>
      <c r="I24" s="33" t="s">
        <v>96</v>
      </c>
      <c r="J24" s="33" t="s">
        <v>463</v>
      </c>
      <c r="K24" s="33"/>
      <c r="L24" s="33"/>
      <c r="M24" s="33">
        <v>4</v>
      </c>
      <c r="N24" s="33">
        <v>9</v>
      </c>
      <c r="O24" s="33" t="s">
        <v>96</v>
      </c>
      <c r="P24" s="34"/>
      <c r="Q24" s="40"/>
      <c r="R24" s="34"/>
      <c r="S24" s="33" t="s">
        <v>259</v>
      </c>
    </row>
    <row r="25" spans="2:19" x14ac:dyDescent="0.25">
      <c r="B25" s="14"/>
      <c r="C25" s="14"/>
      <c r="D25" s="14"/>
      <c r="E25" s="14"/>
      <c r="F25" s="14"/>
      <c r="G25" s="33" t="s">
        <v>390</v>
      </c>
      <c r="H25" s="33" t="s">
        <v>149</v>
      </c>
      <c r="I25" s="33" t="s">
        <v>96</v>
      </c>
      <c r="J25" s="33" t="s">
        <v>464</v>
      </c>
      <c r="K25" s="33"/>
      <c r="L25" s="33"/>
      <c r="M25" s="33">
        <v>4</v>
      </c>
      <c r="N25" s="33">
        <v>9</v>
      </c>
      <c r="O25" s="33" t="s">
        <v>96</v>
      </c>
      <c r="P25" s="34"/>
      <c r="Q25" s="40"/>
      <c r="R25" s="34"/>
      <c r="S25" s="33" t="s">
        <v>260</v>
      </c>
    </row>
    <row r="26" spans="2:19" x14ac:dyDescent="0.25">
      <c r="B26" s="14"/>
      <c r="C26" s="14"/>
      <c r="D26" s="14"/>
      <c r="E26" s="14"/>
      <c r="F26" s="14"/>
      <c r="G26" s="33" t="s">
        <v>391</v>
      </c>
      <c r="H26" s="33" t="s">
        <v>149</v>
      </c>
      <c r="I26" s="33" t="s">
        <v>96</v>
      </c>
      <c r="J26" s="33" t="s">
        <v>465</v>
      </c>
      <c r="K26" s="33"/>
      <c r="L26" s="33"/>
      <c r="M26" s="33">
        <v>4</v>
      </c>
      <c r="N26" s="33">
        <v>9</v>
      </c>
      <c r="O26" s="33" t="s">
        <v>96</v>
      </c>
      <c r="P26" s="34"/>
      <c r="Q26" s="40"/>
      <c r="R26" s="34"/>
      <c r="S26" s="33" t="s">
        <v>261</v>
      </c>
    </row>
    <row r="27" spans="2:19" x14ac:dyDescent="0.25">
      <c r="B27" s="14"/>
      <c r="C27" s="14"/>
      <c r="D27" s="14"/>
      <c r="E27" s="14"/>
      <c r="F27" s="14"/>
      <c r="G27" s="33" t="s">
        <v>392</v>
      </c>
      <c r="H27" s="33" t="s">
        <v>98</v>
      </c>
      <c r="I27" s="33" t="s">
        <v>96</v>
      </c>
      <c r="J27" s="33" t="s">
        <v>466</v>
      </c>
      <c r="K27" s="33" t="s">
        <v>373</v>
      </c>
      <c r="L27" s="33"/>
      <c r="M27" s="33">
        <v>4</v>
      </c>
      <c r="N27" s="33">
        <v>9</v>
      </c>
      <c r="O27" s="33" t="s">
        <v>96</v>
      </c>
      <c r="P27" s="34"/>
      <c r="Q27" s="40"/>
      <c r="R27" s="34"/>
      <c r="S27" s="33" t="s">
        <v>262</v>
      </c>
    </row>
    <row r="28" spans="2:19" x14ac:dyDescent="0.25">
      <c r="B28" s="14"/>
      <c r="C28" s="14"/>
      <c r="D28" s="14"/>
      <c r="E28" s="14"/>
      <c r="F28" s="14"/>
      <c r="G28" s="33" t="s">
        <v>393</v>
      </c>
      <c r="H28" s="33" t="s">
        <v>149</v>
      </c>
      <c r="I28" s="33" t="s">
        <v>96</v>
      </c>
      <c r="J28" s="33" t="s">
        <v>467</v>
      </c>
      <c r="K28" s="33"/>
      <c r="L28" s="33"/>
      <c r="M28" s="33">
        <v>4</v>
      </c>
      <c r="N28" s="33">
        <v>9</v>
      </c>
      <c r="O28" s="33" t="s">
        <v>96</v>
      </c>
      <c r="P28" s="34"/>
      <c r="Q28" s="40"/>
      <c r="R28" s="34"/>
      <c r="S28" s="33" t="s">
        <v>263</v>
      </c>
    </row>
    <row r="29" spans="2:19" x14ac:dyDescent="0.25">
      <c r="B29" s="14"/>
      <c r="C29" s="14"/>
      <c r="D29" s="14"/>
      <c r="E29" s="14"/>
      <c r="F29" s="14"/>
      <c r="G29" s="33" t="s">
        <v>394</v>
      </c>
      <c r="H29" s="33" t="s">
        <v>101</v>
      </c>
      <c r="I29" s="33" t="s">
        <v>96</v>
      </c>
      <c r="J29" s="33" t="s">
        <v>468</v>
      </c>
      <c r="K29" s="33" t="s">
        <v>374</v>
      </c>
      <c r="L29" s="33"/>
      <c r="M29" s="33">
        <v>4</v>
      </c>
      <c r="N29" s="33">
        <v>9</v>
      </c>
      <c r="O29" s="33" t="s">
        <v>96</v>
      </c>
      <c r="P29" s="34"/>
      <c r="Q29" s="40"/>
      <c r="R29" s="34"/>
      <c r="S29" s="33" t="s">
        <v>264</v>
      </c>
    </row>
    <row r="30" spans="2:19" x14ac:dyDescent="0.25">
      <c r="B30" s="14"/>
      <c r="C30" s="14"/>
      <c r="D30" s="14"/>
      <c r="E30" s="14"/>
      <c r="F30" s="14"/>
      <c r="G30" s="33" t="s">
        <v>395</v>
      </c>
      <c r="H30" s="33" t="s">
        <v>149</v>
      </c>
      <c r="I30" s="33" t="s">
        <v>96</v>
      </c>
      <c r="J30" s="33" t="s">
        <v>469</v>
      </c>
      <c r="K30" s="33"/>
      <c r="L30" s="33"/>
      <c r="M30" s="33">
        <v>4</v>
      </c>
      <c r="N30" s="33">
        <v>9</v>
      </c>
      <c r="O30" s="33" t="s">
        <v>96</v>
      </c>
      <c r="P30" s="34"/>
      <c r="Q30" s="40"/>
      <c r="R30" s="34"/>
      <c r="S30" s="33" t="s">
        <v>265</v>
      </c>
    </row>
    <row r="31" spans="2:19" x14ac:dyDescent="0.25">
      <c r="B31" s="14"/>
      <c r="C31" s="14"/>
      <c r="D31" s="14"/>
      <c r="E31" s="14"/>
      <c r="F31" s="14"/>
      <c r="G31" s="33" t="s">
        <v>396</v>
      </c>
      <c r="H31" s="33" t="s">
        <v>149</v>
      </c>
      <c r="I31" s="33" t="s">
        <v>96</v>
      </c>
      <c r="J31" s="33" t="s">
        <v>470</v>
      </c>
      <c r="K31" s="33"/>
      <c r="L31" s="33"/>
      <c r="M31" s="33">
        <v>4</v>
      </c>
      <c r="N31" s="33">
        <v>9</v>
      </c>
      <c r="O31" s="33" t="s">
        <v>96</v>
      </c>
      <c r="P31" s="34"/>
      <c r="Q31" s="40"/>
      <c r="R31" s="34"/>
      <c r="S31" s="33" t="s">
        <v>266</v>
      </c>
    </row>
    <row r="32" spans="2:19" x14ac:dyDescent="0.25">
      <c r="B32" s="14"/>
      <c r="C32" s="14"/>
      <c r="D32" s="14"/>
      <c r="E32" s="14"/>
      <c r="F32" s="14"/>
      <c r="G32" s="33" t="s">
        <v>397</v>
      </c>
      <c r="H32" s="33" t="s">
        <v>101</v>
      </c>
      <c r="I32" s="33" t="s">
        <v>96</v>
      </c>
      <c r="J32" s="33" t="s">
        <v>471</v>
      </c>
      <c r="K32" s="33" t="s">
        <v>368</v>
      </c>
      <c r="L32" s="33"/>
      <c r="M32" s="33">
        <v>4</v>
      </c>
      <c r="N32" s="33">
        <v>9</v>
      </c>
      <c r="O32" s="33" t="s">
        <v>96</v>
      </c>
      <c r="P32" s="34"/>
      <c r="Q32" s="40"/>
      <c r="R32" s="34"/>
      <c r="S32" s="33" t="s">
        <v>267</v>
      </c>
    </row>
    <row r="33" spans="2:19" x14ac:dyDescent="0.25">
      <c r="B33" s="14"/>
      <c r="C33" s="14"/>
      <c r="D33" s="14"/>
      <c r="E33" s="14"/>
      <c r="F33" s="14"/>
      <c r="G33" s="33" t="s">
        <v>398</v>
      </c>
      <c r="H33" s="33" t="s">
        <v>101</v>
      </c>
      <c r="I33" s="33" t="s">
        <v>96</v>
      </c>
      <c r="J33" s="33" t="s">
        <v>472</v>
      </c>
      <c r="K33" s="33"/>
      <c r="L33" s="33"/>
      <c r="M33" s="33">
        <v>4</v>
      </c>
      <c r="N33" s="33">
        <v>9</v>
      </c>
      <c r="O33" s="33" t="s">
        <v>96</v>
      </c>
      <c r="P33" s="34"/>
      <c r="Q33" s="40"/>
      <c r="R33" s="34"/>
      <c r="S33" s="33" t="s">
        <v>268</v>
      </c>
    </row>
    <row r="34" spans="2:19" x14ac:dyDescent="0.25">
      <c r="B34" s="14"/>
      <c r="C34" s="14"/>
      <c r="D34" s="14"/>
      <c r="E34" s="14"/>
      <c r="F34" s="14"/>
      <c r="G34" s="33" t="s">
        <v>399</v>
      </c>
      <c r="H34" s="33" t="s">
        <v>101</v>
      </c>
      <c r="I34" s="33" t="s">
        <v>96</v>
      </c>
      <c r="J34" s="33" t="s">
        <v>473</v>
      </c>
      <c r="K34" s="33"/>
      <c r="L34" s="33"/>
      <c r="M34" s="33">
        <v>4</v>
      </c>
      <c r="N34" s="33">
        <v>9</v>
      </c>
      <c r="O34" s="33" t="s">
        <v>96</v>
      </c>
      <c r="P34" s="34"/>
      <c r="Q34" s="40"/>
      <c r="R34" s="34"/>
      <c r="S34" s="33" t="s">
        <v>269</v>
      </c>
    </row>
    <row r="35" spans="2:19" x14ac:dyDescent="0.25">
      <c r="B35" s="14"/>
      <c r="C35" s="14"/>
      <c r="D35" s="14"/>
      <c r="E35" s="14"/>
      <c r="F35" s="14"/>
      <c r="G35" s="33" t="s">
        <v>400</v>
      </c>
      <c r="H35" s="33" t="s">
        <v>101</v>
      </c>
      <c r="I35" s="33" t="s">
        <v>96</v>
      </c>
      <c r="J35" s="33" t="s">
        <v>474</v>
      </c>
      <c r="K35" s="33"/>
      <c r="L35" s="33"/>
      <c r="M35" s="33">
        <v>4</v>
      </c>
      <c r="N35" s="33">
        <v>9</v>
      </c>
      <c r="O35" s="33" t="s">
        <v>96</v>
      </c>
      <c r="P35" s="34"/>
      <c r="Q35" s="40"/>
      <c r="R35" s="34"/>
      <c r="S35" s="33" t="s">
        <v>270</v>
      </c>
    </row>
    <row r="36" spans="2:19" x14ac:dyDescent="0.25">
      <c r="B36" s="14"/>
      <c r="C36" s="14"/>
      <c r="D36" s="14"/>
      <c r="E36" s="14"/>
      <c r="F36" s="14"/>
      <c r="G36" s="33" t="s">
        <v>401</v>
      </c>
      <c r="H36" s="33" t="s">
        <v>101</v>
      </c>
      <c r="I36" s="33" t="s">
        <v>96</v>
      </c>
      <c r="J36" s="33" t="s">
        <v>475</v>
      </c>
      <c r="K36" s="33"/>
      <c r="L36" s="33"/>
      <c r="M36" s="33">
        <v>4</v>
      </c>
      <c r="N36" s="33">
        <v>9</v>
      </c>
      <c r="O36" s="33" t="s">
        <v>96</v>
      </c>
      <c r="P36" s="34"/>
      <c r="Q36" s="40"/>
      <c r="R36" s="34"/>
      <c r="S36" s="33" t="s">
        <v>271</v>
      </c>
    </row>
    <row r="37" spans="2:19" x14ac:dyDescent="0.25">
      <c r="B37" s="14"/>
      <c r="C37" s="14"/>
      <c r="D37" s="14"/>
      <c r="E37" s="14"/>
      <c r="F37" s="14"/>
      <c r="G37" s="32" t="s">
        <v>610</v>
      </c>
      <c r="H37" s="32"/>
      <c r="I37" s="33"/>
      <c r="J37" s="32" t="s">
        <v>324</v>
      </c>
      <c r="K37" s="32"/>
      <c r="L37" s="32"/>
      <c r="M37" s="32">
        <v>2</v>
      </c>
      <c r="N37" s="33">
        <v>5</v>
      </c>
      <c r="O37" s="33"/>
      <c r="P37" s="34"/>
      <c r="Q37" s="40"/>
      <c r="R37" s="34"/>
      <c r="S37" s="33"/>
    </row>
    <row r="38" spans="2:19" x14ac:dyDescent="0.25">
      <c r="B38" s="14"/>
      <c r="C38" s="14"/>
      <c r="D38" s="14"/>
      <c r="E38" s="14"/>
      <c r="F38" s="14"/>
      <c r="G38" s="33" t="s">
        <v>402</v>
      </c>
      <c r="H38" s="33" t="s">
        <v>99</v>
      </c>
      <c r="I38" s="33" t="s">
        <v>96</v>
      </c>
      <c r="J38" s="32" t="s">
        <v>148</v>
      </c>
      <c r="K38" s="33"/>
      <c r="L38" s="32" t="s">
        <v>194</v>
      </c>
      <c r="M38" s="33">
        <v>4</v>
      </c>
      <c r="N38" s="33">
        <v>21</v>
      </c>
      <c r="O38" s="33" t="s">
        <v>96</v>
      </c>
      <c r="P38" s="34"/>
      <c r="Q38" s="40"/>
      <c r="R38" s="34"/>
      <c r="S38" s="33" t="s">
        <v>272</v>
      </c>
    </row>
    <row r="39" spans="2:19" x14ac:dyDescent="0.25">
      <c r="B39" s="14"/>
      <c r="C39" s="14"/>
      <c r="D39" s="14"/>
      <c r="E39" s="14"/>
      <c r="F39" s="14"/>
      <c r="G39" s="33" t="s">
        <v>403</v>
      </c>
      <c r="H39" s="33" t="s">
        <v>149</v>
      </c>
      <c r="I39" s="33" t="s">
        <v>96</v>
      </c>
      <c r="J39" s="32" t="s">
        <v>180</v>
      </c>
      <c r="K39" s="33"/>
      <c r="L39" s="33"/>
      <c r="M39" s="33">
        <v>4</v>
      </c>
      <c r="N39" s="33">
        <v>10</v>
      </c>
      <c r="O39" s="33" t="s">
        <v>96</v>
      </c>
      <c r="P39" s="34"/>
      <c r="Q39" s="40"/>
      <c r="R39" s="34"/>
      <c r="S39" s="33" t="s">
        <v>138</v>
      </c>
    </row>
    <row r="40" spans="2:19" x14ac:dyDescent="0.25">
      <c r="B40" s="14"/>
      <c r="C40" s="14"/>
      <c r="D40" s="14"/>
      <c r="E40" s="14"/>
      <c r="F40" s="14"/>
      <c r="G40" s="32" t="s">
        <v>195</v>
      </c>
      <c r="H40" s="32"/>
      <c r="I40" s="33"/>
      <c r="J40" s="32" t="s">
        <v>325</v>
      </c>
      <c r="K40" s="32"/>
      <c r="L40" s="32"/>
      <c r="M40" s="32">
        <v>3</v>
      </c>
      <c r="N40" s="33">
        <v>5</v>
      </c>
      <c r="O40" s="33"/>
      <c r="P40" s="34"/>
      <c r="Q40" s="40"/>
      <c r="R40" s="34"/>
      <c r="S40" s="33"/>
    </row>
    <row r="41" spans="2:19" x14ac:dyDescent="0.25">
      <c r="B41" s="14"/>
      <c r="C41" s="14"/>
      <c r="D41" s="14"/>
      <c r="E41" s="14"/>
      <c r="F41" s="14"/>
      <c r="G41" s="33" t="s">
        <v>404</v>
      </c>
      <c r="H41" s="33" t="s">
        <v>149</v>
      </c>
      <c r="I41" s="33" t="s">
        <v>96</v>
      </c>
      <c r="J41" s="33" t="s">
        <v>413</v>
      </c>
      <c r="K41" s="33"/>
      <c r="L41" s="33"/>
      <c r="M41" s="33">
        <v>4</v>
      </c>
      <c r="N41" s="33">
        <v>9</v>
      </c>
      <c r="O41" s="33" t="s">
        <v>96</v>
      </c>
      <c r="P41" s="34"/>
      <c r="Q41" s="40"/>
      <c r="R41" s="34"/>
      <c r="S41" s="33" t="s">
        <v>273</v>
      </c>
    </row>
    <row r="42" spans="2:19" x14ac:dyDescent="0.25">
      <c r="B42" s="14"/>
      <c r="C42" s="14"/>
      <c r="D42" s="14"/>
      <c r="E42" s="14"/>
      <c r="F42" s="14"/>
      <c r="G42" s="33" t="s">
        <v>405</v>
      </c>
      <c r="H42" s="33" t="s">
        <v>149</v>
      </c>
      <c r="I42" s="33" t="s">
        <v>96</v>
      </c>
      <c r="J42" s="33" t="s">
        <v>414</v>
      </c>
      <c r="K42" s="33"/>
      <c r="L42" s="33"/>
      <c r="M42" s="33">
        <v>4</v>
      </c>
      <c r="N42" s="33">
        <v>9</v>
      </c>
      <c r="O42" s="33" t="s">
        <v>96</v>
      </c>
      <c r="P42" s="34"/>
      <c r="Q42" s="40"/>
      <c r="R42" s="34"/>
      <c r="S42" s="33" t="s">
        <v>274</v>
      </c>
    </row>
    <row r="43" spans="2:19" x14ac:dyDescent="0.25">
      <c r="B43" s="14"/>
      <c r="C43" s="14"/>
      <c r="D43" s="14"/>
      <c r="E43" s="14"/>
      <c r="F43" s="14"/>
      <c r="G43" s="33" t="s">
        <v>406</v>
      </c>
      <c r="H43" s="33" t="s">
        <v>149</v>
      </c>
      <c r="I43" s="33" t="s">
        <v>96</v>
      </c>
      <c r="J43" s="33" t="s">
        <v>415</v>
      </c>
      <c r="K43" s="33"/>
      <c r="L43" s="33"/>
      <c r="M43" s="33">
        <v>4</v>
      </c>
      <c r="N43" s="33">
        <v>9</v>
      </c>
      <c r="O43" s="33" t="s">
        <v>96</v>
      </c>
      <c r="P43" s="34"/>
      <c r="Q43" s="40"/>
      <c r="R43" s="34"/>
      <c r="S43" s="33" t="s">
        <v>275</v>
      </c>
    </row>
    <row r="44" spans="2:19" x14ac:dyDescent="0.25">
      <c r="B44" s="14"/>
      <c r="C44" s="14"/>
      <c r="D44" s="14"/>
      <c r="E44" s="14"/>
      <c r="F44" s="14"/>
      <c r="G44" s="33" t="s">
        <v>407</v>
      </c>
      <c r="H44" s="33" t="s">
        <v>98</v>
      </c>
      <c r="I44" s="33" t="s">
        <v>96</v>
      </c>
      <c r="J44" s="33" t="s">
        <v>416</v>
      </c>
      <c r="K44" s="33"/>
      <c r="L44" s="33"/>
      <c r="M44" s="33">
        <v>4</v>
      </c>
      <c r="N44" s="33">
        <v>9</v>
      </c>
      <c r="O44" s="33" t="s">
        <v>96</v>
      </c>
      <c r="P44" s="34"/>
      <c r="Q44" s="40"/>
      <c r="R44" s="34"/>
      <c r="S44" s="33" t="s">
        <v>276</v>
      </c>
    </row>
    <row r="45" spans="2:19" x14ac:dyDescent="0.25">
      <c r="B45" s="14"/>
      <c r="C45" s="14"/>
      <c r="D45" s="14"/>
      <c r="E45" s="14"/>
      <c r="F45" s="14"/>
      <c r="G45" s="32" t="s">
        <v>195</v>
      </c>
      <c r="H45" s="32"/>
      <c r="I45" s="33"/>
      <c r="J45" s="32" t="s">
        <v>326</v>
      </c>
      <c r="K45" s="32"/>
      <c r="L45" s="32"/>
      <c r="M45" s="32">
        <v>3</v>
      </c>
      <c r="N45" s="33">
        <v>5</v>
      </c>
      <c r="O45" s="33"/>
      <c r="P45" s="34"/>
      <c r="Q45" s="40"/>
      <c r="R45" s="34"/>
      <c r="S45" s="33"/>
    </row>
    <row r="46" spans="2:19" x14ac:dyDescent="0.25">
      <c r="B46" s="14"/>
      <c r="C46" s="14"/>
      <c r="D46" s="14"/>
      <c r="E46" s="14"/>
      <c r="F46" s="14"/>
      <c r="G46" s="33" t="s">
        <v>408</v>
      </c>
      <c r="H46" s="33" t="s">
        <v>149</v>
      </c>
      <c r="I46" s="33" t="s">
        <v>96</v>
      </c>
      <c r="J46" s="33" t="s">
        <v>417</v>
      </c>
      <c r="K46" s="33"/>
      <c r="L46" s="33"/>
      <c r="M46" s="33">
        <v>4</v>
      </c>
      <c r="N46" s="33">
        <v>9</v>
      </c>
      <c r="O46" s="33" t="s">
        <v>96</v>
      </c>
      <c r="P46" s="34"/>
      <c r="Q46" s="40"/>
      <c r="R46" s="34"/>
      <c r="S46" s="33" t="s">
        <v>277</v>
      </c>
    </row>
    <row r="47" spans="2:19" x14ac:dyDescent="0.25">
      <c r="B47" s="14"/>
      <c r="C47" s="14"/>
      <c r="D47" s="14"/>
      <c r="E47" s="14"/>
      <c r="F47" s="14"/>
      <c r="G47" s="33" t="s">
        <v>409</v>
      </c>
      <c r="H47" s="33" t="s">
        <v>149</v>
      </c>
      <c r="I47" s="33" t="s">
        <v>96</v>
      </c>
      <c r="J47" s="33" t="s">
        <v>418</v>
      </c>
      <c r="K47" s="33"/>
      <c r="L47" s="33"/>
      <c r="M47" s="33">
        <v>4</v>
      </c>
      <c r="N47" s="33">
        <v>9</v>
      </c>
      <c r="O47" s="33" t="s">
        <v>96</v>
      </c>
      <c r="P47" s="34"/>
      <c r="Q47" s="40"/>
      <c r="R47" s="34"/>
      <c r="S47" s="33" t="s">
        <v>278</v>
      </c>
    </row>
    <row r="48" spans="2:19" x14ac:dyDescent="0.25">
      <c r="B48" s="14"/>
      <c r="C48" s="14"/>
      <c r="D48" s="14"/>
      <c r="E48" s="14"/>
      <c r="F48" s="14"/>
      <c r="G48" s="33" t="s">
        <v>410</v>
      </c>
      <c r="H48" s="33" t="s">
        <v>149</v>
      </c>
      <c r="I48" s="33" t="s">
        <v>96</v>
      </c>
      <c r="J48" s="33" t="s">
        <v>419</v>
      </c>
      <c r="K48" s="33"/>
      <c r="L48" s="33"/>
      <c r="M48" s="33">
        <v>4</v>
      </c>
      <c r="N48" s="33">
        <v>9</v>
      </c>
      <c r="O48" s="33" t="s">
        <v>96</v>
      </c>
      <c r="P48" s="34"/>
      <c r="Q48" s="40"/>
      <c r="R48" s="34"/>
      <c r="S48" s="33" t="s">
        <v>279</v>
      </c>
    </row>
    <row r="49" spans="2:19" x14ac:dyDescent="0.25">
      <c r="B49" s="14"/>
      <c r="C49" s="14"/>
      <c r="D49" s="14"/>
      <c r="E49" s="14"/>
      <c r="F49" s="14"/>
      <c r="G49" s="33" t="s">
        <v>411</v>
      </c>
      <c r="H49" s="33" t="s">
        <v>98</v>
      </c>
      <c r="I49" s="33" t="s">
        <v>96</v>
      </c>
      <c r="J49" s="33" t="s">
        <v>420</v>
      </c>
      <c r="K49" s="33"/>
      <c r="L49" s="33"/>
      <c r="M49" s="33">
        <v>4</v>
      </c>
      <c r="N49" s="33">
        <v>9</v>
      </c>
      <c r="O49" s="33" t="s">
        <v>96</v>
      </c>
      <c r="P49" s="34"/>
      <c r="Q49" s="40"/>
      <c r="R49" s="34"/>
      <c r="S49" s="33" t="s">
        <v>280</v>
      </c>
    </row>
    <row r="50" spans="2:19" x14ac:dyDescent="0.25">
      <c r="B50" s="14"/>
      <c r="C50" s="14"/>
      <c r="D50" s="14"/>
      <c r="E50" s="14"/>
      <c r="F50" s="14"/>
      <c r="G50" s="32" t="s">
        <v>610</v>
      </c>
      <c r="H50" s="32"/>
      <c r="I50" s="33"/>
      <c r="J50" s="32" t="s">
        <v>146</v>
      </c>
      <c r="K50" s="32"/>
      <c r="L50" s="32"/>
      <c r="M50" s="32">
        <v>1</v>
      </c>
      <c r="N50" s="33">
        <v>5</v>
      </c>
      <c r="O50" s="33"/>
      <c r="P50" s="34"/>
      <c r="Q50" s="40"/>
      <c r="R50" s="34"/>
      <c r="S50" s="33"/>
    </row>
    <row r="51" spans="2:19" x14ac:dyDescent="0.25">
      <c r="B51" s="14"/>
      <c r="C51" s="14"/>
      <c r="D51" s="14"/>
      <c r="E51" s="14"/>
      <c r="F51" s="14"/>
      <c r="G51" s="33" t="s">
        <v>181</v>
      </c>
      <c r="H51" s="33" t="s">
        <v>101</v>
      </c>
      <c r="I51" s="33" t="s">
        <v>94</v>
      </c>
      <c r="J51" s="32" t="s">
        <v>197</v>
      </c>
      <c r="K51" s="33" t="s">
        <v>375</v>
      </c>
      <c r="L51" s="33"/>
      <c r="M51" s="33">
        <v>4</v>
      </c>
      <c r="N51" s="33">
        <v>9</v>
      </c>
      <c r="O51" s="33" t="s">
        <v>96</v>
      </c>
      <c r="P51" s="34"/>
      <c r="Q51" s="40"/>
      <c r="R51" s="34"/>
      <c r="S51" s="33" t="s">
        <v>285</v>
      </c>
    </row>
    <row r="52" spans="2:19" x14ac:dyDescent="0.25">
      <c r="B52" s="14"/>
      <c r="C52" s="14"/>
      <c r="D52" s="14"/>
      <c r="E52" s="14"/>
      <c r="F52" s="14"/>
      <c r="G52" s="33" t="s">
        <v>328</v>
      </c>
      <c r="H52" s="33" t="s">
        <v>101</v>
      </c>
      <c r="I52" s="33" t="s">
        <v>94</v>
      </c>
      <c r="J52" s="32" t="s">
        <v>147</v>
      </c>
      <c r="K52" s="33" t="s">
        <v>376</v>
      </c>
      <c r="L52" s="33"/>
      <c r="M52" s="33">
        <v>4</v>
      </c>
      <c r="N52" s="33">
        <v>9</v>
      </c>
      <c r="O52" s="33" t="s">
        <v>96</v>
      </c>
      <c r="P52" s="34"/>
      <c r="Q52" s="40"/>
      <c r="R52" s="34"/>
      <c r="S52" s="33" t="s">
        <v>286</v>
      </c>
    </row>
    <row r="53" spans="2:19" x14ac:dyDescent="0.25">
      <c r="B53" s="14"/>
      <c r="C53" s="14"/>
      <c r="D53" s="14"/>
      <c r="E53" s="14"/>
      <c r="F53" s="14"/>
      <c r="G53" s="33" t="s">
        <v>329</v>
      </c>
      <c r="H53" s="33" t="s">
        <v>101</v>
      </c>
      <c r="I53" s="33" t="s">
        <v>94</v>
      </c>
      <c r="J53" s="33" t="s">
        <v>421</v>
      </c>
      <c r="K53" s="33" t="s">
        <v>377</v>
      </c>
      <c r="L53" s="33"/>
      <c r="M53" s="33">
        <v>4</v>
      </c>
      <c r="N53" s="33">
        <v>9</v>
      </c>
      <c r="O53" s="33" t="s">
        <v>96</v>
      </c>
      <c r="P53" s="34"/>
      <c r="Q53" s="40"/>
      <c r="R53" s="34"/>
      <c r="S53" s="33" t="s">
        <v>287</v>
      </c>
    </row>
    <row r="54" spans="2:19" x14ac:dyDescent="0.25">
      <c r="B54" s="14"/>
      <c r="C54" s="14"/>
      <c r="D54" s="14"/>
      <c r="E54" s="14"/>
      <c r="F54" s="14"/>
      <c r="G54" s="33" t="s">
        <v>330</v>
      </c>
      <c r="H54" s="33" t="s">
        <v>101</v>
      </c>
      <c r="I54" s="33" t="s">
        <v>94</v>
      </c>
      <c r="J54" s="33" t="s">
        <v>422</v>
      </c>
      <c r="K54" s="33" t="s">
        <v>377</v>
      </c>
      <c r="L54" s="33"/>
      <c r="M54" s="33">
        <v>4</v>
      </c>
      <c r="N54" s="33">
        <v>10</v>
      </c>
      <c r="O54" s="33" t="s">
        <v>96</v>
      </c>
      <c r="P54" s="34"/>
      <c r="Q54" s="40"/>
      <c r="R54" s="34"/>
      <c r="S54" s="33" t="s">
        <v>288</v>
      </c>
    </row>
    <row r="55" spans="2:19" x14ac:dyDescent="0.25">
      <c r="B55" s="14"/>
      <c r="C55" s="14"/>
      <c r="D55" s="14"/>
      <c r="E55" s="14"/>
      <c r="F55" s="14"/>
      <c r="G55" s="32" t="s">
        <v>195</v>
      </c>
      <c r="H55" s="32"/>
      <c r="I55" s="33"/>
      <c r="J55" s="32" t="s">
        <v>364</v>
      </c>
      <c r="K55" s="32"/>
      <c r="L55" s="32"/>
      <c r="M55" s="32">
        <v>2</v>
      </c>
      <c r="N55" s="33">
        <v>5</v>
      </c>
      <c r="O55" s="33"/>
      <c r="P55" s="34"/>
      <c r="Q55" s="40"/>
      <c r="R55" s="34"/>
      <c r="S55" s="33"/>
    </row>
    <row r="56" spans="2:19" x14ac:dyDescent="0.25">
      <c r="B56" s="14"/>
      <c r="C56" s="14"/>
      <c r="D56" s="14"/>
      <c r="E56" s="14"/>
      <c r="F56" s="14"/>
      <c r="G56" s="33" t="s">
        <v>331</v>
      </c>
      <c r="H56" s="33" t="s">
        <v>149</v>
      </c>
      <c r="I56" s="33" t="s">
        <v>96</v>
      </c>
      <c r="J56" s="33" t="s">
        <v>423</v>
      </c>
      <c r="K56" s="33"/>
      <c r="L56" s="33"/>
      <c r="M56" s="33">
        <v>4</v>
      </c>
      <c r="N56" s="33">
        <v>9</v>
      </c>
      <c r="O56" s="33" t="s">
        <v>96</v>
      </c>
      <c r="P56" s="34"/>
      <c r="Q56" s="40"/>
      <c r="R56" s="34"/>
      <c r="S56" s="33" t="s">
        <v>289</v>
      </c>
    </row>
    <row r="57" spans="2:19" x14ac:dyDescent="0.25">
      <c r="B57" s="14"/>
      <c r="C57" s="14"/>
      <c r="D57" s="14"/>
      <c r="E57" s="14"/>
      <c r="F57" s="14"/>
      <c r="G57" s="33" t="s">
        <v>332</v>
      </c>
      <c r="H57" s="33" t="s">
        <v>101</v>
      </c>
      <c r="I57" s="33" t="s">
        <v>96</v>
      </c>
      <c r="J57" s="33" t="s">
        <v>442</v>
      </c>
      <c r="K57" s="33" t="s">
        <v>371</v>
      </c>
      <c r="L57" s="33"/>
      <c r="M57" s="33">
        <v>4</v>
      </c>
      <c r="N57" s="33">
        <v>9</v>
      </c>
      <c r="O57" s="33" t="s">
        <v>96</v>
      </c>
      <c r="P57" s="34"/>
      <c r="Q57" s="40"/>
      <c r="R57" s="34"/>
      <c r="S57" s="33" t="s">
        <v>290</v>
      </c>
    </row>
    <row r="58" spans="2:19" x14ac:dyDescent="0.25">
      <c r="B58" s="14"/>
      <c r="C58" s="14"/>
      <c r="D58" s="14"/>
      <c r="E58" s="14"/>
      <c r="F58" s="14"/>
      <c r="G58" s="33" t="s">
        <v>333</v>
      </c>
      <c r="H58" s="33" t="s">
        <v>149</v>
      </c>
      <c r="I58" s="33" t="s">
        <v>96</v>
      </c>
      <c r="J58" s="33" t="s">
        <v>424</v>
      </c>
      <c r="K58" s="33"/>
      <c r="L58" s="33"/>
      <c r="M58" s="33">
        <v>4</v>
      </c>
      <c r="N58" s="33">
        <v>9</v>
      </c>
      <c r="O58" s="33" t="s">
        <v>96</v>
      </c>
      <c r="P58" s="34"/>
      <c r="Q58" s="40"/>
      <c r="R58" s="34"/>
      <c r="S58" s="33" t="s">
        <v>291</v>
      </c>
    </row>
    <row r="59" spans="2:19" x14ac:dyDescent="0.25">
      <c r="B59" s="14"/>
      <c r="C59" s="14"/>
      <c r="D59" s="14"/>
      <c r="E59" s="14"/>
      <c r="F59" s="14"/>
      <c r="G59" s="33" t="s">
        <v>334</v>
      </c>
      <c r="H59" s="33" t="s">
        <v>101</v>
      </c>
      <c r="I59" s="33" t="s">
        <v>96</v>
      </c>
      <c r="J59" s="33" t="s">
        <v>455</v>
      </c>
      <c r="K59" s="33" t="s">
        <v>371</v>
      </c>
      <c r="L59" s="33"/>
      <c r="M59" s="33">
        <v>4</v>
      </c>
      <c r="N59" s="33">
        <v>9</v>
      </c>
      <c r="O59" s="33" t="s">
        <v>96</v>
      </c>
      <c r="P59" s="34"/>
      <c r="Q59" s="40"/>
      <c r="R59" s="34"/>
      <c r="S59" s="33" t="s">
        <v>292</v>
      </c>
    </row>
    <row r="60" spans="2:19" x14ac:dyDescent="0.25">
      <c r="B60" s="14"/>
      <c r="C60" s="14"/>
      <c r="D60" s="14"/>
      <c r="E60" s="14"/>
      <c r="F60" s="14"/>
      <c r="G60" s="33" t="s">
        <v>335</v>
      </c>
      <c r="H60" s="33" t="s">
        <v>149</v>
      </c>
      <c r="I60" s="33" t="s">
        <v>96</v>
      </c>
      <c r="J60" s="33" t="s">
        <v>425</v>
      </c>
      <c r="K60" s="33"/>
      <c r="L60" s="33"/>
      <c r="M60" s="33">
        <v>4</v>
      </c>
      <c r="N60" s="33">
        <v>9</v>
      </c>
      <c r="O60" s="33" t="s">
        <v>96</v>
      </c>
      <c r="P60" s="34"/>
      <c r="Q60" s="40"/>
      <c r="R60" s="34"/>
      <c r="S60" s="33" t="s">
        <v>293</v>
      </c>
    </row>
    <row r="61" spans="2:19" x14ac:dyDescent="0.25">
      <c r="B61" s="14"/>
      <c r="C61" s="14"/>
      <c r="D61" s="14"/>
      <c r="E61" s="14"/>
      <c r="F61" s="14"/>
      <c r="G61" s="33" t="s">
        <v>336</v>
      </c>
      <c r="H61" s="33" t="s">
        <v>101</v>
      </c>
      <c r="I61" s="33" t="s">
        <v>96</v>
      </c>
      <c r="J61" s="33" t="s">
        <v>443</v>
      </c>
      <c r="K61" s="33" t="s">
        <v>372</v>
      </c>
      <c r="L61" s="33"/>
      <c r="M61" s="33">
        <v>4</v>
      </c>
      <c r="N61" s="33">
        <v>9</v>
      </c>
      <c r="O61" s="33" t="s">
        <v>96</v>
      </c>
      <c r="P61" s="34"/>
      <c r="Q61" s="40"/>
      <c r="R61" s="34"/>
      <c r="S61" s="33" t="s">
        <v>294</v>
      </c>
    </row>
    <row r="62" spans="2:19" x14ac:dyDescent="0.25">
      <c r="B62" s="14"/>
      <c r="C62" s="14"/>
      <c r="D62" s="14"/>
      <c r="E62" s="14"/>
      <c r="F62" s="14"/>
      <c r="G62" s="33" t="s">
        <v>337</v>
      </c>
      <c r="H62" s="33" t="s">
        <v>149</v>
      </c>
      <c r="I62" s="33" t="s">
        <v>96</v>
      </c>
      <c r="J62" s="33" t="s">
        <v>426</v>
      </c>
      <c r="K62" s="33"/>
      <c r="L62" s="33"/>
      <c r="M62" s="33">
        <v>4</v>
      </c>
      <c r="N62" s="33">
        <v>9</v>
      </c>
      <c r="O62" s="33" t="s">
        <v>96</v>
      </c>
      <c r="P62" s="34"/>
      <c r="Q62" s="40"/>
      <c r="R62" s="34"/>
      <c r="S62" s="33" t="s">
        <v>295</v>
      </c>
    </row>
    <row r="63" spans="2:19" x14ac:dyDescent="0.25">
      <c r="B63" s="14"/>
      <c r="C63" s="14"/>
      <c r="D63" s="14"/>
      <c r="E63" s="14"/>
      <c r="F63" s="14"/>
      <c r="G63" s="33" t="s">
        <v>338</v>
      </c>
      <c r="H63" s="33" t="s">
        <v>98</v>
      </c>
      <c r="I63" s="33" t="s">
        <v>96</v>
      </c>
      <c r="J63" s="33" t="s">
        <v>427</v>
      </c>
      <c r="K63" s="33"/>
      <c r="L63" s="33"/>
      <c r="M63" s="33">
        <v>4</v>
      </c>
      <c r="N63" s="33">
        <v>9</v>
      </c>
      <c r="O63" s="33" t="s">
        <v>96</v>
      </c>
      <c r="P63" s="34"/>
      <c r="Q63" s="40"/>
      <c r="R63" s="34"/>
      <c r="S63" s="33" t="s">
        <v>296</v>
      </c>
    </row>
    <row r="64" spans="2:19" x14ac:dyDescent="0.25">
      <c r="B64" s="14"/>
      <c r="C64" s="14"/>
      <c r="D64" s="14"/>
      <c r="E64" s="14"/>
      <c r="F64" s="14"/>
      <c r="G64" s="33" t="s">
        <v>339</v>
      </c>
      <c r="H64" s="33" t="s">
        <v>149</v>
      </c>
      <c r="I64" s="33" t="s">
        <v>96</v>
      </c>
      <c r="J64" s="33" t="s">
        <v>428</v>
      </c>
      <c r="K64" s="33"/>
      <c r="L64" s="33"/>
      <c r="M64" s="33">
        <v>4</v>
      </c>
      <c r="N64" s="33">
        <v>9</v>
      </c>
      <c r="O64" s="33" t="s">
        <v>96</v>
      </c>
      <c r="P64" s="34"/>
      <c r="Q64" s="40"/>
      <c r="R64" s="34"/>
      <c r="S64" s="33" t="s">
        <v>297</v>
      </c>
    </row>
    <row r="65" spans="2:19" x14ac:dyDescent="0.25">
      <c r="B65" s="14"/>
      <c r="C65" s="14"/>
      <c r="D65" s="14"/>
      <c r="E65" s="14"/>
      <c r="F65" s="14"/>
      <c r="G65" s="33" t="s">
        <v>340</v>
      </c>
      <c r="H65" s="33" t="s">
        <v>149</v>
      </c>
      <c r="I65" s="33" t="s">
        <v>96</v>
      </c>
      <c r="J65" s="33" t="s">
        <v>429</v>
      </c>
      <c r="K65" s="33"/>
      <c r="L65" s="33"/>
      <c r="M65" s="33">
        <v>4</v>
      </c>
      <c r="N65" s="33">
        <v>9</v>
      </c>
      <c r="O65" s="33" t="s">
        <v>96</v>
      </c>
      <c r="P65" s="34"/>
      <c r="Q65" s="40"/>
      <c r="R65" s="34"/>
      <c r="S65" s="33" t="s">
        <v>298</v>
      </c>
    </row>
    <row r="66" spans="2:19" x14ac:dyDescent="0.25">
      <c r="B66" s="14"/>
      <c r="C66" s="14"/>
      <c r="D66" s="14"/>
      <c r="E66" s="14"/>
      <c r="F66" s="14"/>
      <c r="G66" s="33" t="s">
        <v>341</v>
      </c>
      <c r="H66" s="33" t="s">
        <v>98</v>
      </c>
      <c r="I66" s="33" t="s">
        <v>96</v>
      </c>
      <c r="J66" s="33" t="s">
        <v>444</v>
      </c>
      <c r="K66" s="33" t="s">
        <v>373</v>
      </c>
      <c r="L66" s="33"/>
      <c r="M66" s="33">
        <v>4</v>
      </c>
      <c r="N66" s="33">
        <v>9</v>
      </c>
      <c r="O66" s="33" t="s">
        <v>96</v>
      </c>
      <c r="P66" s="34"/>
      <c r="Q66" s="40"/>
      <c r="R66" s="34"/>
      <c r="S66" s="33" t="s">
        <v>299</v>
      </c>
    </row>
    <row r="67" spans="2:19" x14ac:dyDescent="0.25">
      <c r="B67" s="14"/>
      <c r="C67" s="14"/>
      <c r="D67" s="14"/>
      <c r="E67" s="14"/>
      <c r="F67" s="14"/>
      <c r="G67" s="33" t="s">
        <v>342</v>
      </c>
      <c r="H67" s="33" t="s">
        <v>149</v>
      </c>
      <c r="I67" s="33" t="s">
        <v>96</v>
      </c>
      <c r="J67" s="33" t="s">
        <v>430</v>
      </c>
      <c r="K67" s="33"/>
      <c r="L67" s="33"/>
      <c r="M67" s="33">
        <v>4</v>
      </c>
      <c r="N67" s="33">
        <v>9</v>
      </c>
      <c r="O67" s="33" t="s">
        <v>96</v>
      </c>
      <c r="P67" s="34"/>
      <c r="Q67" s="40"/>
      <c r="R67" s="34"/>
      <c r="S67" s="33" t="s">
        <v>300</v>
      </c>
    </row>
    <row r="68" spans="2:19" x14ac:dyDescent="0.25">
      <c r="B68" s="14"/>
      <c r="C68" s="14"/>
      <c r="D68" s="14"/>
      <c r="E68" s="14"/>
      <c r="F68" s="14"/>
      <c r="G68" s="33" t="s">
        <v>343</v>
      </c>
      <c r="H68" s="33" t="s">
        <v>101</v>
      </c>
      <c r="I68" s="33" t="s">
        <v>96</v>
      </c>
      <c r="J68" s="33" t="s">
        <v>445</v>
      </c>
      <c r="K68" s="33" t="s">
        <v>374</v>
      </c>
      <c r="L68" s="33"/>
      <c r="M68" s="33">
        <v>4</v>
      </c>
      <c r="N68" s="33">
        <v>9</v>
      </c>
      <c r="O68" s="33" t="s">
        <v>96</v>
      </c>
      <c r="P68" s="34"/>
      <c r="Q68" s="40"/>
      <c r="R68" s="34"/>
      <c r="S68" s="33" t="s">
        <v>301</v>
      </c>
    </row>
    <row r="69" spans="2:19" x14ac:dyDescent="0.25">
      <c r="B69" s="14"/>
      <c r="C69" s="14"/>
      <c r="D69" s="14"/>
      <c r="E69" s="14"/>
      <c r="F69" s="14"/>
      <c r="G69" s="33" t="s">
        <v>344</v>
      </c>
      <c r="H69" s="33" t="s">
        <v>149</v>
      </c>
      <c r="I69" s="33" t="s">
        <v>96</v>
      </c>
      <c r="J69" s="33" t="s">
        <v>431</v>
      </c>
      <c r="K69" s="33"/>
      <c r="L69" s="33"/>
      <c r="M69" s="33">
        <v>4</v>
      </c>
      <c r="N69" s="33">
        <v>9</v>
      </c>
      <c r="O69" s="33" t="s">
        <v>96</v>
      </c>
      <c r="P69" s="34"/>
      <c r="Q69" s="40"/>
      <c r="R69" s="34"/>
      <c r="S69" s="33" t="s">
        <v>302</v>
      </c>
    </row>
    <row r="70" spans="2:19" x14ac:dyDescent="0.25">
      <c r="B70" s="14"/>
      <c r="C70" s="14"/>
      <c r="D70" s="14"/>
      <c r="E70" s="14"/>
      <c r="F70" s="14"/>
      <c r="G70" s="33" t="s">
        <v>345</v>
      </c>
      <c r="H70" s="33" t="s">
        <v>149</v>
      </c>
      <c r="I70" s="33" t="s">
        <v>96</v>
      </c>
      <c r="J70" s="33" t="s">
        <v>432</v>
      </c>
      <c r="K70" s="33"/>
      <c r="L70" s="33"/>
      <c r="M70" s="33">
        <v>4</v>
      </c>
      <c r="N70" s="33">
        <v>9</v>
      </c>
      <c r="O70" s="33" t="s">
        <v>96</v>
      </c>
      <c r="P70" s="34"/>
      <c r="Q70" s="40"/>
      <c r="R70" s="34"/>
      <c r="S70" s="33" t="s">
        <v>303</v>
      </c>
    </row>
    <row r="71" spans="2:19" x14ac:dyDescent="0.25">
      <c r="B71" s="14"/>
      <c r="C71" s="14"/>
      <c r="D71" s="14"/>
      <c r="E71" s="14"/>
      <c r="F71" s="14"/>
      <c r="G71" s="33" t="s">
        <v>346</v>
      </c>
      <c r="H71" s="33" t="s">
        <v>101</v>
      </c>
      <c r="I71" s="33" t="s">
        <v>96</v>
      </c>
      <c r="J71" s="33" t="s">
        <v>446</v>
      </c>
      <c r="K71" s="33" t="s">
        <v>368</v>
      </c>
      <c r="L71" s="33"/>
      <c r="M71" s="33">
        <v>4</v>
      </c>
      <c r="N71" s="33">
        <v>9</v>
      </c>
      <c r="O71" s="33" t="s">
        <v>96</v>
      </c>
      <c r="P71" s="34"/>
      <c r="Q71" s="40"/>
      <c r="R71" s="34"/>
      <c r="S71" s="33" t="s">
        <v>304</v>
      </c>
    </row>
    <row r="72" spans="2:19" x14ac:dyDescent="0.25">
      <c r="B72" s="14"/>
      <c r="C72" s="14"/>
      <c r="D72" s="14"/>
      <c r="E72" s="14"/>
      <c r="F72" s="14"/>
      <c r="G72" s="33" t="s">
        <v>347</v>
      </c>
      <c r="H72" s="33" t="s">
        <v>101</v>
      </c>
      <c r="I72" s="33" t="s">
        <v>96</v>
      </c>
      <c r="J72" s="33" t="s">
        <v>433</v>
      </c>
      <c r="K72" s="33"/>
      <c r="L72" s="33"/>
      <c r="M72" s="33">
        <v>4</v>
      </c>
      <c r="N72" s="33">
        <v>9</v>
      </c>
      <c r="O72" s="33" t="s">
        <v>96</v>
      </c>
      <c r="P72" s="34"/>
      <c r="Q72" s="40"/>
      <c r="R72" s="34"/>
      <c r="S72" s="33" t="s">
        <v>305</v>
      </c>
    </row>
    <row r="73" spans="2:19" x14ac:dyDescent="0.25">
      <c r="B73" s="14"/>
      <c r="C73" s="14"/>
      <c r="D73" s="14"/>
      <c r="E73" s="14"/>
      <c r="F73" s="14"/>
      <c r="G73" s="33" t="s">
        <v>348</v>
      </c>
      <c r="H73" s="33" t="s">
        <v>101</v>
      </c>
      <c r="I73" s="33" t="s">
        <v>96</v>
      </c>
      <c r="J73" s="33" t="s">
        <v>434</v>
      </c>
      <c r="K73" s="33"/>
      <c r="L73" s="33"/>
      <c r="M73" s="33">
        <v>4</v>
      </c>
      <c r="N73" s="33">
        <v>9</v>
      </c>
      <c r="O73" s="33" t="s">
        <v>96</v>
      </c>
      <c r="P73" s="34"/>
      <c r="Q73" s="40"/>
      <c r="R73" s="34"/>
      <c r="S73" s="33" t="s">
        <v>306</v>
      </c>
    </row>
    <row r="74" spans="2:19" x14ac:dyDescent="0.25">
      <c r="B74" s="14"/>
      <c r="C74" s="14"/>
      <c r="D74" s="14"/>
      <c r="E74" s="14"/>
      <c r="F74" s="14"/>
      <c r="G74" s="33" t="s">
        <v>349</v>
      </c>
      <c r="H74" s="33" t="s">
        <v>101</v>
      </c>
      <c r="I74" s="33" t="s">
        <v>96</v>
      </c>
      <c r="J74" s="33" t="s">
        <v>435</v>
      </c>
      <c r="K74" s="33"/>
      <c r="L74" s="33"/>
      <c r="M74" s="33">
        <v>4</v>
      </c>
      <c r="N74" s="33">
        <v>9</v>
      </c>
      <c r="O74" s="33" t="s">
        <v>96</v>
      </c>
      <c r="P74" s="34"/>
      <c r="Q74" s="40"/>
      <c r="R74" s="34"/>
      <c r="S74" s="33" t="s">
        <v>307</v>
      </c>
    </row>
    <row r="75" spans="2:19" x14ac:dyDescent="0.25">
      <c r="B75" s="14"/>
      <c r="C75" s="14"/>
      <c r="D75" s="14"/>
      <c r="E75" s="14"/>
      <c r="F75" s="14"/>
      <c r="G75" s="33" t="s">
        <v>350</v>
      </c>
      <c r="H75" s="33" t="s">
        <v>101</v>
      </c>
      <c r="I75" s="33" t="s">
        <v>96</v>
      </c>
      <c r="J75" s="33" t="s">
        <v>436</v>
      </c>
      <c r="K75" s="33"/>
      <c r="L75" s="33"/>
      <c r="M75" s="33">
        <v>4</v>
      </c>
      <c r="N75" s="33">
        <v>9</v>
      </c>
      <c r="O75" s="33" t="s">
        <v>96</v>
      </c>
      <c r="P75" s="34"/>
      <c r="Q75" s="40"/>
      <c r="R75" s="34"/>
      <c r="S75" s="33" t="s">
        <v>308</v>
      </c>
    </row>
    <row r="76" spans="2:19" x14ac:dyDescent="0.25">
      <c r="B76" s="14"/>
      <c r="C76" s="14"/>
      <c r="D76" s="14"/>
      <c r="E76" s="14"/>
      <c r="F76" s="14"/>
      <c r="G76" s="32" t="s">
        <v>610</v>
      </c>
      <c r="H76" s="32"/>
      <c r="I76" s="33"/>
      <c r="J76" s="32" t="s">
        <v>365</v>
      </c>
      <c r="K76" s="32"/>
      <c r="L76" s="32"/>
      <c r="M76" s="32">
        <v>2</v>
      </c>
      <c r="N76" s="33">
        <v>5</v>
      </c>
      <c r="O76" s="33"/>
      <c r="P76" s="34"/>
      <c r="Q76" s="40"/>
      <c r="R76" s="34"/>
      <c r="S76" s="33"/>
    </row>
    <row r="77" spans="2:19" x14ac:dyDescent="0.25">
      <c r="B77" s="14"/>
      <c r="C77" s="14"/>
      <c r="D77" s="14"/>
      <c r="E77" s="14"/>
      <c r="F77" s="14"/>
      <c r="G77" s="33" t="s">
        <v>351</v>
      </c>
      <c r="H77" s="33" t="s">
        <v>149</v>
      </c>
      <c r="I77" s="33" t="s">
        <v>96</v>
      </c>
      <c r="J77" s="33" t="s">
        <v>437</v>
      </c>
      <c r="K77" s="33"/>
      <c r="L77" s="33"/>
      <c r="M77" s="33">
        <v>4</v>
      </c>
      <c r="N77" s="33">
        <v>10</v>
      </c>
      <c r="O77" s="33" t="s">
        <v>96</v>
      </c>
      <c r="P77" s="34"/>
      <c r="Q77" s="40"/>
      <c r="R77" s="34"/>
      <c r="S77" s="33" t="s">
        <v>309</v>
      </c>
    </row>
    <row r="78" spans="2:19" x14ac:dyDescent="0.25">
      <c r="B78" s="14"/>
      <c r="C78" s="14"/>
      <c r="D78" s="14"/>
      <c r="E78" s="14"/>
      <c r="F78" s="14"/>
      <c r="G78" s="33" t="s">
        <v>352</v>
      </c>
      <c r="H78" s="33" t="s">
        <v>99</v>
      </c>
      <c r="I78" s="33" t="s">
        <v>96</v>
      </c>
      <c r="J78" s="33" t="s">
        <v>438</v>
      </c>
      <c r="K78" s="33"/>
      <c r="L78" s="32" t="s">
        <v>194</v>
      </c>
      <c r="M78" s="33">
        <v>4</v>
      </c>
      <c r="N78" s="33">
        <v>21</v>
      </c>
      <c r="O78" s="33" t="s">
        <v>96</v>
      </c>
      <c r="P78" s="34"/>
      <c r="Q78" s="40"/>
      <c r="R78" s="34"/>
      <c r="S78" s="33" t="s">
        <v>310</v>
      </c>
    </row>
    <row r="79" spans="2:19" x14ac:dyDescent="0.25">
      <c r="B79" s="14"/>
      <c r="C79" s="14"/>
      <c r="D79" s="14"/>
      <c r="E79" s="14"/>
      <c r="F79" s="14"/>
      <c r="G79" s="33" t="s">
        <v>353</v>
      </c>
      <c r="H79" s="33" t="s">
        <v>149</v>
      </c>
      <c r="I79" s="33" t="s">
        <v>96</v>
      </c>
      <c r="J79" s="33" t="s">
        <v>439</v>
      </c>
      <c r="K79" s="33"/>
      <c r="L79" s="33"/>
      <c r="M79" s="33">
        <v>4</v>
      </c>
      <c r="N79" s="33">
        <v>10</v>
      </c>
      <c r="O79" s="33" t="s">
        <v>96</v>
      </c>
      <c r="P79" s="34"/>
      <c r="Q79" s="40"/>
      <c r="R79" s="34"/>
      <c r="S79" s="33" t="s">
        <v>311</v>
      </c>
    </row>
    <row r="80" spans="2:19" x14ac:dyDescent="0.25">
      <c r="B80" s="14"/>
      <c r="C80" s="14"/>
      <c r="D80" s="14"/>
      <c r="E80" s="14"/>
      <c r="F80" s="14"/>
      <c r="G80" s="32" t="s">
        <v>195</v>
      </c>
      <c r="H80" s="32"/>
      <c r="I80" s="33"/>
      <c r="J80" s="32" t="s">
        <v>366</v>
      </c>
      <c r="K80" s="32"/>
      <c r="L80" s="32"/>
      <c r="M80" s="32">
        <v>3</v>
      </c>
      <c r="N80" s="33">
        <v>5</v>
      </c>
      <c r="O80" s="33"/>
      <c r="P80" s="34"/>
      <c r="Q80" s="40"/>
      <c r="R80" s="34"/>
      <c r="S80" s="33"/>
    </row>
    <row r="81" spans="2:19" x14ac:dyDescent="0.25">
      <c r="B81" s="14"/>
      <c r="C81" s="14"/>
      <c r="D81" s="14"/>
      <c r="E81" s="14"/>
      <c r="F81" s="14"/>
      <c r="G81" s="33" t="s">
        <v>354</v>
      </c>
      <c r="H81" s="33" t="s">
        <v>149</v>
      </c>
      <c r="I81" s="33" t="s">
        <v>96</v>
      </c>
      <c r="J81" s="33" t="s">
        <v>440</v>
      </c>
      <c r="K81" s="33"/>
      <c r="L81" s="33"/>
      <c r="M81" s="33">
        <v>4</v>
      </c>
      <c r="N81" s="33">
        <v>9</v>
      </c>
      <c r="O81" s="33" t="s">
        <v>96</v>
      </c>
      <c r="P81" s="34"/>
      <c r="Q81" s="40"/>
      <c r="R81" s="34"/>
      <c r="S81" s="33" t="s">
        <v>312</v>
      </c>
    </row>
    <row r="82" spans="2:19" x14ac:dyDescent="0.25">
      <c r="B82" s="14"/>
      <c r="C82" s="14"/>
      <c r="D82" s="14"/>
      <c r="E82" s="14"/>
      <c r="F82" s="14"/>
      <c r="G82" s="33" t="s">
        <v>355</v>
      </c>
      <c r="H82" s="33" t="s">
        <v>149</v>
      </c>
      <c r="I82" s="33" t="s">
        <v>96</v>
      </c>
      <c r="J82" s="33" t="s">
        <v>447</v>
      </c>
      <c r="K82" s="33"/>
      <c r="L82" s="33"/>
      <c r="M82" s="33">
        <v>4</v>
      </c>
      <c r="N82" s="33">
        <v>9</v>
      </c>
      <c r="O82" s="33" t="s">
        <v>96</v>
      </c>
      <c r="P82" s="34"/>
      <c r="Q82" s="40"/>
      <c r="R82" s="34"/>
      <c r="S82" s="33" t="s">
        <v>313</v>
      </c>
    </row>
    <row r="83" spans="2:19" x14ac:dyDescent="0.25">
      <c r="B83" s="14"/>
      <c r="C83" s="14"/>
      <c r="D83" s="14"/>
      <c r="E83" s="14"/>
      <c r="F83" s="14"/>
      <c r="G83" s="33" t="s">
        <v>356</v>
      </c>
      <c r="H83" s="33" t="s">
        <v>149</v>
      </c>
      <c r="I83" s="33" t="s">
        <v>96</v>
      </c>
      <c r="J83" s="33" t="s">
        <v>453</v>
      </c>
      <c r="K83" s="33"/>
      <c r="L83" s="33"/>
      <c r="M83" s="33">
        <v>4</v>
      </c>
      <c r="N83" s="33">
        <v>9</v>
      </c>
      <c r="O83" s="33" t="s">
        <v>96</v>
      </c>
      <c r="P83" s="34"/>
      <c r="Q83" s="40"/>
      <c r="R83" s="34"/>
      <c r="S83" s="33" t="s">
        <v>314</v>
      </c>
    </row>
    <row r="84" spans="2:19" x14ac:dyDescent="0.25">
      <c r="B84" s="14"/>
      <c r="C84" s="14"/>
      <c r="D84" s="14"/>
      <c r="E84" s="14"/>
      <c r="F84" s="14"/>
      <c r="G84" s="33" t="s">
        <v>357</v>
      </c>
      <c r="H84" s="33" t="s">
        <v>149</v>
      </c>
      <c r="I84" s="33" t="s">
        <v>96</v>
      </c>
      <c r="J84" s="33" t="s">
        <v>454</v>
      </c>
      <c r="K84" s="33"/>
      <c r="L84" s="33"/>
      <c r="M84" s="33">
        <v>4</v>
      </c>
      <c r="N84" s="33">
        <v>9</v>
      </c>
      <c r="O84" s="33" t="s">
        <v>96</v>
      </c>
      <c r="P84" s="34"/>
      <c r="Q84" s="40"/>
      <c r="R84" s="34"/>
      <c r="S84" s="33" t="s">
        <v>315</v>
      </c>
    </row>
    <row r="85" spans="2:19" x14ac:dyDescent="0.25">
      <c r="B85" s="14"/>
      <c r="C85" s="14"/>
      <c r="D85" s="14"/>
      <c r="E85" s="14"/>
      <c r="F85" s="14"/>
      <c r="G85" s="33" t="s">
        <v>358</v>
      </c>
      <c r="H85" s="33" t="s">
        <v>98</v>
      </c>
      <c r="I85" s="33" t="s">
        <v>96</v>
      </c>
      <c r="J85" s="33" t="s">
        <v>448</v>
      </c>
      <c r="K85" s="33"/>
      <c r="L85" s="33"/>
      <c r="M85" s="33">
        <v>4</v>
      </c>
      <c r="N85" s="33">
        <v>9</v>
      </c>
      <c r="O85" s="33" t="s">
        <v>96</v>
      </c>
      <c r="P85" s="34"/>
      <c r="Q85" s="40"/>
      <c r="R85" s="34"/>
      <c r="S85" s="33" t="s">
        <v>316</v>
      </c>
    </row>
    <row r="86" spans="2:19" x14ac:dyDescent="0.25">
      <c r="B86" s="14"/>
      <c r="C86" s="14"/>
      <c r="D86" s="14"/>
      <c r="E86" s="14"/>
      <c r="F86" s="14"/>
      <c r="G86" s="32" t="s">
        <v>195</v>
      </c>
      <c r="H86" s="32"/>
      <c r="I86" s="33"/>
      <c r="J86" s="32" t="s">
        <v>367</v>
      </c>
      <c r="K86" s="32"/>
      <c r="L86" s="32"/>
      <c r="M86" s="32">
        <v>3</v>
      </c>
      <c r="N86" s="33">
        <v>5</v>
      </c>
      <c r="O86" s="33"/>
      <c r="P86" s="34"/>
      <c r="Q86" s="40"/>
      <c r="R86" s="34"/>
      <c r="S86" s="33"/>
    </row>
    <row r="87" spans="2:19" x14ac:dyDescent="0.25">
      <c r="B87" s="14"/>
      <c r="C87" s="14"/>
      <c r="D87" s="14"/>
      <c r="E87" s="14"/>
      <c r="F87" s="14"/>
      <c r="G87" s="33" t="s">
        <v>359</v>
      </c>
      <c r="H87" s="33" t="s">
        <v>149</v>
      </c>
      <c r="I87" s="33" t="s">
        <v>96</v>
      </c>
      <c r="J87" s="33" t="s">
        <v>441</v>
      </c>
      <c r="K87" s="33"/>
      <c r="L87" s="33"/>
      <c r="M87" s="33">
        <v>4</v>
      </c>
      <c r="N87" s="33">
        <v>9</v>
      </c>
      <c r="O87" s="33" t="s">
        <v>96</v>
      </c>
      <c r="P87" s="34"/>
      <c r="Q87" s="40"/>
      <c r="R87" s="34"/>
      <c r="S87" s="33" t="s">
        <v>317</v>
      </c>
    </row>
    <row r="88" spans="2:19" x14ac:dyDescent="0.25">
      <c r="B88" s="14"/>
      <c r="C88" s="14"/>
      <c r="D88" s="14"/>
      <c r="E88" s="14"/>
      <c r="F88" s="14"/>
      <c r="G88" s="33" t="s">
        <v>360</v>
      </c>
      <c r="H88" s="33" t="s">
        <v>149</v>
      </c>
      <c r="I88" s="33" t="s">
        <v>96</v>
      </c>
      <c r="J88" s="33" t="s">
        <v>449</v>
      </c>
      <c r="K88" s="33"/>
      <c r="L88" s="33"/>
      <c r="M88" s="33">
        <v>4</v>
      </c>
      <c r="N88" s="33">
        <v>9</v>
      </c>
      <c r="O88" s="33" t="s">
        <v>96</v>
      </c>
      <c r="P88" s="34"/>
      <c r="Q88" s="40"/>
      <c r="R88" s="34"/>
      <c r="S88" s="33" t="s">
        <v>318</v>
      </c>
    </row>
    <row r="89" spans="2:19" x14ac:dyDescent="0.25">
      <c r="B89" s="14"/>
      <c r="C89" s="14"/>
      <c r="D89" s="14"/>
      <c r="E89" s="14"/>
      <c r="F89" s="14"/>
      <c r="G89" s="33" t="s">
        <v>361</v>
      </c>
      <c r="H89" s="33" t="s">
        <v>149</v>
      </c>
      <c r="I89" s="33" t="s">
        <v>96</v>
      </c>
      <c r="J89" s="33" t="s">
        <v>450</v>
      </c>
      <c r="K89" s="33"/>
      <c r="L89" s="33"/>
      <c r="M89" s="33">
        <v>4</v>
      </c>
      <c r="N89" s="33">
        <v>9</v>
      </c>
      <c r="O89" s="33" t="s">
        <v>96</v>
      </c>
      <c r="P89" s="34"/>
      <c r="Q89" s="40"/>
      <c r="R89" s="34"/>
      <c r="S89" s="33" t="s">
        <v>319</v>
      </c>
    </row>
    <row r="90" spans="2:19" x14ac:dyDescent="0.25">
      <c r="B90" s="14"/>
      <c r="C90" s="14"/>
      <c r="D90" s="14"/>
      <c r="E90" s="14"/>
      <c r="F90" s="14"/>
      <c r="G90" s="33" t="s">
        <v>362</v>
      </c>
      <c r="H90" s="33" t="s">
        <v>149</v>
      </c>
      <c r="I90" s="33" t="s">
        <v>96</v>
      </c>
      <c r="J90" s="33" t="s">
        <v>451</v>
      </c>
      <c r="K90" s="33"/>
      <c r="L90" s="33"/>
      <c r="M90" s="33">
        <v>4</v>
      </c>
      <c r="N90" s="33">
        <v>9</v>
      </c>
      <c r="O90" s="33" t="s">
        <v>96</v>
      </c>
      <c r="P90" s="34"/>
      <c r="Q90" s="40"/>
      <c r="R90" s="34"/>
      <c r="S90" s="33" t="s">
        <v>320</v>
      </c>
    </row>
    <row r="91" spans="2:19" x14ac:dyDescent="0.25">
      <c r="B91" s="14"/>
      <c r="C91" s="14"/>
      <c r="D91" s="14"/>
      <c r="E91" s="14"/>
      <c r="F91" s="14"/>
      <c r="G91" s="33" t="s">
        <v>363</v>
      </c>
      <c r="H91" s="33" t="s">
        <v>98</v>
      </c>
      <c r="I91" s="33" t="s">
        <v>96</v>
      </c>
      <c r="J91" s="33" t="s">
        <v>452</v>
      </c>
      <c r="K91" s="33"/>
      <c r="L91" s="33"/>
      <c r="M91" s="33">
        <v>4</v>
      </c>
      <c r="N91" s="33">
        <v>9</v>
      </c>
      <c r="O91" s="33" t="s">
        <v>96</v>
      </c>
      <c r="P91" s="34"/>
      <c r="Q91" s="40"/>
      <c r="R91" s="34"/>
      <c r="S91" s="33" t="s">
        <v>321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9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196</v>
      </c>
      <c r="M3" t="s">
        <v>92</v>
      </c>
      <c r="N3" t="s">
        <v>111</v>
      </c>
      <c r="O3" t="s">
        <v>116</v>
      </c>
      <c r="P3" t="s">
        <v>108</v>
      </c>
      <c r="Q3" t="s">
        <v>322</v>
      </c>
    </row>
    <row r="4" spans="2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2:17" x14ac:dyDescent="0.25">
      <c r="B7" s="14"/>
      <c r="C7" s="14"/>
      <c r="D7" s="14"/>
      <c r="E7" s="14"/>
      <c r="F7" s="33" t="s">
        <v>412</v>
      </c>
      <c r="G7" s="33" t="s">
        <v>101</v>
      </c>
      <c r="H7" s="33" t="s">
        <v>96</v>
      </c>
      <c r="I7" s="33" t="s">
        <v>512</v>
      </c>
      <c r="J7" s="33"/>
      <c r="K7" s="33"/>
      <c r="L7" s="33">
        <v>3</v>
      </c>
      <c r="M7" s="33" t="s">
        <v>96</v>
      </c>
      <c r="N7" s="34"/>
      <c r="O7" s="34"/>
      <c r="P7" s="34"/>
      <c r="Q7" s="33" t="s">
        <v>511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8</vt:i4>
      </vt:variant>
    </vt:vector>
  </HeadingPairs>
  <TitlesOfParts>
    <vt:vector size="15" baseType="lpstr">
      <vt:lpstr>Reporting List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lCategory</vt:lpstr>
      <vt:lpstr>lCategoryVersion</vt:lpstr>
      <vt:lpstr>lFolders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2015-06-05T18:19:34Z</dcterms:created>
  <dcterms:modified xsi:type="dcterms:W3CDTF">2021-03-10T08:19:01Z</dcterms:modified>
</cp:coreProperties>
</file>