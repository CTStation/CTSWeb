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729DB67C-EB7D-438B-8C99-86E0F2406C53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Liste des reportings" sheetId="6" r:id="rId1"/>
    <sheet name="B - 2000.09" sheetId="16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0" hidden="1">'Liste des reportings'!$C$10:$E$14</definedName>
    <definedName name="_xlnm._FilterDatabase" localSheetId="3" hidden="1">Planning!$F$17:$M$74</definedName>
    <definedName name="cell_JSON_Param" localSheetId="7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New2___RF_Save">'B - 2000.09'!$B$2</definedName>
    <definedName name="tReportings____ROWS_">'Liste des reportings'!$H$14:$I$43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C3" i="16"/>
  <c r="L74" i="4"/>
  <c r="K74" i="4"/>
  <c r="I43" i="6"/>
  <c r="I39" i="6"/>
  <c r="I35" i="6"/>
  <c r="I31" i="6"/>
  <c r="I27" i="6"/>
  <c r="I23" i="6"/>
  <c r="I19" i="6"/>
  <c r="I15" i="6"/>
  <c r="H27" i="6"/>
  <c r="H19" i="6"/>
  <c r="H26" i="6"/>
  <c r="I41" i="6"/>
  <c r="I29" i="6"/>
  <c r="I17" i="6"/>
  <c r="I24" i="6"/>
  <c r="H32" i="6"/>
  <c r="H20" i="6"/>
  <c r="H43" i="6"/>
  <c r="H39" i="6"/>
  <c r="H35" i="6"/>
  <c r="H31" i="6"/>
  <c r="H23" i="6"/>
  <c r="H15" i="6"/>
  <c r="H22" i="6"/>
  <c r="I37" i="6"/>
  <c r="I25" i="6"/>
  <c r="I28" i="6"/>
  <c r="H40" i="6"/>
  <c r="H24" i="6"/>
  <c r="I42" i="6"/>
  <c r="I38" i="6"/>
  <c r="I34" i="6"/>
  <c r="I30" i="6"/>
  <c r="I26" i="6"/>
  <c r="I22" i="6"/>
  <c r="I18" i="6"/>
  <c r="H42" i="6"/>
  <c r="H38" i="6"/>
  <c r="H34" i="6"/>
  <c r="H30" i="6"/>
  <c r="H18" i="6"/>
  <c r="I33" i="6"/>
  <c r="I21" i="6"/>
  <c r="I20" i="6"/>
  <c r="H36" i="6"/>
  <c r="H16" i="6"/>
  <c r="H41" i="6"/>
  <c r="H37" i="6"/>
  <c r="H33" i="6"/>
  <c r="H29" i="6"/>
  <c r="H25" i="6"/>
  <c r="H21" i="6"/>
  <c r="H17" i="6"/>
  <c r="I40" i="6"/>
  <c r="I36" i="6"/>
  <c r="I32" i="6"/>
  <c r="I16" i="6"/>
  <c r="H28" i="6"/>
  <c r="I14" i="6"/>
  <c r="H14" i="6"/>
  <c r="F12" i="6"/>
  <c r="E12" i="6"/>
  <c r="D12" i="6"/>
  <c r="C12" i="6"/>
  <c r="D10" i="6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2" i="16"/>
  <c r="M74" i="4" l="1"/>
  <c r="J74" i="4"/>
  <c r="I74" i="4" l="1"/>
  <c r="H74" i="4"/>
  <c r="F74" i="4" l="1"/>
  <c r="G74" i="4"/>
  <c r="D74" i="4"/>
  <c r="C74" i="4"/>
  <c r="I4" i="6" a="1"/>
  <c r="B74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<sst xmlns="http://schemas.openxmlformats.org/spreadsheetml/2006/main" count="1437" uniqueCount="778">
  <si>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</si>
  <si>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</si>
  <si>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</si>
  <si>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</si>
  <si>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</si>
  <si>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</si>
  <si>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</si>
  <si>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</si>
  <si>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</si>
  <si>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</si>
  <si>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</si>
  <si>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</si>
  <si>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</si>
  <si>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</si>
  <si>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</si>
  <si>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</si>
  <si>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</si>
  <si>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</si>
  <si>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</si>
  <si>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</si>
  <si>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</si>
  <si>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</si>
  <si>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</si>
  <si>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</si>
  <si>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</si>
  <si>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</si>
  <si>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</si>
  <si>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</si>
  <si>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</si>
  <si>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</si>
  <si>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</si>
  <si>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</si>
  <si>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</si>
  <si>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</si>
  <si>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</si>
  <si>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</si>
  <si>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</si>
  <si>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</si>
  <si>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</si>
  <si>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</si>
  <si>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</si>
  <si>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</si>
  <si>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</si>
  <si>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</si>
  <si>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</si>
  <si>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</si>
  <si>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</si>
  <si>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</si>
  <si>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</si>
  <si>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</si>
  <si>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</si>
  <si>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</si>
  <si>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</si>
  <si>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</si>
  <si>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</si>
  <si>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</si>
  <si>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</si>
  <si>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</si>
  <si>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</si>
  <si>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</si>
  <si>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</si>
  <si>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</si>
  <si>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</si>
  <si>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</si>
  <si>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</si>
  <si>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</si>
  <si>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</si>
  <si>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</si>
  <si>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</si>
  <si>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</si>
  <si>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</si>
  <si>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</si>
  <si>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</si>
  <si>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</si>
  <si>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</si>
  <si>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</si>
  <si>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</si>
  <si>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</si>
  <si>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</si>
  <si>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</si>
  <si>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</si>
  <si>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</si>
  <si>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</si>
  <si>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</si>
  <si>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</si>
  <si>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</si>
  <si>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</si>
  <si>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</si>
  <si>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</si>
  <si>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</si>
  <si>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</si>
  <si>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</si>
  <si>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</si>
  <si>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</si>
  <si>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</si>
  <si>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</si>
  <si>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</si>
  <si>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</si>
  <si>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</si>
  <si>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</si>
  <si>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</si>
  <si>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</si>
  <si>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</si>
  <si>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</si>
  <si>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</si>
  <si>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</si>
  <si>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</si>
  <si>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</si>
  <si>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</si>
  <si>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</si>
  <si>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</si>
  <si>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</si>
  <si>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</si>
  <si>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</si>
  <si>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</si>
  <si>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</si>
  <si>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</si>
  <si>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</si>
  <si>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</si>
  <si>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</si>
  <si>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</si>
  <si>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</si>
  <si>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</si>
  <si>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</si>
  <si>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</si>
  <si>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</si>
  <si>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</si>
  <si>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</si>
  <si>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</si>
  <si>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</si>
  <si>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</si>
  <si>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</si>
  <si>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</si>
  <si>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</si>
  <si>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</si>
  <si>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</si>
  <si>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</si>
  <si>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</si>
  <si>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</si>
  <si>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</si>
  <si>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</si>
  <si>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</si>
  <si>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</si>
  <si>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</si>
  <si>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</si>
  <si>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</si>
  <si>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</si>
  <si>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</si>
  <si>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</si>
  <si>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</si>
  <si>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</si>
  <si>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</si>
  <si>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</si>
  <si>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</si>
  <si>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</si>
  <si>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</si>
  <si>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</si>
  <si>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</si>
  <si>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</si>
  <si>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</si>
  <si>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</si>
  <si>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</si>
  <si>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</si>
  <si>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</si>
  <si>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</si>
  <si>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</si>
  <si>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</si>
  <si>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</si>
  <si>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</si>
  <si>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</si>
  <si>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</si>
  <si>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</si>
  <si>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</si>
  <si>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</si>
  <si>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</si>
  <si>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</si>
  <si>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</si>
  <si>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</si>
  <si>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</si>
  <si>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</si>
  <si>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</si>
  <si>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</si>
  <si>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</si>
  <si>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</si>
  <si>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</si>
  <si>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</si>
  <si>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</si>
  <si>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</si>
  <si>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</si>
  <si>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</si>
  <si>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</si>
  <si>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</si>
  <si>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</si>
  <si>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</si>
  <si>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</si>
  <si>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</si>
  <si>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</si>
  <si>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</si>
  <si>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</si>
  <si>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</si>
  <si>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</si>
  <si>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</si>
  <si>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</si>
  <si>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</si>
  <si>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</si>
  <si>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</si>
  <si>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</si>
  <si>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</si>
  <si>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</si>
  <si>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</si>
  <si>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</si>
  <si>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</si>
  <si>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</si>
  <si>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</si>
  <si>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</si>
  <si>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</si>
  <si>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</si>
  <si>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</si>
  <si>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</si>
  <si>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</si>
  <si>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</si>
  <si>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</si>
  <si>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</si>
  <si>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</si>
  <si>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</si>
  <si>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</si>
  <si>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</si>
  <si>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</si>
  <si>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</si>
  <si>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</si>
  <si>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</si>
  <si>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</si>
  <si>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</si>
  <si>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</si>
  <si>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</si>
  <si>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</si>
  <si>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</si>
  <si>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</si>
  <si>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</si>
  <si>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</si>
  <si>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</si>
  <si>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</si>
  <si>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</si>
  <si>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</si>
  <si>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</si>
  <si>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</si>
  <si>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</si>
  <si>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</si>
  <si>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</si>
  <si>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</si>
  <si>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</si>
  <si>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</si>
  <si>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</si>
  <si>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</si>
  <si>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</si>
  <si>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</si>
  <si>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</si>
  <si>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</si>
  <si>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</si>
  <si>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</si>
  <si>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</si>
  <si>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</si>
  <si>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</si>
  <si>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</si>
  <si>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</si>
  <si>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</si>
  <si>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</si>
  <si>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</si>
  <si>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</si>
  <si>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</si>
  <si>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</si>
  <si>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</si>
  <si>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</si>
  <si>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</si>
  <si>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</si>
  <si>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</si>
  <si>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</si>
  <si>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</si>
  <si>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</si>
  <si>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</si>
  <si>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</si>
  <si>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</si>
  <si>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</si>
  <si>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</si>
  <si>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</si>
  <si>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</si>
  <si>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</si>
  <si>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</si>
  <si>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</si>
  <si>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</si>
  <si>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</si>
  <si>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</si>
  <si>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</si>
  <si>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</si>
  <si>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</si>
  <si>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</si>
  <si>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</si>
  <si>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</si>
  <si>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</si>
  <si>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</si>
  <si>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</si>
  <si>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</si>
  <si>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</si>
  <si>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</si>
  <si>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</si>
  <si>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</si>
  <si>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</si>
  <si>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</si>
  <si>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</si>
  <si>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</si>
  <si>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</si>
  <si>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</si>
  <si>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</si>
  <si>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</si>
  <si>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</si>
  <si>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</si>
  <si>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</si>
  <si>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</si>
  <si>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</si>
  <si>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</si>
  <si>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</si>
  <si>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</si>
  <si>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</si>
  <si>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</si>
  <si>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</si>
  <si>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</si>
  <si>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</si>
  <si>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</si>
  <si>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</si>
  <si>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</si>
  <si>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</si>
  <si>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</si>
  <si>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</si>
  <si>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</si>
  <si>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</si>
  <si>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</si>
  <si>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</si>
  <si>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</si>
  <si>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</si>
  <si>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</si>
  <si>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</si>
  <si>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</si>
  <si>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</si>
  <si>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</si>
  <si>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</si>
  <si>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</si>
  <si>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</si>
  <si>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</si>
  <si>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</si>
  <si>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</si>
  <si>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</si>
  <si>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</si>
  <si>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</si>
  <si>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</si>
  <si>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</si>
  <si>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</si>
  <si>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</si>
  <si>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</si>
  <si>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</si>
  <si>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</si>
  <si>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</si>
  <si>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</si>
  <si>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</si>
  <si>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</si>
  <si>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</si>
  <si>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</si>
  <si>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</si>
  <si>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</si>
  <si>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</si>
  <si>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</si>
  <si>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</si>
  <si>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</si>
  <si>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</si>
  <si>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</si>
  <si>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</si>
  <si>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</si>
  <si>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</si>
  <si>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</si>
  <si>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</si>
  <si>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</si>
  <si>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</si>
  <si>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</si>
  <si>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</si>
  <si>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</si>
  <si>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</si>
  <si>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</si>
  <si>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</si>
  <si>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</si>
  <si>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</si>
  <si>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</si>
  <si>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</si>
  <si>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</si>
  <si>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</si>
  <si>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</si>
  <si>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</si>
  <si>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</si>
  <si>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</si>
  <si>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</si>
  <si>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</si>
  <si>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</si>
  <si>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</si>
  <si>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</si>
  <si>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</si>
  <si>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</si>
  <si>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</si>
  <si>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</si>
  <si>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</si>
  <si>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</si>
  <si>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</si>
  <si>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</si>
  <si>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</si>
  <si>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</si>
  <si>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</si>
  <si>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</si>
  <si>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</si>
  <si>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</si>
  <si>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</si>
  <si>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</si>
  <si>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</si>
  <si>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</si>
  <si>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</si>
  <si>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</si>
  <si>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</si>
  <si>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</si>
  <si>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</si>
  <si>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</si>
  <si>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</si>
  <si>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</si>
  <si>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</si>
  <si>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</si>
  <si>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</si>
  <si>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</si>
  <si>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</si>
  <si>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</si>
  <si>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</si>
  <si>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</si>
  <si>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</si>
  <si>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</si>
  <si>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</si>
  <si>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</si>
  <si>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</si>
  <si>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</si>
  <si>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</si>
  <si>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</si>
  <si>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</si>
  <si>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</si>
  <si>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</si>
  <si>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</si>
  <si>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</si>
  <si>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</si>
  <si>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</si>
  <si>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</si>
  <si>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</si>
  <si>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</si>
  <si>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</si>
  <si>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</si>
  <si>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</si>
  <si>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</si>
  <si>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</si>
  <si>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</si>
  <si>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</si>
  <si>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</si>
  <si>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</si>
  <si>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</si>
  <si>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</si>
  <si>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</si>
  <si>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</si>
  <si>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</si>
  <si>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</si>
  <si>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</si>
  <si>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</si>
  <si>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</si>
  <si>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</si>
  <si>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</si>
  <si>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</si>
  <si>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</si>
  <si>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</si>
  <si>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</si>
  <si>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</si>
  <si>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</si>
  <si>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</si>
  <si>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</si>
  <si>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</si>
  <si>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</si>
  <si>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</si>
  <si>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</si>
  <si>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</si>
  <si>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</si>
  <si>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</si>
  <si>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</si>
  <si>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</si>
  <si>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</si>
  <si>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</si>
  <si>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</si>
  <si>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</si>
  <si>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</si>
  <si>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</si>
  <si>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</si>
  <si>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</si>
  <si>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</si>
  <si>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</si>
  <si>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</si>
  <si>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</si>
  <si>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</si>
  <si>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</si>
  <si>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</si>
  <si>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</si>
  <si>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</si>
  <si>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</si>
  <si>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</si>
  <si>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</si>
  <si>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</si>
  <si>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</si>
  <si>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</si>
  <si>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</si>
  <si>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</si>
  <si>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</si>
  <si>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</si>
  <si>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</si>
  <si>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</si>
  <si>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</si>
  <si>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</si>
  <si>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</si>
  <si>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</si>
  <si>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</si>
  <si>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</si>
  <si>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</si>
  <si>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</si>
  <si>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</si>
  <si>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</si>
  <si>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</si>
  <si>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</si>
  <si>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</si>
  <si>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</si>
  <si>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</si>
  <si>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</si>
  <si>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</si>
  <si>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</si>
  <si>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</si>
  <si>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</si>
  <si>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</si>
  <si>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</si>
  <si>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</si>
  <si>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</si>
  <si>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</si>
  <si>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</si>
  <si>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</si>
  <si>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</si>
  <si>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</si>
  <si>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</si>
  <si>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</si>
  <si>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</si>
  <si>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</si>
  <si>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</si>
  <si>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</si>
  <si>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</si>
  <si>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</si>
  <si>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</si>
  <si>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</si>
  <si>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</si>
  <si>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</si>
  <si>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</si>
  <si>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</si>
  <si>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</si>
  <si>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</si>
  <si>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</si>
  <si>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</si>
  <si>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</si>
  <si>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</si>
  <si>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</si>
  <si>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</si>
  <si>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</si>
  <si>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</si>
  <si>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</si>
  <si>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</si>
  <si>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</si>
  <si>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</si>
  <si>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</si>
  <si>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</si>
  <si>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</si>
  <si>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</si>
  <si>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</si>
  <si>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</si>
  <si>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</si>
  <si>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</si>
  <si>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</si>
  <si>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</si>
  <si>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</si>
  <si>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</si>
  <si>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</si>
  <si>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</si>
  <si>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</si>
  <si>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</si>
  <si>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</si>
  <si>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</si>
  <si>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</si>
  <si>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</si>
  <si>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</si>
  <si>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</si>
  <si>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</si>
  <si>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</si>
  <si>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UpdPer</t>
  </si>
  <si>
    <t>In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</si>
  <si>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</si>
  <si>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</si>
  <si>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</si>
  <si>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</si>
  <si>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</si>
  <si>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</si>
  <si>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</si>
  <si>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</si>
  <si>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</si>
  <si>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</si>
  <si>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</si>
  <si>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</si>
  <si>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</si>
  <si>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</si>
  <si>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</si>
  <si>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</si>
  <si>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</si>
  <si>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</si>
  <si>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</si>
  <si>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</si>
  <si>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</si>
  <si>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</si>
  <si>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</si>
  <si>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</si>
  <si>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</si>
  <si>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</si>
  <si>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</si>
  <si>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</si>
  <si>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</si>
  <si>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</si>
  <si>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</si>
  <si>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</si>
  <si>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</si>
  <si>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</si>
  <si>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</si>
  <si>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</si>
  <si>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</si>
  <si>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</si>
  <si>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</si>
  <si>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</si>
  <si>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</si>
  <si>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</si>
  <si>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</si>
  <si>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</si>
  <si>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</si>
  <si>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</si>
  <si>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</si>
  <si>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</si>
  <si>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</si>
  <si>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</si>
  <si>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</si>
  <si>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</si>
  <si>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</si>
  <si>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</si>
  <si>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</si>
  <si>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</si>
  <si>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</si>
  <si>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</si>
  <si>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</si>
  <si>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</si>
  <si>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</si>
  <si>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</si>
  <si>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</si>
  <si>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</si>
  <si>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</si>
  <si>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</si>
  <si>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</si>
  <si>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</si>
  <si>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</si>
  <si>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</si>
  <si>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</si>
  <si>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</si>
  <si>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</si>
  <si>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</si>
  <si>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</si>
  <si>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</si>
  <si>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</si>
  <si>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</si>
  <si>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</si>
  <si>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</si>
  <si>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</si>
  <si>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</si>
  <si>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</si>
  <si>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</si>
  <si>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</si>
  <si>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</si>
  <si>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</si>
  <si>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</si>
  <si>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</si>
  <si>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</si>
  <si>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</si>
  <si>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</si>
  <si>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</si>
  <si>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</si>
  <si>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</si>
  <si>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</si>
  <si>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</si>
  <si>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</si>
  <si>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</si>
  <si>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</si>
  <si>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</si>
  <si>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</si>
  <si>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</si>
  <si>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</si>
  <si>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</si>
  <si>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</si>
  <si>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</si>
  <si>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</si>
  <si>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</si>
  <si>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</si>
  <si>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</si>
  <si>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</si>
  <si>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</si>
  <si>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</si>
  <si>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</si>
  <si>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</si>
  <si>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</si>
  <si>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</si>
  <si>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</si>
  <si>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</si>
  <si>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</si>
  <si>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</si>
  <si>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</si>
  <si>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</si>
  <si>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</si>
  <si>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</si>
  <si>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</si>
  <si>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</si>
  <si>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</si>
  <si>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</si>
  <si>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</si>
  <si>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</si>
  <si>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</si>
  <si>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</si>
  <si>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</si>
  <si>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/api/reporting/52428888</t>
  </si>
  <si>
    <t>tReporting52428888</t>
  </si>
  <si>
    <t>2/24/2021  11:02:00 AM</t>
  </si>
  <si>
    <t>2/27/2021  11:02:00 AM</t>
  </si>
  <si>
    <t>2/26/2021  11:02:00 AM</t>
  </si>
  <si>
    <t>S001</t>
  </si>
  <si>
    <t>EUR</t>
  </si>
  <si>
    <t>0000.TOP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</si>
  <si>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</si>
  <si>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/api/metadata/PublishedFramework</t>
  </si>
  <si>
    <t>PublishedFramework</t>
  </si>
  <si>
    <t>/api/reporting/New2</t>
  </si>
  <si>
    <t>tReportingNew2</t>
  </si>
  <si>
    <t>/api/Reporting</t>
  </si>
  <si>
    <t>Post#tReportingNew2</t>
  </si>
  <si>
    <t>Out</t>
  </si>
  <si>
    <t>PostResponse#tReportingNew2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</si>
  <si>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</si>
  <si>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</si>
  <si>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</si>
  <si>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</si>
  <si>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</si>
  <si>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</si>
  <si>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</si>
  <si>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</si>
  <si>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</si>
  <si>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</si>
  <si>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</si>
  <si>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</si>
  <si>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</si>
  <si>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{"Data":[{"Desc":"","Next":[{"Desc":"","Next":null,"Name":"C"},{"Desc":"","Next":null,"Name":"Q1-2019"}],"Name":"A"},{"Desc":"","Next":[{"Desc":"","Next":null,"Name":"T"}],"Name":"B"}],"Messages":{"Messages":[],"UsedHints":{}}}</t>
  </si>
  <si>
    <t>T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</si>
  <si>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,{"Phase":"B","UpdatePeriod":"2000.12","FrameworkVersion":"T","ReportingStartDate":"2021-02-24T10:02:00Z","ReportingEndDate":"2021-02-27T10:02:00Z","OwnerSite":100,"OwnerWorkgroup":0,"CreationDate":"2021-03-16T17:09:38.404Z","Author":-524286,"UpdateDate":"2021-03-16T17:09:38.404Z","UpdateAuthor":-524286,"Descriptions":[{"CultureName":"fr-FR","Texts":{"SDesc":"","LDesc":" - 2000.12"}},{"CultureName":"en-US","Texts":{"SDesc":"","LDesc":"Budget - 2000.12"}}],"ID":52428892,"LDesc":null,"Name":"B - 2000.12"}],"Messages":null}</t>
  </si>
  <si>
    <t>3/16/2021  6:09:38 PM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</si>
  <si>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B","UpdatePeriod":"2000.09","FrameworkVersion":"T","ReportingStartDate":"2021-02-24T10:02:00.000Z","ReportingEndDate":"2021-02-27T10:02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</si>
  <si>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2000.09</t>
  </si>
  <si>
    <t>{"Table":[{"aj":"B","ak":"2000.09","al":"T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</si>
  <si>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{"Data":[{"Framework":{"Phase":"B","Version":"T","Status":5,"ControlSets":{"P-A":{"ID":52428802,"LDesc":null,"Name":"P-A"},"P-E":{"ID":52428803,"LDesc":null,"Name":"P-E"}},"ControlLevels":{"1":{"Descriptions":[{"CultureName":"fr-FR","Texts":{"LDesc":"Analyse en solde"}},{"CultureName":"en-US","Texts":{"LDesc":"Balance analysis"}}],"ID":52428803,"LDesc":null,"Rank":1,"Name":"LEV1"},"2":{"Descriptions":[{"CultureName":"fr-FR","Texts":{"LDesc":"Analyse en flux"}},{"CultureName":"en-US","Texts":{"LDesc":"Flow analysis"}}],"ID":52428802,"LDesc":null,"Rank":2,"Name":"LEV2"}},"ID":52428801,"LDesc":null,"Name":"B - T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B","UpdatePeriod":"2000.09","FrameworkVersion":"T","ReportingStartDate":"2021-02-24T10:02:00Z","ReportingEndDate":"2021-02-27T10:02:00Z","OwnerSite":100,"OwnerWorkgroup":0,"CreationDate":"2021-03-16T17:44:57.764Z","Author":-524286,"UpdateDate":"2021-03-16T17:44:57.764Z","UpdateAuthor":-524286,"Descriptions":[{"CultureName":"fr-FR","Texts":{"SDesc":"","LDesc":" - 2000.09"}},{"CultureName":"en-US","Texts":{"SDesc":"","LDesc":"Budget - 2000.09"}}],"ID":52428893,"LDesc":null,"Name":"B - 2000.09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B","UpdatePeriod":"2000.09","FrameworkVersion":"T","ReportingStartDate":"2021-02-24T10:02:00Z","ReportingEndDate":"2021-02-27T10:02:00Z","OwnerSite":0,"OwnerWorkgroup":0,"CreationDate":"0001-01-01T00:00:00Z","Author":0,"UpdateDate":"0001-01-01T00:00:00Z","UpdateAuthor":0,"Descriptions":[{"CultureName":"fr-FR","Texts":{"LDesc":" - 2000.09"}},{"CultureName":"en-US","Texts":{"LDesc":"Budget - 2000.09"}}],"ID":0,"LDesc":null,"Name":"B - 2000.09"}],"Messages":{"Messages":[{"Code":"RF0310","Severity":2,"Description":"Change LDescfr-FR de ' - 2000.09' à ''","SourceRow":0,"SourceCol":0},{"Code":"RF0310","Severity":2,"Description":"Change LDescen-US de 'Budget - 2000.09' à ''","SourceRow":0,"SourceCol":0}],"UsedHints":{"RF0310":""}}}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</si>
  <si>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,{"Phase":"B","UpdatePeriod":"2000.09","FrameworkVersion":"T","ReportingStartDate":"2021-02-24T10:02:00Z","ReportingEndDate":"2021-02-27T10:02:00Z","OwnerSite":100,"OwnerWorkgroup":0,"CreationDate":"2021-03-16T17:44:57.764Z","Author":-524286,"UpdateDate":"2021-03-16T17:44:57.764Z","UpdateAuthor":-524286,"Descriptions":[{"CultureName":"fr-FR","Texts":{"SDesc":"","LDesc":" - 2000.09"}},{"CultureName":"en-US","Texts":{"SDesc":"","LDesc":"Budget - 2000.09"}}],"ID":52428893,"LDesc":null,"Name":"B - 2000.09"},{"Phase":"B","UpdatePeriod":"2000.12","FrameworkVersion":"T","ReportingStartDate":"2021-02-24T10:02:00Z","ReportingEndDate":"2021-02-27T10:02:00Z","OwnerSite":100,"OwnerWorkgroup":0,"CreationDate":"2021-03-16T17:09:38.404Z","Author":-524286,"UpdateDate":"2021-03-16T17:09:38.404Z","UpdateAuthor":-524286,"Descriptions":[{"CultureName":"fr-FR","Texts":{"SDesc":"","LDesc":" - 2000.12"}},{"CultureName":"en-US","Texts":{"SDesc":"","LDesc":"Budget - 2000.12"}}],"ID":52428892,"LDesc":null,"Name":"B - 2000.12"}],"Messages":null}</t>
  </si>
  <si>
    <t>3/16/2021  6:44:57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</si>
</sst>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Fill="1" applyBorder="1" applyAlignment="1" applyProtection="1"/>
    <xf numFmtId="0" fontId="3" fillId="0" borderId="0" xfId="1" applyNumberFormat="1" applyAlignment="1">
      <alignment horizontal="center"/>
    </xf>
  </cellXfs>
  <cellStyles count="2">
    <cellStyle name="Lien hypertexte" xfId="1" builtinId="8"/>
    <cellStyle name="Normal" xfId="0" builtinId="0"/>
  </cellStyles>
  <dxfs count="137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du 08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38" name="tReportings_1">
          <a:extLst>
            <a:ext uri="{FF2B5EF4-FFF2-40B4-BE49-F238E27FC236}">
              <a16:creationId xmlns:a16="http://schemas.microsoft.com/office/drawing/2014/main" id="{85EFBDBE-1EE9-420C-926C-767B30013C6E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46ACA65-9CF9-475B-9654-FD392C105B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39" name="tReportings_2">
          <a:extLst>
            <a:ext uri="{FF2B5EF4-FFF2-40B4-BE49-F238E27FC236}">
              <a16:creationId xmlns:a16="http://schemas.microsoft.com/office/drawing/2014/main" id="{CD5A6CAA-9796-4DF1-9699-700B9307A767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F7D465-117C-4214-9AF0-4BA0F6DA8DF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40" name="tReportings_3">
          <a:extLst>
            <a:ext uri="{FF2B5EF4-FFF2-40B4-BE49-F238E27FC236}">
              <a16:creationId xmlns:a16="http://schemas.microsoft.com/office/drawing/2014/main" id="{ECC5FB2C-BAFF-4CB6-8179-165D484CBA87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9E79A37-1226-4024-A0C9-EB00E948630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41" name="tReportings_4">
          <a:extLst>
            <a:ext uri="{FF2B5EF4-FFF2-40B4-BE49-F238E27FC236}">
              <a16:creationId xmlns:a16="http://schemas.microsoft.com/office/drawing/2014/main" id="{9FF2B505-EB5A-4CD6-A301-2A561C8E8659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1AE0DB6-18A5-4179-ABAC-362DE5D815C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2_1">
          <a:extLst>
            <a:ext uri="{FF2B5EF4-FFF2-40B4-BE49-F238E27FC236}">
              <a16:creationId xmlns:a16="http://schemas.microsoft.com/office/drawing/2014/main" id="{F69EB6F7-C911-4D8B-B4E0-DEB334807D1C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244581E-483A-4FC8-BAF8-EB560CB1669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2_2">
          <a:extLst>
            <a:ext uri="{FF2B5EF4-FFF2-40B4-BE49-F238E27FC236}">
              <a16:creationId xmlns:a16="http://schemas.microsoft.com/office/drawing/2014/main" id="{568D96AE-3767-410A-AFA4-B0F11815DFEF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C2B04AA-5EC8-497A-9477-6E96246AE4A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2_3">
          <a:extLst>
            <a:ext uri="{FF2B5EF4-FFF2-40B4-BE49-F238E27FC236}">
              <a16:creationId xmlns:a16="http://schemas.microsoft.com/office/drawing/2014/main" id="{790E43F7-A91A-44C1-A663-13E581CACB7A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9FD207-A5F4-4459-9B49-9AB886ED02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2_4">
          <a:extLst>
            <a:ext uri="{FF2B5EF4-FFF2-40B4-BE49-F238E27FC236}">
              <a16:creationId xmlns:a16="http://schemas.microsoft.com/office/drawing/2014/main" id="{B03227A3-AAB5-4C47-B311-F3C56CF999A3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3EA00F-3CC1-4D7D-BB76-92CFB417F6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Version de référentiel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2_5">
          <a:extLst>
            <a:ext uri="{FF2B5EF4-FFF2-40B4-BE49-F238E27FC236}">
              <a16:creationId xmlns:a16="http://schemas.microsoft.com/office/drawing/2014/main" id="{AA0565B3-873F-45D9-9BBF-5EBC88352C9C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F31B1D-2C55-4C1E-AFC5-E2C173E689F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Début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2_6">
          <a:extLst>
            <a:ext uri="{FF2B5EF4-FFF2-40B4-BE49-F238E27FC236}">
              <a16:creationId xmlns:a16="http://schemas.microsoft.com/office/drawing/2014/main" id="{47011DBB-4E4A-4845-9699-4DA33903A370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0BF8A68-5832-49D6-9671-658217A11A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Fin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2_7">
          <a:extLst>
            <a:ext uri="{FF2B5EF4-FFF2-40B4-BE49-F238E27FC236}">
              <a16:creationId xmlns:a16="http://schemas.microsoft.com/office/drawing/2014/main" id="{35CDD393-1A37-4096-843E-99D62B3993F1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D05BDDD-9043-4321-85EB-C56E48B0E7C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2_8">
          <a:extLst>
            <a:ext uri="{FF2B5EF4-FFF2-40B4-BE49-F238E27FC236}">
              <a16:creationId xmlns:a16="http://schemas.microsoft.com/office/drawing/2014/main" id="{30C19086-3EC9-4A6D-A3C1-30E1E919370D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95C6F2F-F111-4202-99C3-B46AEBBCCD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2_9">
          <a:extLst>
            <a:ext uri="{FF2B5EF4-FFF2-40B4-BE49-F238E27FC236}">
              <a16:creationId xmlns:a16="http://schemas.microsoft.com/office/drawing/2014/main" id="{293D2BF4-BDF0-4245-B52D-0E1EEA24EE43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AB77F7D-4087-465A-A29C-3135A4CD256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2_10">
          <a:extLst>
            <a:ext uri="{FF2B5EF4-FFF2-40B4-BE49-F238E27FC236}">
              <a16:creationId xmlns:a16="http://schemas.microsoft.com/office/drawing/2014/main" id="{8E6BCE80-FDE8-4F4D-85AD-E6C258AEA095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4A8843-E875-4E95-BF8C-CF91ED40A84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2_11">
          <a:extLst>
            <a:ext uri="{FF2B5EF4-FFF2-40B4-BE49-F238E27FC236}">
              <a16:creationId xmlns:a16="http://schemas.microsoft.com/office/drawing/2014/main" id="{71256623-BF32-4041-A859-6D0D6F158FA3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1F598B3-250C-4A47-B735-AC2A238C5E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2_12">
          <a:extLst>
            <a:ext uri="{FF2B5EF4-FFF2-40B4-BE49-F238E27FC236}">
              <a16:creationId xmlns:a16="http://schemas.microsoft.com/office/drawing/2014/main" id="{A9F21CE7-DC92-48C6-84A4-84CA61837EF8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77EABF-012A-4176-9FB6-F68325C2A0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2_13">
          <a:extLst>
            <a:ext uri="{FF2B5EF4-FFF2-40B4-BE49-F238E27FC236}">
              <a16:creationId xmlns:a16="http://schemas.microsoft.com/office/drawing/2014/main" id="{AAB8D35F-4073-43CD-A419-1E1AB7BD6B39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1A4E66-4E2B-4077-8CBB-3F896E6416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2_14">
          <a:extLst>
            <a:ext uri="{FF2B5EF4-FFF2-40B4-BE49-F238E27FC236}">
              <a16:creationId xmlns:a16="http://schemas.microsoft.com/office/drawing/2014/main" id="{F648F40A-3987-47C0-A29C-30AAE5946F5E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61B59F3-EC19-490F-A179-8A5728590A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2_15">
          <a:extLst>
            <a:ext uri="{FF2B5EF4-FFF2-40B4-BE49-F238E27FC236}">
              <a16:creationId xmlns:a16="http://schemas.microsoft.com/office/drawing/2014/main" id="{CC8D577E-2DB3-4953-8970-8ECB98DEBF50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6C87C9-7C1E-457E-9DFA-34FAE4EC20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2_16">
          <a:extLst>
            <a:ext uri="{FF2B5EF4-FFF2-40B4-BE49-F238E27FC236}">
              <a16:creationId xmlns:a16="http://schemas.microsoft.com/office/drawing/2014/main" id="{B5764057-CDE1-4806-996D-325BF7325AFC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1F4EEAC-31F6-4F95-9D5D-7AAA5A02A0A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2_17">
          <a:extLst>
            <a:ext uri="{FF2B5EF4-FFF2-40B4-BE49-F238E27FC236}">
              <a16:creationId xmlns:a16="http://schemas.microsoft.com/office/drawing/2014/main" id="{AD55C4E3-B89C-46C7-860B-882EA4614308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A0349E-18D2-433B-B312-798EFC6AF1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2_18">
          <a:extLst>
            <a:ext uri="{FF2B5EF4-FFF2-40B4-BE49-F238E27FC236}">
              <a16:creationId xmlns:a16="http://schemas.microsoft.com/office/drawing/2014/main" id="{0F0D7A84-B15A-41FD-8630-69EDCCC70576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25E104-4ECD-40CA-864A-6C7217C9F47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2_19">
          <a:extLst>
            <a:ext uri="{FF2B5EF4-FFF2-40B4-BE49-F238E27FC236}">
              <a16:creationId xmlns:a16="http://schemas.microsoft.com/office/drawing/2014/main" id="{F7BA78FD-F8D1-4A45-B92D-86A4B987828A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DFE978-6A1D-47E0-A290-430DE143A2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2_20">
          <a:extLst>
            <a:ext uri="{FF2B5EF4-FFF2-40B4-BE49-F238E27FC236}">
              <a16:creationId xmlns:a16="http://schemas.microsoft.com/office/drawing/2014/main" id="{1598322C-817F-44E0-8F90-C81F103925D1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ECFEB3-F389-4B46-962E-0AB7C3C01A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2_21">
          <a:extLst>
            <a:ext uri="{FF2B5EF4-FFF2-40B4-BE49-F238E27FC236}">
              <a16:creationId xmlns:a16="http://schemas.microsoft.com/office/drawing/2014/main" id="{CC87F8E7-7B41-42F4-852D-DF79E63FFE14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DF350E-BD42-4349-AEE9-B346D8B1604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2_22">
          <a:extLst>
            <a:ext uri="{FF2B5EF4-FFF2-40B4-BE49-F238E27FC236}">
              <a16:creationId xmlns:a16="http://schemas.microsoft.com/office/drawing/2014/main" id="{D8864379-A21C-4405-A384-4671DB85FF04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E3C024-D7D9-468B-A633-7E417D11873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2_23">
          <a:extLst>
            <a:ext uri="{FF2B5EF4-FFF2-40B4-BE49-F238E27FC236}">
              <a16:creationId xmlns:a16="http://schemas.microsoft.com/office/drawing/2014/main" id="{862CBC6C-0AF8-4B0D-A715-B7CA55A007C2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D37CC9E-52CD-4241-83A5-7D9671F57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2_24">
          <a:extLst>
            <a:ext uri="{FF2B5EF4-FFF2-40B4-BE49-F238E27FC236}">
              <a16:creationId xmlns:a16="http://schemas.microsoft.com/office/drawing/2014/main" id="{9E56A0CC-A799-427A-B4FE-72AD0AA3B1C4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BA969B-3AA9-4BFE-BEF6-572241DCC02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2_25">
          <a:extLst>
            <a:ext uri="{FF2B5EF4-FFF2-40B4-BE49-F238E27FC236}">
              <a16:creationId xmlns:a16="http://schemas.microsoft.com/office/drawing/2014/main" id="{CC300489-C0F9-42C0-8B83-E928A1FD4680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63D7F32-023A-466C-AC64-CAEFEEE70C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2_26">
          <a:extLst>
            <a:ext uri="{FF2B5EF4-FFF2-40B4-BE49-F238E27FC236}">
              <a16:creationId xmlns:a16="http://schemas.microsoft.com/office/drawing/2014/main" id="{60501FB9-0BEC-4BC9-8B1E-F44E5D905C7B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3935831-308B-4DCE-8DC7-2112FA89C0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2_27">
          <a:extLst>
            <a:ext uri="{FF2B5EF4-FFF2-40B4-BE49-F238E27FC236}">
              <a16:creationId xmlns:a16="http://schemas.microsoft.com/office/drawing/2014/main" id="{75E989F7-24F2-4F36-A32A-AB824986E3B6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512550-6236-410E-8528-ADACD788A0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2_28">
          <a:extLst>
            <a:ext uri="{FF2B5EF4-FFF2-40B4-BE49-F238E27FC236}">
              <a16:creationId xmlns:a16="http://schemas.microsoft.com/office/drawing/2014/main" id="{568BDB79-BE8E-465A-AA60-9DD34AC50197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AEACF8-71BF-4C33-8FBF-DF454D2358E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2_29">
          <a:extLst>
            <a:ext uri="{FF2B5EF4-FFF2-40B4-BE49-F238E27FC236}">
              <a16:creationId xmlns:a16="http://schemas.microsoft.com/office/drawing/2014/main" id="{437E0716-716F-4A7B-BC42-9B4C5A148B2E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3846D6C-428F-4106-8944-BC071544E4E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2_30">
          <a:extLst>
            <a:ext uri="{FF2B5EF4-FFF2-40B4-BE49-F238E27FC236}">
              <a16:creationId xmlns:a16="http://schemas.microsoft.com/office/drawing/2014/main" id="{001F5043-1A8B-4AB4-AD54-F6F0537C14B1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5E67B1-A763-4FC9-BB25-DF6E2C13D4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2_31">
          <a:extLst>
            <a:ext uri="{FF2B5EF4-FFF2-40B4-BE49-F238E27FC236}">
              <a16:creationId xmlns:a16="http://schemas.microsoft.com/office/drawing/2014/main" id="{39CD3483-232B-470D-939E-4B3F0768AEEA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64D033-C05B-4640-975E-D0D1E3A3D7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2_32">
          <a:extLst>
            <a:ext uri="{FF2B5EF4-FFF2-40B4-BE49-F238E27FC236}">
              <a16:creationId xmlns:a16="http://schemas.microsoft.com/office/drawing/2014/main" id="{A02A8639-05A1-4074-B9EE-A9752891E5F4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7711A69-9A79-43BD-BB16-1DF7A8C242B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2_33">
          <a:extLst>
            <a:ext uri="{FF2B5EF4-FFF2-40B4-BE49-F238E27FC236}">
              <a16:creationId xmlns:a16="http://schemas.microsoft.com/office/drawing/2014/main" id="{F1857071-2644-415F-A299-17F29A365600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3E5EBEB-F7F9-4858-B871-23A6DB6057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2_34">
          <a:extLst>
            <a:ext uri="{FF2B5EF4-FFF2-40B4-BE49-F238E27FC236}">
              <a16:creationId xmlns:a16="http://schemas.microsoft.com/office/drawing/2014/main" id="{8F32CFC5-E692-4F8D-8A8B-F945E9507BC8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C84E34-66EF-411D-AF1D-40B409A9DAC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2_35">
          <a:extLst>
            <a:ext uri="{FF2B5EF4-FFF2-40B4-BE49-F238E27FC236}">
              <a16:creationId xmlns:a16="http://schemas.microsoft.com/office/drawing/2014/main" id="{CF382EED-26BD-4DB3-9BCA-C9191072E42A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54A179-B287-4A98-8A1E-0FFF8D3D72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2_36">
          <a:extLst>
            <a:ext uri="{FF2B5EF4-FFF2-40B4-BE49-F238E27FC236}">
              <a16:creationId xmlns:a16="http://schemas.microsoft.com/office/drawing/2014/main" id="{9C35E848-D606-42B7-93BB-E29C3D1ADEAC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28E146-617A-4E9A-BABD-B17A1B2BF70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2_37">
          <a:extLst>
            <a:ext uri="{FF2B5EF4-FFF2-40B4-BE49-F238E27FC236}">
              <a16:creationId xmlns:a16="http://schemas.microsoft.com/office/drawing/2014/main" id="{6B1CE51B-07D7-4B3A-B7BD-AAD5A89E7B37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04B2148-8B5F-45E5-87F2-52B773A7EA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2_38">
          <a:extLst>
            <a:ext uri="{FF2B5EF4-FFF2-40B4-BE49-F238E27FC236}">
              <a16:creationId xmlns:a16="http://schemas.microsoft.com/office/drawing/2014/main" id="{C86226AC-B72C-41DC-B41A-FFC984BCDFC5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C74647-FFF5-4048-80DB-28C7F457BA6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2_39">
          <a:extLst>
            <a:ext uri="{FF2B5EF4-FFF2-40B4-BE49-F238E27FC236}">
              <a16:creationId xmlns:a16="http://schemas.microsoft.com/office/drawing/2014/main" id="{F37A61EB-BD6E-4A5D-BBEF-CFDE31C1298D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3BA39A-7F4D-4C61-A6E5-7E31474DEDB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2_40">
          <a:extLst>
            <a:ext uri="{FF2B5EF4-FFF2-40B4-BE49-F238E27FC236}">
              <a16:creationId xmlns:a16="http://schemas.microsoft.com/office/drawing/2014/main" id="{5629C13E-8A5E-4AE7-A1C9-9AD90CB503EE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8BFFEE3-2229-495A-ADFA-CA0E49150F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2_41">
          <a:extLst>
            <a:ext uri="{FF2B5EF4-FFF2-40B4-BE49-F238E27FC236}">
              <a16:creationId xmlns:a16="http://schemas.microsoft.com/office/drawing/2014/main" id="{8C8C2435-5CD5-4FBD-9210-38EF7E84A856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823976-3000-42B1-A286-8ED14D0940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2_42">
          <a:extLst>
            <a:ext uri="{FF2B5EF4-FFF2-40B4-BE49-F238E27FC236}">
              <a16:creationId xmlns:a16="http://schemas.microsoft.com/office/drawing/2014/main" id="{6E7C9CD1-E34A-4286-B4FF-25B3FFE9761C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9F6AFFB-FC34-480A-98C6-98D832C22E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2_43">
          <a:extLst>
            <a:ext uri="{FF2B5EF4-FFF2-40B4-BE49-F238E27FC236}">
              <a16:creationId xmlns:a16="http://schemas.microsoft.com/office/drawing/2014/main" id="{1EDC6EDE-5FC1-4400-B8CD-30DF5FCC8A46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F5E59B-689A-4FC9-A937-2D43DFB8C8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Code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2_44">
          <a:extLst>
            <a:ext uri="{FF2B5EF4-FFF2-40B4-BE49-F238E27FC236}">
              <a16:creationId xmlns:a16="http://schemas.microsoft.com/office/drawing/2014/main" id="{D056A83A-4EAC-4ED3-BE62-56C927392910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1190C1-FEF4-4511-9AFD-D9144F438B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Devise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2_45">
          <a:extLst>
            <a:ext uri="{FF2B5EF4-FFF2-40B4-BE49-F238E27FC236}">
              <a16:creationId xmlns:a16="http://schemas.microsoft.com/office/drawing/2014/main" id="{F06C3261-CF9A-423F-A700-47A1C2AB6425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426BD0-6CE4-4418-9AEB-272290A198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saisie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2_46">
          <a:extLst>
            <a:ext uri="{FF2B5EF4-FFF2-40B4-BE49-F238E27FC236}">
              <a16:creationId xmlns:a16="http://schemas.microsoft.com/office/drawing/2014/main" id="{8602058F-A7D2-4162-A957-BA299553ED0E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E712866-43EA-461E-86CA-0E3F714F13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publication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2_47">
          <a:extLst>
            <a:ext uri="{FF2B5EF4-FFF2-40B4-BE49-F238E27FC236}">
              <a16:creationId xmlns:a16="http://schemas.microsoft.com/office/drawing/2014/main" id="{1CBF4924-FCC9-4E7F-9BBF-2E0EEB7DAD40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5BFDE57-6EDF-4505-9B74-A0DDD227D9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2_48">
          <a:extLst>
            <a:ext uri="{FF2B5EF4-FFF2-40B4-BE49-F238E27FC236}">
              <a16:creationId xmlns:a16="http://schemas.microsoft.com/office/drawing/2014/main" id="{72F6DF3A-F57E-40F8-82DF-8BEEE092D5E1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915286-67DE-4025-8A6A-886FCD39B2F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2_49">
          <a:extLst>
            <a:ext uri="{FF2B5EF4-FFF2-40B4-BE49-F238E27FC236}">
              <a16:creationId xmlns:a16="http://schemas.microsoft.com/office/drawing/2014/main" id="{1EF82A50-C9FD-4789-97D0-34FAE742C5B2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467B4F-1E5B-467B-A144-E447F74E54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2_50">
          <a:extLst>
            <a:ext uri="{FF2B5EF4-FFF2-40B4-BE49-F238E27FC236}">
              <a16:creationId xmlns:a16="http://schemas.microsoft.com/office/drawing/2014/main" id="{5B83C7EF-58EF-4E4C-B197-3CCD8D0582AD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5650505-0F7D-4557-9BF5-F03952223BB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2_51">
          <a:extLst>
            <a:ext uri="{FF2B5EF4-FFF2-40B4-BE49-F238E27FC236}">
              <a16:creationId xmlns:a16="http://schemas.microsoft.com/office/drawing/2014/main" id="{007AAA16-85CB-43D8-BE18-C5C3E6BB3AD7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09218B-F688-41AD-A974-6E3727AC96E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2_52">
          <a:extLst>
            <a:ext uri="{FF2B5EF4-FFF2-40B4-BE49-F238E27FC236}">
              <a16:creationId xmlns:a16="http://schemas.microsoft.com/office/drawing/2014/main" id="{095EFFC1-FC47-43DB-8EC7-18FE6B6A7FA7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6E7546-E6CC-4FB1-8294-10B75B335C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2_53">
          <a:extLst>
            <a:ext uri="{FF2B5EF4-FFF2-40B4-BE49-F238E27FC236}">
              <a16:creationId xmlns:a16="http://schemas.microsoft.com/office/drawing/2014/main" id="{41E705BA-AC15-45AD-BD08-F45AAEC0A32C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9E5219-9FB8-40EB-8C2F-6A6A1B3D9D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2_54">
          <a:extLst>
            <a:ext uri="{FF2B5EF4-FFF2-40B4-BE49-F238E27FC236}">
              <a16:creationId xmlns:a16="http://schemas.microsoft.com/office/drawing/2014/main" id="{860D57B7-8DCB-4697-B695-D74A063F587B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D56AFB-F4CF-400B-809B-719AD86363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2_55">
          <a:extLst>
            <a:ext uri="{FF2B5EF4-FFF2-40B4-BE49-F238E27FC236}">
              <a16:creationId xmlns:a16="http://schemas.microsoft.com/office/drawing/2014/main" id="{DE117CC7-0A2F-41B5-8AD5-1E8C4F4E5889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18ABFE3-0EA5-4E8B-9762-1ED6F80D65B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2_56">
          <a:extLst>
            <a:ext uri="{FF2B5EF4-FFF2-40B4-BE49-F238E27FC236}">
              <a16:creationId xmlns:a16="http://schemas.microsoft.com/office/drawing/2014/main" id="{17EBDDBD-E68B-4CE5-BA47-811E23DBF197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C925E7-3548-42D5-A346-773CB965C5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2_57">
          <a:extLst>
            <a:ext uri="{FF2B5EF4-FFF2-40B4-BE49-F238E27FC236}">
              <a16:creationId xmlns:a16="http://schemas.microsoft.com/office/drawing/2014/main" id="{3C9F53AB-C7A7-4AA0-AE5C-E5D57FEE28A2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AE2089-B858-442E-81FD-805D614A41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2_58">
          <a:extLst>
            <a:ext uri="{FF2B5EF4-FFF2-40B4-BE49-F238E27FC236}">
              <a16:creationId xmlns:a16="http://schemas.microsoft.com/office/drawing/2014/main" id="{E4343FDC-EE79-4644-9284-CE980A37DAA1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AD3A5B-3006-4EEF-A7BF-4E5270F37A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2_59">
          <a:extLst>
            <a:ext uri="{FF2B5EF4-FFF2-40B4-BE49-F238E27FC236}">
              <a16:creationId xmlns:a16="http://schemas.microsoft.com/office/drawing/2014/main" id="{2B290938-55AB-444B-B33A-3F45DE092E40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7EB2D8-E419-4196-965E-5ED2D0B2A9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2_60">
          <a:extLst>
            <a:ext uri="{FF2B5EF4-FFF2-40B4-BE49-F238E27FC236}">
              <a16:creationId xmlns:a16="http://schemas.microsoft.com/office/drawing/2014/main" id="{F4408246-F15D-4A5B-AD4E-036AEC69A014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FFC757-A717-4E88-8B77-60C0B12E15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2_61">
          <a:extLst>
            <a:ext uri="{FF2B5EF4-FFF2-40B4-BE49-F238E27FC236}">
              <a16:creationId xmlns:a16="http://schemas.microsoft.com/office/drawing/2014/main" id="{69992D33-D109-48DD-83CA-BED2DDABA243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5FE9DDF-D36A-45DF-8D8D-9F0299C8223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2_62">
          <a:extLst>
            <a:ext uri="{FF2B5EF4-FFF2-40B4-BE49-F238E27FC236}">
              <a16:creationId xmlns:a16="http://schemas.microsoft.com/office/drawing/2014/main" id="{31F49739-4BC6-471A-8FF5-83F0C9507313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EDC1FA-397B-41D9-BA47-6AECEE40013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2_63">
          <a:extLst>
            <a:ext uri="{FF2B5EF4-FFF2-40B4-BE49-F238E27FC236}">
              <a16:creationId xmlns:a16="http://schemas.microsoft.com/office/drawing/2014/main" id="{280756F1-2337-4EB3-B871-211C0CD92C5C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DF6BE6C-B54F-4D02-867C-32520A9F8E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2_64">
          <a:extLst>
            <a:ext uri="{FF2B5EF4-FFF2-40B4-BE49-F238E27FC236}">
              <a16:creationId xmlns:a16="http://schemas.microsoft.com/office/drawing/2014/main" id="{FC1AB6F1-6A01-466C-A45E-5FB5B214AF8C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1EB75B5-42AE-4FC9-831A-E79D0BAD38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2_65">
          <a:extLst>
            <a:ext uri="{FF2B5EF4-FFF2-40B4-BE49-F238E27FC236}">
              <a16:creationId xmlns:a16="http://schemas.microsoft.com/office/drawing/2014/main" id="{942798C3-A882-427B-B7B4-9A3C1A8063A4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2DF5C6-C790-475D-B0D1-E4AE9CE651C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2_66">
          <a:extLst>
            <a:ext uri="{FF2B5EF4-FFF2-40B4-BE49-F238E27FC236}">
              <a16:creationId xmlns:a16="http://schemas.microsoft.com/office/drawing/2014/main" id="{03F24CA5-949A-4FA6-89CE-8FED05BD9DD0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CC2ADFF-8D4C-4C4C-95B6-55A29E739A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2_67">
          <a:extLst>
            <a:ext uri="{FF2B5EF4-FFF2-40B4-BE49-F238E27FC236}">
              <a16:creationId xmlns:a16="http://schemas.microsoft.com/office/drawing/2014/main" id="{0158E0F2-C56B-4E41-8A96-34EF63C704E3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697238-8CBE-4F2D-9FC2-4820266EB7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2_68">
          <a:extLst>
            <a:ext uri="{FF2B5EF4-FFF2-40B4-BE49-F238E27FC236}">
              <a16:creationId xmlns:a16="http://schemas.microsoft.com/office/drawing/2014/main" id="{E0E9B2EE-D682-434E-98E9-42B087FF1744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1D57C45-C495-4029-8ED7-3BB99FF90F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2_69">
          <a:extLst>
            <a:ext uri="{FF2B5EF4-FFF2-40B4-BE49-F238E27FC236}">
              <a16:creationId xmlns:a16="http://schemas.microsoft.com/office/drawing/2014/main" id="{FB1FBBA5-E627-4FBA-8507-E0F1E36E2198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1F4352-2371-4CAB-B2AE-B33471DD54C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Exploitation: défaut?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2_70">
          <a:extLst>
            <a:ext uri="{FF2B5EF4-FFF2-40B4-BE49-F238E27FC236}">
              <a16:creationId xmlns:a16="http://schemas.microsoft.com/office/drawing/2014/main" id="{A7C5149B-86BC-4EAD-84F4-C39BB3E17285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BA836D-009E-4C60-8985-CE2E32ADA1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2_71">
          <a:extLst>
            <a:ext uri="{FF2B5EF4-FFF2-40B4-BE49-F238E27FC236}">
              <a16:creationId xmlns:a16="http://schemas.microsoft.com/office/drawing/2014/main" id="{17070C85-C003-4A30-9CAE-A8E044407728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9FEFF7-6807-42C4-BFF8-981B74FB44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2_72">
          <a:extLst>
            <a:ext uri="{FF2B5EF4-FFF2-40B4-BE49-F238E27FC236}">
              <a16:creationId xmlns:a16="http://schemas.microsoft.com/office/drawing/2014/main" id="{FF3629EF-C5B7-42FF-8A78-DE73103992FE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57ACA05-8F8A-4970-83E0-09D2D096F4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2_73">
          <a:extLst>
            <a:ext uri="{FF2B5EF4-FFF2-40B4-BE49-F238E27FC236}">
              <a16:creationId xmlns:a16="http://schemas.microsoft.com/office/drawing/2014/main" id="{F8B6F9DE-3770-4E11-857A-5C2C45BFDD88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8661A23-5C90-46BF-B8D6-B9F2940DBE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publication: défaut?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2_74">
          <a:extLst>
            <a:ext uri="{FF2B5EF4-FFF2-40B4-BE49-F238E27FC236}">
              <a16:creationId xmlns:a16="http://schemas.microsoft.com/office/drawing/2014/main" id="{7D61A7D3-30E6-40E3-8338-23606EEE3962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A80BD53-5814-4752-AF75-675315A30A4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2_75">
          <a:extLst>
            <a:ext uri="{FF2B5EF4-FFF2-40B4-BE49-F238E27FC236}">
              <a16:creationId xmlns:a16="http://schemas.microsoft.com/office/drawing/2014/main" id="{C11C9CCE-B7DC-4C02-915B-79C36490C766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230085-E031-41D5-BDAA-81063563C4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2_76">
          <a:extLst>
            <a:ext uri="{FF2B5EF4-FFF2-40B4-BE49-F238E27FC236}">
              <a16:creationId xmlns:a16="http://schemas.microsoft.com/office/drawing/2014/main" id="{55FD731F-C27A-46B8-B1DB-956B5F279263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36170B1-23E2-4FD6-B03B-CE429C8227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2_77">
          <a:extLst>
            <a:ext uri="{FF2B5EF4-FFF2-40B4-BE49-F238E27FC236}">
              <a16:creationId xmlns:a16="http://schemas.microsoft.com/office/drawing/2014/main" id="{1C26D659-67AF-44F1-848A-7A309F715914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C68F742-9B79-4FDA-9E35-BA25E280F4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2_78">
          <a:extLst>
            <a:ext uri="{FF2B5EF4-FFF2-40B4-BE49-F238E27FC236}">
              <a16:creationId xmlns:a16="http://schemas.microsoft.com/office/drawing/2014/main" id="{ED7C5B47-13B3-4FC0-9E22-97BA4254FF4E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188DC23-D810-4B35-BC3C-5669C13FC5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2_79">
          <a:extLst>
            <a:ext uri="{FF2B5EF4-FFF2-40B4-BE49-F238E27FC236}">
              <a16:creationId xmlns:a16="http://schemas.microsoft.com/office/drawing/2014/main" id="{032CAB81-94E6-4EFA-AEFA-E8E6FA02B197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7EBDCEA-B696-4B30-9961-955824DE39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transfert: défaut?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2_80">
          <a:extLst>
            <a:ext uri="{FF2B5EF4-FFF2-40B4-BE49-F238E27FC236}">
              <a16:creationId xmlns:a16="http://schemas.microsoft.com/office/drawing/2014/main" id="{126AD593-2B4C-44AF-8E12-106A0A026054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A36834-95C3-4337-9A09-20F2690B51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2_81">
          <a:extLst>
            <a:ext uri="{FF2B5EF4-FFF2-40B4-BE49-F238E27FC236}">
              <a16:creationId xmlns:a16="http://schemas.microsoft.com/office/drawing/2014/main" id="{5196BBF4-7222-4CF8-A64E-09DE8D958DB2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216BACA-D976-4CA1-978F-2B1D4A0B34C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2_82">
          <a:extLst>
            <a:ext uri="{FF2B5EF4-FFF2-40B4-BE49-F238E27FC236}">
              <a16:creationId xmlns:a16="http://schemas.microsoft.com/office/drawing/2014/main" id="{4DE7B824-D969-49DB-A0A6-E0E32F6369EA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510437-F031-484D-A6F8-59AB2112CB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2_83">
          <a:extLst>
            <a:ext uri="{FF2B5EF4-FFF2-40B4-BE49-F238E27FC236}">
              <a16:creationId xmlns:a16="http://schemas.microsoft.com/office/drawing/2014/main" id="{0BADCB75-5B30-4DE0-82E1-D9DF6E4668F0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A49DFF-0526-43CA-B7E7-7407718C914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5250F9F-1F54-4268-A027-043CAB01F0F8}" name="tReportings" displayName="tReportings" ref="C13:F43" totalsRowShown="0" headerRowDxfId="5" dataDxfId="0" tableBorderDxfId="6">
  <autoFilter ref="C13:F43" xr:uid="{3883E871-E365-4793-AAC1-4BE823D81EE7}"/>
  <tableColumns count="4">
    <tableColumn id="1" xr3:uid="{B58590FC-5FAB-49DE-9B6A-458B2353E925}" name=" 1" dataDxfId="4"/>
    <tableColumn id="2" xr3:uid="{E59BE672-52C7-4BD8-9443-BE15767C3FAA}" name=" 2" dataDxfId="3"/>
    <tableColumn id="3" xr3:uid="{9CD96731-A839-41AA-B6CB-170C98FAB456}" name=" 3" dataDxfId="2"/>
    <tableColumn id="4" xr3:uid="{7BBB0D82-C8F1-44A7-A692-23229A79C2FA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CC6D6E-8D19-4F91-AC72-7AE30082779A}" name="tReportingNew2" displayName="tReportingNew2" ref="B5:CF6" totalsRowShown="0" headerRowDxfId="91" dataDxfId="7">
  <autoFilter ref="B5:CF6" xr:uid="{F5EB3B4D-1E2A-4823-98BE-3E45BCD9989B}"/>
  <tableColumns count="83">
    <tableColumn id="1" xr3:uid="{D2E380E2-F680-47EC-BC87-91538BCD8663}" name=" 1" dataDxfId="90"/>
    <tableColumn id="2" xr3:uid="{3D800D2C-ECF5-40EA-A04F-DA09CA04C207}" name=" 2" dataDxfId="89"/>
    <tableColumn id="3" xr3:uid="{A0A7B52A-62C2-4609-AFD6-5428F2869F5D}" name=" 3" dataDxfId="88"/>
    <tableColumn id="4" xr3:uid="{EE00BDF7-9F24-479A-AF75-911806C23D70}" name=" 4" dataDxfId="87"/>
    <tableColumn id="5" xr3:uid="{C5E94480-5D99-4E80-B666-7B4C299570E9}" name=" 5" dataDxfId="86"/>
    <tableColumn id="6" xr3:uid="{9EA33430-9AA8-4F28-9E8F-6D01AA89AECB}" name=" 6" dataDxfId="85"/>
    <tableColumn id="7" xr3:uid="{C4067AED-FA9D-4C2B-9206-158F389F7E1B}" name=" 7" dataDxfId="84"/>
    <tableColumn id="8" xr3:uid="{DECC488C-BDC9-4E46-93B3-AAA195A09137}" name=" 8" dataDxfId="83"/>
    <tableColumn id="9" xr3:uid="{22BEF22C-63B3-4785-A16E-A23B532ABB04}" name=" 9" dataDxfId="82"/>
    <tableColumn id="10" xr3:uid="{3D6B5ED8-46D1-445F-8326-606FEDC5AC2D}" name=" 10" dataDxfId="81"/>
    <tableColumn id="11" xr3:uid="{DC03158B-5485-4885-8F35-D123F5294B88}" name=" 11" dataDxfId="80"/>
    <tableColumn id="12" xr3:uid="{97133BC6-BB7D-4D17-8AEE-94FFC36A49EF}" name=" 12" dataDxfId="79"/>
    <tableColumn id="13" xr3:uid="{BAC684A1-F9DB-4E16-8ED2-3F9427B307AB}" name=" 13" dataDxfId="78"/>
    <tableColumn id="14" xr3:uid="{BBE0D1C5-EC45-4CC5-BF6B-9CF17FDF64C3}" name=" 14" dataDxfId="77"/>
    <tableColumn id="15" xr3:uid="{634244EE-784F-4BC4-A4A6-F292638628DE}" name=" 15" dataDxfId="76"/>
    <tableColumn id="16" xr3:uid="{FFF9E5B7-7D95-4A8A-8A38-00C4C43F6C58}" name=" 16" dataDxfId="75"/>
    <tableColumn id="17" xr3:uid="{26B944C1-CBE3-4393-B57F-033BF18ADD0E}" name=" 17" dataDxfId="74"/>
    <tableColumn id="18" xr3:uid="{E2BDDD96-C11D-4BB3-AE54-29308F66BEAD}" name=" 18" dataDxfId="73"/>
    <tableColumn id="19" xr3:uid="{87CB81BB-A5FA-4011-9341-132F6DCFABDF}" name=" 19" dataDxfId="72"/>
    <tableColumn id="20" xr3:uid="{4A110808-65E4-4020-9495-E38A5AF86A7F}" name=" 20" dataDxfId="71"/>
    <tableColumn id="21" xr3:uid="{DC20B5A8-4237-49AD-94DA-0908F52F09C9}" name=" 21" dataDxfId="70"/>
    <tableColumn id="22" xr3:uid="{2145F251-8863-4977-B94B-ED7C45BCB750}" name=" 22" dataDxfId="69"/>
    <tableColumn id="23" xr3:uid="{EAED1DC0-2F03-42D1-B1E7-7CD7A96B8955}" name=" 23" dataDxfId="68"/>
    <tableColumn id="24" xr3:uid="{55150F61-7E38-46F0-BCE8-E4357C917B2C}" name=" 24" dataDxfId="67"/>
    <tableColumn id="25" xr3:uid="{C92246D3-E9D3-4086-AA96-71E858DE30DC}" name=" 25" dataDxfId="66"/>
    <tableColumn id="26" xr3:uid="{46BCA48C-ED80-4F84-98E8-57AC9180BB97}" name=" 26" dataDxfId="65"/>
    <tableColumn id="27" xr3:uid="{E68EFEF3-F44E-4F9D-9B68-F7E7F9B1D727}" name=" 27" dataDxfId="64"/>
    <tableColumn id="28" xr3:uid="{5B88FF67-A92A-48EA-BEA3-3041C6019A1F}" name=" 28" dataDxfId="63"/>
    <tableColumn id="29" xr3:uid="{1296248B-18E7-4DD3-B876-F7F86518ACC8}" name=" 29" dataDxfId="62"/>
    <tableColumn id="30" xr3:uid="{BF2DF2A5-EED3-4A5D-AB8E-7FCF3FA6CDF7}" name=" 30" dataDxfId="61"/>
    <tableColumn id="31" xr3:uid="{EB675DED-CAE7-431B-9D49-12E126D67AB4}" name=" 31" dataDxfId="60"/>
    <tableColumn id="32" xr3:uid="{0A69DB11-ABDC-43E6-AEC9-B9114854B584}" name=" 32" dataDxfId="59"/>
    <tableColumn id="33" xr3:uid="{E29E0643-11F8-463B-8F17-CDDEAF8490EA}" name=" 33" dataDxfId="58"/>
    <tableColumn id="34" xr3:uid="{8DF5B53B-5F1A-4C88-9629-E132284164C9}" name=" 34" dataDxfId="57"/>
    <tableColumn id="35" xr3:uid="{CE526B86-82CD-47F9-A2CE-203020A84B45}" name=" 35" dataDxfId="56"/>
    <tableColumn id="36" xr3:uid="{DA582480-0B4B-4C07-8C5A-6E4C4CA9C14F}" name=" 36" dataDxfId="55"/>
    <tableColumn id="37" xr3:uid="{1620CE51-E3B0-4B2E-8D55-894E5971E33C}" name=" 37" dataDxfId="54"/>
    <tableColumn id="38" xr3:uid="{77EA8CDC-FA17-4B02-84B6-1EFA87FD72AB}" name=" 38" dataDxfId="53"/>
    <tableColumn id="39" xr3:uid="{FAB35846-1587-4B4E-8D7E-FADBF9F81544}" name=" 39" dataDxfId="52"/>
    <tableColumn id="40" xr3:uid="{49E886AE-468A-4C2F-A677-8DB531A7CF8B}" name=" 40" dataDxfId="51"/>
    <tableColumn id="41" xr3:uid="{A894D015-4AE3-42C0-827B-7FD51E6E3FAB}" name=" 41" dataDxfId="50"/>
    <tableColumn id="42" xr3:uid="{253C4CFA-279A-40E7-8EF4-E450A454A3E2}" name=" 42" dataDxfId="49"/>
    <tableColumn id="43" xr3:uid="{E8C45042-F107-46D6-8F27-4FE4EF8D652B}" name=" 43" dataDxfId="48"/>
    <tableColumn id="44" xr3:uid="{0257B554-1DC1-43B6-A1BF-A1FAA7B212BE}" name=" 44" dataDxfId="47"/>
    <tableColumn id="45" xr3:uid="{09B71636-466C-40BD-A1C9-6FA841247FD6}" name=" 45" dataDxfId="46"/>
    <tableColumn id="46" xr3:uid="{0BA151B1-3891-4B1F-8D7C-4A0C0E864F5E}" name=" 46" dataDxfId="45"/>
    <tableColumn id="47" xr3:uid="{80906AA9-6B9E-42C7-B9F1-D8CDC62C0767}" name=" 47" dataDxfId="44"/>
    <tableColumn id="48" xr3:uid="{DAE4ECDF-E11F-4048-9C86-42EBC1F68CD2}" name=" 48" dataDxfId="43"/>
    <tableColumn id="49" xr3:uid="{CD919BA8-6C94-46B0-B393-EA5FD614D481}" name=" 49" dataDxfId="42"/>
    <tableColumn id="50" xr3:uid="{1AB2AA0B-9D25-4E83-A9FB-A35B43371C73}" name=" 50" dataDxfId="41"/>
    <tableColumn id="51" xr3:uid="{6CF2EEAA-2DDD-48FC-A456-0319B4DDA4E4}" name=" 51" dataDxfId="40"/>
    <tableColumn id="52" xr3:uid="{14568C32-02E1-477F-966D-128529915433}" name=" 52" dataDxfId="39"/>
    <tableColumn id="53" xr3:uid="{FCF30B64-C0CA-428A-AD76-E8DFE0439181}" name=" 53" dataDxfId="38"/>
    <tableColumn id="54" xr3:uid="{B3B00759-0AC3-48D9-8A73-23A98FB43947}" name=" 54" dataDxfId="37"/>
    <tableColumn id="55" xr3:uid="{027F5316-9FDA-45F4-8F3C-731BBC1590DA}" name=" 55" dataDxfId="36"/>
    <tableColumn id="56" xr3:uid="{538BF51B-4BE3-45DE-8DF9-8E00613A3028}" name=" 56" dataDxfId="35"/>
    <tableColumn id="57" xr3:uid="{FB7A5969-0482-4130-B8E7-3E331AD1B714}" name=" 57" dataDxfId="34"/>
    <tableColumn id="58" xr3:uid="{10A9BFDE-F26E-45C1-8F7C-4D581B07BB51}" name=" 58" dataDxfId="33"/>
    <tableColumn id="59" xr3:uid="{191769E5-08B0-4B60-A0A5-DFC1C497BF71}" name=" 59" dataDxfId="32"/>
    <tableColumn id="60" xr3:uid="{E659E3A8-FD1E-47B4-B3A8-4DBA6206702D}" name=" 60" dataDxfId="31"/>
    <tableColumn id="61" xr3:uid="{0213AFD6-729E-4BCE-9B5C-D8A625DFC210}" name=" 61" dataDxfId="30"/>
    <tableColumn id="62" xr3:uid="{B44C5D84-D695-4D3D-9079-7873C626F0CF}" name=" 62" dataDxfId="29"/>
    <tableColumn id="63" xr3:uid="{A52AC5A8-67A2-4152-8377-AD7BE949A02E}" name=" 63" dataDxfId="28"/>
    <tableColumn id="64" xr3:uid="{8F19426A-A0B0-4457-B245-A810F6C9F224}" name=" 64" dataDxfId="27"/>
    <tableColumn id="65" xr3:uid="{60B6FD13-0CA4-4A6C-941F-EC60537DABB2}" name=" 65" dataDxfId="26"/>
    <tableColumn id="66" xr3:uid="{1ABB96A5-182E-4A7A-80B6-D5E479634324}" name=" 66" dataDxfId="25"/>
    <tableColumn id="67" xr3:uid="{8A0E39EB-A6A4-4D9A-8ED5-C34490D851F9}" name=" 67" dataDxfId="24"/>
    <tableColumn id="68" xr3:uid="{0E228E0A-F280-448E-B467-567CB97B1DE2}" name=" 68" dataDxfId="23"/>
    <tableColumn id="69" xr3:uid="{09D6B9B5-E522-45A3-866F-1D6034689EC0}" name=" 69" dataDxfId="22"/>
    <tableColumn id="70" xr3:uid="{E5A52F33-BB85-49DB-B698-BCFD858565DE}" name=" 70" dataDxfId="21"/>
    <tableColumn id="71" xr3:uid="{297803D4-0BE7-4791-88E3-B575DD78DE64}" name=" 71" dataDxfId="20"/>
    <tableColumn id="72" xr3:uid="{99106534-C977-4FA9-96D7-AC1AE9E3955B}" name=" 72" dataDxfId="19"/>
    <tableColumn id="73" xr3:uid="{2435D441-9857-4C10-8672-CB44B89A1E95}" name=" 73" dataDxfId="18"/>
    <tableColumn id="74" xr3:uid="{6B3087DB-66AC-44C1-868F-018F21802636}" name=" 74" dataDxfId="17"/>
    <tableColumn id="75" xr3:uid="{E4D42AB1-B0D1-45C7-BF94-5D943C20F4E6}" name=" 75" dataDxfId="16"/>
    <tableColumn id="76" xr3:uid="{7989F148-A10B-403A-B7B9-408362264071}" name=" 76" dataDxfId="15"/>
    <tableColumn id="77" xr3:uid="{80279C67-CE9E-4431-8FE3-D6218E5230DD}" name=" 77" dataDxfId="14"/>
    <tableColumn id="78" xr3:uid="{DD9979EF-6E7E-49A1-96F5-B20D3F1C0B92}" name=" 78" dataDxfId="13"/>
    <tableColumn id="79" xr3:uid="{DD51A80B-56FA-495B-8943-6CC5755A2047}" name=" 79" dataDxfId="12"/>
    <tableColumn id="80" xr3:uid="{AC4E3E63-D70C-4058-8B6D-CFA5916781DD}" name=" 80" dataDxfId="11"/>
    <tableColumn id="81" xr3:uid="{274C5C04-C967-42AE-8F07-CCEED31EEB00}" name=" 81" dataDxfId="10"/>
    <tableColumn id="82" xr3:uid="{794C6AA8-301A-4117-A0C0-024B2E0FBBF8}" name=" 82" dataDxfId="9"/>
    <tableColumn id="83" xr3:uid="{2761FF38-F7F4-494E-8935-792CFDB4CE73}" name=" 83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8" totalsRowShown="0" dataDxfId="92">
  <autoFilter ref="A3:H118" xr:uid="{20495ABC-A0D8-40BE-8188-61D0FEE75739}"/>
  <tableColumns count="8">
    <tableColumn id="1" xr3:uid="{73903A16-45BE-4CB3-B71C-3468798E69E6}" name="ID" dataDxfId="100"/>
    <tableColumn id="3" xr3:uid="{02ADB156-C3E9-44A8-BC1B-FB2018DC836B}" name="Param1" dataDxfId="99"/>
    <tableColumn id="4" xr3:uid="{CF8C7CB6-4B86-4085-ACCC-19CBFD4C59FE}" name="Param2" dataDxfId="98"/>
    <tableColumn id="5" xr3:uid="{1227E0CB-DF13-4AEB-9B7C-A5B66DBC0C3F}" name="Param3" dataDxfId="97"/>
    <tableColumn id="6" xr3:uid="{2E60890B-30E9-4D21-92C9-7B06D14BAF00}" name="Param4" dataDxfId="96"/>
    <tableColumn id="7" xr3:uid="{03AC2232-F9FA-428A-BCAB-A8039123FBB5}" name="Param5" dataDxfId="95"/>
    <tableColumn id="9" xr3:uid="{5D6B89C0-1432-4927-AC0D-CC962FDD7705}" name="en_US" dataDxfId="94"/>
    <tableColumn id="8" xr3:uid="{8F5786B6-467E-46BD-A85E-B24EA01C31DC}" name="fr_FR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6">
  <autoFilter ref="B3:S91" xr:uid="{D9E8808B-D9E1-4272-8694-E8D5F2C45F29}"/>
  <tableColumns count="18">
    <tableColumn id="1" xr3:uid="{3A646773-BE89-4522-98D7-B786E44BE0DC}" name="Query" dataDxfId="135"/>
    <tableColumn id="9" xr3:uid="{C4EB6F9D-3EAD-42F0-84FF-9BBD170B0DE5}" name="Table" dataDxfId="134"/>
    <tableColumn id="8" xr3:uid="{70E4004F-52ED-4A60-A759-27AFE028F894}" name="I18N" dataDxfId="133"/>
    <tableColumn id="13" xr3:uid="{A78438C4-24D6-4E6E-A29B-E72CABDED5AB}" name="JSON Row Array" dataDxfId="132"/>
    <tableColumn id="16" xr3:uid="{02735810-2DA9-4B37-A9AB-CC1D7668127D}" name="Editable?" dataDxfId="131"/>
    <tableColumn id="2" xr3:uid="{DFC5B263-91CC-4653-8ADC-74A0368CD202}" name="JSON Column" dataDxfId="130"/>
    <tableColumn id="3" xr3:uid="{D5540814-CF2F-4ACB-B92D-22093C535E0C}" name="JSON Type" dataDxfId="129"/>
    <tableColumn id="11" xr3:uid="{EDC8EA7C-C33C-4E55-9909-B09F730AE94B}" name="Required" dataDxfId="128"/>
    <tableColumn id="4" xr3:uid="{8D0A36EB-752B-47BA-B4F5-009678ACFDD0}" name="Title" dataDxfId="127"/>
    <tableColumn id="12" xr3:uid="{B7222461-457D-4B90-9925-68BAF8D1E421}" name="Editor" dataDxfId="126"/>
    <tableColumn id="14" xr3:uid="{C8DD975C-C222-4560-AD83-9B3E4EF275CD}" name="Format" dataDxfId="125"/>
    <tableColumn id="15" xr3:uid="{30CC9560-5D67-406A-B687-D2883B19A560}" name="Level" dataDxfId="124"/>
    <tableColumn id="18" xr3:uid="{9414E3E8-B630-435F-9660-16EFF4CAEFD7}" name="Width" dataDxfId="123"/>
    <tableColumn id="5" xr3:uid="{3613A1E0-361B-4D77-AB85-A190D3D733FC}" name="Hidden" dataDxfId="122"/>
    <tableColumn id="6" xr3:uid="{4FC768DF-246E-41E4-8A37-38EE7A822849}" name="Command" dataDxfId="121"/>
    <tableColumn id="10" xr3:uid="{08F0F3AA-70C9-46BE-9E8F-F9089FF43A15}" name="Params" dataDxfId="120"/>
    <tableColumn id="7" xr3:uid="{C3148FB9-B4AC-439B-977D-F7DC6FE2F875}" name="Position" dataDxfId="119"/>
    <tableColumn id="17" xr3:uid="{AAA7A96E-0AF3-43EB-9CAA-11C66E543F5D}" name="ReturnCol" dataDxfId="1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7">
  <autoFilter ref="B3:Q4" xr:uid="{D9E8808B-D9E1-4272-8694-E8D5F2C45F29}"/>
  <tableColumns count="16">
    <tableColumn id="1" xr3:uid="{848A5172-BE10-4671-A96C-19CB95280C30}" name="Query" dataDxfId="116"/>
    <tableColumn id="9" xr3:uid="{D4503C74-5BC6-42E3-9059-14AE6DF0435F}" name="Table" dataDxfId="115"/>
    <tableColumn id="8" xr3:uid="{6B1E570F-3015-4379-A06B-47DE792E9FF7}" name="I18N" dataDxfId="114"/>
    <tableColumn id="13" xr3:uid="{1F3DA983-C15A-44A1-9F86-08FE41BABCC4}" name="JSON Row Array" dataDxfId="113"/>
    <tableColumn id="2" xr3:uid="{2146287D-FA7C-4DC4-A184-861C99FB53FA}" name="JSON Column" dataDxfId="112"/>
    <tableColumn id="3" xr3:uid="{41F1B5AB-7B7D-4E20-9599-A4A18E607AC2}" name="JSON Type" dataDxfId="111"/>
    <tableColumn id="11" xr3:uid="{6B6D5F65-9066-427A-9E8E-83BC24FDA24E}" name="Required" dataDxfId="110"/>
    <tableColumn id="4" xr3:uid="{5632F87F-624C-41CA-9F02-FC8191282D24}" name="Title" dataDxfId="109"/>
    <tableColumn id="12" xr3:uid="{42F4ED45-AB09-422F-A7F0-D0219F6C21FB}" name="Editor" dataDxfId="108"/>
    <tableColumn id="14" xr3:uid="{2AA5569E-51E1-495E-B26C-0E3F01504CAF}" name="Format" dataDxfId="107"/>
    <tableColumn id="15" xr3:uid="{9FF31EFB-98A5-441C-AEEE-A8D70F766993}" name="Level" dataDxfId="106"/>
    <tableColumn id="5" xr3:uid="{AAEEF1F0-17A9-4995-BF9B-AB4346088E71}" name="Hidden" dataDxfId="105"/>
    <tableColumn id="6" xr3:uid="{7BDF45C7-3CB9-461B-82E3-465AF4328F16}" name="Command" dataDxfId="104"/>
    <tableColumn id="10" xr3:uid="{CC86848F-2654-487A-90EA-707ECEAFF905}" name="Params" dataDxfId="103"/>
    <tableColumn id="7" xr3:uid="{EB4FA941-2795-46FC-8CA9-7D002B610299}" name="Position" dataDxfId="102"/>
    <tableColumn id="17" xr3:uid="{CA1F3260-0D6C-4F7F-B7AE-4DFA8A856532}" name="ReturnCol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X59"/>
  <sheetViews>
    <sheetView showGridLines="0" showRowColHeaders="0" tabSelected="1" zoomScaleNormal="100" workbookViewId="0">
      <selection activeCell="D14" sqref="D14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0.93 du 08 03 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30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603</v>
      </c>
      <c r="F14" s="43" t="s">
        <v>604</v>
      </c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605</v>
      </c>
      <c r="F15" s="43" t="s">
        <v>606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 s="43">
        <v>52428858</v>
      </c>
      <c r="D16" s="43" t="s">
        <v>21</v>
      </c>
      <c r="E16" s="43" t="s">
        <v>607</v>
      </c>
      <c r="F16" s="43" t="s">
        <v>608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43">
        <v>52428847</v>
      </c>
      <c r="D17" s="43" t="s">
        <v>21</v>
      </c>
      <c r="E17" s="43" t="s">
        <v>609</v>
      </c>
      <c r="F17" s="43" t="s">
        <v>610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43">
        <v>52428855</v>
      </c>
      <c r="D18" s="43" t="s">
        <v>21</v>
      </c>
      <c r="E18" s="43" t="s">
        <v>611</v>
      </c>
      <c r="F18" s="43" t="s">
        <v>612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43">
        <v>52428853</v>
      </c>
      <c r="D19" s="43" t="s">
        <v>21</v>
      </c>
      <c r="E19" s="43" t="s">
        <v>613</v>
      </c>
      <c r="F19" s="43" t="s">
        <v>614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43">
        <v>52428851</v>
      </c>
      <c r="D20" s="43" t="s">
        <v>21</v>
      </c>
      <c r="E20" s="43" t="s">
        <v>615</v>
      </c>
      <c r="F20" s="43" t="s">
        <v>616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43">
        <v>52428848</v>
      </c>
      <c r="D21" s="43" t="s">
        <v>21</v>
      </c>
      <c r="E21" s="43" t="s">
        <v>617</v>
      </c>
      <c r="F21" s="43" t="s">
        <v>618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43">
        <v>52428841</v>
      </c>
      <c r="D22" s="43" t="s">
        <v>21</v>
      </c>
      <c r="E22" s="43" t="s">
        <v>619</v>
      </c>
      <c r="F22" s="43" t="s">
        <v>620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43">
        <v>52428840</v>
      </c>
      <c r="D23" s="43" t="s">
        <v>21</v>
      </c>
      <c r="E23" s="43" t="s">
        <v>621</v>
      </c>
      <c r="F23" s="43" t="s">
        <v>622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43">
        <v>52428838</v>
      </c>
      <c r="D24" s="43" t="s">
        <v>21</v>
      </c>
      <c r="E24" s="43" t="s">
        <v>623</v>
      </c>
      <c r="F24" s="43" t="s">
        <v>624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43">
        <v>52428832</v>
      </c>
      <c r="D25" s="43" t="s">
        <v>21</v>
      </c>
      <c r="E25" s="43" t="s">
        <v>625</v>
      </c>
      <c r="F25" s="43" t="s">
        <v>626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43">
        <v>52428830</v>
      </c>
      <c r="D26" s="43" t="s">
        <v>21</v>
      </c>
      <c r="E26" s="43" t="s">
        <v>627</v>
      </c>
      <c r="F26" s="43" t="s">
        <v>628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43">
        <v>52428829</v>
      </c>
      <c r="D27" s="43" t="s">
        <v>21</v>
      </c>
      <c r="E27" s="43" t="s">
        <v>629</v>
      </c>
      <c r="F27" s="43" t="s">
        <v>630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43">
        <v>52428827</v>
      </c>
      <c r="D28" s="43" t="s">
        <v>21</v>
      </c>
      <c r="E28" s="43" t="s">
        <v>631</v>
      </c>
      <c r="F28" s="43" t="s">
        <v>632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43">
        <v>79</v>
      </c>
      <c r="D29" s="43" t="s">
        <v>21</v>
      </c>
      <c r="E29" s="43" t="s">
        <v>633</v>
      </c>
      <c r="F29" s="43" t="s">
        <v>634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43">
        <v>77</v>
      </c>
      <c r="D30" s="43" t="s">
        <v>21</v>
      </c>
      <c r="E30" s="43" t="s">
        <v>635</v>
      </c>
      <c r="F30" s="43" t="s">
        <v>636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43">
        <v>55</v>
      </c>
      <c r="D31" s="43" t="s">
        <v>21</v>
      </c>
      <c r="E31" s="43" t="s">
        <v>637</v>
      </c>
      <c r="F31" s="43" t="s">
        <v>638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43">
        <v>67</v>
      </c>
      <c r="D32" s="43" t="s">
        <v>21</v>
      </c>
      <c r="E32" s="43" t="s">
        <v>639</v>
      </c>
      <c r="F32" s="43" t="s">
        <v>640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43">
        <v>68</v>
      </c>
      <c r="D33" s="43" t="s">
        <v>21</v>
      </c>
      <c r="E33" s="43" t="s">
        <v>641</v>
      </c>
      <c r="F33" s="43" t="s">
        <v>642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43">
        <v>69</v>
      </c>
      <c r="D34" s="43" t="s">
        <v>21</v>
      </c>
      <c r="E34" s="43" t="s">
        <v>643</v>
      </c>
      <c r="F34" s="43" t="s">
        <v>644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43">
        <v>56</v>
      </c>
      <c r="D35" s="43" t="s">
        <v>21</v>
      </c>
      <c r="E35" s="43" t="s">
        <v>645</v>
      </c>
      <c r="F35" s="43" t="s">
        <v>646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43">
        <v>52428802</v>
      </c>
      <c r="D36" s="43" t="s">
        <v>21</v>
      </c>
      <c r="E36" s="43" t="s">
        <v>647</v>
      </c>
      <c r="F36" s="43" t="s">
        <v>648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43">
        <v>71</v>
      </c>
      <c r="D37" s="43" t="s">
        <v>21</v>
      </c>
      <c r="E37" s="43" t="s">
        <v>649</v>
      </c>
      <c r="F37" s="43" t="s">
        <v>650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43">
        <v>73</v>
      </c>
      <c r="D38" s="43" t="s">
        <v>21</v>
      </c>
      <c r="E38" s="43" t="s">
        <v>651</v>
      </c>
      <c r="F38" s="43" t="s">
        <v>652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43">
        <v>61</v>
      </c>
      <c r="D39" s="43" t="s">
        <v>21</v>
      </c>
      <c r="E39" s="43" t="s">
        <v>653</v>
      </c>
      <c r="F39" s="43" t="s">
        <v>654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43">
        <v>59</v>
      </c>
      <c r="D40" s="43" t="s">
        <v>21</v>
      </c>
      <c r="E40" s="43" t="s">
        <v>655</v>
      </c>
      <c r="F40" s="43" t="s">
        <v>656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43">
        <v>60</v>
      </c>
      <c r="D41" s="43" t="s">
        <v>21</v>
      </c>
      <c r="E41" s="43" t="s">
        <v>657</v>
      </c>
      <c r="F41" s="43" t="s">
        <v>658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43">
        <v>52428893</v>
      </c>
      <c r="D42" s="43" t="s">
        <v>23</v>
      </c>
      <c r="E42" s="43" t="s">
        <v>773</v>
      </c>
      <c r="F42" s="43" t="s">
        <v>777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 s="43">
        <v>52428892</v>
      </c>
      <c r="D43" s="43" t="s">
        <v>23</v>
      </c>
      <c r="E43" s="43" t="s">
        <v>603</v>
      </c>
      <c r="F43" s="43" t="s">
        <v>771</v>
      </c>
      <c r="H43" s="10" t="str">
        <f>I18N_T(cellLanguage, "RF_Modify")</f>
        <v>Modifier</v>
      </c>
      <c r="I43" s="10" t="str">
        <f>I18N_T(cellLanguage, "RF_Duplicate")</f>
        <v>Dupliquer</v>
      </c>
      <c r="J43" s="12"/>
    </row>
    <row r="44" spans="3:13" x14ac:dyDescent="0.25">
      <c r="C44"/>
      <c r="D44"/>
      <c r="E44"/>
      <c r="F44"/>
      <c r="H44"/>
      <c r="I44"/>
      <c r="J44" s="12"/>
    </row>
    <row r="45" spans="3:13" x14ac:dyDescent="0.25">
      <c r="C45"/>
      <c r="D45"/>
      <c r="E45"/>
      <c r="F45"/>
      <c r="H45"/>
      <c r="I45"/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24" x14ac:dyDescent="0.25">
      <c r="N49"/>
    </row>
    <row r="50" spans="14:24" x14ac:dyDescent="0.25">
      <c r="O50"/>
    </row>
    <row r="51" spans="14:24" x14ac:dyDescent="0.25">
      <c r="P51"/>
    </row>
    <row r="52" spans="14:24" x14ac:dyDescent="0.25">
      <c r="Q52"/>
    </row>
    <row r="53" spans="14:24" x14ac:dyDescent="0.25">
      <c r="R53"/>
    </row>
    <row r="54" spans="14:24" x14ac:dyDescent="0.25">
      <c r="S54"/>
    </row>
    <row r="55" spans="14:24" x14ac:dyDescent="0.25">
      <c r="T55"/>
    </row>
    <row r="56" spans="14:24" x14ac:dyDescent="0.25">
      <c r="U56"/>
    </row>
    <row r="57" spans="14:24" x14ac:dyDescent="0.25">
      <c r="V57"/>
    </row>
    <row r="58" spans="14:24" x14ac:dyDescent="0.25">
      <c r="W58"/>
    </row>
    <row r="59" spans="14:24" x14ac:dyDescent="0.25">
      <c r="X59"/>
    </row>
  </sheetData>
  <sheetProtection sheet="1" objects="1" scenarios="1" formatCells="0" formatColumns="0" formatRows="0" insertRows="0" sort="0" autoFilter="0"/>
  <hyperlinks>
    <hyperlink ref="D10" location="C3" tooltip=" " display="C3" xr:uid="{ECD3BF8B-3D6F-4404-83B5-D7EBEA211204}"/>
    <hyperlink ref="H14" location="C3" tooltip=" " display="C3" xr:uid="{5052F706-EE05-453D-BF7D-77CC7C0DA8F3}"/>
    <hyperlink ref="I14" location="C3" tooltip=" " display="C3" xr:uid="{EBEB5112-9199-4A72-935C-5C3AFA949871}"/>
    <hyperlink ref="H15" location="C3" tooltip=" " display="C3" xr:uid="{743EB9EB-621D-41DA-AB9A-BA19D5BE503F}"/>
    <hyperlink ref="H16" location="C3" tooltip=" " display="C3" xr:uid="{2282E29F-2525-4CAD-96C3-BFF2F37974F8}"/>
    <hyperlink ref="H17" location="C3" tooltip=" " display="C3" xr:uid="{DE75801E-2243-4396-A4F9-77137BAE0E2F}"/>
    <hyperlink ref="H18" location="C3" tooltip=" " display="C3" xr:uid="{6504561E-F97F-4DF0-AA51-293BCD534AFB}"/>
    <hyperlink ref="H19" location="C3" tooltip=" " display="C3" xr:uid="{E744613E-5717-4070-A64D-5BE556932232}"/>
    <hyperlink ref="H20" location="C3" tooltip=" " display="C3" xr:uid="{1EBFFA94-5F8A-4527-996D-8309733EB0E8}"/>
    <hyperlink ref="H21" location="C3" tooltip=" " display="C3" xr:uid="{F343E216-3115-4667-8E30-3FF60379B3A0}"/>
    <hyperlink ref="H22" location="C3" tooltip=" " display="C3" xr:uid="{D3858E10-053B-4F7C-82A4-A4A45CE938B3}"/>
    <hyperlink ref="H23" location="C3" tooltip=" " display="C3" xr:uid="{525FA7E2-F58D-4BF4-9F40-4B3837D0417D}"/>
    <hyperlink ref="H24" location="C3" tooltip=" " display="C3" xr:uid="{EF1B0D91-5526-4BDC-8204-E23480CCA12D}"/>
    <hyperlink ref="H25" location="C3" tooltip=" " display="C3" xr:uid="{4262C354-F812-40A3-8572-0327F3AFF28D}"/>
    <hyperlink ref="H26" location="C3" tooltip=" " display="C3" xr:uid="{1999AE1B-44E0-44C2-AEB6-546F32D044CE}"/>
    <hyperlink ref="H27" location="C3" tooltip=" " display="C3" xr:uid="{6212AE2B-7413-4A8E-88D3-4FC4408C72BC}"/>
    <hyperlink ref="H28" location="C3" tooltip=" " display="C3" xr:uid="{3A86ECDE-C0B1-4E45-A859-E323A45D74CA}"/>
    <hyperlink ref="H29" location="C3" tooltip=" " display="C3" xr:uid="{B6438A56-F44E-4E64-9127-F6C4D84799EF}"/>
    <hyperlink ref="H30" location="C3" tooltip=" " display="C3" xr:uid="{E3FDED1A-1220-4092-992A-D2DF1F4B12FD}"/>
    <hyperlink ref="H31" location="C3" tooltip=" " display="C3" xr:uid="{D31F2A9C-C7E0-4047-A5DD-BD114E8ED416}"/>
    <hyperlink ref="H32" location="C3" tooltip=" " display="C3" xr:uid="{58CE26F7-C3E2-4ED4-ABFF-58D815CA199E}"/>
    <hyperlink ref="H33" location="C3" tooltip=" " display="C3" xr:uid="{70886905-2B2E-4A03-A5F8-6AF83617FDF3}"/>
    <hyperlink ref="H34" location="C3" tooltip=" " display="C3" xr:uid="{00072D1C-2775-4B64-85BE-4CA11679B129}"/>
    <hyperlink ref="H35" location="C3" tooltip=" " display="C3" xr:uid="{E675FD01-FAA1-4F56-B29F-956A128091E7}"/>
    <hyperlink ref="H36" location="C3" tooltip=" " display="C3" xr:uid="{A888488A-BF94-40C2-85E9-0F0459CA2D55}"/>
    <hyperlink ref="H37" location="C3" tooltip=" " display="C3" xr:uid="{4CB11261-55F2-4122-AD99-076F5D47EC18}"/>
    <hyperlink ref="H38" location="C3" tooltip=" " display="C3" xr:uid="{40667104-B5AD-4CB4-9725-3283421F377B}"/>
    <hyperlink ref="H39" location="C3" tooltip=" " display="C3" xr:uid="{7754D8A7-8E6A-4F42-86A2-07752FFA5674}"/>
    <hyperlink ref="H40" location="C3" tooltip=" " display="C3" xr:uid="{41301B10-2810-40A9-886C-08BD1992769C}"/>
    <hyperlink ref="H41" location="C3" tooltip=" " display="C3" xr:uid="{B765A24A-931A-4953-BBC7-69DE45917A4C}"/>
    <hyperlink ref="H42" location="C3" tooltip=" " display="C3" xr:uid="{A2D76846-B5A3-4554-8A1C-6EA715677C6B}"/>
    <hyperlink ref="H43" location="C3" tooltip=" " display="C3" xr:uid="{688E6D59-666F-413E-92D2-A6C6BF670E70}"/>
    <hyperlink ref="I15" location="C3" tooltip=" " display="C3" xr:uid="{2BE708C3-5719-4EB0-9F07-15741F2896E7}"/>
    <hyperlink ref="I16" location="C3" tooltip=" " display="C3" xr:uid="{A5C1D26F-CAAD-4789-8275-A31E92B641A3}"/>
    <hyperlink ref="I17" location="C3" tooltip=" " display="C3" xr:uid="{EB47EBFD-14DC-4D4F-BD4A-2801A1A6A25D}"/>
    <hyperlink ref="I18" location="C3" tooltip=" " display="C3" xr:uid="{11EE576C-9AA0-4F17-9BD9-308034909B9E}"/>
    <hyperlink ref="I19" location="C3" tooltip=" " display="C3" xr:uid="{89E4DF64-96E0-4351-952B-7F9D1E8CC1D9}"/>
    <hyperlink ref="I20" location="C3" tooltip=" " display="C3" xr:uid="{5D476717-04A4-4ADA-AFA6-34D1B8452C0D}"/>
    <hyperlink ref="I21" location="C3" tooltip=" " display="C3" xr:uid="{5BF73A4E-C35C-4575-90E3-436EB0D708BC}"/>
    <hyperlink ref="I22" location="C3" tooltip=" " display="C3" xr:uid="{DDA4B35D-E0AC-48C8-961B-985C4D866D26}"/>
    <hyperlink ref="I23" location="C3" tooltip=" " display="C3" xr:uid="{67198ACF-732A-4991-83E5-B5CA166DEEB6}"/>
    <hyperlink ref="I24" location="C3" tooltip=" " display="C3" xr:uid="{026DB441-1A59-4AC1-B8F7-E8917DA6ED70}"/>
    <hyperlink ref="I25" location="C3" tooltip=" " display="C3" xr:uid="{EAD6614B-0082-4B1F-89FA-59D7A8D2D37F}"/>
    <hyperlink ref="I26" location="C3" tooltip=" " display="C3" xr:uid="{EA7AFDF1-7C76-4A46-80F2-F26AF24BD168}"/>
    <hyperlink ref="I27" location="C3" tooltip=" " display="C3" xr:uid="{2A7D0D29-6570-406F-8050-CF5B2EA7FAC1}"/>
    <hyperlink ref="I28" location="C3" tooltip=" " display="C3" xr:uid="{A83D994B-CB3F-4D1C-81C3-EC21AE0EBCB5}"/>
    <hyperlink ref="I29" location="C3" tooltip=" " display="C3" xr:uid="{2509549B-5468-4B89-97C1-CA67C3E71C19}"/>
    <hyperlink ref="I30" location="C3" tooltip=" " display="C3" xr:uid="{42E72D0D-E279-4F9E-916C-F0B67A7E691F}"/>
    <hyperlink ref="I31" location="C3" tooltip=" " display="C3" xr:uid="{77A76130-160B-4A7D-8E3A-DD708A0EE588}"/>
    <hyperlink ref="I32" location="C3" tooltip=" " display="C3" xr:uid="{EF7924DE-45D8-4BEE-8D46-5D925AD67CD1}"/>
    <hyperlink ref="I33" location="C3" tooltip=" " display="C3" xr:uid="{8EE10102-19EA-4D08-A7C6-6AFE13F230AE}"/>
    <hyperlink ref="I34" location="C3" tooltip=" " display="C3" xr:uid="{C8F9B2D7-C2CA-43E0-A507-28AFB7289484}"/>
    <hyperlink ref="I35" location="C3" tooltip=" " display="C3" xr:uid="{D409922F-0467-4E7B-A37D-038C81F1725F}"/>
    <hyperlink ref="I36" location="C3" tooltip=" " display="C3" xr:uid="{6B1AE848-B760-4855-B39E-C92B031140CF}"/>
    <hyperlink ref="I37" location="C3" tooltip=" " display="C3" xr:uid="{1358E4FF-778E-40C7-8AD0-D426A0B15832}"/>
    <hyperlink ref="I38" location="C3" tooltip=" " display="C3" xr:uid="{A1D32E3F-7B67-4790-A7EC-030D958E99BD}"/>
    <hyperlink ref="I39" location="C3" tooltip=" " display="C3" xr:uid="{135F179E-7E68-4973-BDF4-29B3BB375144}"/>
    <hyperlink ref="I40" location="C3" tooltip=" " display="C3" xr:uid="{5A4C5913-AB77-4E8A-91B6-0EC60AF00046}"/>
    <hyperlink ref="I41" location="C3" tooltip=" " display="C3" xr:uid="{A7C7DFC3-93E5-4332-B9D8-D380FA98EA90}"/>
    <hyperlink ref="I42" location="C3" tooltip=" " display="C3" xr:uid="{FE89CBAE-3AAB-487A-89EA-3604AEB6C252}"/>
    <hyperlink ref="I43" location="C3" tooltip=" " display="C3" xr:uid="{E600B84A-69DD-4614-806E-CDE04A40C574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6484E-FC6E-40A0-827D-88C02A439A57}">
  <sheetPr codeName="Feuil3">
    <outlinePr summaryRight="0"/>
  </sheetPr>
  <dimension ref="B2:CF6"/>
  <sheetViews>
    <sheetView showGridLines="0" workbookViewId="0">
      <selection activeCell="A5" sqref="A5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51" t="str">
        <f>I18N_T(cellLanguage, "RF_Save")</f>
        <v>Sauvegarder</v>
      </c>
    </row>
    <row r="3" spans="2:84" x14ac:dyDescent="0.25">
      <c r="C3" s="41">
        <f>SUBTOTAL(103, tReportingNew2[[ 2]])</f>
        <v>1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Phase</v>
      </c>
      <c r="D4" s="47" t="str">
        <f>I18N_T(cellLanguage, "RF_UpdatePeriod")</f>
        <v>Exercice</v>
      </c>
      <c r="E4" s="47" t="str">
        <f>I18N_T(cellLanguage, "RF_FrameworkVersion")</f>
        <v>Version de référentiel</v>
      </c>
      <c r="F4" s="47" t="str">
        <f>I18N_T(cellLanguage, "RF_Start")</f>
        <v>Début</v>
      </c>
      <c r="G4" s="47" t="str">
        <f>I18N_T(cellLanguage, "RF_End")</f>
        <v>Fin</v>
      </c>
      <c r="H4" s="47" t="str">
        <f>I18N_T(cellLanguage, "RF_RepDesc")</f>
        <v>Libellés</v>
      </c>
      <c r="I4" s="47" t="str">
        <f>I18N_T(cellLanguage, "RF_RepPack")</f>
        <v>Liasse</v>
      </c>
      <c r="J4" s="47" t="str">
        <f>I18N_T(cellLanguage, "RF_UseDefaultWindowsFolder")</f>
        <v>Cahier Windows: défaut?</v>
      </c>
      <c r="K4" s="47" t="str">
        <f>I18N_T(cellLanguage, "RF_WindowsFolder")</f>
        <v>Cahier Windows</v>
      </c>
      <c r="L4" s="47" t="str">
        <f>I18N_T(cellLanguage, "RF_UseDefaultInternetFolder")</f>
        <v>Cahier Internet: défaut?</v>
      </c>
      <c r="M4" s="47" t="str">
        <f>I18N_T(cellLanguage, "RF_InternetFolder")</f>
        <v>Cahier Internet</v>
      </c>
      <c r="N4" s="47" t="str">
        <f>I18N_T(cellLanguage, "RF_UseDefaultSetOfControls")</f>
        <v>Jeu de contrôles: défaut?</v>
      </c>
      <c r="O4" s="47" t="str">
        <f>I18N_T(cellLanguage, "RF_SetOfControls")</f>
        <v>Jeu de contrôles</v>
      </c>
      <c r="P4" s="47" t="str">
        <f>I18N_T(cellLanguage, "RF_UseDefaultLevel")</f>
        <v>Niveau de contrôle: défaut?</v>
      </c>
      <c r="Q4" s="47" t="str">
        <f>I18N_T(cellLanguage, "RF_LevelToReach")</f>
        <v>Niveau de contrôle</v>
      </c>
      <c r="R4" s="47" t="str">
        <f>I18N_T(cellLanguage, "RF_Blocking")</f>
        <v>Bloquant?</v>
      </c>
      <c r="S4" s="47" t="str">
        <f>I18N_T(cellLanguage, "RF_UseDefaultLock")</f>
        <v>Verrouillage: défaut?</v>
      </c>
      <c r="T4" s="47" t="str">
        <f>I18N_T(cellLanguage, "RF_LockOnPublication")</f>
        <v>Verrouillage</v>
      </c>
      <c r="U4" s="47" t="str">
        <f>I18N_T(cellLanguage, "RF_UseDefaultRuleSet")</f>
        <v>Jeu de règles: défaut?</v>
      </c>
      <c r="V4" s="47" t="str">
        <f>I18N_T(cellLanguage, "RF_RuleSet")</f>
        <v>Jeu de règles</v>
      </c>
      <c r="W4" s="47" t="str">
        <f>I18N_T(cellLanguage, "RF_UseDefaultOpbal")</f>
        <v>A-nouveaux: défaut?</v>
      </c>
      <c r="X4" s="47" t="str">
        <f>I18N_T(cellLanguage, "RF_HasOpBal")</f>
        <v>A-nouveaux?</v>
      </c>
      <c r="Y4" s="47" t="str">
        <f>I18N_T(cellLanguage, "RF_OpbPhase")</f>
        <v>AN Phase</v>
      </c>
      <c r="Z4" s="47" t="str">
        <f>I18N_T(cellLanguage, "RF_OpbUpdatePeriod")</f>
        <v>AN Exercice</v>
      </c>
      <c r="AA4" s="47" t="str">
        <f>I18N_T(cellLanguage, "RF_OpbScope")</f>
        <v>AN Périmètre</v>
      </c>
      <c r="AB4" s="47" t="str">
        <f>I18N_T(cellLanguage, "RF_OpbVariant")</f>
        <v>AN Variante</v>
      </c>
      <c r="AC4" s="47" t="str">
        <f>I18N_T(cellLanguage, "RF_OpbConsCurrency")</f>
        <v>AN Devise</v>
      </c>
      <c r="AD4" s="47" t="str">
        <f>I18N_T(cellLanguage, "RF_RepOp")</f>
        <v>Exploitation</v>
      </c>
      <c r="AE4" s="47" t="str">
        <f>I18N_T(cellLanguage, "RF_CutoffDate")</f>
        <v>Date limite</v>
      </c>
      <c r="AF4" s="47" t="str">
        <f>I18N_T(cellLanguage, "RF_EarlyPublishing")</f>
        <v>Publication anticipée?</v>
      </c>
      <c r="AG4" s="47" t="str">
        <f>I18N_T(cellLanguage, "RF_RepOpAftPub")</f>
        <v>Après publication</v>
      </c>
      <c r="AH4" s="47" t="str">
        <f>I18N_T(cellLanguage, "RF_RepOpAftPubStd")</f>
        <v>Publication standard</v>
      </c>
      <c r="AI4" s="47" t="str">
        <f>I18N_T(cellLanguage, "RF_RepOpAftPubSpe")</f>
        <v>Publication spéciale</v>
      </c>
      <c r="AJ4" s="47" t="str">
        <f>I18N_T(cellLanguage, "RF_RepOpAftPubAdv")</f>
        <v>Publication avancée</v>
      </c>
      <c r="AK4" s="47" t="str">
        <f>I18N_T(cellLanguage, "RF_RepOpAftPubLvl")</f>
        <v>Niveau après pub.</v>
      </c>
      <c r="AL4" s="47" t="str">
        <f>I18N_T(cellLanguage, "RF_RepOpAftTran")</f>
        <v>Après transfert</v>
      </c>
      <c r="AM4" s="47" t="str">
        <f>I18N_T(cellLanguage, "RF_RepOpAftTranStd")</f>
        <v>Transfert standard</v>
      </c>
      <c r="AN4" s="47" t="str">
        <f>I18N_T(cellLanguage, "RF_RepOpAftTranSpe")</f>
        <v>Transfert spécial</v>
      </c>
      <c r="AO4" s="47" t="str">
        <f>I18N_T(cellLanguage, "RF_RepOpAftTranAdv")</f>
        <v>Transfert avancé</v>
      </c>
      <c r="AP4" s="47" t="str">
        <f>I18N_T(cellLanguage, "RF_RepOpAftTranLvl")</f>
        <v>Niveau après tran.</v>
      </c>
      <c r="AQ4" s="47" t="str">
        <f>I18N_T(cellLanguage, "RF_Entity")</f>
        <v>Unité</v>
      </c>
      <c r="AR4" s="47" t="str">
        <f>I18N_T(cellLanguage, "RF_Entity2")</f>
        <v>Code</v>
      </c>
      <c r="AS4" s="47" t="str">
        <f>I18N_T(cellLanguage, "RF_InputCurrency")</f>
        <v>Devise</v>
      </c>
      <c r="AT4" s="47" t="str">
        <f>I18N_T(cellLanguage, "RF_InputSite")</f>
        <v>Site de saisie</v>
      </c>
      <c r="AU4" s="47" t="str">
        <f>I18N_T(cellLanguage, "RF_PublicationSite")</f>
        <v>Site de publication</v>
      </c>
      <c r="AV4" s="47" t="str">
        <f>I18N_T(cellLanguage, "RF_EntPack")</f>
        <v>Liasse</v>
      </c>
      <c r="AW4" s="47" t="str">
        <f>I18N_T(cellLanguage, "RF_EntUseDefaultWindowsFolder")</f>
        <v>Cahier Windows: défaut?</v>
      </c>
      <c r="AX4" s="47" t="str">
        <f>I18N_T(cellLanguage, "RF_EntWindowsFolder")</f>
        <v>Cahier Windows</v>
      </c>
      <c r="AY4" s="47" t="str">
        <f>I18N_T(cellLanguage, "RF_EntUseDefaultInternetFolder")</f>
        <v>Cahier Internet: défaut?</v>
      </c>
      <c r="AZ4" s="47" t="str">
        <f>I18N_T(cellLanguage, "RF_EntInternetFolder")</f>
        <v>Cahier Internet</v>
      </c>
      <c r="BA4" s="47" t="str">
        <f>I18N_T(cellLanguage, "RF_EntUseDefaultSetOfControls")</f>
        <v>Jeu de contrôles: défaut?</v>
      </c>
      <c r="BB4" s="47" t="str">
        <f>I18N_T(cellLanguage, "RF_EntSetOfControls")</f>
        <v>Jeu de contrôles</v>
      </c>
      <c r="BC4" s="47" t="str">
        <f>I18N_T(cellLanguage, "RF_EntUseDefaultLevel")</f>
        <v>Niveau de contrôle: défaut?</v>
      </c>
      <c r="BD4" s="47" t="str">
        <f>I18N_T(cellLanguage, "RF_EntLevelToReach")</f>
        <v>Niveau de contrôle</v>
      </c>
      <c r="BE4" s="47" t="str">
        <f>I18N_T(cellLanguage, "RF_EntBlocking")</f>
        <v>Bloquant?</v>
      </c>
      <c r="BF4" s="47" t="str">
        <f>I18N_T(cellLanguage, "RF_EntUseDefaultLock")</f>
        <v>Verrouillage: défaut?</v>
      </c>
      <c r="BG4" s="47" t="str">
        <f>I18N_T(cellLanguage, "RF_EntLockOnPublication")</f>
        <v>Verrouillage</v>
      </c>
      <c r="BH4" s="47" t="str">
        <f>I18N_T(cellLanguage, "RF_EntUseDefaultRuleSet")</f>
        <v>Jeu de règles: défaut?</v>
      </c>
      <c r="BI4" s="47" t="str">
        <f>I18N_T(cellLanguage, "RF_EntRuleSet")</f>
        <v>Jeu de règles</v>
      </c>
      <c r="BJ4" s="47" t="str">
        <f>I18N_T(cellLanguage, "RF_EntUseDefaultOpbal")</f>
        <v>A-nouveaux: défaut?</v>
      </c>
      <c r="BK4" s="47" t="str">
        <f>I18N_T(cellLanguage, "RF_EntHasOpBal")</f>
        <v>A-nouveaux?</v>
      </c>
      <c r="BL4" s="47" t="str">
        <f>I18N_T(cellLanguage, "RF_EntOpbPhase")</f>
        <v>AN Phase</v>
      </c>
      <c r="BM4" s="47" t="str">
        <f>I18N_T(cellLanguage, "RF_EntOpbUpdatePeriod")</f>
        <v>AN Exercice</v>
      </c>
      <c r="BN4" s="47" t="str">
        <f>I18N_T(cellLanguage, "RF_EntOpbScope")</f>
        <v>AN Périmètre</v>
      </c>
      <c r="BO4" s="47" t="str">
        <f>I18N_T(cellLanguage, "RF_EntOpbVariant")</f>
        <v>AN Variante</v>
      </c>
      <c r="BP4" s="47" t="str">
        <f>I18N_T(cellLanguage, "RF_EntOpbConsCurrency")</f>
        <v>AN Devise</v>
      </c>
      <c r="BQ4" s="47" t="str">
        <f>I18N_T(cellLanguage, "RF_EntOp")</f>
        <v>Exploitation</v>
      </c>
      <c r="BR4" s="47" t="str">
        <f>I18N_T(cellLanguage, "RF_EntUseDefaultPublish")</f>
        <v>Exploitation: défaut?</v>
      </c>
      <c r="BS4" s="47" t="str">
        <f>I18N_T(cellLanguage, "RF_EntPackPublishingCutOffDate")</f>
        <v>Date limite</v>
      </c>
      <c r="BT4" s="47" t="str">
        <f>I18N_T(cellLanguage, "RF_EntAllowEarlyPublishing")</f>
        <v>Publication anticipée?</v>
      </c>
      <c r="BU4" s="47" t="str">
        <f>I18N_T(cellLanguage, "RF_EntOpAftPub")</f>
        <v>Après publication</v>
      </c>
      <c r="BV4" s="47" t="str">
        <f>I18N_T(cellLanguage, "RF_EntUseDefaultAfterPub")</f>
        <v>Après publication: défaut?</v>
      </c>
      <c r="BW4" s="47" t="str">
        <f>I18N_T(cellLanguage, "RF_EntAftPubStandard")</f>
        <v>Publication standard</v>
      </c>
      <c r="BX4" s="47" t="str">
        <f>I18N_T(cellLanguage, "RF_EntAftPubSpecial")</f>
        <v>Publication spéciale</v>
      </c>
      <c r="BY4" s="47" t="str">
        <f>I18N_T(cellLanguage, "RF_EntAftPubAdvanced")</f>
        <v>Publication avancée</v>
      </c>
      <c r="BZ4" s="47" t="str">
        <f>I18N_T(cellLanguage, "RF_EntAftPubLevel")</f>
        <v>Niveau après pub.</v>
      </c>
      <c r="CA4" s="47" t="str">
        <f>I18N_T(cellLanguage, "RF_EntOpAftTran")</f>
        <v>Après transfert</v>
      </c>
      <c r="CB4" s="47" t="str">
        <f>I18N_T(cellLanguage, "RF_EntUseDefaultAfterTran")</f>
        <v>Après transfert: défaut?</v>
      </c>
      <c r="CC4" s="47" t="str">
        <f>I18N_T(cellLanguage, "RF_EntAftTranStandard")</f>
        <v>Transfert standard</v>
      </c>
      <c r="CD4" s="47" t="str">
        <f>I18N_T(cellLanguage, "RF_EntAftTranSpecial")</f>
        <v>Transfert spécial</v>
      </c>
      <c r="CE4" s="47" t="str">
        <f>I18N_T(cellLanguage, "RF_EntAftTranAdvanced")</f>
        <v>Transfert avancé</v>
      </c>
      <c r="CF4" s="48" t="str">
        <f>I18N_T(cellLanguage, "RF_EntAftTranLevel")</f>
        <v>Niveau après tran.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659</v>
      </c>
      <c r="G5" s="45" t="s">
        <v>660</v>
      </c>
      <c r="H5" s="45" t="s">
        <v>661</v>
      </c>
      <c r="I5" s="45" t="s">
        <v>662</v>
      </c>
      <c r="J5" s="45" t="s">
        <v>663</v>
      </c>
      <c r="K5" s="45" t="s">
        <v>664</v>
      </c>
      <c r="L5" s="45" t="s">
        <v>665</v>
      </c>
      <c r="M5" s="45" t="s">
        <v>666</v>
      </c>
      <c r="N5" s="45" t="s">
        <v>667</v>
      </c>
      <c r="O5" s="45" t="s">
        <v>668</v>
      </c>
      <c r="P5" s="45" t="s">
        <v>669</v>
      </c>
      <c r="Q5" s="45" t="s">
        <v>670</v>
      </c>
      <c r="R5" s="45" t="s">
        <v>671</v>
      </c>
      <c r="S5" s="45" t="s">
        <v>672</v>
      </c>
      <c r="T5" s="45" t="s">
        <v>673</v>
      </c>
      <c r="U5" s="45" t="s">
        <v>674</v>
      </c>
      <c r="V5" s="45" t="s">
        <v>675</v>
      </c>
      <c r="W5" s="45" t="s">
        <v>676</v>
      </c>
      <c r="X5" s="45" t="s">
        <v>677</v>
      </c>
      <c r="Y5" s="45" t="s">
        <v>678</v>
      </c>
      <c r="Z5" s="45" t="s">
        <v>679</v>
      </c>
      <c r="AA5" s="45" t="s">
        <v>680</v>
      </c>
      <c r="AB5" s="45" t="s">
        <v>681</v>
      </c>
      <c r="AC5" s="45" t="s">
        <v>682</v>
      </c>
      <c r="AD5" s="45" t="s">
        <v>683</v>
      </c>
      <c r="AE5" s="45" t="s">
        <v>684</v>
      </c>
      <c r="AF5" s="45" t="s">
        <v>685</v>
      </c>
      <c r="AG5" s="45" t="s">
        <v>686</v>
      </c>
      <c r="AH5" s="45" t="s">
        <v>687</v>
      </c>
      <c r="AI5" s="45" t="s">
        <v>688</v>
      </c>
      <c r="AJ5" s="45" t="s">
        <v>689</v>
      </c>
      <c r="AK5" s="45" t="s">
        <v>690</v>
      </c>
      <c r="AL5" s="45" t="s">
        <v>691</v>
      </c>
      <c r="AM5" s="45" t="s">
        <v>692</v>
      </c>
      <c r="AN5" s="45" t="s">
        <v>693</v>
      </c>
      <c r="AO5" s="45" t="s">
        <v>694</v>
      </c>
      <c r="AP5" s="45" t="s">
        <v>695</v>
      </c>
      <c r="AQ5" s="45" t="s">
        <v>696</v>
      </c>
      <c r="AR5" s="45" t="s">
        <v>697</v>
      </c>
      <c r="AS5" s="45" t="s">
        <v>698</v>
      </c>
      <c r="AT5" s="45" t="s">
        <v>699</v>
      </c>
      <c r="AU5" s="45" t="s">
        <v>700</v>
      </c>
      <c r="AV5" s="45" t="s">
        <v>701</v>
      </c>
      <c r="AW5" s="45" t="s">
        <v>702</v>
      </c>
      <c r="AX5" s="45" t="s">
        <v>703</v>
      </c>
      <c r="AY5" s="45" t="s">
        <v>704</v>
      </c>
      <c r="AZ5" s="45" t="s">
        <v>705</v>
      </c>
      <c r="BA5" s="45" t="s">
        <v>706</v>
      </c>
      <c r="BB5" s="45" t="s">
        <v>707</v>
      </c>
      <c r="BC5" s="45" t="s">
        <v>708</v>
      </c>
      <c r="BD5" s="45" t="s">
        <v>709</v>
      </c>
      <c r="BE5" s="45" t="s">
        <v>710</v>
      </c>
      <c r="BF5" s="45" t="s">
        <v>711</v>
      </c>
      <c r="BG5" s="45" t="s">
        <v>712</v>
      </c>
      <c r="BH5" s="45" t="s">
        <v>713</v>
      </c>
      <c r="BI5" s="45" t="s">
        <v>714</v>
      </c>
      <c r="BJ5" s="45" t="s">
        <v>715</v>
      </c>
      <c r="BK5" s="45" t="s">
        <v>716</v>
      </c>
      <c r="BL5" s="45" t="s">
        <v>717</v>
      </c>
      <c r="BM5" s="45" t="s">
        <v>718</v>
      </c>
      <c r="BN5" s="45" t="s">
        <v>719</v>
      </c>
      <c r="BO5" s="45" t="s">
        <v>720</v>
      </c>
      <c r="BP5" s="45" t="s">
        <v>721</v>
      </c>
      <c r="BQ5" s="45" t="s">
        <v>722</v>
      </c>
      <c r="BR5" s="45" t="s">
        <v>723</v>
      </c>
      <c r="BS5" s="45" t="s">
        <v>724</v>
      </c>
      <c r="BT5" s="45" t="s">
        <v>725</v>
      </c>
      <c r="BU5" s="45" t="s">
        <v>726</v>
      </c>
      <c r="BV5" s="45" t="s">
        <v>727</v>
      </c>
      <c r="BW5" s="45" t="s">
        <v>728</v>
      </c>
      <c r="BX5" s="45" t="s">
        <v>729</v>
      </c>
      <c r="BY5" s="45" t="s">
        <v>730</v>
      </c>
      <c r="BZ5" s="45" t="s">
        <v>731</v>
      </c>
      <c r="CA5" s="45" t="s">
        <v>732</v>
      </c>
      <c r="CB5" s="45" t="s">
        <v>733</v>
      </c>
      <c r="CC5" s="45" t="s">
        <v>734</v>
      </c>
      <c r="CD5" s="45" t="s">
        <v>735</v>
      </c>
      <c r="CE5" s="45" t="s">
        <v>736</v>
      </c>
      <c r="CF5" s="45" t="s">
        <v>737</v>
      </c>
    </row>
    <row r="6" spans="2:84" x14ac:dyDescent="0.25">
      <c r="B6" s="49"/>
      <c r="C6" s="49" t="s">
        <v>23</v>
      </c>
      <c r="D6" s="49" t="s">
        <v>773</v>
      </c>
      <c r="E6" s="49" t="s">
        <v>769</v>
      </c>
      <c r="F6" s="49" t="s">
        <v>740</v>
      </c>
      <c r="G6" s="49" t="s">
        <v>741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742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743</v>
      </c>
      <c r="AS6" s="49" t="s">
        <v>744</v>
      </c>
      <c r="AT6" s="49" t="s">
        <v>745</v>
      </c>
      <c r="AU6" s="49" t="s">
        <v>745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742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98000DDF-2D4D-48EB-AAC2-E77378451643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11"/>
  <sheetViews>
    <sheetView workbookViewId="0">
      <selection activeCell="F39" sqref="F39"/>
    </sheetView>
  </sheetViews>
  <sheetFormatPr baseColWidth="10" defaultRowHeight="15" x14ac:dyDescent="0.25"/>
  <cols>
    <col min="1" max="1" width="18.85546875" style="2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2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602</v>
      </c>
      <c r="D4" s="30">
        <v>44271.780405092592</v>
      </c>
      <c r="E4" s="2" t="s">
        <v>770</v>
      </c>
    </row>
    <row r="5" spans="1:11" x14ac:dyDescent="0.25">
      <c r="A5" s="2" t="s">
        <v>747</v>
      </c>
      <c r="B5" s="2" t="s">
        <v>748</v>
      </c>
      <c r="C5" s="2" t="s">
        <v>602</v>
      </c>
      <c r="D5" s="30">
        <v>44271.780451388891</v>
      </c>
      <c r="E5" s="2" t="s">
        <v>768</v>
      </c>
    </row>
    <row r="6" spans="1:11" x14ac:dyDescent="0.25">
      <c r="A6" s="2" t="s">
        <v>738</v>
      </c>
      <c r="B6" s="2" t="s">
        <v>739</v>
      </c>
      <c r="C6" s="2" t="s">
        <v>602</v>
      </c>
      <c r="D6" s="30">
        <v>44271.780486111114</v>
      </c>
      <c r="E6" s="2" t="s">
        <v>746</v>
      </c>
    </row>
    <row r="7" spans="1:11" x14ac:dyDescent="0.25">
      <c r="A7" s="2" t="s">
        <v>749</v>
      </c>
      <c r="B7" s="2" t="s">
        <v>750</v>
      </c>
      <c r="C7" s="2" t="s">
        <v>602</v>
      </c>
      <c r="D7" s="30">
        <v>44271.781006944446</v>
      </c>
      <c r="E7" s="2" t="s">
        <v>772</v>
      </c>
    </row>
    <row r="8" spans="1:11" x14ac:dyDescent="0.25">
      <c r="A8" s="2" t="s">
        <v>751</v>
      </c>
      <c r="B8" s="2" t="s">
        <v>752</v>
      </c>
      <c r="C8" s="2" t="s">
        <v>753</v>
      </c>
      <c r="D8" s="30">
        <v>44271.781053240738</v>
      </c>
      <c r="E8" s="2" t="s">
        <v>774</v>
      </c>
    </row>
    <row r="9" spans="1:11" x14ac:dyDescent="0.25">
      <c r="A9" s="2" t="s">
        <v>751</v>
      </c>
      <c r="B9" s="2" t="s">
        <v>752</v>
      </c>
      <c r="C9" s="2" t="s">
        <v>753</v>
      </c>
      <c r="D9" s="30">
        <v>44271.781192129631</v>
      </c>
      <c r="E9" s="2" t="s">
        <v>774</v>
      </c>
    </row>
    <row r="10" spans="1:11" x14ac:dyDescent="0.25">
      <c r="A10" s="2" t="s">
        <v>751</v>
      </c>
      <c r="B10" s="2" t="s">
        <v>754</v>
      </c>
      <c r="C10" s="2" t="s">
        <v>602</v>
      </c>
      <c r="D10" s="30">
        <v>44271.781238425923</v>
      </c>
      <c r="E10" s="2" t="s">
        <v>775</v>
      </c>
    </row>
    <row r="11" spans="1:11" x14ac:dyDescent="0.25">
      <c r="A11" s="2" t="s">
        <v>495</v>
      </c>
      <c r="B11" s="2" t="s">
        <v>113</v>
      </c>
      <c r="C11" s="2" t="s">
        <v>602</v>
      </c>
      <c r="D11" s="30">
        <v>44271.781342592592</v>
      </c>
      <c r="E11" s="2" t="s">
        <v>776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7"/>
  <sheetViews>
    <sheetView topLeftCell="M17" zoomScaleNormal="100" workbookViewId="0">
      <selection activeCell="M71" sqref="M71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3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  <c r="M17" s="25">
        <v>44271</v>
      </c>
    </row>
    <row r="18" spans="1:13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  <c r="M18" t="s">
        <v>138</v>
      </c>
    </row>
    <row r="19" spans="1:13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  <c r="M19" t="s">
        <v>138</v>
      </c>
    </row>
    <row r="20" spans="1:13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  <c r="M20" t="s">
        <v>138</v>
      </c>
    </row>
    <row r="21" spans="1:13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  <c r="M21" t="s">
        <v>138</v>
      </c>
    </row>
    <row r="22" spans="1:13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  <c r="M22" t="s">
        <v>138</v>
      </c>
    </row>
    <row r="23" spans="1:13" x14ac:dyDescent="0.25">
      <c r="B23" t="s">
        <v>86</v>
      </c>
      <c r="D23">
        <v>0.25</v>
      </c>
    </row>
    <row r="24" spans="1:13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  <c r="M24" t="s">
        <v>138</v>
      </c>
    </row>
    <row r="25" spans="1:13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</row>
    <row r="26" spans="1:13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  <c r="M26" t="s">
        <v>138</v>
      </c>
    </row>
    <row r="27" spans="1:13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  <c r="M27" t="s">
        <v>138</v>
      </c>
    </row>
    <row r="28" spans="1:13" x14ac:dyDescent="0.25">
      <c r="B28" t="s">
        <v>176</v>
      </c>
      <c r="D28">
        <v>0.25</v>
      </c>
    </row>
    <row r="29" spans="1:13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  <c r="M29" t="s">
        <v>138</v>
      </c>
    </row>
    <row r="30" spans="1:13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  <c r="M30" t="s">
        <v>138</v>
      </c>
    </row>
    <row r="31" spans="1:13" hidden="1" x14ac:dyDescent="0.25">
      <c r="B31" t="s">
        <v>144</v>
      </c>
      <c r="D31">
        <v>0.25</v>
      </c>
      <c r="M31" t="s">
        <v>138</v>
      </c>
    </row>
    <row r="32" spans="1:13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  <c r="M32" t="s">
        <v>138</v>
      </c>
    </row>
    <row r="33" spans="2:13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  <c r="M33" t="s">
        <v>138</v>
      </c>
    </row>
    <row r="34" spans="2:13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  <c r="M34" t="s">
        <v>138</v>
      </c>
    </row>
    <row r="35" spans="2:13" x14ac:dyDescent="0.25">
      <c r="B35" t="s">
        <v>145</v>
      </c>
      <c r="D35">
        <v>0.5</v>
      </c>
    </row>
    <row r="36" spans="2:13" x14ac:dyDescent="0.25">
      <c r="B36" t="s">
        <v>241</v>
      </c>
      <c r="I36">
        <v>0.5</v>
      </c>
      <c r="J36">
        <v>0.5</v>
      </c>
      <c r="K36">
        <v>0.5</v>
      </c>
      <c r="L36">
        <v>0.5</v>
      </c>
      <c r="M36">
        <v>0.5</v>
      </c>
    </row>
    <row r="37" spans="2:13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  <c r="M37">
        <v>0.5</v>
      </c>
    </row>
    <row r="38" spans="2:13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  <c r="M38" t="s">
        <v>138</v>
      </c>
    </row>
    <row r="39" spans="2:13" x14ac:dyDescent="0.25">
      <c r="B39" t="s">
        <v>30</v>
      </c>
      <c r="C39">
        <v>0.25</v>
      </c>
    </row>
    <row r="40" spans="2:13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  <c r="M40" t="s">
        <v>138</v>
      </c>
    </row>
    <row r="41" spans="2:13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  <c r="M41" t="s">
        <v>138</v>
      </c>
    </row>
    <row r="42" spans="2:13" x14ac:dyDescent="0.25">
      <c r="B42" t="s">
        <v>35</v>
      </c>
      <c r="D42">
        <v>0.5</v>
      </c>
    </row>
    <row r="43" spans="2:13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  <c r="M43" t="s">
        <v>138</v>
      </c>
    </row>
    <row r="44" spans="2:13" x14ac:dyDescent="0.25">
      <c r="B44" t="s">
        <v>32</v>
      </c>
      <c r="C44">
        <v>0.25</v>
      </c>
    </row>
    <row r="45" spans="2:13" x14ac:dyDescent="0.25">
      <c r="B45" t="s">
        <v>41</v>
      </c>
    </row>
    <row r="46" spans="2:13" x14ac:dyDescent="0.25">
      <c r="B46" t="s">
        <v>33</v>
      </c>
      <c r="C46">
        <v>0.25</v>
      </c>
    </row>
    <row r="47" spans="2:13" x14ac:dyDescent="0.25">
      <c r="B47" t="s">
        <v>42</v>
      </c>
      <c r="C47">
        <v>0.25</v>
      </c>
    </row>
    <row r="48" spans="2:13" x14ac:dyDescent="0.25">
      <c r="B48" t="s">
        <v>43</v>
      </c>
      <c r="D48">
        <v>0.5</v>
      </c>
    </row>
    <row r="49" spans="2:13" x14ac:dyDescent="0.25">
      <c r="B49" t="s">
        <v>44</v>
      </c>
      <c r="C49">
        <v>0.25</v>
      </c>
    </row>
    <row r="50" spans="2:13" x14ac:dyDescent="0.25">
      <c r="B50" t="s">
        <v>45</v>
      </c>
      <c r="C50">
        <v>0.25</v>
      </c>
    </row>
    <row r="51" spans="2:13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  <c r="M51" t="s">
        <v>138</v>
      </c>
    </row>
    <row r="52" spans="2:13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  <c r="M52" t="s">
        <v>138</v>
      </c>
    </row>
    <row r="53" spans="2:13" hidden="1" x14ac:dyDescent="0.25">
      <c r="B53" t="s">
        <v>511</v>
      </c>
      <c r="J53" t="s">
        <v>138</v>
      </c>
      <c r="K53" t="s">
        <v>138</v>
      </c>
      <c r="L53" t="s">
        <v>138</v>
      </c>
      <c r="M53" t="s">
        <v>138</v>
      </c>
    </row>
    <row r="54" spans="2:13" hidden="1" x14ac:dyDescent="0.25">
      <c r="B54" t="s">
        <v>584</v>
      </c>
      <c r="K54">
        <v>0.3</v>
      </c>
      <c r="L54" t="s">
        <v>138</v>
      </c>
      <c r="M54" t="s">
        <v>138</v>
      </c>
    </row>
    <row r="55" spans="2:13" hidden="1" x14ac:dyDescent="0.25">
      <c r="B55" t="s">
        <v>518</v>
      </c>
      <c r="J55">
        <v>0.25</v>
      </c>
      <c r="K55" t="s">
        <v>138</v>
      </c>
      <c r="L55" t="s">
        <v>138</v>
      </c>
      <c r="M55" t="s">
        <v>138</v>
      </c>
    </row>
    <row r="56" spans="2:13" hidden="1" x14ac:dyDescent="0.25">
      <c r="B56" t="s">
        <v>526</v>
      </c>
      <c r="K56" t="s">
        <v>138</v>
      </c>
      <c r="L56" t="s">
        <v>138</v>
      </c>
      <c r="M56" t="s">
        <v>138</v>
      </c>
    </row>
    <row r="57" spans="2:13" hidden="1" x14ac:dyDescent="0.25">
      <c r="B57" t="s">
        <v>519</v>
      </c>
      <c r="J57">
        <v>0.25</v>
      </c>
      <c r="K57" t="s">
        <v>138</v>
      </c>
      <c r="L57" t="s">
        <v>138</v>
      </c>
      <c r="M57" t="s">
        <v>138</v>
      </c>
    </row>
    <row r="58" spans="2:13" hidden="1" x14ac:dyDescent="0.25">
      <c r="B58" t="s">
        <v>524</v>
      </c>
      <c r="K58" t="s">
        <v>138</v>
      </c>
      <c r="L58" t="s">
        <v>138</v>
      </c>
      <c r="M58" t="s">
        <v>138</v>
      </c>
    </row>
    <row r="59" spans="2:13" hidden="1" x14ac:dyDescent="0.25">
      <c r="B59" t="s">
        <v>525</v>
      </c>
      <c r="K59" t="s">
        <v>138</v>
      </c>
      <c r="L59" t="s">
        <v>138</v>
      </c>
      <c r="M59" t="s">
        <v>138</v>
      </c>
    </row>
    <row r="60" spans="2:13" x14ac:dyDescent="0.25">
      <c r="B60" t="s">
        <v>512</v>
      </c>
      <c r="J60">
        <v>0.25</v>
      </c>
      <c r="K60">
        <v>0.2</v>
      </c>
      <c r="L60">
        <v>0.2</v>
      </c>
      <c r="M60">
        <v>0.2</v>
      </c>
    </row>
    <row r="61" spans="2:13" x14ac:dyDescent="0.25">
      <c r="B61" t="s">
        <v>517</v>
      </c>
      <c r="J61">
        <v>0.25</v>
      </c>
      <c r="K61">
        <v>0.2</v>
      </c>
      <c r="L61">
        <v>0.2</v>
      </c>
      <c r="M61">
        <v>0.2</v>
      </c>
    </row>
    <row r="62" spans="2:13" x14ac:dyDescent="0.25">
      <c r="B62" t="s">
        <v>588</v>
      </c>
      <c r="K62">
        <v>0.2</v>
      </c>
      <c r="L62">
        <v>0.2</v>
      </c>
      <c r="M62">
        <v>0.2</v>
      </c>
    </row>
    <row r="63" spans="2:13" x14ac:dyDescent="0.25">
      <c r="B63" t="s">
        <v>515</v>
      </c>
      <c r="J63">
        <v>0.5</v>
      </c>
      <c r="K63">
        <v>0.3</v>
      </c>
      <c r="L63">
        <v>0.3</v>
      </c>
      <c r="M63">
        <v>0.3</v>
      </c>
    </row>
    <row r="64" spans="2:13" x14ac:dyDescent="0.25">
      <c r="B64" t="s">
        <v>599</v>
      </c>
      <c r="L64">
        <v>0.2</v>
      </c>
      <c r="M64">
        <v>0.2</v>
      </c>
    </row>
    <row r="65" spans="2:13" x14ac:dyDescent="0.25">
      <c r="B65" t="s">
        <v>510</v>
      </c>
      <c r="J65">
        <v>0.25</v>
      </c>
      <c r="K65">
        <v>0.1</v>
      </c>
      <c r="L65">
        <v>0.1</v>
      </c>
      <c r="M65">
        <v>0.1</v>
      </c>
    </row>
    <row r="66" spans="2:13" x14ac:dyDescent="0.25">
      <c r="B66" t="s">
        <v>514</v>
      </c>
      <c r="J66">
        <v>0.25</v>
      </c>
      <c r="K66">
        <v>0.25</v>
      </c>
      <c r="L66">
        <v>0.25</v>
      </c>
      <c r="M66">
        <v>0.25</v>
      </c>
    </row>
    <row r="67" spans="2:13" x14ac:dyDescent="0.25">
      <c r="B67" t="s">
        <v>513</v>
      </c>
      <c r="J67">
        <v>0.5</v>
      </c>
      <c r="K67">
        <v>0.5</v>
      </c>
      <c r="L67">
        <v>0.5</v>
      </c>
      <c r="M67">
        <v>0.5</v>
      </c>
    </row>
    <row r="68" spans="2:13" x14ac:dyDescent="0.25">
      <c r="B68" t="s">
        <v>509</v>
      </c>
      <c r="J68">
        <v>1</v>
      </c>
      <c r="K68">
        <v>1</v>
      </c>
      <c r="L68">
        <v>1</v>
      </c>
      <c r="M68">
        <v>1</v>
      </c>
    </row>
    <row r="69" spans="2:13" x14ac:dyDescent="0.25">
      <c r="B69" t="s">
        <v>533</v>
      </c>
      <c r="K69">
        <v>0.2</v>
      </c>
      <c r="L69">
        <v>0.2</v>
      </c>
      <c r="M69">
        <v>0.2</v>
      </c>
    </row>
    <row r="70" spans="2:13" x14ac:dyDescent="0.25">
      <c r="B70" t="s">
        <v>756</v>
      </c>
      <c r="M70">
        <v>0.1</v>
      </c>
    </row>
    <row r="71" spans="2:13" x14ac:dyDescent="0.25">
      <c r="B71" t="s">
        <v>508</v>
      </c>
      <c r="J71">
        <v>0.5</v>
      </c>
      <c r="K71">
        <v>0.5</v>
      </c>
      <c r="L71">
        <v>0.5</v>
      </c>
      <c r="M71">
        <v>0.5</v>
      </c>
    </row>
    <row r="72" spans="2:13" x14ac:dyDescent="0.25">
      <c r="B72" t="s">
        <v>72</v>
      </c>
      <c r="C72">
        <v>3</v>
      </c>
      <c r="D72">
        <v>3</v>
      </c>
      <c r="J72">
        <v>2</v>
      </c>
      <c r="K72">
        <v>2</v>
      </c>
      <c r="L72">
        <v>2</v>
      </c>
      <c r="M72">
        <v>2</v>
      </c>
    </row>
    <row r="74" spans="2:13" x14ac:dyDescent="0.25">
      <c r="B74" s="27">
        <f>0+C74+D74</f>
        <v>26</v>
      </c>
      <c r="C74" s="28">
        <f>SUM(C18:C72)</f>
        <v>11.5</v>
      </c>
      <c r="D74" s="29">
        <f>SUM(D18:D72)</f>
        <v>14.5</v>
      </c>
      <c r="F74" s="17">
        <f t="shared" ref="F74:M74" si="0">SUMIF(F18:F73,"",$C18:$C73)+SUMIF(F18:F73,"",$D18:$D73)+SUBTOTAL(109,F18:F73)</f>
        <v>24.5</v>
      </c>
      <c r="G74" s="17">
        <f t="shared" si="0"/>
        <v>23.75</v>
      </c>
      <c r="H74" s="17">
        <f t="shared" si="0"/>
        <v>24</v>
      </c>
      <c r="I74" s="17">
        <f t="shared" si="0"/>
        <v>19</v>
      </c>
      <c r="J74" s="17">
        <f t="shared" si="0"/>
        <v>10.5</v>
      </c>
      <c r="K74" s="17">
        <f t="shared" si="0"/>
        <v>10.45</v>
      </c>
      <c r="L74" s="17">
        <f t="shared" si="0"/>
        <v>10.65</v>
      </c>
      <c r="M74" s="17">
        <f t="shared" si="0"/>
        <v>10.5</v>
      </c>
    </row>
    <row r="77" spans="2:13" x14ac:dyDescent="0.25">
      <c r="B77" t="s">
        <v>46</v>
      </c>
    </row>
  </sheetData>
  <autoFilter ref="F17:M74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0,4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521</v>
      </c>
      <c r="B11" t="s">
        <v>522</v>
      </c>
      <c r="C11" t="s">
        <v>523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8"/>
  <sheetViews>
    <sheetView workbookViewId="0">
      <selection activeCell="H32" sqref="H32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50" t="s">
        <v>88</v>
      </c>
      <c r="H27" s="50" t="s">
        <v>89</v>
      </c>
    </row>
    <row r="28" spans="1:8" x14ac:dyDescent="0.25">
      <c r="A28" s="2" t="s">
        <v>755</v>
      </c>
      <c r="B28" s="2"/>
      <c r="C28" s="2"/>
      <c r="D28" s="2"/>
      <c r="E28" s="2"/>
      <c r="F28" s="2"/>
      <c r="G28" s="2" t="s">
        <v>766</v>
      </c>
      <c r="H28" s="2" t="s">
        <v>767</v>
      </c>
    </row>
    <row r="29" spans="1:8" x14ac:dyDescent="0.25">
      <c r="A29" s="2" t="s">
        <v>83</v>
      </c>
      <c r="B29" s="2"/>
      <c r="C29" s="2"/>
      <c r="D29" s="2"/>
      <c r="E29" s="2"/>
      <c r="F29" s="2"/>
      <c r="G29" s="2" t="s">
        <v>79</v>
      </c>
      <c r="H29" s="2" t="s">
        <v>81</v>
      </c>
    </row>
    <row r="30" spans="1:8" x14ac:dyDescent="0.25">
      <c r="A30" s="2" t="s">
        <v>757</v>
      </c>
      <c r="B30" s="2"/>
      <c r="C30" s="2"/>
      <c r="D30" s="2"/>
      <c r="E30" s="2"/>
      <c r="F30" s="2"/>
      <c r="G30" s="2" t="s">
        <v>758</v>
      </c>
      <c r="H30" s="2" t="s">
        <v>759</v>
      </c>
    </row>
    <row r="31" spans="1:8" x14ac:dyDescent="0.25">
      <c r="A31" s="2" t="s">
        <v>78</v>
      </c>
      <c r="B31" s="2"/>
      <c r="C31" s="2"/>
      <c r="D31" s="2"/>
      <c r="E31" s="2"/>
      <c r="F31" s="2"/>
      <c r="G31" s="2" t="s">
        <v>80</v>
      </c>
      <c r="H31" s="2" t="s">
        <v>82</v>
      </c>
    </row>
    <row r="32" spans="1:8" x14ac:dyDescent="0.25">
      <c r="A32" s="2" t="s">
        <v>760</v>
      </c>
      <c r="B32" s="2"/>
      <c r="C32" s="2"/>
      <c r="D32" s="2"/>
      <c r="E32" s="2"/>
      <c r="F32" s="2"/>
      <c r="G32" s="2" t="s">
        <v>761</v>
      </c>
      <c r="H32" s="2" t="s">
        <v>762</v>
      </c>
    </row>
    <row r="33" spans="1:8" x14ac:dyDescent="0.25">
      <c r="A33" s="26" t="s">
        <v>146</v>
      </c>
      <c r="B33" s="2"/>
      <c r="C33" s="2"/>
      <c r="D33" s="2"/>
      <c r="E33" s="2"/>
      <c r="F33" s="2"/>
      <c r="G33" s="2" t="s">
        <v>181</v>
      </c>
      <c r="H33" s="2" t="s">
        <v>182</v>
      </c>
    </row>
    <row r="34" spans="1:8" x14ac:dyDescent="0.25">
      <c r="A34" s="26" t="s">
        <v>147</v>
      </c>
      <c r="B34" s="2"/>
      <c r="C34" s="2"/>
      <c r="D34" s="2"/>
      <c r="E34" s="2"/>
      <c r="F34" s="2"/>
      <c r="G34" s="2" t="s">
        <v>45</v>
      </c>
      <c r="H34" s="2" t="s">
        <v>183</v>
      </c>
    </row>
    <row r="35" spans="1:8" x14ac:dyDescent="0.25">
      <c r="A35" s="26" t="s">
        <v>148</v>
      </c>
      <c r="B35" s="2"/>
      <c r="C35" s="2"/>
      <c r="D35" s="2"/>
      <c r="E35" s="2"/>
      <c r="F35" s="2"/>
      <c r="G35" s="2" t="s">
        <v>184</v>
      </c>
      <c r="H35" s="2" t="s">
        <v>185</v>
      </c>
    </row>
    <row r="36" spans="1:8" x14ac:dyDescent="0.25">
      <c r="A36" s="26" t="s">
        <v>180</v>
      </c>
      <c r="B36" s="2"/>
      <c r="C36" s="2"/>
      <c r="D36" s="2"/>
      <c r="E36" s="2"/>
      <c r="F36" s="2"/>
      <c r="G36" s="2" t="s">
        <v>582</v>
      </c>
      <c r="H36" s="2" t="s">
        <v>583</v>
      </c>
    </row>
    <row r="37" spans="1:8" x14ac:dyDescent="0.25">
      <c r="A37" s="26" t="s">
        <v>150</v>
      </c>
      <c r="B37" s="2"/>
      <c r="C37" s="2"/>
      <c r="D37" s="2"/>
      <c r="E37" s="2"/>
      <c r="F37" s="2"/>
      <c r="G37" s="2" t="s">
        <v>186</v>
      </c>
      <c r="H37" s="2" t="s">
        <v>188</v>
      </c>
    </row>
    <row r="38" spans="1:8" x14ac:dyDescent="0.25">
      <c r="A38" s="26" t="s">
        <v>151</v>
      </c>
      <c r="B38" s="2"/>
      <c r="C38" s="2"/>
      <c r="D38" s="2"/>
      <c r="E38" s="2"/>
      <c r="F38" s="2"/>
      <c r="G38" s="2" t="s">
        <v>187</v>
      </c>
      <c r="H38" s="2" t="s">
        <v>189</v>
      </c>
    </row>
    <row r="39" spans="1:8" x14ac:dyDescent="0.25">
      <c r="A39" s="2" t="s">
        <v>134</v>
      </c>
      <c r="B39" s="2"/>
      <c r="C39" s="2"/>
      <c r="D39" s="2"/>
      <c r="E39" s="2"/>
      <c r="F39" s="2"/>
      <c r="G39" s="2" t="s">
        <v>209</v>
      </c>
      <c r="H39" s="2" t="s">
        <v>190</v>
      </c>
    </row>
    <row r="40" spans="1:8" x14ac:dyDescent="0.25">
      <c r="A40" s="2" t="s">
        <v>763</v>
      </c>
      <c r="B40" s="2"/>
      <c r="C40" s="2"/>
      <c r="D40" s="2"/>
      <c r="E40" s="2"/>
      <c r="F40" s="2"/>
      <c r="G40" s="2" t="s">
        <v>764</v>
      </c>
      <c r="H40" s="2" t="s">
        <v>765</v>
      </c>
    </row>
    <row r="41" spans="1:8" x14ac:dyDescent="0.25">
      <c r="A41" s="26" t="s">
        <v>199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197</v>
      </c>
      <c r="B42" s="2"/>
      <c r="C42" s="2"/>
      <c r="D42" s="2"/>
      <c r="E42" s="2"/>
      <c r="F42" s="2"/>
      <c r="G42" s="2" t="s">
        <v>201</v>
      </c>
      <c r="H42" s="2" t="s">
        <v>200</v>
      </c>
    </row>
    <row r="43" spans="1:8" x14ac:dyDescent="0.25">
      <c r="A43" s="26" t="s">
        <v>198</v>
      </c>
      <c r="B43" s="2"/>
      <c r="C43" s="2"/>
      <c r="D43" s="2"/>
      <c r="E43" s="2"/>
      <c r="F43" s="2"/>
      <c r="G43" s="2" t="s">
        <v>34</v>
      </c>
      <c r="H43" s="2" t="s">
        <v>202</v>
      </c>
    </row>
    <row r="44" spans="1:8" x14ac:dyDescent="0.25">
      <c r="A44" s="36" t="s">
        <v>372</v>
      </c>
      <c r="B44" s="2"/>
      <c r="C44" s="2"/>
      <c r="D44" s="2"/>
      <c r="E44" s="2"/>
      <c r="F44" s="2"/>
      <c r="G44" s="2" t="s">
        <v>470</v>
      </c>
      <c r="H44" s="2" t="s">
        <v>17</v>
      </c>
    </row>
    <row r="45" spans="1:8" x14ac:dyDescent="0.25">
      <c r="A45" s="36" t="s">
        <v>373</v>
      </c>
      <c r="B45" s="2"/>
      <c r="C45" s="2"/>
      <c r="D45" s="2"/>
      <c r="E45" s="2"/>
      <c r="F45" s="2"/>
      <c r="G45" s="2" t="s">
        <v>471</v>
      </c>
      <c r="H45" s="2" t="s">
        <v>472</v>
      </c>
    </row>
    <row r="46" spans="1:8" x14ac:dyDescent="0.25">
      <c r="A46" s="35" t="s">
        <v>323</v>
      </c>
      <c r="B46" s="2"/>
      <c r="C46" s="2"/>
      <c r="D46" s="2"/>
      <c r="E46" s="2"/>
      <c r="F46" s="2"/>
      <c r="G46" s="2" t="s">
        <v>473</v>
      </c>
      <c r="H46" s="2" t="s">
        <v>474</v>
      </c>
    </row>
    <row r="47" spans="1:8" x14ac:dyDescent="0.25">
      <c r="A47" s="36" t="s">
        <v>450</v>
      </c>
      <c r="B47" s="2"/>
      <c r="C47" s="2"/>
      <c r="D47" s="2"/>
      <c r="E47" s="2"/>
      <c r="F47" s="2"/>
      <c r="G47" s="2" t="s">
        <v>475</v>
      </c>
      <c r="H47" s="38" t="s">
        <v>483</v>
      </c>
    </row>
    <row r="48" spans="1:8" x14ac:dyDescent="0.25">
      <c r="A48" s="36" t="s">
        <v>451</v>
      </c>
      <c r="B48" s="2"/>
      <c r="C48" s="2"/>
      <c r="D48" s="2"/>
      <c r="E48" s="2"/>
      <c r="F48" s="2"/>
      <c r="G48" s="2" t="s">
        <v>479</v>
      </c>
      <c r="H48" s="2" t="s">
        <v>481</v>
      </c>
    </row>
    <row r="49" spans="1:8" x14ac:dyDescent="0.25">
      <c r="A49" s="36" t="s">
        <v>452</v>
      </c>
      <c r="B49" s="2"/>
      <c r="C49" s="2"/>
      <c r="D49" s="2"/>
      <c r="E49" s="2"/>
      <c r="F49" s="2"/>
      <c r="G49" s="2" t="s">
        <v>476</v>
      </c>
      <c r="H49" s="38" t="s">
        <v>484</v>
      </c>
    </row>
    <row r="50" spans="1:8" x14ac:dyDescent="0.25">
      <c r="A50" s="36" t="s">
        <v>453</v>
      </c>
      <c r="B50" s="2"/>
      <c r="C50" s="2"/>
      <c r="D50" s="2"/>
      <c r="E50" s="2"/>
      <c r="F50" s="2"/>
      <c r="G50" s="2" t="s">
        <v>480</v>
      </c>
      <c r="H50" s="2" t="s">
        <v>482</v>
      </c>
    </row>
    <row r="51" spans="1:8" x14ac:dyDescent="0.25">
      <c r="A51" s="36" t="s">
        <v>454</v>
      </c>
      <c r="B51" s="2"/>
      <c r="C51" s="2"/>
      <c r="D51" s="2"/>
      <c r="E51" s="2"/>
      <c r="F51" s="2"/>
      <c r="G51" s="2" t="s">
        <v>485</v>
      </c>
      <c r="H51" s="2" t="s">
        <v>486</v>
      </c>
    </row>
    <row r="52" spans="1:8" x14ac:dyDescent="0.25">
      <c r="A52" s="36" t="s">
        <v>455</v>
      </c>
      <c r="B52" s="2"/>
      <c r="C52" s="2"/>
      <c r="D52" s="2"/>
      <c r="E52" s="2"/>
      <c r="F52" s="2"/>
      <c r="G52" s="2" t="s">
        <v>487</v>
      </c>
      <c r="H52" s="2" t="s">
        <v>488</v>
      </c>
    </row>
    <row r="53" spans="1:8" x14ac:dyDescent="0.25">
      <c r="A53" s="36" t="s">
        <v>456</v>
      </c>
      <c r="B53" s="2"/>
      <c r="C53" s="2"/>
      <c r="D53" s="2"/>
      <c r="E53" s="2"/>
      <c r="F53" s="2"/>
      <c r="G53" s="2" t="s">
        <v>477</v>
      </c>
      <c r="H53" s="2" t="s">
        <v>489</v>
      </c>
    </row>
    <row r="54" spans="1:8" x14ac:dyDescent="0.25">
      <c r="A54" s="36" t="s">
        <v>457</v>
      </c>
      <c r="B54" s="2"/>
      <c r="C54" s="2"/>
      <c r="D54" s="2"/>
      <c r="E54" s="2"/>
      <c r="F54" s="2"/>
      <c r="G54" s="2" t="s">
        <v>490</v>
      </c>
      <c r="H54" s="2" t="s">
        <v>491</v>
      </c>
    </row>
    <row r="55" spans="1:8" x14ac:dyDescent="0.25">
      <c r="A55" s="36" t="s">
        <v>458</v>
      </c>
      <c r="B55" s="2"/>
      <c r="C55" s="2"/>
      <c r="D55" s="2"/>
      <c r="E55" s="2"/>
      <c r="F55" s="2"/>
      <c r="G55" s="2" t="s">
        <v>478</v>
      </c>
      <c r="H55" s="2" t="s">
        <v>492</v>
      </c>
    </row>
    <row r="56" spans="1:8" x14ac:dyDescent="0.25">
      <c r="A56" s="36" t="s">
        <v>459</v>
      </c>
      <c r="B56" s="2"/>
      <c r="C56" s="2"/>
      <c r="D56" s="2"/>
      <c r="E56" s="2"/>
      <c r="F56" s="2"/>
      <c r="G56" s="36" t="s">
        <v>527</v>
      </c>
      <c r="H56" s="36" t="s">
        <v>528</v>
      </c>
    </row>
    <row r="57" spans="1:8" x14ac:dyDescent="0.25">
      <c r="A57" s="36" t="s">
        <v>460</v>
      </c>
      <c r="B57" s="2"/>
      <c r="C57" s="2"/>
      <c r="D57" s="2"/>
      <c r="E57" s="2"/>
      <c r="F57" s="2"/>
      <c r="G57" s="36" t="s">
        <v>530</v>
      </c>
      <c r="H57" s="36" t="s">
        <v>529</v>
      </c>
    </row>
    <row r="58" spans="1:8" x14ac:dyDescent="0.25">
      <c r="A58" s="36" t="s">
        <v>461</v>
      </c>
      <c r="B58" s="2"/>
      <c r="C58" s="2"/>
      <c r="D58" s="2"/>
      <c r="E58" s="2"/>
      <c r="F58" s="2"/>
      <c r="G58" s="36" t="s">
        <v>531</v>
      </c>
      <c r="H58" s="36" t="s">
        <v>532</v>
      </c>
    </row>
    <row r="59" spans="1:8" x14ac:dyDescent="0.25">
      <c r="A59" s="36" t="s">
        <v>462</v>
      </c>
      <c r="B59" s="2"/>
      <c r="C59" s="2"/>
      <c r="D59" s="2"/>
      <c r="E59" s="2"/>
      <c r="F59" s="2"/>
      <c r="G59" s="36" t="s">
        <v>534</v>
      </c>
      <c r="H59" s="36" t="s">
        <v>535</v>
      </c>
    </row>
    <row r="60" spans="1:8" x14ac:dyDescent="0.25">
      <c r="A60" s="36" t="s">
        <v>463</v>
      </c>
      <c r="B60" s="2"/>
      <c r="C60" s="2"/>
      <c r="D60" s="2"/>
      <c r="E60" s="2"/>
      <c r="F60" s="2"/>
      <c r="G60" s="36" t="s">
        <v>536</v>
      </c>
      <c r="H60" s="36" t="s">
        <v>538</v>
      </c>
    </row>
    <row r="61" spans="1:8" x14ac:dyDescent="0.25">
      <c r="A61" s="36" t="s">
        <v>464</v>
      </c>
      <c r="B61" s="2"/>
      <c r="C61" s="2"/>
      <c r="D61" s="2"/>
      <c r="E61" s="2"/>
      <c r="F61" s="2"/>
      <c r="G61" s="36" t="s">
        <v>537</v>
      </c>
      <c r="H61" s="36" t="s">
        <v>539</v>
      </c>
    </row>
    <row r="62" spans="1:8" x14ac:dyDescent="0.25">
      <c r="A62" s="36" t="s">
        <v>465</v>
      </c>
      <c r="B62" s="2"/>
      <c r="C62" s="2"/>
      <c r="D62" s="2"/>
      <c r="E62" s="2"/>
      <c r="F62" s="2"/>
      <c r="G62" s="36" t="s">
        <v>540</v>
      </c>
      <c r="H62" s="36" t="s">
        <v>541</v>
      </c>
    </row>
    <row r="63" spans="1:8" x14ac:dyDescent="0.25">
      <c r="A63" s="36" t="s">
        <v>466</v>
      </c>
      <c r="B63" s="2"/>
      <c r="C63" s="2"/>
      <c r="D63" s="2"/>
      <c r="E63" s="2"/>
      <c r="F63" s="2"/>
      <c r="G63" s="36" t="s">
        <v>542</v>
      </c>
      <c r="H63" s="36" t="s">
        <v>543</v>
      </c>
    </row>
    <row r="64" spans="1:8" x14ac:dyDescent="0.25">
      <c r="A64" s="36" t="s">
        <v>467</v>
      </c>
      <c r="B64" s="2"/>
      <c r="C64" s="2"/>
      <c r="D64" s="2"/>
      <c r="E64" s="2"/>
      <c r="F64" s="2"/>
      <c r="G64" s="36" t="s">
        <v>544</v>
      </c>
      <c r="H64" s="36" t="s">
        <v>545</v>
      </c>
    </row>
    <row r="65" spans="1:8" x14ac:dyDescent="0.25">
      <c r="A65" s="36" t="s">
        <v>468</v>
      </c>
      <c r="B65" s="2"/>
      <c r="C65" s="2"/>
      <c r="D65" s="2"/>
      <c r="E65" s="2"/>
      <c r="F65" s="2"/>
      <c r="G65" s="36" t="s">
        <v>546</v>
      </c>
      <c r="H65" s="36" t="s">
        <v>547</v>
      </c>
    </row>
    <row r="66" spans="1:8" x14ac:dyDescent="0.25">
      <c r="A66" s="36" t="s">
        <v>469</v>
      </c>
      <c r="B66" s="2"/>
      <c r="C66" s="2"/>
      <c r="D66" s="2"/>
      <c r="E66" s="2"/>
      <c r="F66" s="2"/>
      <c r="G66" s="36" t="s">
        <v>548</v>
      </c>
      <c r="H66" s="36" t="s">
        <v>549</v>
      </c>
    </row>
    <row r="67" spans="1:8" x14ac:dyDescent="0.25">
      <c r="A67" s="35" t="s">
        <v>324</v>
      </c>
      <c r="B67" s="2"/>
      <c r="C67" s="2"/>
      <c r="D67" s="2"/>
      <c r="E67" s="2"/>
      <c r="F67" s="2"/>
      <c r="G67" s="35" t="s">
        <v>34</v>
      </c>
      <c r="H67" s="35" t="s">
        <v>202</v>
      </c>
    </row>
    <row r="68" spans="1:8" x14ac:dyDescent="0.25">
      <c r="A68" s="35" t="s">
        <v>325</v>
      </c>
      <c r="B68" s="2"/>
      <c r="C68" s="2"/>
      <c r="D68" s="2"/>
      <c r="E68" s="2"/>
      <c r="F68" s="2"/>
      <c r="G68" s="35" t="s">
        <v>550</v>
      </c>
      <c r="H68" s="35" t="s">
        <v>551</v>
      </c>
    </row>
    <row r="69" spans="1:8" x14ac:dyDescent="0.25">
      <c r="A69" s="36" t="s">
        <v>407</v>
      </c>
      <c r="B69" s="2"/>
      <c r="C69" s="2"/>
      <c r="D69" s="2"/>
      <c r="E69" s="2"/>
      <c r="F69" s="2"/>
      <c r="G69" s="36" t="s">
        <v>552</v>
      </c>
      <c r="H69" s="36" t="s">
        <v>553</v>
      </c>
    </row>
    <row r="70" spans="1:8" x14ac:dyDescent="0.25">
      <c r="A70" s="36" t="s">
        <v>408</v>
      </c>
      <c r="B70" s="2"/>
      <c r="C70" s="2"/>
      <c r="D70" s="2"/>
      <c r="E70" s="2"/>
      <c r="F70" s="2"/>
      <c r="G70" s="36" t="s">
        <v>554</v>
      </c>
      <c r="H70" s="36" t="s">
        <v>555</v>
      </c>
    </row>
    <row r="71" spans="1:8" x14ac:dyDescent="0.25">
      <c r="A71" s="36" t="s">
        <v>409</v>
      </c>
      <c r="B71" s="2"/>
      <c r="C71" s="2"/>
      <c r="D71" s="2"/>
      <c r="E71" s="2"/>
      <c r="F71" s="2"/>
      <c r="G71" s="36" t="s">
        <v>556</v>
      </c>
      <c r="H71" s="36" t="s">
        <v>557</v>
      </c>
    </row>
    <row r="72" spans="1:8" x14ac:dyDescent="0.25">
      <c r="A72" s="36" t="s">
        <v>410</v>
      </c>
      <c r="B72" s="2"/>
      <c r="C72" s="2"/>
      <c r="D72" s="2"/>
      <c r="E72" s="2"/>
      <c r="F72" s="2"/>
      <c r="G72" s="36" t="s">
        <v>558</v>
      </c>
      <c r="H72" s="36" t="s">
        <v>559</v>
      </c>
    </row>
    <row r="73" spans="1:8" x14ac:dyDescent="0.25">
      <c r="A73" s="35" t="s">
        <v>326</v>
      </c>
      <c r="B73" s="2"/>
      <c r="C73" s="2"/>
      <c r="D73" s="2"/>
      <c r="E73" s="2"/>
      <c r="F73" s="2"/>
      <c r="G73" s="35" t="s">
        <v>560</v>
      </c>
      <c r="H73" s="35" t="s">
        <v>561</v>
      </c>
    </row>
    <row r="74" spans="1:8" x14ac:dyDescent="0.25">
      <c r="A74" s="36" t="s">
        <v>411</v>
      </c>
      <c r="B74" s="2"/>
      <c r="C74" s="2"/>
      <c r="D74" s="2"/>
      <c r="E74" s="2"/>
      <c r="F74" s="2"/>
      <c r="G74" s="36" t="s">
        <v>562</v>
      </c>
      <c r="H74" s="36" t="s">
        <v>568</v>
      </c>
    </row>
    <row r="75" spans="1:8" x14ac:dyDescent="0.25">
      <c r="A75" s="36" t="s">
        <v>412</v>
      </c>
      <c r="B75" s="2"/>
      <c r="C75" s="2"/>
      <c r="D75" s="2"/>
      <c r="E75" s="2"/>
      <c r="F75" s="2"/>
      <c r="G75" s="36" t="s">
        <v>565</v>
      </c>
      <c r="H75" s="36" t="s">
        <v>569</v>
      </c>
    </row>
    <row r="76" spans="1:8" x14ac:dyDescent="0.25">
      <c r="A76" s="36" t="s">
        <v>413</v>
      </c>
      <c r="B76" s="2"/>
      <c r="C76" s="2"/>
      <c r="D76" s="2"/>
      <c r="E76" s="2"/>
      <c r="F76" s="2"/>
      <c r="G76" s="36" t="s">
        <v>566</v>
      </c>
      <c r="H76" s="36" t="s">
        <v>570</v>
      </c>
    </row>
    <row r="77" spans="1:8" x14ac:dyDescent="0.25">
      <c r="A77" s="36" t="s">
        <v>414</v>
      </c>
      <c r="B77" s="2"/>
      <c r="C77" s="2"/>
      <c r="D77" s="2"/>
      <c r="E77" s="2"/>
      <c r="F77" s="2"/>
      <c r="G77" s="36" t="s">
        <v>567</v>
      </c>
      <c r="H77" s="36" t="s">
        <v>571</v>
      </c>
    </row>
    <row r="78" spans="1:8" x14ac:dyDescent="0.25">
      <c r="A78" s="35" t="s">
        <v>327</v>
      </c>
      <c r="B78" s="2"/>
      <c r="C78" s="2"/>
      <c r="D78" s="2"/>
      <c r="E78" s="2"/>
      <c r="F78" s="2"/>
      <c r="G78" s="35" t="s">
        <v>563</v>
      </c>
      <c r="H78" s="35" t="s">
        <v>564</v>
      </c>
    </row>
    <row r="79" spans="1:8" x14ac:dyDescent="0.25">
      <c r="A79" s="36" t="s">
        <v>251</v>
      </c>
      <c r="B79" s="2"/>
      <c r="C79" s="2"/>
      <c r="D79" s="2"/>
      <c r="E79" s="2"/>
      <c r="F79" s="2"/>
      <c r="G79" s="36" t="s">
        <v>251</v>
      </c>
      <c r="H79" s="36" t="s">
        <v>251</v>
      </c>
    </row>
    <row r="80" spans="1:8" x14ac:dyDescent="0.25">
      <c r="A80" s="36" t="s">
        <v>415</v>
      </c>
      <c r="B80" s="2"/>
      <c r="C80" s="2"/>
      <c r="D80" s="2"/>
      <c r="E80" s="2"/>
      <c r="F80" s="2"/>
      <c r="G80" s="36" t="s">
        <v>572</v>
      </c>
      <c r="H80" s="36" t="s">
        <v>573</v>
      </c>
    </row>
    <row r="81" spans="1:8" x14ac:dyDescent="0.25">
      <c r="A81" s="36" t="s">
        <v>416</v>
      </c>
      <c r="B81" s="2"/>
      <c r="C81" s="2"/>
      <c r="D81" s="2"/>
      <c r="E81" s="2"/>
      <c r="F81" s="2"/>
      <c r="G81" s="36" t="s">
        <v>574</v>
      </c>
      <c r="H81" s="36" t="s">
        <v>575</v>
      </c>
    </row>
    <row r="82" spans="1:8" x14ac:dyDescent="0.25">
      <c r="A82" s="35" t="s">
        <v>364</v>
      </c>
      <c r="B82" s="2"/>
      <c r="C82" s="2"/>
      <c r="D82" s="2"/>
      <c r="E82" s="2"/>
      <c r="F82" s="2"/>
      <c r="G82" s="35" t="s">
        <v>473</v>
      </c>
      <c r="H82" s="35" t="s">
        <v>474</v>
      </c>
    </row>
    <row r="83" spans="1:8" x14ac:dyDescent="0.25">
      <c r="A83" s="36" t="s">
        <v>417</v>
      </c>
      <c r="B83" s="2"/>
      <c r="C83" s="2"/>
      <c r="D83" s="2"/>
      <c r="E83" s="2"/>
      <c r="F83" s="2"/>
      <c r="G83" s="2" t="s">
        <v>475</v>
      </c>
      <c r="H83" s="38" t="s">
        <v>483</v>
      </c>
    </row>
    <row r="84" spans="1:8" x14ac:dyDescent="0.25">
      <c r="A84" s="36" t="s">
        <v>436</v>
      </c>
      <c r="B84" s="2"/>
      <c r="C84" s="2"/>
      <c r="D84" s="2"/>
      <c r="E84" s="2"/>
      <c r="F84" s="2"/>
      <c r="G84" s="2" t="s">
        <v>479</v>
      </c>
      <c r="H84" s="2" t="s">
        <v>481</v>
      </c>
    </row>
    <row r="85" spans="1:8" x14ac:dyDescent="0.25">
      <c r="A85" s="36" t="s">
        <v>418</v>
      </c>
      <c r="B85" s="2"/>
      <c r="C85" s="2"/>
      <c r="D85" s="2"/>
      <c r="E85" s="2"/>
      <c r="F85" s="2"/>
      <c r="G85" s="2" t="s">
        <v>476</v>
      </c>
      <c r="H85" s="38" t="s">
        <v>484</v>
      </c>
    </row>
    <row r="86" spans="1:8" x14ac:dyDescent="0.25">
      <c r="A86" s="36" t="s">
        <v>449</v>
      </c>
      <c r="B86" s="2"/>
      <c r="C86" s="2"/>
      <c r="D86" s="2"/>
      <c r="E86" s="2"/>
      <c r="F86" s="2"/>
      <c r="G86" s="2" t="s">
        <v>480</v>
      </c>
      <c r="H86" s="2" t="s">
        <v>482</v>
      </c>
    </row>
    <row r="87" spans="1:8" x14ac:dyDescent="0.25">
      <c r="A87" s="36" t="s">
        <v>419</v>
      </c>
      <c r="B87" s="2"/>
      <c r="C87" s="2"/>
      <c r="D87" s="2"/>
      <c r="E87" s="2"/>
      <c r="F87" s="2"/>
      <c r="G87" s="2" t="s">
        <v>485</v>
      </c>
      <c r="H87" s="2" t="s">
        <v>486</v>
      </c>
    </row>
    <row r="88" spans="1:8" x14ac:dyDescent="0.25">
      <c r="A88" s="36" t="s">
        <v>437</v>
      </c>
      <c r="B88" s="2"/>
      <c r="C88" s="2"/>
      <c r="D88" s="2"/>
      <c r="E88" s="2"/>
      <c r="F88" s="2"/>
      <c r="G88" s="2" t="s">
        <v>487</v>
      </c>
      <c r="H88" s="2" t="s">
        <v>488</v>
      </c>
    </row>
    <row r="89" spans="1:8" x14ac:dyDescent="0.25">
      <c r="A89" s="36" t="s">
        <v>420</v>
      </c>
      <c r="B89" s="2"/>
      <c r="C89" s="2"/>
      <c r="D89" s="2"/>
      <c r="E89" s="2"/>
      <c r="F89" s="2"/>
      <c r="G89" s="2" t="s">
        <v>477</v>
      </c>
      <c r="H89" s="2" t="s">
        <v>489</v>
      </c>
    </row>
    <row r="90" spans="1:8" x14ac:dyDescent="0.25">
      <c r="A90" s="36" t="s">
        <v>421</v>
      </c>
      <c r="B90" s="2"/>
      <c r="C90" s="2"/>
      <c r="D90" s="2"/>
      <c r="E90" s="2"/>
      <c r="F90" s="2"/>
      <c r="G90" s="2" t="s">
        <v>490</v>
      </c>
      <c r="H90" s="2" t="s">
        <v>491</v>
      </c>
    </row>
    <row r="91" spans="1:8" x14ac:dyDescent="0.25">
      <c r="A91" s="36" t="s">
        <v>422</v>
      </c>
      <c r="B91" s="2"/>
      <c r="C91" s="2"/>
      <c r="D91" s="2"/>
      <c r="E91" s="2"/>
      <c r="F91" s="2"/>
      <c r="G91" s="2" t="s">
        <v>478</v>
      </c>
      <c r="H91" s="2" t="s">
        <v>492</v>
      </c>
    </row>
    <row r="92" spans="1:8" x14ac:dyDescent="0.25">
      <c r="A92" s="36" t="s">
        <v>423</v>
      </c>
      <c r="B92" s="2"/>
      <c r="C92" s="2"/>
      <c r="D92" s="2"/>
      <c r="E92" s="2"/>
      <c r="F92" s="2"/>
      <c r="G92" s="36" t="s">
        <v>527</v>
      </c>
      <c r="H92" s="36" t="s">
        <v>528</v>
      </c>
    </row>
    <row r="93" spans="1:8" x14ac:dyDescent="0.25">
      <c r="A93" s="36" t="s">
        <v>438</v>
      </c>
      <c r="B93" s="2"/>
      <c r="C93" s="2"/>
      <c r="D93" s="2"/>
      <c r="E93" s="2"/>
      <c r="F93" s="2"/>
      <c r="G93" s="36" t="s">
        <v>530</v>
      </c>
      <c r="H93" s="36" t="s">
        <v>529</v>
      </c>
    </row>
    <row r="94" spans="1:8" x14ac:dyDescent="0.25">
      <c r="A94" s="36" t="s">
        <v>424</v>
      </c>
      <c r="B94" s="2"/>
      <c r="C94" s="2"/>
      <c r="D94" s="2"/>
      <c r="E94" s="2"/>
      <c r="F94" s="2"/>
      <c r="G94" s="36" t="s">
        <v>531</v>
      </c>
      <c r="H94" s="36" t="s">
        <v>532</v>
      </c>
    </row>
    <row r="95" spans="1:8" x14ac:dyDescent="0.25">
      <c r="A95" s="36" t="s">
        <v>439</v>
      </c>
      <c r="B95" s="2"/>
      <c r="C95" s="2"/>
      <c r="D95" s="2"/>
      <c r="E95" s="2"/>
      <c r="F95" s="2"/>
      <c r="G95" s="36" t="s">
        <v>534</v>
      </c>
      <c r="H95" s="36" t="s">
        <v>535</v>
      </c>
    </row>
    <row r="96" spans="1:8" x14ac:dyDescent="0.25">
      <c r="A96" s="36" t="s">
        <v>425</v>
      </c>
      <c r="B96" s="2"/>
      <c r="C96" s="2"/>
      <c r="D96" s="2"/>
      <c r="E96" s="2"/>
      <c r="F96" s="2"/>
      <c r="G96" s="36" t="s">
        <v>536</v>
      </c>
      <c r="H96" s="36" t="s">
        <v>538</v>
      </c>
    </row>
    <row r="97" spans="1:8" x14ac:dyDescent="0.25">
      <c r="A97" s="36" t="s">
        <v>426</v>
      </c>
      <c r="B97" s="2"/>
      <c r="C97" s="2"/>
      <c r="D97" s="2"/>
      <c r="E97" s="2"/>
      <c r="F97" s="2"/>
      <c r="G97" s="36" t="s">
        <v>537</v>
      </c>
      <c r="H97" s="36" t="s">
        <v>539</v>
      </c>
    </row>
    <row r="98" spans="1:8" x14ac:dyDescent="0.25">
      <c r="A98" s="36" t="s">
        <v>440</v>
      </c>
      <c r="B98" s="2"/>
      <c r="C98" s="2"/>
      <c r="D98" s="2"/>
      <c r="E98" s="2"/>
      <c r="F98" s="2"/>
      <c r="G98" s="36" t="s">
        <v>540</v>
      </c>
      <c r="H98" s="36" t="s">
        <v>541</v>
      </c>
    </row>
    <row r="99" spans="1:8" x14ac:dyDescent="0.25">
      <c r="A99" s="36" t="s">
        <v>427</v>
      </c>
      <c r="B99" s="2"/>
      <c r="C99" s="2"/>
      <c r="D99" s="2"/>
      <c r="E99" s="2"/>
      <c r="F99" s="2"/>
      <c r="G99" s="36" t="s">
        <v>542</v>
      </c>
      <c r="H99" s="36" t="s">
        <v>543</v>
      </c>
    </row>
    <row r="100" spans="1:8" x14ac:dyDescent="0.25">
      <c r="A100" s="36" t="s">
        <v>428</v>
      </c>
      <c r="B100" s="2"/>
      <c r="C100" s="2"/>
      <c r="D100" s="2"/>
      <c r="E100" s="2"/>
      <c r="F100" s="2"/>
      <c r="G100" s="36" t="s">
        <v>544</v>
      </c>
      <c r="H100" s="36" t="s">
        <v>545</v>
      </c>
    </row>
    <row r="101" spans="1:8" x14ac:dyDescent="0.25">
      <c r="A101" s="36" t="s">
        <v>429</v>
      </c>
      <c r="B101" s="2"/>
      <c r="C101" s="2"/>
      <c r="D101" s="2"/>
      <c r="E101" s="2"/>
      <c r="F101" s="2"/>
      <c r="G101" s="36" t="s">
        <v>546</v>
      </c>
      <c r="H101" s="36" t="s">
        <v>547</v>
      </c>
    </row>
    <row r="102" spans="1:8" x14ac:dyDescent="0.25">
      <c r="A102" s="36" t="s">
        <v>430</v>
      </c>
      <c r="B102" s="2"/>
      <c r="C102" s="2"/>
      <c r="D102" s="2"/>
      <c r="E102" s="2"/>
      <c r="F102" s="2"/>
      <c r="G102" s="36" t="s">
        <v>548</v>
      </c>
      <c r="H102" s="36" t="s">
        <v>549</v>
      </c>
    </row>
    <row r="103" spans="1:8" x14ac:dyDescent="0.25">
      <c r="A103" s="35" t="s">
        <v>365</v>
      </c>
      <c r="B103" s="2"/>
      <c r="C103" s="2"/>
      <c r="D103" s="2"/>
      <c r="E103" s="2"/>
      <c r="F103" s="2"/>
      <c r="G103" s="35" t="s">
        <v>34</v>
      </c>
      <c r="H103" s="35" t="s">
        <v>202</v>
      </c>
    </row>
    <row r="104" spans="1:8" x14ac:dyDescent="0.25">
      <c r="A104" s="36" t="s">
        <v>431</v>
      </c>
      <c r="B104" s="2"/>
      <c r="C104" s="2"/>
      <c r="D104" s="2"/>
      <c r="E104" s="2"/>
      <c r="F104" s="2"/>
      <c r="G104" s="35" t="s">
        <v>580</v>
      </c>
      <c r="H104" s="35" t="s">
        <v>581</v>
      </c>
    </row>
    <row r="105" spans="1:8" x14ac:dyDescent="0.25">
      <c r="A105" s="36" t="s">
        <v>432</v>
      </c>
      <c r="B105" s="2"/>
      <c r="C105" s="2"/>
      <c r="D105" s="2"/>
      <c r="E105" s="2"/>
      <c r="F105" s="2"/>
      <c r="G105" s="36" t="s">
        <v>184</v>
      </c>
      <c r="H105" s="36" t="s">
        <v>185</v>
      </c>
    </row>
    <row r="106" spans="1:8" x14ac:dyDescent="0.25">
      <c r="A106" s="36" t="s">
        <v>433</v>
      </c>
      <c r="B106" s="2"/>
      <c r="C106" s="2"/>
      <c r="D106" s="2"/>
      <c r="E106" s="2"/>
      <c r="F106" s="2"/>
      <c r="G106" s="36" t="s">
        <v>582</v>
      </c>
      <c r="H106" s="36" t="s">
        <v>583</v>
      </c>
    </row>
    <row r="107" spans="1:8" x14ac:dyDescent="0.25">
      <c r="A107" s="35" t="s">
        <v>366</v>
      </c>
      <c r="B107" s="2"/>
      <c r="C107" s="2"/>
      <c r="D107" s="2"/>
      <c r="E107" s="2"/>
      <c r="F107" s="2"/>
      <c r="G107" s="35" t="s">
        <v>550</v>
      </c>
      <c r="H107" s="35" t="s">
        <v>551</v>
      </c>
    </row>
    <row r="108" spans="1:8" x14ac:dyDescent="0.25">
      <c r="A108" s="36" t="s">
        <v>434</v>
      </c>
      <c r="B108" s="2"/>
      <c r="C108" s="2"/>
      <c r="D108" s="2"/>
      <c r="E108" s="2"/>
      <c r="F108" s="2"/>
      <c r="G108" s="35" t="s">
        <v>578</v>
      </c>
      <c r="H108" s="35" t="s">
        <v>579</v>
      </c>
    </row>
    <row r="109" spans="1:8" x14ac:dyDescent="0.25">
      <c r="A109" s="36" t="s">
        <v>441</v>
      </c>
      <c r="B109" s="2"/>
      <c r="C109" s="2"/>
      <c r="D109" s="2"/>
      <c r="E109" s="2"/>
      <c r="F109" s="2"/>
      <c r="G109" s="36" t="s">
        <v>552</v>
      </c>
      <c r="H109" s="36" t="s">
        <v>553</v>
      </c>
    </row>
    <row r="110" spans="1:8" x14ac:dyDescent="0.25">
      <c r="A110" s="36" t="s">
        <v>447</v>
      </c>
      <c r="B110" s="2"/>
      <c r="C110" s="2"/>
      <c r="D110" s="2"/>
      <c r="E110" s="2"/>
      <c r="F110" s="2"/>
      <c r="G110" s="36" t="s">
        <v>554</v>
      </c>
      <c r="H110" s="36" t="s">
        <v>555</v>
      </c>
    </row>
    <row r="111" spans="1:8" x14ac:dyDescent="0.25">
      <c r="A111" s="36" t="s">
        <v>448</v>
      </c>
      <c r="B111" s="2"/>
      <c r="C111" s="2"/>
      <c r="D111" s="2"/>
      <c r="E111" s="2"/>
      <c r="F111" s="2"/>
      <c r="G111" s="36" t="s">
        <v>556</v>
      </c>
      <c r="H111" s="36" t="s">
        <v>557</v>
      </c>
    </row>
    <row r="112" spans="1:8" x14ac:dyDescent="0.25">
      <c r="A112" s="36" t="s">
        <v>442</v>
      </c>
      <c r="B112" s="2"/>
      <c r="C112" s="2"/>
      <c r="D112" s="2"/>
      <c r="E112" s="2"/>
      <c r="F112" s="2"/>
      <c r="G112" s="36" t="s">
        <v>558</v>
      </c>
      <c r="H112" s="36" t="s">
        <v>559</v>
      </c>
    </row>
    <row r="113" spans="1:8" x14ac:dyDescent="0.25">
      <c r="A113" s="35" t="s">
        <v>367</v>
      </c>
      <c r="B113" s="2"/>
      <c r="C113" s="2"/>
      <c r="D113" s="2"/>
      <c r="E113" s="2"/>
      <c r="F113" s="2"/>
      <c r="G113" s="35" t="s">
        <v>560</v>
      </c>
      <c r="H113" s="35" t="s">
        <v>561</v>
      </c>
    </row>
    <row r="114" spans="1:8" x14ac:dyDescent="0.25">
      <c r="A114" s="36" t="s">
        <v>435</v>
      </c>
      <c r="B114" s="2"/>
      <c r="C114" s="2"/>
      <c r="D114" s="2"/>
      <c r="E114" s="2"/>
      <c r="F114" s="2"/>
      <c r="G114" s="35" t="s">
        <v>576</v>
      </c>
      <c r="H114" s="35" t="s">
        <v>577</v>
      </c>
    </row>
    <row r="115" spans="1:8" x14ac:dyDescent="0.25">
      <c r="A115" s="36" t="s">
        <v>443</v>
      </c>
      <c r="B115" s="2"/>
      <c r="C115" s="2"/>
      <c r="D115" s="2"/>
      <c r="E115" s="2"/>
      <c r="F115" s="2"/>
      <c r="G115" s="36" t="s">
        <v>562</v>
      </c>
      <c r="H115" s="36" t="s">
        <v>568</v>
      </c>
    </row>
    <row r="116" spans="1:8" x14ac:dyDescent="0.25">
      <c r="A116" s="36" t="s">
        <v>444</v>
      </c>
      <c r="B116" s="2"/>
      <c r="C116" s="2"/>
      <c r="D116" s="2"/>
      <c r="E116" s="2"/>
      <c r="F116" s="2"/>
      <c r="G116" s="36" t="s">
        <v>565</v>
      </c>
      <c r="H116" s="36" t="s">
        <v>569</v>
      </c>
    </row>
    <row r="117" spans="1:8" x14ac:dyDescent="0.25">
      <c r="A117" s="36" t="s">
        <v>445</v>
      </c>
      <c r="B117" s="2"/>
      <c r="C117" s="2"/>
      <c r="D117" s="2"/>
      <c r="E117" s="2"/>
      <c r="F117" s="2"/>
      <c r="G117" s="36" t="s">
        <v>566</v>
      </c>
      <c r="H117" s="36" t="s">
        <v>570</v>
      </c>
    </row>
    <row r="118" spans="1:8" x14ac:dyDescent="0.25">
      <c r="A118" s="36" t="s">
        <v>446</v>
      </c>
      <c r="B118" s="2"/>
      <c r="C118" s="2"/>
      <c r="D118" s="2"/>
      <c r="E118" s="2"/>
      <c r="F118" s="2"/>
      <c r="G118" s="36" t="s">
        <v>567</v>
      </c>
      <c r="H118" s="36" t="s">
        <v>571</v>
      </c>
    </row>
  </sheetData>
  <phoneticPr fontId="1" type="noConversion"/>
  <dataValidations count="1">
    <dataValidation type="list" showInputMessage="1" promptTitle="Langue" prompt="Choisir une langue" sqref="J1" xr:uid="{DF6F6A5D-F89C-48BD-A7D0-986BFB10FCD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7" zoomScale="82" zoomScaleNormal="82" workbookViewId="0">
      <selection activeCell="J38" sqref="J38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589</v>
      </c>
      <c r="Q1" s="9" t="s">
        <v>600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585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587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586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590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601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591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597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598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592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593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594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595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596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586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598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598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586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181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45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597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598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592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593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594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595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596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586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598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598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10</vt:i4>
      </vt:variant>
    </vt:vector>
  </HeadingPairs>
  <TitlesOfParts>
    <vt:vector size="18" baseType="lpstr">
      <vt:lpstr>Liste des reportings</vt:lpstr>
      <vt:lpstr>B - 2000.09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tReportingNew2___RF_Save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2021-03-16T17:45:16Z</dcterms:modified>
</cp:coreProperties>
</file>