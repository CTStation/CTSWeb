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ierre\Documents\GitHub\CTSWeb\Client\"/>
    </mc:Choice>
  </mc:AlternateContent>
  <xr:revisionPtr revIDLastSave="0" documentId="13_ncr:1_{3B35BC5E-06D7-4F62-910C-DED2287B994B}" xr6:coauthVersionLast="46" xr6:coauthVersionMax="46" xr10:uidLastSave="{00000000-0000-0000-0000-000000000000}"/>
  <bookViews>
    <workbookView xWindow="-120" yWindow="-120" windowWidth="20730" windowHeight="11160" tabRatio="723" xr2:uid="{00000000-000D-0000-FFFF-FFFF00000000}"/>
  </bookViews>
  <sheets>
    <sheet name="Liste des reportings" sheetId="6" r:id="rId1"/>
    <sheet name="CACHE" sheetId="10" r:id="rId2"/>
    <sheet name="Planning" sheetId="4" r:id="rId3"/>
    <sheet name="History" sheetId="7" r:id="rId4"/>
    <sheet name="I18N" sheetId="2" r:id="rId5"/>
    <sheet name="JSON" sheetId="8" r:id="rId6"/>
    <sheet name="JSON (2)" sheetId="13" r:id="rId7"/>
  </sheets>
  <functionGroups builtInGroupCount="19"/>
  <definedNames>
    <definedName name="_xlnm._FilterDatabase" localSheetId="0" hidden="1">'Liste des reportings'!$C$10:$E$14</definedName>
    <definedName name="_xlnm._FilterDatabase" localSheetId="2" hidden="1">Planning!$F$17:$L$73</definedName>
    <definedName name="cell_JSON_Param" localSheetId="6">'JSON (2)'!$I$1</definedName>
    <definedName name="cell_JSON_Param">JSON!$J$1</definedName>
    <definedName name="cellLanguage">I18N!$J$1</definedName>
    <definedName name="JSON_MetadataQuery">JSON!$Q$1</definedName>
    <definedName name="lCategory">Planning!$B$3:$B$5</definedName>
    <definedName name="lCategoryVersion">Planning!$B$9</definedName>
    <definedName name="lFolders">Planning!$B$12:$B$13</definedName>
    <definedName name="tReportingNew10___RF_Save">#REF!</definedName>
    <definedName name="tReportings____ROWS_">'Liste des reportings'!$H$14:$I$14</definedName>
    <definedName name="tReportings___RF_Refresh">'Liste des reportings'!$D$10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6" l="1"/>
  <c r="K73" i="4"/>
  <c r="I15" i="6"/>
  <c r="H15" i="6"/>
  <c r="I14" i="6"/>
  <c r="H14" i="6"/>
  <c r="F12" i="6"/>
  <c r="E12" i="6"/>
  <c r="D12" i="6"/>
  <c r="C12" i="6"/>
  <c r="D10" i="6"/>
  <c r="L73" i="4" l="1"/>
  <c r="J73" i="4"/>
  <c r="I73" i="4" l="1"/>
  <c r="H73" i="4"/>
  <c r="F73" i="4" l="1"/>
  <c r="G73" i="4"/>
  <c r="D73" i="4"/>
  <c r="C73" i="4"/>
  <c r="I4" i="6" a="1"/>
  <c r="B73" i="4" l="1"/>
  <c r="I4" i="6"/>
  <c r="G10" i="2"/>
  <c r="H10" i="2" l="1"/>
  <c r="G17" i="2" l="1"/>
  <c r="H17" i="2"/>
  <c r="B4" i="6" a="1"/>
  <c r="B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<sst xmlns="http://schemas.openxmlformats.org/spreadsheetml/2006/main" count="1181" uniqueCount="602">
  <si>
    <t>ID</t>
  </si>
  <si>
    <t>Param1</t>
  </si>
  <si>
    <t>Param2</t>
  </si>
  <si>
    <t>Param3</t>
  </si>
  <si>
    <t>Param4</t>
  </si>
  <si>
    <t>Param5</t>
  </si>
  <si>
    <t>Start time</t>
  </si>
  <si>
    <t>Source</t>
  </si>
  <si>
    <t>Message</t>
  </si>
  <si>
    <t>Start</t>
  </si>
  <si>
    <t>LOG_End</t>
  </si>
  <si>
    <t>en_US</t>
  </si>
  <si>
    <t>fr_FR</t>
  </si>
  <si>
    <t>Français</t>
  </si>
  <si>
    <t>Anglais</t>
  </si>
  <si>
    <t>French</t>
  </si>
  <si>
    <t>English</t>
  </si>
  <si>
    <t>Début</t>
  </si>
  <si>
    <t>Heure de début</t>
  </si>
  <si>
    <t>Reporting</t>
  </si>
  <si>
    <t>Category</t>
  </si>
  <si>
    <t>A</t>
  </si>
  <si>
    <t>C</t>
  </si>
  <si>
    <t>B</t>
  </si>
  <si>
    <t>Actual</t>
  </si>
  <si>
    <t>F</t>
  </si>
  <si>
    <t>Forecast</t>
  </si>
  <si>
    <t>Budget</t>
  </si>
  <si>
    <t>Category version</t>
  </si>
  <si>
    <t>Current</t>
  </si>
  <si>
    <t>Folders</t>
  </si>
  <si>
    <t>P-A</t>
  </si>
  <si>
    <t>Set of controls</t>
  </si>
  <si>
    <t>Restrictions</t>
  </si>
  <si>
    <t>Operation</t>
  </si>
  <si>
    <t>List of entities</t>
  </si>
  <si>
    <t>P-JV</t>
  </si>
  <si>
    <t>Todo</t>
  </si>
  <si>
    <t>Date picker</t>
  </si>
  <si>
    <t>Text entry</t>
  </si>
  <si>
    <t>Reporting period picker</t>
  </si>
  <si>
    <t>Level of control</t>
  </si>
  <si>
    <t>List of flows</t>
  </si>
  <si>
    <t>List of periods</t>
  </si>
  <si>
    <t>Site</t>
  </si>
  <si>
    <t>Currency</t>
  </si>
  <si>
    <t>Impasse sur le workflow</t>
  </si>
  <si>
    <t>Phase</t>
  </si>
  <si>
    <t>Exercice</t>
  </si>
  <si>
    <t>LOG_StartTime</t>
  </si>
  <si>
    <t>LOG_Source</t>
  </si>
  <si>
    <t>LOG_Message</t>
  </si>
  <si>
    <t>LOG_Start</t>
  </si>
  <si>
    <t>I18N_Version</t>
  </si>
  <si>
    <t>Created</t>
  </si>
  <si>
    <t>Date de création</t>
  </si>
  <si>
    <t>https://www.flaticon.com/</t>
  </si>
  <si>
    <t>I18N_CellValLanguage</t>
  </si>
  <si>
    <t>Language</t>
  </si>
  <si>
    <t>Langue</t>
  </si>
  <si>
    <t>I18N_CellValTip</t>
  </si>
  <si>
    <t>Choisir une langue</t>
  </si>
  <si>
    <t>Choose a language</t>
  </si>
  <si>
    <t/>
  </si>
  <si>
    <t>Tarik</t>
  </si>
  <si>
    <t>Liste des reportings</t>
  </si>
  <si>
    <t>Pierre</t>
  </si>
  <si>
    <t>Category (généralisé à toutes les dimensions)</t>
  </si>
  <si>
    <t>Category version (dépend de la catégory)</t>
  </si>
  <si>
    <t>Duplication</t>
  </si>
  <si>
    <t>JSON</t>
  </si>
  <si>
    <t>Gestion des erreurs</t>
  </si>
  <si>
    <t>Packaging et tests</t>
  </si>
  <si>
    <t>RF_Phase</t>
  </si>
  <si>
    <t>RF_CreationDate</t>
  </si>
  <si>
    <t>RF_Title</t>
  </si>
  <si>
    <t>CTS Reporting Factory</t>
  </si>
  <si>
    <t>Génération des reportings</t>
  </si>
  <si>
    <t>RF_Duplicate</t>
  </si>
  <si>
    <t>Modify</t>
  </si>
  <si>
    <t>Duplicate</t>
  </si>
  <si>
    <t>Modifier</t>
  </si>
  <si>
    <t>Dupliquer</t>
  </si>
  <si>
    <t>RF_Modify</t>
  </si>
  <si>
    <t>TODO</t>
  </si>
  <si>
    <t>Fonction de traduction des dates, avec formats par defaut pour long et court et nom des jours</t>
  </si>
  <si>
    <t>Tri des tableaux</t>
  </si>
  <si>
    <t>RF_Refresh</t>
  </si>
  <si>
    <t>Refresh list</t>
  </si>
  <si>
    <t>Mettre à jour la liste</t>
  </si>
  <si>
    <t>Query</t>
  </si>
  <si>
    <t>Title</t>
  </si>
  <si>
    <t>Hidden</t>
  </si>
  <si>
    <t>RF_ID</t>
  </si>
  <si>
    <t>Yes</t>
  </si>
  <si>
    <t>CreationDate</t>
  </si>
  <si>
    <t>No</t>
  </si>
  <si>
    <t>JSON Column</t>
  </si>
  <si>
    <t>Int</t>
  </si>
  <si>
    <t>Date</t>
  </si>
  <si>
    <t>JSON Type</t>
  </si>
  <si>
    <t>String</t>
  </si>
  <si>
    <t>UpdatePeriod</t>
  </si>
  <si>
    <t>RF_UpdatePeriod</t>
  </si>
  <si>
    <t>Update Period</t>
  </si>
  <si>
    <t>RF_FrameworkVersion</t>
  </si>
  <si>
    <t>Header</t>
  </si>
  <si>
    <t>Version de référentiel</t>
  </si>
  <si>
    <t>Position</t>
  </si>
  <si>
    <t>Row</t>
  </si>
  <si>
    <t>I18N</t>
  </si>
  <si>
    <t>Command</t>
  </si>
  <si>
    <t>Table</t>
  </si>
  <si>
    <t>tReportings</t>
  </si>
  <si>
    <t>Leave at least one empty line between one query and the next</t>
  </si>
  <si>
    <t>Reporting List</t>
  </si>
  <si>
    <t>Params</t>
  </si>
  <si>
    <t>The MIT License (MIT)</t>
  </si>
  <si>
    <t>Copyright (c) 2016 Tim Hall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</si>
  <si>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</si>
  <si>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</si>
  <si>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</si>
  <si>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</si>
  <si>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</si>
  <si>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</si>
  <si>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</si>
  <si>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</si>
  <si>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</si>
  <si>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</si>
  <si>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</si>
  <si>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</si>
  <si>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</si>
  <si>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</si>
  <si>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</si>
  <si>
    <t>RF_Save</t>
  </si>
  <si>
    <t>Required</t>
  </si>
  <si>
    <t>JSON Row Array</t>
  </si>
  <si>
    <t>Data</t>
  </si>
  <si>
    <t>x</t>
  </si>
  <si>
    <t>Credits</t>
  </si>
  <si>
    <t>icons</t>
  </si>
  <si>
    <t>Actions en ligne</t>
  </si>
  <si>
    <t>Traduction des feuilles</t>
  </si>
  <si>
    <t>Cacher la barre de formules</t>
  </si>
  <si>
    <t>Fenêtre d'atente</t>
  </si>
  <si>
    <t>Traduire les erreurs</t>
  </si>
  <si>
    <t>RF_Entity</t>
  </si>
  <si>
    <t>RF_InputCurrency</t>
  </si>
  <si>
    <t>RF_CutoffDate</t>
  </si>
  <si>
    <t>Boolean</t>
  </si>
  <si>
    <t>RF_AfterPublication</t>
  </si>
  <si>
    <t>RF_AfterTransfer</t>
  </si>
  <si>
    <t>Sélection après création</t>
  </si>
  <si>
    <t>Passage d'argument dans les commandes</t>
  </si>
  <si>
    <t>Format</t>
  </si>
  <si>
    <t>Editor</t>
  </si>
  <si>
    <t>LongDate</t>
  </si>
  <si>
    <t>I18N_Months</t>
  </si>
  <si>
    <t>Jan. Feb. Mar. Apr. May June July Aug. Sep. Oct. Nov. Dec. January February March April May June July August September October November December</t>
  </si>
  <si>
    <t>jan. fév. mars ajr. mai juin juil. août sep. oct. nov. déc. janvier février mars avril mai june juillet août septembre octobre novembre décembre</t>
  </si>
  <si>
    <t>I18N_Days</t>
  </si>
  <si>
    <t>Sun Mon Tue Wed Thu Fri Sat Sunday Monday Tuesday Wednesday Thursday Friday Saturday</t>
  </si>
  <si>
    <t>I18N_YesNo</t>
  </si>
  <si>
    <t>Yes No</t>
  </si>
  <si>
    <t>Oui Non</t>
  </si>
  <si>
    <t>01</t>
  </si>
  <si>
    <t>10 12 15</t>
  </si>
  <si>
    <t>I18N_DateFormats</t>
  </si>
  <si>
    <t>Dim Lun Mar Mer Jeu Ven Sam Dimanche Lundi Mardi Mercredi Jeudi Vendredi Samedi</t>
  </si>
  <si>
    <t>mm/dd/yy|ddd mmm dd, yyyy|dddd mmmm dd, yyyy</t>
  </si>
  <si>
    <t>dd mm yy|ddd dd mmm yyyy|dddd dd mmmm yyyy</t>
  </si>
  <si>
    <t>RF_UpdateData</t>
  </si>
  <si>
    <t>RF_UpdateDataTitle</t>
  </si>
  <si>
    <t>Connection au serveur</t>
  </si>
  <si>
    <t>Connect to server</t>
  </si>
  <si>
    <t>RF_I18N_Sheet</t>
  </si>
  <si>
    <t>Proposer de changer de server sur timeout</t>
  </si>
  <si>
    <t>{"CodeName": "RF_I18N_Sheet", "Cell": "C10"}</t>
  </si>
  <si>
    <t>{"RF_ID":"?","RF_Phase":"?","RF_UpdatePeriod":"?"}</t>
  </si>
  <si>
    <t>Données dans feuille et relecture</t>
  </si>
  <si>
    <t>RF_EarlyPublishing</t>
  </si>
  <si>
    <t>Entity</t>
  </si>
  <si>
    <t>Unité</t>
  </si>
  <si>
    <t>Devise</t>
  </si>
  <si>
    <t>Cutoff Date</t>
  </si>
  <si>
    <t>Date limite</t>
  </si>
  <si>
    <t>Integrate after publication</t>
  </si>
  <si>
    <t>Integrate after transfer</t>
  </si>
  <si>
    <t>Intégrer après publication</t>
  </si>
  <si>
    <t>Intégrer après transfert</t>
  </si>
  <si>
    <t>Sauvegarder</t>
  </si>
  <si>
    <t>/Data/Phase</t>
  </si>
  <si>
    <t>/Data/UpdatePeriod</t>
  </si>
  <si>
    <t>/Data/FrameworkVersion</t>
  </si>
  <si>
    <t>yyyy-mm-dd hh:mm</t>
  </si>
  <si>
    <t>#Group</t>
  </si>
  <si>
    <t>Level</t>
  </si>
  <si>
    <t>RF_Entity2</t>
  </si>
  <si>
    <t>RF_Operation</t>
  </si>
  <si>
    <t>RF_Reporting</t>
  </si>
  <si>
    <t>Code</t>
  </si>
  <si>
    <t>Name</t>
  </si>
  <si>
    <t>Exploitation</t>
  </si>
  <si>
    <t>Colonnes à cacher dans feuille</t>
  </si>
  <si>
    <t xml:space="preserve"> 1</t>
  </si>
  <si>
    <t xml:space="preserve"> 2</t>
  </si>
  <si>
    <t xml:space="preserve"> 3</t>
  </si>
  <si>
    <t xml:space="preserve"> 4</t>
  </si>
  <si>
    <t xml:space="preserve">Gérer l'erreur 408 </t>
  </si>
  <si>
    <t>Save changes</t>
  </si>
  <si>
    <t>Version 0.7</t>
  </si>
  <si>
    <t>29 07 2020</t>
  </si>
  <si>
    <t>Corrige Save Changes (manquait un n)</t>
  </si>
  <si>
    <t>Prépare les suggestions de Bruno</t>
  </si>
  <si>
    <t>Adapté au 64 bits</t>
  </si>
  <si>
    <t>Version 0.6</t>
  </si>
  <si>
    <t>27 07 2020</t>
  </si>
  <si>
    <t>Première diffusion pour revue</t>
  </si>
  <si>
    <t>Dans le dialogue de duplication, ajouter la deadline et les dates de début et de fin</t>
  </si>
  <si>
    <t>Autoriser plusieurs reprtings dans une même feuille</t>
  </si>
  <si>
    <t>Tâches de consolidation et de pré consolidation</t>
  </si>
  <si>
    <t>Définitions de consolidation</t>
  </si>
  <si>
    <t>Chargement des taux</t>
  </si>
  <si>
    <t>Web Access</t>
  </si>
  <si>
    <t>64 bits</t>
  </si>
  <si>
    <t>Première diffusion</t>
  </si>
  <si>
    <t>Version 0.8</t>
  </si>
  <si>
    <t>29 11 2020</t>
  </si>
  <si>
    <t>Séparer l'adresse du serveur du reste des requêtes</t>
  </si>
  <si>
    <t>Content</t>
  </si>
  <si>
    <t>JSON Query</t>
  </si>
  <si>
    <t>Next ID</t>
  </si>
  <si>
    <t>Gère la dupication</t>
  </si>
  <si>
    <t>Cache les données</t>
  </si>
  <si>
    <t>Gère l'ouverture de plusieurs reportings</t>
  </si>
  <si>
    <t>Direction</t>
  </si>
  <si>
    <t>Timestamp</t>
  </si>
  <si>
    <t>Voulez-vous vous connecter au serveur et mettre à jour la liste des reportings ?</t>
  </si>
  <si>
    <t>Key</t>
  </si>
  <si>
    <t>tReporting{ID}</t>
  </si>
  <si>
    <t>Le serveur ne fait pas partie de l'identifiant des données, donc des comparaisons entre serveurs exigent deux fichiers</t>
  </si>
  <si>
    <t>Traduire les forms</t>
  </si>
  <si>
    <t>Version 0.9</t>
  </si>
  <si>
    <t>Bug fix</t>
  </si>
  <si>
    <t>Supprime la référence aux contrôles SP4</t>
  </si>
  <si>
    <t>Cache le quadrillage dans les détails</t>
  </si>
  <si>
    <t>Version 0.91</t>
  </si>
  <si>
    <t>Version 0.92.1</t>
  </si>
  <si>
    <t>28 02 2021</t>
  </si>
  <si>
    <t>Full info</t>
  </si>
  <si>
    <t>aj</t>
  </si>
  <si>
    <t>FlatDesc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</si>
  <si>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</si>
  <si>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</si>
  <si>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</si>
  <si>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</si>
  <si>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</si>
  <si>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</si>
  <si>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</si>
  <si>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</si>
  <si>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</si>
  <si>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</si>
  <si>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</si>
  <si>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</si>
  <si>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</si>
  <si>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</si>
  <si>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</si>
  <si>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</si>
  <si>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</si>
  <si>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</si>
  <si>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</si>
  <si>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</si>
  <si>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</si>
  <si>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z</t>
  </si>
  <si>
    <t>aa</t>
  </si>
  <si>
    <t>ab</t>
  </si>
  <si>
    <t>ac</t>
  </si>
  <si>
    <t>ae</t>
  </si>
  <si>
    <t>af</t>
  </si>
  <si>
    <t>ag</t>
  </si>
  <si>
    <t>ah</t>
  </si>
  <si>
    <t>ak</t>
  </si>
  <si>
    <t>al</t>
  </si>
  <si>
    <t>am</t>
  </si>
  <si>
    <t>an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</si>
  <si>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</si>
  <si>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</si>
  <si>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</si>
  <si>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</si>
  <si>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</si>
  <si>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</si>
  <si>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</si>
  <si>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</si>
  <si>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</si>
  <si>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</si>
  <si>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</si>
  <si>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</si>
  <si>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</si>
  <si>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</si>
  <si>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</si>
  <si>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</si>
  <si>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</si>
  <si>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</si>
  <si>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</si>
  <si>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</si>
  <si>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</si>
  <si>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</si>
  <si>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</si>
  <si>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</si>
  <si>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</si>
  <si>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</si>
  <si>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</si>
  <si>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</si>
  <si>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</si>
  <si>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</si>
  <si>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</si>
  <si>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</si>
  <si>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</si>
  <si>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</si>
  <si>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</si>
  <si>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</si>
  <si>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</si>
  <si>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ReturnCol</t>
  </si>
  <si>
    <t>RF_RepPack</t>
  </si>
  <si>
    <t>RF_RepOp</t>
  </si>
  <si>
    <t>RF_RepOpAftPub</t>
  </si>
  <si>
    <t>RF_RepOpAftTran</t>
  </si>
  <si>
    <t>RF_RepDesc</t>
  </si>
  <si>
    <t>InputCurrency</t>
  </si>
  <si>
    <t>InputSite</t>
  </si>
  <si>
    <t>PublicationSite</t>
  </si>
  <si>
    <t>PackPackage/UseDefaultWindowsFolder</t>
  </si>
  <si>
    <t>PackPackage/WindowsFolder</t>
  </si>
  <si>
    <t>PackPackage/UseDefaultInternetFolder</t>
  </si>
  <si>
    <t>PackPackage/InternetFolder</t>
  </si>
  <si>
    <t>PackPackage/UseDefaultSetOfControls</t>
  </si>
  <si>
    <t>PackPackage/SetOfControls</t>
  </si>
  <si>
    <t>PackPackage/UseDefaultLevel</t>
  </si>
  <si>
    <t>PackPackage/LevelToReach</t>
  </si>
  <si>
    <t>PackPackage/Blocking</t>
  </si>
  <si>
    <t>PackPackage/UseDefaultLock</t>
  </si>
  <si>
    <t>PackPackage/LockOnPublication</t>
  </si>
  <si>
    <t>PackPackage/UseDefaultRuleSet</t>
  </si>
  <si>
    <t>PackPackage/RuleSet</t>
  </si>
  <si>
    <t>PackPackage/UseDefaultOpbal</t>
  </si>
  <si>
    <t>PackPackage/HasOpBal</t>
  </si>
  <si>
    <t>PackPackage/OpbPhase</t>
  </si>
  <si>
    <t>PackPackage/OpbUpdatePeriod</t>
  </si>
  <si>
    <t>PackPackage/OpbScope</t>
  </si>
  <si>
    <t>PackPackage/OpbVariant</t>
  </si>
  <si>
    <t>PackPackage/OpbConsCurrency</t>
  </si>
  <si>
    <t>PackOperation/UseDefaultPublish</t>
  </si>
  <si>
    <t>PackOperation/PackPublishingCutOffDate</t>
  </si>
  <si>
    <t>PackOperation/AllowEarlyPublishing</t>
  </si>
  <si>
    <t>PackOperation/UseDefaultAfterPub</t>
  </si>
  <si>
    <t>PackOperation/AfterPublication/Standard</t>
  </si>
  <si>
    <t>PackOperation/AfterPublication/Special</t>
  </si>
  <si>
    <t>PackOperation/AfterPublication/Advanced</t>
  </si>
  <si>
    <t>PackOperation/AfterPublication/Level</t>
  </si>
  <si>
    <t>PackOperation/UseDefaultAfterTran</t>
  </si>
  <si>
    <t>PackOperation/AfterTransfer/Standard</t>
  </si>
  <si>
    <t>PackOperation/AfterTransfer/Special</t>
  </si>
  <si>
    <t>PackOperation/AfterTransfer/Advanced</t>
  </si>
  <si>
    <t>PackOperation/AfterTransfer/Level</t>
  </si>
  <si>
    <t>RF_EntPack</t>
  </si>
  <si>
    <t>RF_EntOp</t>
  </si>
  <si>
    <t>RF_EntOpAftPub</t>
  </si>
  <si>
    <t>RF_EntOpAftTran</t>
  </si>
  <si>
    <t>Folder</t>
  </si>
  <si>
    <t>Lock</t>
  </si>
  <si>
    <t>SetOfRules</t>
  </si>
  <si>
    <t>Recipient</t>
  </si>
  <si>
    <t>RF_Start</t>
  </si>
  <si>
    <t>RF_End</t>
  </si>
  <si>
    <t>/Data/ReportingStartDate</t>
  </si>
  <si>
    <t>/Data/ReportingEndDate</t>
  </si>
  <si>
    <t>/Data/DefaultPackage/UseDefaultWindowsFolder</t>
  </si>
  <si>
    <t>/Data/DefaultPackage/WindowsFolder</t>
  </si>
  <si>
    <t>/Data/DefaultPackage/UseDefaultInternetFolder</t>
  </si>
  <si>
    <t>/Data/DefaultPackage/InternetFolder</t>
  </si>
  <si>
    <t>/Data/DefaultPackage/UseDefaultSetOfControls</t>
  </si>
  <si>
    <t>/Data/DefaultPackage/SetOfControls</t>
  </si>
  <si>
    <t>/Data/DefaultPackage/UseDefaultLevel</t>
  </si>
  <si>
    <t>/Data/DefaultPackage/LevelToReach</t>
  </si>
  <si>
    <t>/Data/DefaultPackage/Blocking</t>
  </si>
  <si>
    <t>/Data/DefaultPackage/UseDefaultLock</t>
  </si>
  <si>
    <t>/Data/DefaultPackage/LockOnPublication</t>
  </si>
  <si>
    <t>/Data/DefaultPackage/UseDefaultRuleSet</t>
  </si>
  <si>
    <t>/Data/DefaultPackage/RuleSet</t>
  </si>
  <si>
    <t>/Data/DefaultPackage/UseDefaultOpbal</t>
  </si>
  <si>
    <t>/Data/DefaultPackage/HasOpBal</t>
  </si>
  <si>
    <t>/Data/DefaultPackage/OpbPhase</t>
  </si>
  <si>
    <t>/Data/DefaultPackage/OpbUpdatePeriod</t>
  </si>
  <si>
    <t>/Data/DefaultPackage/OpbScope</t>
  </si>
  <si>
    <t>/Data/DefaultPackage/OpbVariant</t>
  </si>
  <si>
    <t>/Data/DefaultPackage/OpbConsCurrency</t>
  </si>
  <si>
    <t>/Data/DefaultOperation/PackPublishingCutOffDate</t>
  </si>
  <si>
    <t>/Data/DefaultOperation/AllowEarlyPublishing</t>
  </si>
  <si>
    <t>/Data/DefaultOperation/AfterPublication/Standard</t>
  </si>
  <si>
    <t>/Data/DefaultOperation/AfterPublication/Special</t>
  </si>
  <si>
    <t>/Data/DefaultOperation/AfterPublication/Advanced</t>
  </si>
  <si>
    <t>/Data/DefaultOperation/AfterPublication/Level</t>
  </si>
  <si>
    <t>/Data/DefaultOperation/AfterTransfer/Standard</t>
  </si>
  <si>
    <t>/Data/DefaultOperation/AfterTransfer/Special</t>
  </si>
  <si>
    <t>/Data/DefaultOperation/AfterTransfer/Advanced</t>
  </si>
  <si>
    <t>/Data/DefaultOperation/AfterTransfer/Level</t>
  </si>
  <si>
    <t>/Data/Descriptions</t>
  </si>
  <si>
    <t>RF_RepOpAftPubStd</t>
  </si>
  <si>
    <t>RF_RepOpAftPubSpe</t>
  </si>
  <si>
    <t>RF_RepOpAftPubAdv</t>
  </si>
  <si>
    <t>RF_RepOpAftPubLvl</t>
  </si>
  <si>
    <t>RF_RepOpAftTranStd</t>
  </si>
  <si>
    <t>RF_RepOpAftTranSpe</t>
  </si>
  <si>
    <t>RF_RepOpAftTranAdv</t>
  </si>
  <si>
    <t>RF_RepOpAftTranLvl</t>
  </si>
  <si>
    <t>RF_InputSite</t>
  </si>
  <si>
    <t>RF_PublicationSite</t>
  </si>
  <si>
    <t>RF_EntUseDefaultWindowsFolder</t>
  </si>
  <si>
    <t>RF_EntUseDefaultInternetFolder</t>
  </si>
  <si>
    <t>RF_EntUseDefaultSetOfControls</t>
  </si>
  <si>
    <t>RF_EntUseDefaultLevel</t>
  </si>
  <si>
    <t>RF_EntLevelToReach</t>
  </si>
  <si>
    <t>RF_EntBlocking</t>
  </si>
  <si>
    <t>RF_EntUseDefaultLock</t>
  </si>
  <si>
    <t>RF_EntUseDefaultRuleSet</t>
  </si>
  <si>
    <t>RF_EntUseDefaultOpbal</t>
  </si>
  <si>
    <t>RF_EntHasOpBal</t>
  </si>
  <si>
    <t>RF_EntOpbUpdatePeriod</t>
  </si>
  <si>
    <t>RF_EntOpbScope</t>
  </si>
  <si>
    <t>RF_EntOpbVariant</t>
  </si>
  <si>
    <t>RF_EntOpbConsCurrency</t>
  </si>
  <si>
    <t>RF_EntUseDefaultPublish</t>
  </si>
  <si>
    <t>RF_EntPackPublishingCutOffDate</t>
  </si>
  <si>
    <t>RF_EntAllowEarlyPublishing</t>
  </si>
  <si>
    <t>RF_EntUseDefaultAfterPub</t>
  </si>
  <si>
    <t>RF_EntUseDefaultAfterTran</t>
  </si>
  <si>
    <t>RF_EntWindowsFolder</t>
  </si>
  <si>
    <t>RF_EntSetOfControls</t>
  </si>
  <si>
    <t>RF_EntLockOnPublication</t>
  </si>
  <si>
    <t>RF_EntRuleSet</t>
  </si>
  <si>
    <t>RF_EntOpbPhase</t>
  </si>
  <si>
    <t>RF_EntAftPubStandard</t>
  </si>
  <si>
    <t>RF_EntAftPubLevel</t>
  </si>
  <si>
    <t>RF_EntAftTranStandard</t>
  </si>
  <si>
    <t>RF_EntAftTranSpecial</t>
  </si>
  <si>
    <t>RF_EntAftTranAdvanced</t>
  </si>
  <si>
    <t>RF_EntAftTranLevel</t>
  </si>
  <si>
    <t>RF_EntAftPubSpecial</t>
  </si>
  <si>
    <t>RF_EntAftPubAdvanced</t>
  </si>
  <si>
    <t>RF_EntInternetFolder</t>
  </si>
  <si>
    <t>RF_UseDefaultWindowsFolder</t>
  </si>
  <si>
    <t>RF_WindowsFolder</t>
  </si>
  <si>
    <t>RF_UseDefaultInternetFolder</t>
  </si>
  <si>
    <t>RF_InternetFolder</t>
  </si>
  <si>
    <t>RF_UseDefaultSetOfControls</t>
  </si>
  <si>
    <t>RF_SetOfControls</t>
  </si>
  <si>
    <t>RF_UseDefaultLevel</t>
  </si>
  <si>
    <t>RF_LevelToReach</t>
  </si>
  <si>
    <t>RF_Blocking</t>
  </si>
  <si>
    <t>RF_UseDefaultLock</t>
  </si>
  <si>
    <t>RF_LockOnPublication</t>
  </si>
  <si>
    <t>RF_UseDefaultRuleSet</t>
  </si>
  <si>
    <t>RF_RuleSet</t>
  </si>
  <si>
    <t>RF_UseDefaultOpbal</t>
  </si>
  <si>
    <t>RF_HasOpBal</t>
  </si>
  <si>
    <t>RF_OpbPhase</t>
  </si>
  <si>
    <t>RF_OpbUpdatePeriod</t>
  </si>
  <si>
    <t>RF_OpbScope</t>
  </si>
  <si>
    <t>RF_OpbVariant</t>
  </si>
  <si>
    <t>RF_OpbConsCurrency</t>
  </si>
  <si>
    <t>Start date</t>
  </si>
  <si>
    <t>End date</t>
  </si>
  <si>
    <t>Fin</t>
  </si>
  <si>
    <t>Package</t>
  </si>
  <si>
    <t>Liasse</t>
  </si>
  <si>
    <t>Default Windows Folder?</t>
  </si>
  <si>
    <t>Default Internet Folder?</t>
  </si>
  <si>
    <t>Default Level?</t>
  </si>
  <si>
    <t>Blocking?</t>
  </si>
  <si>
    <t>Windows folder</t>
  </si>
  <si>
    <t>Internet folder</t>
  </si>
  <si>
    <t>Cahier Windows</t>
  </si>
  <si>
    <t>Cahier Internet</t>
  </si>
  <si>
    <t>Cahier Windows: défaut?</t>
  </si>
  <si>
    <t>Cahier Internet: défaut?</t>
  </si>
  <si>
    <t>Control Set: default?</t>
  </si>
  <si>
    <t>Jeu de contrôles: défaut?</t>
  </si>
  <si>
    <t>Control Set</t>
  </si>
  <si>
    <t>Jeu de contrôles</t>
  </si>
  <si>
    <t>Niveau de contrôle: défaut?</t>
  </si>
  <si>
    <t>Control Level</t>
  </si>
  <si>
    <t>Niveau de contrôle</t>
  </si>
  <si>
    <t>Bloquant?</t>
  </si>
  <si>
    <t>Connect to  server and refresh the reporting list?</t>
  </si>
  <si>
    <t>/api/reporting/{ID}</t>
  </si>
  <si>
    <t>/api/reportings</t>
  </si>
  <si>
    <t>Lacks restriction</t>
  </si>
  <si>
    <t>Lacks BFC Dim picker</t>
  </si>
  <si>
    <t>Bug on opening balance generation</t>
  </si>
  <si>
    <t>172.31.38.85</t>
  </si>
  <si>
    <t>SAPFCSQLSERVER</t>
  </si>
  <si>
    <t>ADMIN</t>
  </si>
  <si>
    <t>fr-FR</t>
  </si>
  <si>
    <t>en-US</t>
  </si>
  <si>
    <t>https://localhost:44304</t>
  </si>
  <si>
    <t>auLDescfr_FR</t>
  </si>
  <si>
    <t>RF_DescFr</t>
  </si>
  <si>
    <t>Multilang desc</t>
  </si>
  <si>
    <t>Serveur: Nettoyer le Save</t>
  </si>
  <si>
    <t>Serveur: A nouveaux</t>
  </si>
  <si>
    <t>Vider le cache en cas de changement de user/datasource</t>
  </si>
  <si>
    <t>Supprimer la copie cachée</t>
  </si>
  <si>
    <t>Afficher les libellés</t>
  </si>
  <si>
    <t>Jeton de session</t>
  </si>
  <si>
    <t>Liste des langues et erreurs dans la connexion</t>
  </si>
  <si>
    <t>Présenter les messages</t>
  </si>
  <si>
    <t>Data/EntityReportings</t>
  </si>
  <si>
    <t>Commande Add description</t>
  </si>
  <si>
    <t>Protéger la query de liste des reportings</t>
  </si>
  <si>
    <t>Largeur des cols</t>
  </si>
  <si>
    <t>{"Post":"/api/Reporting"}</t>
  </si>
  <si>
    <t>Version 0.93.1</t>
  </si>
  <si>
    <t>08 03 2021</t>
  </si>
  <si>
    <t>Saves reporting</t>
  </si>
  <si>
    <t>Placer sur une cellule visible</t>
  </si>
  <si>
    <t>Ouvrir et fermer les groupes au départ</t>
  </si>
  <si>
    <t>Changer l'ordre de plan quand juste des hidden</t>
  </si>
  <si>
    <t>Lock: default?</t>
  </si>
  <si>
    <t>Verrouillage: défaut?</t>
  </si>
  <si>
    <t>Verrouillage</t>
  </si>
  <si>
    <t>Lock on publication</t>
  </si>
  <si>
    <t>Rule Set: default?</t>
  </si>
  <si>
    <t>Jeu de règles: défaut?</t>
  </si>
  <si>
    <t>Tester le jeu de règles</t>
  </si>
  <si>
    <t>Rule Set</t>
  </si>
  <si>
    <t>Jeu de règles</t>
  </si>
  <si>
    <t>Opening balance: default?</t>
  </si>
  <si>
    <t>Opening balance?</t>
  </si>
  <si>
    <t>A-nouveaux: défaut?</t>
  </si>
  <si>
    <t>A-nouveaux?</t>
  </si>
  <si>
    <t>OB Category</t>
  </si>
  <si>
    <t>AN Phase</t>
  </si>
  <si>
    <t>OB Update Period</t>
  </si>
  <si>
    <t>AN Exercice</t>
  </si>
  <si>
    <t>OB Scope</t>
  </si>
  <si>
    <t>AN Périmètre</t>
  </si>
  <si>
    <t>OB Variant</t>
  </si>
  <si>
    <t>AN Variante</t>
  </si>
  <si>
    <t>OB Currency</t>
  </si>
  <si>
    <t>AN Devise</t>
  </si>
  <si>
    <t>After publication</t>
  </si>
  <si>
    <t>Après publication</t>
  </si>
  <si>
    <t>Standard pub.</t>
  </si>
  <si>
    <t>Publication standard</t>
  </si>
  <si>
    <t>Special pub.</t>
  </si>
  <si>
    <t>Publication spéciale</t>
  </si>
  <si>
    <t>Advanced pub.</t>
  </si>
  <si>
    <t>Publication avancée</t>
  </si>
  <si>
    <t>After pub. Level</t>
  </si>
  <si>
    <t>Niveau après pub.</t>
  </si>
  <si>
    <t>After transfert</t>
  </si>
  <si>
    <t>Après transfert</t>
  </si>
  <si>
    <t>Standard tran.</t>
  </si>
  <si>
    <t>Descriptions</t>
  </si>
  <si>
    <t>Libellés</t>
  </si>
  <si>
    <t>Special tran.</t>
  </si>
  <si>
    <t>Advanced tran.</t>
  </si>
  <si>
    <t>After tran. Level</t>
  </si>
  <si>
    <t>Transfert standard</t>
  </si>
  <si>
    <t>Transfert spécial</t>
  </si>
  <si>
    <t>Transfert avancé</t>
  </si>
  <si>
    <t>Niveau après tran.</t>
  </si>
  <si>
    <t>Input Site</t>
  </si>
  <si>
    <t>Site de saisie</t>
  </si>
  <si>
    <t>Publication Site</t>
  </si>
  <si>
    <t>Site de publication</t>
  </si>
  <si>
    <t>After transfert: default?</t>
  </si>
  <si>
    <t>Après transfert: défaut?</t>
  </si>
  <si>
    <t>After publication: default?</t>
  </si>
  <si>
    <t>Après publication: défaut?</t>
  </si>
  <si>
    <t>Operation: default?</t>
  </si>
  <si>
    <t>Exploitation: défaut?</t>
  </si>
  <si>
    <t>Early publishing?</t>
  </si>
  <si>
    <t>Publication anticipée?</t>
  </si>
  <si>
    <t>Date picker 64b</t>
  </si>
  <si>
    <t>Editable?</t>
  </si>
  <si>
    <t>#Group#Open</t>
  </si>
  <si>
    <t>Width</t>
  </si>
  <si>
    <t>Commande Add entities</t>
  </si>
  <si>
    <t>Editors</t>
  </si>
  <si>
    <t>PublishedFramework_1</t>
  </si>
  <si>
    <t>PublishedFramework_2</t>
  </si>
  <si>
    <t>Conso_1</t>
  </si>
  <si>
    <t>Conso_2</t>
  </si>
  <si>
    <t>Conso_3</t>
  </si>
  <si>
    <t>Conso_4</t>
  </si>
  <si>
    <t>Conso_5</t>
  </si>
  <si>
    <t>SetOfCtrl_1</t>
  </si>
  <si>
    <t>SetOfCtrl_2</t>
  </si>
  <si>
    <t>MDPicker: ajouter les libellés</t>
  </si>
  <si>
    <t>/api/metadata/{ID}</t>
  </si>
  <si>
    <t>UpdPer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</si>
</sst>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\ hh:mm:ss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2" borderId="0" xfId="0" applyFont="1" applyFill="1" applyAlignment="1">
      <alignment horizontal="center" vertical="center"/>
    </xf>
    <xf numFmtId="49" fontId="0" fillId="0" borderId="0" xfId="0" applyNumberFormat="1"/>
    <xf numFmtId="49" fontId="0" fillId="0" borderId="0" xfId="0" quotePrefix="1" applyNumberFormat="1"/>
    <xf numFmtId="0" fontId="0" fillId="0" borderId="0" xfId="0" applyProtection="1"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3" fillId="0" borderId="0" xfId="1" applyProtection="1">
      <protection hidden="1"/>
    </xf>
    <xf numFmtId="0" fontId="3" fillId="0" borderId="0" xfId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0" fillId="4" borderId="0" xfId="0" applyFill="1"/>
    <xf numFmtId="0" fontId="3" fillId="0" borderId="0" xfId="1" applyNumberFormat="1"/>
    <xf numFmtId="0" fontId="4" fillId="0" borderId="0" xfId="0" applyNumberFormat="1" applyFont="1" applyAlignment="1" applyProtection="1">
      <alignment horizontal="right"/>
      <protection hidden="1"/>
    </xf>
    <xf numFmtId="0" fontId="3" fillId="0" borderId="0" xfId="1" applyNumberFormat="1" applyAlignment="1" applyProtection="1">
      <alignment horizontal="center"/>
      <protection hidden="1"/>
    </xf>
    <xf numFmtId="0" fontId="3" fillId="0" borderId="0" xfId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1" applyNumberFormat="1" applyProtection="1">
      <protection hidden="1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NumberFormat="1" applyProtection="1">
      <protection hidden="1"/>
    </xf>
    <xf numFmtId="0" fontId="6" fillId="3" borderId="2" xfId="0" applyNumberFormat="1" applyFont="1" applyFill="1" applyBorder="1" applyAlignment="1"/>
    <xf numFmtId="0" fontId="6" fillId="3" borderId="1" xfId="0" applyNumberFormat="1" applyFont="1" applyFill="1" applyBorder="1" applyAlignment="1"/>
    <xf numFmtId="0" fontId="6" fillId="3" borderId="3" xfId="0" applyNumberFormat="1" applyFont="1" applyFill="1" applyBorder="1" applyAlignment="1"/>
    <xf numFmtId="49" fontId="0" fillId="0" borderId="0" xfId="0" applyNumberFormat="1" applyAlignment="1"/>
    <xf numFmtId="0" fontId="4" fillId="0" borderId="0" xfId="0" applyNumberFormat="1" applyFont="1" applyAlignment="1">
      <alignment horizontal="right"/>
    </xf>
    <xf numFmtId="16" fontId="0" fillId="0" borderId="0" xfId="0" applyNumberFormat="1"/>
    <xf numFmtId="49" fontId="0" fillId="0" borderId="0" xfId="0" applyNumberFormat="1" applyAlignment="1">
      <alignment vertical="center"/>
    </xf>
    <xf numFmtId="0" fontId="7" fillId="0" borderId="4" xfId="0" applyFont="1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4" borderId="0" xfId="0" applyNumberFormat="1" applyFill="1"/>
    <xf numFmtId="0" fontId="0" fillId="0" borderId="1" xfId="0" applyFont="1" applyFill="1" applyBorder="1" applyAlignment="1">
      <alignment vertical="center"/>
    </xf>
    <xf numFmtId="0" fontId="0" fillId="0" borderId="0" xfId="0" applyFill="1"/>
    <xf numFmtId="0" fontId="0" fillId="0" borderId="0" xfId="0" applyFill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0" fillId="0" borderId="0" xfId="0" applyNumberFormat="1" applyFill="1"/>
    <xf numFmtId="49" fontId="0" fillId="4" borderId="0" xfId="0" applyNumberFormat="1" applyFill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vertical="center" wrapText="1"/>
    </xf>
    <xf numFmtId="0" fontId="4" fillId="0" borderId="0" xfId="0" applyNumberFormat="1" applyFont="1" applyAlignment="1">
      <alignment horizontal="left"/>
    </xf>
    <xf numFmtId="0" fontId="0" fillId="0" borderId="0" xfId="0" applyFont="1" applyFill="1" applyBorder="1" applyAlignment="1">
      <alignment vertical="center"/>
    </xf>
    <xf numFmtId="49" fontId="0" fillId="0" borderId="0" xfId="0" applyNumberFormat="1" applyAlignment="1" applyProtection="1"/>
    <xf numFmtId="0" fontId="0" fillId="0" borderId="0" xfId="0" applyAlignment="1">
      <alignment horizontal="right"/>
    </xf>
  </cellXfs>
  <cellStyles count="2">
    <cellStyle name="Lien hypertexte" xfId="1" builtinId="8"/>
    <cellStyle name="Normal" xfId="0" builtinId="0"/>
  </cellStyles>
  <dxfs count="52">
    <dxf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13</xdr:col>
      <xdr:colOff>209550</xdr:colOff>
      <xdr:row>6</xdr:row>
      <xdr:rowOff>0</xdr:rowOff>
    </xdr:to>
    <xdr:sp macro="" textlink="$B$4">
      <xdr:nvSpPr>
        <xdr:cNvPr id="2" name="Title">
          <a:extLst>
            <a:ext uri="{FF2B5EF4-FFF2-40B4-BE49-F238E27FC236}">
              <a16:creationId xmlns:a16="http://schemas.microsoft.com/office/drawing/2014/main" id="{B7286C0D-64E2-4158-A33E-5D311951C2DD}"/>
            </a:ext>
          </a:extLst>
        </xdr:cNvPr>
        <xdr:cNvSpPr/>
      </xdr:nvSpPr>
      <xdr:spPr>
        <a:xfrm>
          <a:off x="190500" y="190500"/>
          <a:ext cx="10868025" cy="9525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24000" rtlCol="0" anchor="ctr" anchorCtr="0"/>
        <a:lstStyle/>
        <a:p>
          <a:pPr algn="ctr"/>
          <a:fld id="{6F9713BA-2E8C-44E3-9CBC-99BF17D05BBB}" type="TxLink">
            <a:rPr lang="en-US" sz="4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Génération des reportings</a:t>
          </a:fld>
          <a:endParaRPr lang="en-US" sz="595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1028699</xdr:colOff>
      <xdr:row>6</xdr:row>
      <xdr:rowOff>147638</xdr:rowOff>
    </xdr:from>
    <xdr:to>
      <xdr:col>13</xdr:col>
      <xdr:colOff>285749</xdr:colOff>
      <xdr:row>8</xdr:row>
      <xdr:rowOff>71437</xdr:rowOff>
    </xdr:to>
    <xdr:sp macro="" textlink="$I$4">
      <xdr:nvSpPr>
        <xdr:cNvPr id="9" name="Version">
          <a:extLst>
            <a:ext uri="{FF2B5EF4-FFF2-40B4-BE49-F238E27FC236}">
              <a16:creationId xmlns:a16="http://schemas.microsoft.com/office/drawing/2014/main" id="{79FCB3C3-08A0-4030-B95F-998508432596}"/>
            </a:ext>
          </a:extLst>
        </xdr:cNvPr>
        <xdr:cNvSpPr/>
      </xdr:nvSpPr>
      <xdr:spPr>
        <a:xfrm>
          <a:off x="7677149" y="1290638"/>
          <a:ext cx="2209800" cy="3047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E88C766-52B5-4516-A1A9-5E9DB4CEA806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Version 0.93 du 08 03 21</a:t>
          </a:fld>
          <a:endParaRPr lang="en-US" sz="1100"/>
        </a:p>
      </xdr:txBody>
    </xdr:sp>
    <xdr:clientData/>
  </xdr:twoCellAnchor>
  <xdr:twoCellAnchor editAs="absolute">
    <xdr:from>
      <xdr:col>11</xdr:col>
      <xdr:colOff>1409699</xdr:colOff>
      <xdr:row>6</xdr:row>
      <xdr:rowOff>156037</xdr:rowOff>
    </xdr:from>
    <xdr:to>
      <xdr:col>11</xdr:col>
      <xdr:colOff>1697699</xdr:colOff>
      <xdr:row>8</xdr:row>
      <xdr:rowOff>63037</xdr:rowOff>
    </xdr:to>
    <xdr:pic macro="[0]!I18N_LanguageClick">
      <xdr:nvPicPr>
        <xdr:cNvPr id="3" name="fr_FR">
          <a:extLst>
            <a:ext uri="{FF2B5EF4-FFF2-40B4-BE49-F238E27FC236}">
              <a16:creationId xmlns:a16="http://schemas.microsoft.com/office/drawing/2014/main" id="{BDB11BA6-8C86-484B-A39B-BAFAE36D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149" y="1299037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1066799</xdr:colOff>
      <xdr:row>6</xdr:row>
      <xdr:rowOff>156037</xdr:rowOff>
    </xdr:from>
    <xdr:to>
      <xdr:col>11</xdr:col>
      <xdr:colOff>1354799</xdr:colOff>
      <xdr:row>8</xdr:row>
      <xdr:rowOff>63037</xdr:rowOff>
    </xdr:to>
    <xdr:pic macro="[0]!I18N_LanguageClick">
      <xdr:nvPicPr>
        <xdr:cNvPr id="4" name="en_US">
          <a:extLst>
            <a:ext uri="{FF2B5EF4-FFF2-40B4-BE49-F238E27FC236}">
              <a16:creationId xmlns:a16="http://schemas.microsoft.com/office/drawing/2014/main" id="{32A3F01F-F006-45C8-9E6B-71D98BE9A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49" y="1299037"/>
          <a:ext cx="288000" cy="28800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11</xdr:row>
      <xdr:rowOff>0</xdr:rowOff>
    </xdr:from>
    <xdr:to>
      <xdr:col>3</xdr:col>
      <xdr:colOff>0</xdr:colOff>
      <xdr:row>13</xdr:row>
      <xdr:rowOff>0</xdr:rowOff>
    </xdr:to>
    <xdr:sp macro="JSON_TableHeaderClick" textlink="$C$12">
      <xdr:nvSpPr>
        <xdr:cNvPr id="5" name="tReportings_1">
          <a:extLst>
            <a:ext uri="{FF2B5EF4-FFF2-40B4-BE49-F238E27FC236}">
              <a16:creationId xmlns:a16="http://schemas.microsoft.com/office/drawing/2014/main" id="{BB68ADE5-9BC4-4C07-B623-4927504C2E43}"/>
            </a:ext>
          </a:extLst>
        </xdr:cNvPr>
        <xdr:cNvSpPr/>
      </xdr:nvSpPr>
      <xdr:spPr>
        <a:xfrm>
          <a:off x="714375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240B808-7A6B-4DCD-BAFD-39498C17533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ID</a:t>
          </a:fld>
          <a:endParaRPr lang="en-US" sz="1100"/>
        </a:p>
      </xdr:txBody>
    </xdr:sp>
    <xdr:clientData/>
  </xdr:twoCellAnchor>
  <xdr:twoCellAnchor>
    <xdr:from>
      <xdr:col>3</xdr:col>
      <xdr:colOff>0</xdr:colOff>
      <xdr:row>11</xdr:row>
      <xdr:rowOff>0</xdr:rowOff>
    </xdr:from>
    <xdr:to>
      <xdr:col>4</xdr:col>
      <xdr:colOff>0</xdr:colOff>
      <xdr:row>13</xdr:row>
      <xdr:rowOff>0</xdr:rowOff>
    </xdr:to>
    <xdr:sp macro="JSON_TableHeaderClick" textlink="$D$12">
      <xdr:nvSpPr>
        <xdr:cNvPr id="6" name="tReportings_2">
          <a:extLst>
            <a:ext uri="{FF2B5EF4-FFF2-40B4-BE49-F238E27FC236}">
              <a16:creationId xmlns:a16="http://schemas.microsoft.com/office/drawing/2014/main" id="{6931EF22-830B-4FC3-BA34-B1E41F175DE2}"/>
            </a:ext>
          </a:extLst>
        </xdr:cNvPr>
        <xdr:cNvSpPr/>
      </xdr:nvSpPr>
      <xdr:spPr>
        <a:xfrm>
          <a:off x="1695450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5673484-C881-4BDF-A1BD-6F2F35015C2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Phase</a:t>
          </a:fld>
          <a:endParaRPr lang="en-US" sz="1100"/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13</xdr:row>
      <xdr:rowOff>0</xdr:rowOff>
    </xdr:to>
    <xdr:sp macro="JSON_TableHeaderClick" textlink="$E$12">
      <xdr:nvSpPr>
        <xdr:cNvPr id="7" name="tReportings_3">
          <a:extLst>
            <a:ext uri="{FF2B5EF4-FFF2-40B4-BE49-F238E27FC236}">
              <a16:creationId xmlns:a16="http://schemas.microsoft.com/office/drawing/2014/main" id="{A6E424D4-BAB3-4EDC-91D3-5EE12BB50428}"/>
            </a:ext>
          </a:extLst>
        </xdr:cNvPr>
        <xdr:cNvSpPr/>
      </xdr:nvSpPr>
      <xdr:spPr>
        <a:xfrm>
          <a:off x="2676525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A4C730B-8D46-4B80-8943-9303BF56D6D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Exercice</a:t>
          </a:fld>
          <a:endParaRPr lang="en-US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13</xdr:row>
      <xdr:rowOff>0</xdr:rowOff>
    </xdr:to>
    <xdr:sp macro="JSON_TableHeaderClick" textlink="$F$12">
      <xdr:nvSpPr>
        <xdr:cNvPr id="8" name="tReportings_4">
          <a:extLst>
            <a:ext uri="{FF2B5EF4-FFF2-40B4-BE49-F238E27FC236}">
              <a16:creationId xmlns:a16="http://schemas.microsoft.com/office/drawing/2014/main" id="{A124D53F-6CB8-415B-88D2-9E4714A249C7}"/>
            </a:ext>
          </a:extLst>
        </xdr:cNvPr>
        <xdr:cNvSpPr/>
      </xdr:nvSpPr>
      <xdr:spPr>
        <a:xfrm>
          <a:off x="3657600" y="2095500"/>
          <a:ext cx="191452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AD0CE8D-D044-40D4-A506-68A1B13C3B5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Date de création</a:t>
          </a:fld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637F72-AEC7-4912-8E2A-F610BB9D209A}" name="tReportings" displayName="tReportings" ref="C13:F14" totalsRowShown="0" headerRowDxfId="5" dataDxfId="0" tableBorderDxfId="6">
  <autoFilter ref="C13:F14" xr:uid="{C34E6FFF-8C70-4B28-B67D-679EDE51948D}"/>
  <tableColumns count="4">
    <tableColumn id="1" xr3:uid="{7681704C-38D4-4C65-B565-63A8FD264A8C}" name=" 1" dataDxfId="4"/>
    <tableColumn id="2" xr3:uid="{67EBF55D-AFD4-4F0B-A28C-8D99037D7CCC}" name=" 2" dataDxfId="3"/>
    <tableColumn id="3" xr3:uid="{480F13FC-7DA2-4DAB-832B-929CF6F0F6E8}" name=" 3" dataDxfId="2"/>
    <tableColumn id="4" xr3:uid="{6D1EE3C4-170C-4880-97AD-74F50475C875}" name=" 4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7F5DB-134F-4B73-89E2-70E1DD563C03}" name="tI18N" displayName="tI18N" ref="A3:H114" totalsRowShown="0" dataDxfId="51">
  <autoFilter ref="A3:H114" xr:uid="{20495ABC-A0D8-40BE-8188-61D0FEE75739}"/>
  <tableColumns count="8">
    <tableColumn id="1" xr3:uid="{73903A16-45BE-4CB3-B71C-3468798E69E6}" name="ID" dataDxfId="50"/>
    <tableColumn id="3" xr3:uid="{02ADB156-C3E9-44A8-BC1B-FB2018DC836B}" name="Param1" dataDxfId="49"/>
    <tableColumn id="4" xr3:uid="{CF8C7CB6-4B86-4085-ACCC-19CBFD4C59FE}" name="Param2" dataDxfId="48"/>
    <tableColumn id="5" xr3:uid="{1227E0CB-DF13-4AEB-9B7C-A5B66DBC0C3F}" name="Param3" dataDxfId="47"/>
    <tableColumn id="6" xr3:uid="{2E60890B-30E9-4D21-92C9-7B06D14BAF00}" name="Param4" dataDxfId="46"/>
    <tableColumn id="7" xr3:uid="{03AC2232-F9FA-428A-BCAB-A8039123FBB5}" name="Param5" dataDxfId="45"/>
    <tableColumn id="9" xr3:uid="{5D6B89C0-1432-4927-AC0D-CC962FDD7705}" name="en_US" dataDxfId="44"/>
    <tableColumn id="8" xr3:uid="{8F5786B6-467E-46BD-A85E-B24EA01C31DC}" name="fr_FR" dataDxfId="4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3AF48E-7774-4B4C-A458-0353297BFF2A}" name="tJSON" displayName="tJSON" ref="B3:S91" totalsRowShown="0" dataDxfId="42">
  <autoFilter ref="B3:S91" xr:uid="{D9E8808B-D9E1-4272-8694-E8D5F2C45F29}"/>
  <tableColumns count="18">
    <tableColumn id="1" xr3:uid="{3A646773-BE89-4522-98D7-B786E44BE0DC}" name="Query" dataDxfId="41"/>
    <tableColumn id="9" xr3:uid="{C4EB6F9D-3EAD-42F0-84FF-9BBD170B0DE5}" name="Table" dataDxfId="40"/>
    <tableColumn id="8" xr3:uid="{70E4004F-52ED-4A60-A759-27AFE028F894}" name="I18N" dataDxfId="39"/>
    <tableColumn id="13" xr3:uid="{A78438C4-24D6-4E6E-A29B-E72CABDED5AB}" name="JSON Row Array" dataDxfId="38"/>
    <tableColumn id="16" xr3:uid="{02735810-2DA9-4B37-A9AB-CC1D7668127D}" name="Editable?" dataDxfId="37"/>
    <tableColumn id="2" xr3:uid="{DFC5B263-91CC-4653-8ADC-74A0368CD202}" name="JSON Column" dataDxfId="36"/>
    <tableColumn id="3" xr3:uid="{D5540814-CF2F-4ACB-B92D-22093C535E0C}" name="JSON Type" dataDxfId="35"/>
    <tableColumn id="11" xr3:uid="{EDC8EA7C-C33C-4E55-9909-B09F730AE94B}" name="Required" dataDxfId="34"/>
    <tableColumn id="4" xr3:uid="{8D0A36EB-752B-47BA-B4F5-009678ACFDD0}" name="Title" dataDxfId="33"/>
    <tableColumn id="12" xr3:uid="{B7222461-457D-4B90-9925-68BAF8D1E421}" name="Editor" dataDxfId="32"/>
    <tableColumn id="14" xr3:uid="{C8DD975C-C222-4560-AD83-9B3E4EF275CD}" name="Format" dataDxfId="31"/>
    <tableColumn id="15" xr3:uid="{30CC9560-5D67-406A-B687-D2883B19A560}" name="Level" dataDxfId="30"/>
    <tableColumn id="18" xr3:uid="{9414E3E8-B630-435F-9660-16EFF4CAEFD7}" name="Width" dataDxfId="29"/>
    <tableColumn id="5" xr3:uid="{3613A1E0-361B-4D77-AB85-A190D3D733FC}" name="Hidden" dataDxfId="28"/>
    <tableColumn id="6" xr3:uid="{4FC768DF-246E-41E4-8A37-38EE7A822849}" name="Command" dataDxfId="27"/>
    <tableColumn id="10" xr3:uid="{08F0F3AA-70C9-46BE-9E8F-F9089FF43A15}" name="Params" dataDxfId="26"/>
    <tableColumn id="7" xr3:uid="{C3148FB9-B4AC-439B-977D-F7DC6FE2F875}" name="Position" dataDxfId="25"/>
    <tableColumn id="17" xr3:uid="{AAA7A96E-0AF3-43EB-9CAA-11C66E543F5D}" name="ReturnCol" dataDxfId="2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B71501-A343-4D2E-A1D3-AC7530771EC1}" name="tJSON6" displayName="tJSON6" ref="B3:Q4" insertRow="1" totalsRowShown="0" dataDxfId="23">
  <autoFilter ref="B3:Q4" xr:uid="{D9E8808B-D9E1-4272-8694-E8D5F2C45F29}"/>
  <tableColumns count="16">
    <tableColumn id="1" xr3:uid="{848A5172-BE10-4671-A96C-19CB95280C30}" name="Query" dataDxfId="22"/>
    <tableColumn id="9" xr3:uid="{D4503C74-5BC6-42E3-9059-14AE6DF0435F}" name="Table" dataDxfId="21"/>
    <tableColumn id="8" xr3:uid="{6B1E570F-3015-4379-A06B-47DE792E9FF7}" name="I18N" dataDxfId="20"/>
    <tableColumn id="13" xr3:uid="{1F3DA983-C15A-44A1-9F86-08FE41BABCC4}" name="JSON Row Array" dataDxfId="19"/>
    <tableColumn id="2" xr3:uid="{2146287D-FA7C-4DC4-A184-861C99FB53FA}" name="JSON Column" dataDxfId="18"/>
    <tableColumn id="3" xr3:uid="{41F1B5AB-7B7D-4E20-9599-A4A18E607AC2}" name="JSON Type" dataDxfId="17"/>
    <tableColumn id="11" xr3:uid="{6B6D5F65-9066-427A-9E8E-83BC24FDA24E}" name="Required" dataDxfId="16"/>
    <tableColumn id="4" xr3:uid="{5632F87F-624C-41CA-9F02-FC8191282D24}" name="Title" dataDxfId="15"/>
    <tableColumn id="12" xr3:uid="{42F4ED45-AB09-422F-A7F0-D0219F6C21FB}" name="Editor" dataDxfId="14"/>
    <tableColumn id="14" xr3:uid="{2AA5569E-51E1-495E-B26C-0E3F01504CAF}" name="Format" dataDxfId="13"/>
    <tableColumn id="15" xr3:uid="{9FF31EFB-98A5-441C-AEEE-A8D70F766993}" name="Level" dataDxfId="12"/>
    <tableColumn id="5" xr3:uid="{AAEEF1F0-17A9-4995-BF9B-AB4346088E71}" name="Hidden" dataDxfId="11"/>
    <tableColumn id="6" xr3:uid="{7BDF45C7-3CB9-461B-82E3-465AF4328F16}" name="Command" dataDxfId="10"/>
    <tableColumn id="10" xr3:uid="{CC86848F-2654-487A-90EA-707ECEAFF905}" name="Params" dataDxfId="9"/>
    <tableColumn id="7" xr3:uid="{EB4FA941-2795-46FC-8CA9-7D002B610299}" name="Position" dataDxfId="8"/>
    <tableColumn id="17" xr3:uid="{CA1F3260-0D6C-4F7F-B7AE-4DFA8A856532}" name="ReturnCol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20.188.62.95/reportingmanager/api/reporting" TargetMode="External"/><Relationship Id="rId1" Type="http://schemas.openxmlformats.org/officeDocument/2006/relationships/hyperlink" Target="http://20.188.62.95/reportingmanager/api/reporting/%7bID%7d" TargetMode="Externa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C1812-B0DA-4338-9FC4-A2A2F04E9A5D}">
  <sheetPr codeName="RF_I18N_Sheet"/>
  <dimension ref="B3:Q52"/>
  <sheetViews>
    <sheetView showGridLines="0" showRowColHeaders="0" tabSelected="1" zoomScaleNormal="100" workbookViewId="0">
      <selection activeCell="D14" sqref="D14"/>
    </sheetView>
  </sheetViews>
  <sheetFormatPr baseColWidth="10" defaultRowHeight="15" outlineLevelCol="1" x14ac:dyDescent="0.25"/>
  <cols>
    <col min="1" max="1" width="2.85546875" style="4" customWidth="1"/>
    <col min="2" max="2" width="7.85546875" style="4" customWidth="1"/>
    <col min="3" max="3" width="14.7109375" style="4" hidden="1" customWidth="1" outlineLevel="1"/>
    <col min="4" max="4" width="14.7109375" style="4" customWidth="1" collapsed="1"/>
    <col min="5" max="5" width="14.7109375" style="4" customWidth="1"/>
    <col min="6" max="6" width="28.7109375" style="4" customWidth="1"/>
    <col min="7" max="7" width="4" style="4" customWidth="1"/>
    <col min="8" max="8" width="14.28515625" style="4" customWidth="1"/>
    <col min="9" max="10" width="12.28515625" style="4" customWidth="1"/>
    <col min="11" max="11" width="6.7109375" style="4" customWidth="1"/>
    <col min="12" max="12" width="32.85546875" style="4" customWidth="1"/>
    <col min="13" max="16384" width="11.42578125" style="4"/>
  </cols>
  <sheetData>
    <row r="3" spans="2:12" x14ac:dyDescent="0.25">
      <c r="D3" s="16"/>
    </row>
    <row r="4" spans="2:12" x14ac:dyDescent="0.25">
      <c r="B4" s="4" t="str" cm="1">
        <f t="array" ref="B4">I18N_T(cellLanguage, "RF_Title")</f>
        <v>Génération des reportings</v>
      </c>
      <c r="F4" s="11"/>
      <c r="I4" s="5" t="str" cm="1">
        <f t="array" ref="I4">I18N_Version(cellLanguage)</f>
        <v>Version 0.93 du 08 03 21</v>
      </c>
    </row>
    <row r="5" spans="2:12" x14ac:dyDescent="0.25">
      <c r="C5" s="19"/>
      <c r="D5" s="20"/>
      <c r="E5" s="21"/>
      <c r="F5" s="22"/>
    </row>
    <row r="6" spans="2:12" x14ac:dyDescent="0.25">
      <c r="C6" s="23"/>
      <c r="D6" s="23"/>
      <c r="E6" s="23"/>
      <c r="F6" s="23"/>
    </row>
    <row r="7" spans="2:12" x14ac:dyDescent="0.25">
      <c r="C7"/>
      <c r="D7"/>
      <c r="E7"/>
      <c r="F7"/>
    </row>
    <row r="10" spans="2:12" x14ac:dyDescent="0.25">
      <c r="C10"/>
      <c r="D10" s="10" t="str">
        <f>I18N_T(cellLanguage, "RF_Refresh")</f>
        <v>Mettre à jour la liste</v>
      </c>
      <c r="E10"/>
      <c r="F10"/>
      <c r="G10"/>
      <c r="I10" s="7"/>
      <c r="J10" s="7"/>
      <c r="L10" s="6"/>
    </row>
    <row r="11" spans="2:12" x14ac:dyDescent="0.25">
      <c r="C11"/>
      <c r="D11" s="41">
        <f>SUBTOTAL(103, tReportings[[ 2]])</f>
        <v>0</v>
      </c>
      <c r="E11"/>
      <c r="F11" s="24"/>
      <c r="G11"/>
      <c r="H11" s="16"/>
      <c r="I11" s="12"/>
      <c r="J11" s="12"/>
    </row>
    <row r="12" spans="2:12" hidden="1" x14ac:dyDescent="0.25">
      <c r="C12" s="20" t="str">
        <f>I18N_T(cellLanguage, "RF_ID")</f>
        <v>ID</v>
      </c>
      <c r="D12" s="21" t="str">
        <f>I18N_T(cellLanguage, "RF_Phase")</f>
        <v>Phase</v>
      </c>
      <c r="E12" s="21" t="str">
        <f>I18N_T(cellLanguage, "RF_UpdatePeriod")</f>
        <v>Exercice</v>
      </c>
      <c r="F12" s="22" t="str">
        <f>I18N_T(cellLanguage, "RF_CreationDate")</f>
        <v>Date de création</v>
      </c>
      <c r="G12"/>
      <c r="H12" s="16"/>
      <c r="I12" s="12"/>
      <c r="J12" s="12"/>
    </row>
    <row r="13" spans="2:12" ht="15" customHeight="1" x14ac:dyDescent="0.25">
      <c r="C13" s="23" t="s">
        <v>204</v>
      </c>
      <c r="D13" s="23" t="s">
        <v>205</v>
      </c>
      <c r="E13" s="23" t="s">
        <v>206</v>
      </c>
      <c r="F13" s="23" t="s">
        <v>207</v>
      </c>
      <c r="H13" s="16"/>
      <c r="I13" s="12"/>
      <c r="J13" s="12"/>
    </row>
    <row r="14" spans="2:12" x14ac:dyDescent="0.25">
      <c r="C14" s="43"/>
      <c r="D14" s="43"/>
      <c r="E14" s="43"/>
      <c r="F14" s="43"/>
      <c r="H14" s="10" t="str">
        <f>I18N_T(cellLanguage, "RF_Modify")</f>
        <v>Modifier</v>
      </c>
      <c r="I14" s="10" t="str">
        <f>I18N_T(cellLanguage, "RF_Duplicate")</f>
        <v>Dupliquer</v>
      </c>
      <c r="J14" s="12"/>
      <c r="L14" s="8"/>
    </row>
    <row r="15" spans="2:12" x14ac:dyDescent="0.25">
      <c r="C15"/>
      <c r="D15"/>
      <c r="E15"/>
      <c r="F15"/>
      <c r="H15" s="10" t="str">
        <f>I18N_T(cellLanguage, "RF_Modify")</f>
        <v>Modifier</v>
      </c>
      <c r="I15" s="10" t="str">
        <f>I18N_T(cellLanguage, "RF_Duplicate")</f>
        <v>Dupliquer</v>
      </c>
      <c r="J15" s="12"/>
    </row>
    <row r="16" spans="2:12" x14ac:dyDescent="0.25">
      <c r="C16"/>
      <c r="D16"/>
      <c r="E16"/>
      <c r="F16"/>
      <c r="H16"/>
      <c r="I16"/>
      <c r="J16" s="12"/>
    </row>
    <row r="17" spans="3:10" x14ac:dyDescent="0.25">
      <c r="C17"/>
      <c r="D17"/>
      <c r="E17"/>
      <c r="F17"/>
      <c r="H17"/>
      <c r="I17"/>
      <c r="J17" s="12"/>
    </row>
    <row r="18" spans="3:10" x14ac:dyDescent="0.25">
      <c r="C18"/>
      <c r="D18"/>
      <c r="E18"/>
      <c r="F18"/>
      <c r="H18"/>
      <c r="I18"/>
      <c r="J18" s="12"/>
    </row>
    <row r="19" spans="3:10" x14ac:dyDescent="0.25">
      <c r="C19"/>
      <c r="D19"/>
      <c r="E19"/>
      <c r="F19"/>
      <c r="H19"/>
      <c r="I19"/>
      <c r="J19" s="12"/>
    </row>
    <row r="20" spans="3:10" x14ac:dyDescent="0.25">
      <c r="C20"/>
      <c r="D20"/>
      <c r="E20"/>
      <c r="F20"/>
      <c r="H20"/>
      <c r="I20"/>
      <c r="J20" s="12"/>
    </row>
    <row r="21" spans="3:10" x14ac:dyDescent="0.25">
      <c r="C21"/>
      <c r="D21"/>
      <c r="E21"/>
      <c r="F21"/>
      <c r="H21"/>
      <c r="I21"/>
      <c r="J21" s="12"/>
    </row>
    <row r="22" spans="3:10" x14ac:dyDescent="0.25">
      <c r="C22"/>
      <c r="D22"/>
      <c r="E22"/>
      <c r="F22"/>
      <c r="H22"/>
      <c r="I22"/>
      <c r="J22" s="12"/>
    </row>
    <row r="23" spans="3:10" x14ac:dyDescent="0.25">
      <c r="C23"/>
      <c r="D23"/>
      <c r="E23"/>
      <c r="F23"/>
      <c r="H23"/>
      <c r="I23"/>
      <c r="J23" s="12"/>
    </row>
    <row r="24" spans="3:10" x14ac:dyDescent="0.25">
      <c r="C24"/>
      <c r="D24"/>
      <c r="E24"/>
      <c r="F24"/>
      <c r="H24"/>
      <c r="I24"/>
      <c r="J24" s="12"/>
    </row>
    <row r="25" spans="3:10" x14ac:dyDescent="0.25">
      <c r="C25"/>
      <c r="D25"/>
      <c r="E25"/>
      <c r="F25"/>
      <c r="H25"/>
      <c r="I25"/>
      <c r="J25" s="12"/>
    </row>
    <row r="26" spans="3:10" x14ac:dyDescent="0.25">
      <c r="C26"/>
      <c r="D26"/>
      <c r="E26"/>
      <c r="F26"/>
      <c r="H26"/>
      <c r="I26"/>
      <c r="J26" s="12"/>
    </row>
    <row r="27" spans="3:10" x14ac:dyDescent="0.25">
      <c r="C27"/>
      <c r="D27"/>
      <c r="E27"/>
      <c r="F27"/>
      <c r="H27"/>
      <c r="I27"/>
      <c r="J27" s="12"/>
    </row>
    <row r="28" spans="3:10" x14ac:dyDescent="0.25">
      <c r="C28"/>
      <c r="D28"/>
      <c r="E28"/>
      <c r="F28"/>
      <c r="H28"/>
      <c r="I28"/>
      <c r="J28" s="12"/>
    </row>
    <row r="29" spans="3:10" x14ac:dyDescent="0.25">
      <c r="C29"/>
      <c r="D29"/>
      <c r="E29"/>
      <c r="F29"/>
      <c r="H29"/>
      <c r="I29"/>
      <c r="J29" s="12"/>
    </row>
    <row r="30" spans="3:10" x14ac:dyDescent="0.25">
      <c r="C30"/>
      <c r="D30"/>
      <c r="E30"/>
      <c r="F30"/>
      <c r="H30"/>
      <c r="I30"/>
      <c r="J30" s="12"/>
    </row>
    <row r="31" spans="3:10" x14ac:dyDescent="0.25">
      <c r="C31"/>
      <c r="D31"/>
      <c r="E31"/>
      <c r="F31"/>
      <c r="H31"/>
      <c r="I31"/>
      <c r="J31" s="12"/>
    </row>
    <row r="32" spans="3:10" x14ac:dyDescent="0.25">
      <c r="C32"/>
      <c r="D32"/>
      <c r="E32"/>
      <c r="F32"/>
      <c r="H32"/>
      <c r="I32"/>
      <c r="J32" s="12"/>
    </row>
    <row r="33" spans="3:13" x14ac:dyDescent="0.25">
      <c r="C33"/>
      <c r="D33"/>
      <c r="E33"/>
      <c r="F33"/>
      <c r="H33"/>
      <c r="I33"/>
      <c r="J33" s="12"/>
    </row>
    <row r="34" spans="3:13" x14ac:dyDescent="0.25">
      <c r="C34"/>
      <c r="D34"/>
      <c r="E34"/>
      <c r="F34"/>
      <c r="H34"/>
      <c r="I34"/>
      <c r="J34" s="12"/>
    </row>
    <row r="35" spans="3:13" x14ac:dyDescent="0.25">
      <c r="C35"/>
      <c r="D35"/>
      <c r="E35"/>
      <c r="F35"/>
      <c r="H35"/>
      <c r="I35"/>
      <c r="J35" s="12"/>
    </row>
    <row r="36" spans="3:13" x14ac:dyDescent="0.25">
      <c r="C36"/>
      <c r="D36"/>
      <c r="E36"/>
      <c r="F36"/>
      <c r="H36"/>
      <c r="I36"/>
      <c r="J36" s="12"/>
    </row>
    <row r="37" spans="3:13" x14ac:dyDescent="0.25">
      <c r="C37"/>
      <c r="D37"/>
      <c r="E37"/>
      <c r="F37"/>
      <c r="H37"/>
      <c r="I37"/>
      <c r="J37" s="12"/>
    </row>
    <row r="38" spans="3:13" x14ac:dyDescent="0.25">
      <c r="C38"/>
      <c r="D38"/>
      <c r="E38"/>
      <c r="F38"/>
      <c r="H38"/>
      <c r="I38"/>
      <c r="J38" s="12"/>
    </row>
    <row r="39" spans="3:13" x14ac:dyDescent="0.25">
      <c r="C39"/>
      <c r="D39"/>
      <c r="E39"/>
      <c r="F39"/>
      <c r="H39"/>
      <c r="I39"/>
      <c r="J39" s="12"/>
    </row>
    <row r="40" spans="3:13" x14ac:dyDescent="0.25">
      <c r="C40"/>
      <c r="D40"/>
      <c r="E40"/>
      <c r="F40"/>
      <c r="H40"/>
      <c r="I40"/>
      <c r="J40" s="12"/>
    </row>
    <row r="41" spans="3:13" x14ac:dyDescent="0.25">
      <c r="C41"/>
      <c r="D41"/>
      <c r="E41"/>
      <c r="F41"/>
      <c r="H41"/>
      <c r="I41"/>
      <c r="J41" s="12"/>
    </row>
    <row r="42" spans="3:13" x14ac:dyDescent="0.25">
      <c r="C42"/>
      <c r="D42"/>
      <c r="E42"/>
      <c r="F42"/>
      <c r="H42"/>
      <c r="I42"/>
      <c r="J42" s="12"/>
    </row>
    <row r="43" spans="3:13" x14ac:dyDescent="0.25">
      <c r="C43"/>
      <c r="D43"/>
      <c r="E43"/>
      <c r="F43"/>
      <c r="H43"/>
      <c r="I43"/>
      <c r="J43" s="12"/>
    </row>
    <row r="44" spans="3:13" x14ac:dyDescent="0.25">
      <c r="C44"/>
      <c r="D44"/>
      <c r="E44"/>
      <c r="F44"/>
      <c r="H44"/>
      <c r="I44"/>
      <c r="J44" s="12"/>
    </row>
    <row r="45" spans="3:13" x14ac:dyDescent="0.25">
      <c r="C45"/>
      <c r="D45"/>
      <c r="E45"/>
      <c r="F45"/>
      <c r="H45"/>
      <c r="I45"/>
      <c r="J45" s="12"/>
    </row>
    <row r="46" spans="3:13" x14ac:dyDescent="0.25">
      <c r="C46"/>
      <c r="D46"/>
      <c r="E46"/>
      <c r="F46"/>
      <c r="H46"/>
      <c r="I46"/>
      <c r="J46" s="12"/>
    </row>
    <row r="47" spans="3:13" x14ac:dyDescent="0.25">
      <c r="C47"/>
      <c r="D47"/>
      <c r="E47"/>
      <c r="F47"/>
      <c r="H47"/>
      <c r="I47"/>
      <c r="J47" s="12"/>
    </row>
    <row r="48" spans="3:13" x14ac:dyDescent="0.25">
      <c r="M48"/>
    </row>
    <row r="49" spans="14:17" x14ac:dyDescent="0.25">
      <c r="N49"/>
    </row>
    <row r="50" spans="14:17" x14ac:dyDescent="0.25">
      <c r="O50"/>
    </row>
    <row r="51" spans="14:17" x14ac:dyDescent="0.25">
      <c r="P51"/>
    </row>
    <row r="52" spans="14:17" x14ac:dyDescent="0.25">
      <c r="Q52"/>
    </row>
  </sheetData>
  <sheetProtection sheet="1" objects="1" scenarios="1" formatCells="0" formatColumns="0" formatRows="0" insertRows="0" sort="0" autoFilter="0"/>
  <hyperlinks>
    <hyperlink ref="D10" location="C3" tooltip=" " display="C3" xr:uid="{C3261629-6DDB-4568-B6E1-B25A6115164B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FD37-1A81-48CB-B23A-0FEEF1F711B1}">
  <sheetPr codeName="D_Cache"/>
  <dimension ref="A1:K3"/>
  <sheetViews>
    <sheetView workbookViewId="0">
      <selection activeCell="D13" sqref="D13"/>
    </sheetView>
  </sheetViews>
  <sheetFormatPr baseColWidth="10" defaultRowHeight="15" x14ac:dyDescent="0.25"/>
  <cols>
    <col min="1" max="1" width="18.85546875" style="2" customWidth="1"/>
    <col min="2" max="2" width="18.5703125" style="2" bestFit="1" customWidth="1"/>
    <col min="3" max="3" width="9.140625" style="2" bestFit="1" customWidth="1"/>
    <col min="4" max="4" width="24.42578125" style="30" customWidth="1"/>
    <col min="5" max="5" width="5.85546875" style="2" customWidth="1"/>
    <col min="6" max="6" width="11.7109375" style="2" bestFit="1" customWidth="1"/>
    <col min="7" max="7" width="16.5703125" style="2" bestFit="1" customWidth="1"/>
    <col min="8" max="8" width="7.28515625" style="2" bestFit="1" customWidth="1"/>
    <col min="9" max="9" width="5.28515625" style="2" bestFit="1" customWidth="1"/>
    <col min="10" max="10" width="6.28515625" style="2" bestFit="1" customWidth="1"/>
    <col min="11" max="11" width="21.7109375" style="2" bestFit="1" customWidth="1"/>
    <col min="12" max="16384" width="11.42578125" style="2"/>
  </cols>
  <sheetData>
    <row r="1" spans="1:11" x14ac:dyDescent="0.25">
      <c r="B1" s="2" t="s">
        <v>231</v>
      </c>
      <c r="C1" s="31">
        <v>1</v>
      </c>
      <c r="F1" s="37" t="s">
        <v>499</v>
      </c>
      <c r="G1" s="37" t="s">
        <v>500</v>
      </c>
      <c r="H1" s="37" t="s">
        <v>501</v>
      </c>
      <c r="I1" s="37" t="s">
        <v>502</v>
      </c>
      <c r="J1" s="37" t="s">
        <v>503</v>
      </c>
      <c r="K1" s="37" t="s">
        <v>504</v>
      </c>
    </row>
    <row r="3" spans="1:11" x14ac:dyDescent="0.25">
      <c r="A3" s="2" t="s">
        <v>230</v>
      </c>
      <c r="B3" s="2" t="s">
        <v>238</v>
      </c>
      <c r="C3" s="2" t="s">
        <v>235</v>
      </c>
      <c r="D3" s="30" t="s">
        <v>236</v>
      </c>
      <c r="E3" s="2" t="s">
        <v>229</v>
      </c>
    </row>
  </sheetData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FDC2-088B-41C0-89BA-6E02F9E4F0F2}">
  <sheetPr codeName="Feuil4" filterMode="1"/>
  <dimension ref="A3:L76"/>
  <sheetViews>
    <sheetView topLeftCell="A9" zoomScaleNormal="100" workbookViewId="0">
      <selection activeCell="L39" sqref="L39"/>
    </sheetView>
  </sheetViews>
  <sheetFormatPr baseColWidth="10" defaultRowHeight="15" x14ac:dyDescent="0.25"/>
  <cols>
    <col min="1" max="1" width="15.85546875" bestFit="1" customWidth="1"/>
    <col min="2" max="2" width="39.140625" bestFit="1" customWidth="1"/>
    <col min="6" max="6" width="11.42578125" style="17"/>
  </cols>
  <sheetData>
    <row r="3" spans="1:3" x14ac:dyDescent="0.25">
      <c r="A3" t="s">
        <v>20</v>
      </c>
      <c r="B3" t="s">
        <v>21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23</v>
      </c>
      <c r="C5" t="s">
        <v>27</v>
      </c>
    </row>
    <row r="9" spans="1:3" x14ac:dyDescent="0.25">
      <c r="A9" t="s">
        <v>28</v>
      </c>
      <c r="B9" t="s">
        <v>22</v>
      </c>
      <c r="C9" t="s">
        <v>29</v>
      </c>
    </row>
    <row r="12" spans="1:3" x14ac:dyDescent="0.25">
      <c r="A12" t="s">
        <v>30</v>
      </c>
      <c r="B12" t="s">
        <v>31</v>
      </c>
    </row>
    <row r="13" spans="1:3" x14ac:dyDescent="0.25">
      <c r="B13" t="s">
        <v>36</v>
      </c>
    </row>
    <row r="17" spans="1:12" x14ac:dyDescent="0.25">
      <c r="A17" t="s">
        <v>37</v>
      </c>
      <c r="C17" t="s">
        <v>64</v>
      </c>
      <c r="D17" t="s">
        <v>66</v>
      </c>
      <c r="F17" s="18">
        <v>44019</v>
      </c>
      <c r="G17" s="25">
        <v>44033</v>
      </c>
      <c r="H17" s="25">
        <v>44039</v>
      </c>
      <c r="I17" s="25">
        <v>44171</v>
      </c>
      <c r="J17" s="25">
        <v>44255</v>
      </c>
      <c r="K17" s="25">
        <v>44263</v>
      </c>
      <c r="L17" s="25">
        <v>44266</v>
      </c>
    </row>
    <row r="18" spans="1:12" hidden="1" x14ac:dyDescent="0.25">
      <c r="B18" t="s">
        <v>70</v>
      </c>
      <c r="D18">
        <v>1</v>
      </c>
      <c r="F18" s="17" t="s">
        <v>138</v>
      </c>
      <c r="G18" t="s">
        <v>138</v>
      </c>
      <c r="H18" t="s">
        <v>138</v>
      </c>
      <c r="I18" t="s">
        <v>138</v>
      </c>
      <c r="J18" t="s">
        <v>138</v>
      </c>
      <c r="K18" t="s">
        <v>138</v>
      </c>
      <c r="L18" t="s">
        <v>138</v>
      </c>
    </row>
    <row r="19" spans="1:12" hidden="1" x14ac:dyDescent="0.25">
      <c r="B19" t="s">
        <v>65</v>
      </c>
      <c r="C19">
        <v>0.25</v>
      </c>
      <c r="D19">
        <v>0.25</v>
      </c>
      <c r="F19" s="17" t="s">
        <v>138</v>
      </c>
      <c r="G19" t="s">
        <v>138</v>
      </c>
      <c r="H19" t="s">
        <v>138</v>
      </c>
      <c r="I19" t="s">
        <v>138</v>
      </c>
      <c r="J19" t="s">
        <v>138</v>
      </c>
      <c r="K19" t="s">
        <v>138</v>
      </c>
      <c r="L19" t="s">
        <v>138</v>
      </c>
    </row>
    <row r="20" spans="1:12" hidden="1" x14ac:dyDescent="0.25">
      <c r="B20" t="s">
        <v>85</v>
      </c>
      <c r="D20">
        <v>0.25</v>
      </c>
      <c r="G20" t="s">
        <v>138</v>
      </c>
      <c r="H20" t="s">
        <v>138</v>
      </c>
      <c r="I20" t="s">
        <v>138</v>
      </c>
      <c r="J20" t="s">
        <v>138</v>
      </c>
      <c r="K20" t="s">
        <v>138</v>
      </c>
      <c r="L20" t="s">
        <v>138</v>
      </c>
    </row>
    <row r="21" spans="1:12" hidden="1" x14ac:dyDescent="0.25">
      <c r="B21" t="s">
        <v>152</v>
      </c>
      <c r="G21" t="s">
        <v>138</v>
      </c>
      <c r="H21" t="s">
        <v>138</v>
      </c>
      <c r="I21" t="s">
        <v>138</v>
      </c>
      <c r="J21" t="s">
        <v>138</v>
      </c>
      <c r="K21" t="s">
        <v>138</v>
      </c>
      <c r="L21" t="s">
        <v>138</v>
      </c>
    </row>
    <row r="22" spans="1:12" hidden="1" x14ac:dyDescent="0.25">
      <c r="B22" t="s">
        <v>153</v>
      </c>
      <c r="G22" t="s">
        <v>138</v>
      </c>
      <c r="H22" t="s">
        <v>138</v>
      </c>
      <c r="I22" t="s">
        <v>138</v>
      </c>
      <c r="J22" t="s">
        <v>138</v>
      </c>
      <c r="K22" t="s">
        <v>138</v>
      </c>
      <c r="L22" t="s">
        <v>138</v>
      </c>
    </row>
    <row r="23" spans="1:12" x14ac:dyDescent="0.25">
      <c r="B23" t="s">
        <v>86</v>
      </c>
      <c r="D23">
        <v>0.25</v>
      </c>
    </row>
    <row r="24" spans="1:12" hidden="1" x14ac:dyDescent="0.25">
      <c r="B24" t="s">
        <v>218</v>
      </c>
      <c r="H24">
        <v>0.25</v>
      </c>
      <c r="I24" t="s">
        <v>138</v>
      </c>
      <c r="J24" t="s">
        <v>138</v>
      </c>
      <c r="K24" t="s">
        <v>138</v>
      </c>
      <c r="L24" t="s">
        <v>138</v>
      </c>
    </row>
    <row r="25" spans="1:12" x14ac:dyDescent="0.25">
      <c r="B25" t="s">
        <v>208</v>
      </c>
      <c r="H25">
        <v>0.25</v>
      </c>
      <c r="I25">
        <v>0.25</v>
      </c>
      <c r="J25">
        <v>0.25</v>
      </c>
      <c r="K25">
        <v>0.25</v>
      </c>
      <c r="L25">
        <v>0.25</v>
      </c>
    </row>
    <row r="26" spans="1:12" hidden="1" x14ac:dyDescent="0.25">
      <c r="B26" t="s">
        <v>219</v>
      </c>
      <c r="H26">
        <v>0.25</v>
      </c>
      <c r="I26">
        <v>0.25</v>
      </c>
      <c r="J26" t="s">
        <v>138</v>
      </c>
      <c r="K26" t="s">
        <v>138</v>
      </c>
      <c r="L26" t="s">
        <v>138</v>
      </c>
    </row>
    <row r="27" spans="1:12" hidden="1" x14ac:dyDescent="0.25">
      <c r="B27" t="s">
        <v>228</v>
      </c>
      <c r="I27">
        <v>0.25</v>
      </c>
      <c r="J27" t="s">
        <v>138</v>
      </c>
      <c r="K27" t="s">
        <v>138</v>
      </c>
      <c r="L27" t="s">
        <v>138</v>
      </c>
    </row>
    <row r="28" spans="1:12" x14ac:dyDescent="0.25">
      <c r="B28" t="s">
        <v>176</v>
      </c>
      <c r="D28">
        <v>0.25</v>
      </c>
    </row>
    <row r="29" spans="1:12" hidden="1" x14ac:dyDescent="0.25">
      <c r="B29" t="s">
        <v>143</v>
      </c>
      <c r="I29">
        <v>0.25</v>
      </c>
      <c r="J29">
        <v>0.25</v>
      </c>
      <c r="K29" t="s">
        <v>138</v>
      </c>
      <c r="L29" t="s">
        <v>138</v>
      </c>
    </row>
    <row r="30" spans="1:12" hidden="1" x14ac:dyDescent="0.25">
      <c r="B30" t="s">
        <v>141</v>
      </c>
      <c r="D30">
        <v>0.25</v>
      </c>
      <c r="G30" t="s">
        <v>138</v>
      </c>
      <c r="H30" t="s">
        <v>138</v>
      </c>
      <c r="I30" t="s">
        <v>138</v>
      </c>
      <c r="J30" t="s">
        <v>138</v>
      </c>
      <c r="K30" t="s">
        <v>138</v>
      </c>
      <c r="L30" t="s">
        <v>138</v>
      </c>
    </row>
    <row r="31" spans="1:12" x14ac:dyDescent="0.25">
      <c r="B31" t="s">
        <v>144</v>
      </c>
      <c r="D31">
        <v>0.25</v>
      </c>
    </row>
    <row r="32" spans="1:12" hidden="1" x14ac:dyDescent="0.25">
      <c r="B32" t="s">
        <v>142</v>
      </c>
      <c r="D32">
        <v>0.25</v>
      </c>
      <c r="G32" t="s">
        <v>138</v>
      </c>
      <c r="H32" t="s">
        <v>138</v>
      </c>
      <c r="I32" t="s">
        <v>138</v>
      </c>
      <c r="J32" t="s">
        <v>138</v>
      </c>
      <c r="K32" t="s">
        <v>138</v>
      </c>
      <c r="L32" t="s">
        <v>138</v>
      </c>
    </row>
    <row r="33" spans="2:12" hidden="1" x14ac:dyDescent="0.25">
      <c r="B33" t="s">
        <v>179</v>
      </c>
      <c r="H33">
        <v>0.25</v>
      </c>
      <c r="I33" t="s">
        <v>138</v>
      </c>
      <c r="J33" t="s">
        <v>138</v>
      </c>
      <c r="K33" t="s">
        <v>138</v>
      </c>
      <c r="L33" t="s">
        <v>138</v>
      </c>
    </row>
    <row r="34" spans="2:12" hidden="1" x14ac:dyDescent="0.25">
      <c r="B34" t="s">
        <v>203</v>
      </c>
      <c r="H34">
        <v>0.25</v>
      </c>
      <c r="I34" t="s">
        <v>138</v>
      </c>
      <c r="J34" t="s">
        <v>138</v>
      </c>
      <c r="K34" t="s">
        <v>138</v>
      </c>
      <c r="L34" t="s">
        <v>138</v>
      </c>
    </row>
    <row r="35" spans="2:12" x14ac:dyDescent="0.25">
      <c r="B35" t="s">
        <v>145</v>
      </c>
      <c r="D35">
        <v>0.5</v>
      </c>
    </row>
    <row r="36" spans="2:12" x14ac:dyDescent="0.25">
      <c r="B36" t="s">
        <v>241</v>
      </c>
      <c r="I36">
        <v>0.5</v>
      </c>
      <c r="J36">
        <v>0.5</v>
      </c>
      <c r="K36">
        <v>0.5</v>
      </c>
      <c r="L36">
        <v>0.5</v>
      </c>
    </row>
    <row r="37" spans="2:12" x14ac:dyDescent="0.25">
      <c r="B37" t="s">
        <v>67</v>
      </c>
      <c r="C37">
        <v>0.5</v>
      </c>
      <c r="D37">
        <v>1</v>
      </c>
      <c r="I37">
        <v>0.5</v>
      </c>
      <c r="J37">
        <v>0.5</v>
      </c>
      <c r="K37">
        <v>0.5</v>
      </c>
      <c r="L37">
        <v>0.5</v>
      </c>
    </row>
    <row r="38" spans="2:12" hidden="1" x14ac:dyDescent="0.25">
      <c r="B38" t="s">
        <v>68</v>
      </c>
      <c r="C38">
        <v>0.25</v>
      </c>
      <c r="D38">
        <v>0.25</v>
      </c>
      <c r="I38" t="s">
        <v>138</v>
      </c>
      <c r="J38" t="s">
        <v>138</v>
      </c>
      <c r="K38" t="s">
        <v>138</v>
      </c>
      <c r="L38" t="s">
        <v>138</v>
      </c>
    </row>
    <row r="39" spans="2:12" x14ac:dyDescent="0.25">
      <c r="B39" t="s">
        <v>30</v>
      </c>
      <c r="C39">
        <v>0.25</v>
      </c>
    </row>
    <row r="40" spans="2:12" hidden="1" x14ac:dyDescent="0.25">
      <c r="B40" t="s">
        <v>38</v>
      </c>
      <c r="D40">
        <v>0.5</v>
      </c>
      <c r="I40" t="s">
        <v>138</v>
      </c>
      <c r="J40" t="s">
        <v>138</v>
      </c>
      <c r="K40" t="s">
        <v>138</v>
      </c>
      <c r="L40" t="s">
        <v>138</v>
      </c>
    </row>
    <row r="41" spans="2:12" hidden="1" x14ac:dyDescent="0.25">
      <c r="B41" t="s">
        <v>39</v>
      </c>
      <c r="D41">
        <v>0.5</v>
      </c>
      <c r="I41" t="s">
        <v>138</v>
      </c>
      <c r="J41" t="s">
        <v>138</v>
      </c>
      <c r="K41" t="s">
        <v>138</v>
      </c>
      <c r="L41" t="s">
        <v>138</v>
      </c>
    </row>
    <row r="42" spans="2:12" x14ac:dyDescent="0.25">
      <c r="B42" t="s">
        <v>35</v>
      </c>
      <c r="D42">
        <v>0.5</v>
      </c>
    </row>
    <row r="43" spans="2:12" hidden="1" x14ac:dyDescent="0.25">
      <c r="B43" t="s">
        <v>40</v>
      </c>
      <c r="D43">
        <v>0.5</v>
      </c>
      <c r="I43" t="s">
        <v>138</v>
      </c>
      <c r="J43" t="s">
        <v>138</v>
      </c>
      <c r="K43" t="s">
        <v>138</v>
      </c>
      <c r="L43" t="s">
        <v>138</v>
      </c>
    </row>
    <row r="44" spans="2:12" x14ac:dyDescent="0.25">
      <c r="B44" t="s">
        <v>32</v>
      </c>
      <c r="C44">
        <v>0.25</v>
      </c>
    </row>
    <row r="45" spans="2:12" x14ac:dyDescent="0.25">
      <c r="B45" t="s">
        <v>41</v>
      </c>
    </row>
    <row r="46" spans="2:12" x14ac:dyDescent="0.25">
      <c r="B46" t="s">
        <v>33</v>
      </c>
      <c r="C46">
        <v>0.25</v>
      </c>
    </row>
    <row r="47" spans="2:12" x14ac:dyDescent="0.25">
      <c r="B47" t="s">
        <v>42</v>
      </c>
      <c r="C47">
        <v>0.25</v>
      </c>
    </row>
    <row r="48" spans="2:12" x14ac:dyDescent="0.25">
      <c r="B48" t="s">
        <v>43</v>
      </c>
      <c r="D48">
        <v>0.5</v>
      </c>
    </row>
    <row r="49" spans="2:12" x14ac:dyDescent="0.25">
      <c r="B49" t="s">
        <v>44</v>
      </c>
      <c r="C49">
        <v>0.25</v>
      </c>
    </row>
    <row r="50" spans="2:12" x14ac:dyDescent="0.25">
      <c r="B50" t="s">
        <v>45</v>
      </c>
      <c r="C50">
        <v>0.25</v>
      </c>
    </row>
    <row r="51" spans="2:12" hidden="1" x14ac:dyDescent="0.25">
      <c r="B51" t="s">
        <v>69</v>
      </c>
      <c r="C51">
        <v>2</v>
      </c>
      <c r="D51">
        <v>0.5</v>
      </c>
      <c r="I51">
        <v>2</v>
      </c>
      <c r="J51" t="s">
        <v>138</v>
      </c>
      <c r="K51" t="s">
        <v>138</v>
      </c>
      <c r="L51" t="s">
        <v>138</v>
      </c>
    </row>
    <row r="52" spans="2:12" hidden="1" x14ac:dyDescent="0.25">
      <c r="B52" t="s">
        <v>71</v>
      </c>
      <c r="C52">
        <v>4</v>
      </c>
      <c r="D52">
        <v>4</v>
      </c>
      <c r="J52" t="s">
        <v>138</v>
      </c>
      <c r="K52" t="s">
        <v>138</v>
      </c>
      <c r="L52" t="s">
        <v>138</v>
      </c>
    </row>
    <row r="53" spans="2:12" hidden="1" x14ac:dyDescent="0.25">
      <c r="B53" t="s">
        <v>511</v>
      </c>
      <c r="J53" t="s">
        <v>138</v>
      </c>
      <c r="K53" t="s">
        <v>138</v>
      </c>
      <c r="L53" t="s">
        <v>138</v>
      </c>
    </row>
    <row r="54" spans="2:12" x14ac:dyDescent="0.25">
      <c r="B54" t="s">
        <v>584</v>
      </c>
      <c r="K54">
        <v>0.3</v>
      </c>
      <c r="L54" t="s">
        <v>138</v>
      </c>
    </row>
    <row r="55" spans="2:12" hidden="1" x14ac:dyDescent="0.25">
      <c r="B55" t="s">
        <v>518</v>
      </c>
      <c r="J55">
        <v>0.25</v>
      </c>
      <c r="K55" t="s">
        <v>138</v>
      </c>
      <c r="L55" t="s">
        <v>138</v>
      </c>
    </row>
    <row r="56" spans="2:12" hidden="1" x14ac:dyDescent="0.25">
      <c r="B56" t="s">
        <v>526</v>
      </c>
      <c r="K56" t="s">
        <v>138</v>
      </c>
      <c r="L56" t="s">
        <v>138</v>
      </c>
    </row>
    <row r="57" spans="2:12" hidden="1" x14ac:dyDescent="0.25">
      <c r="B57" t="s">
        <v>519</v>
      </c>
      <c r="J57">
        <v>0.25</v>
      </c>
      <c r="K57" t="s">
        <v>138</v>
      </c>
      <c r="L57" t="s">
        <v>138</v>
      </c>
    </row>
    <row r="58" spans="2:12" hidden="1" x14ac:dyDescent="0.25">
      <c r="B58" t="s">
        <v>524</v>
      </c>
      <c r="K58" t="s">
        <v>138</v>
      </c>
      <c r="L58" t="s">
        <v>138</v>
      </c>
    </row>
    <row r="59" spans="2:12" hidden="1" x14ac:dyDescent="0.25">
      <c r="B59" t="s">
        <v>525</v>
      </c>
      <c r="K59" t="s">
        <v>138</v>
      </c>
      <c r="L59" t="s">
        <v>138</v>
      </c>
    </row>
    <row r="60" spans="2:12" x14ac:dyDescent="0.25">
      <c r="B60" t="s">
        <v>512</v>
      </c>
      <c r="J60">
        <v>0.25</v>
      </c>
      <c r="K60">
        <v>0.2</v>
      </c>
      <c r="L60">
        <v>0.2</v>
      </c>
    </row>
    <row r="61" spans="2:12" x14ac:dyDescent="0.25">
      <c r="B61" t="s">
        <v>517</v>
      </c>
      <c r="J61">
        <v>0.25</v>
      </c>
      <c r="K61">
        <v>0.2</v>
      </c>
      <c r="L61">
        <v>0.2</v>
      </c>
    </row>
    <row r="62" spans="2:12" x14ac:dyDescent="0.25">
      <c r="B62" t="s">
        <v>588</v>
      </c>
      <c r="K62">
        <v>0.2</v>
      </c>
      <c r="L62">
        <v>0.2</v>
      </c>
    </row>
    <row r="63" spans="2:12" x14ac:dyDescent="0.25">
      <c r="B63" t="s">
        <v>515</v>
      </c>
      <c r="J63">
        <v>0.5</v>
      </c>
      <c r="K63">
        <v>0.3</v>
      </c>
      <c r="L63">
        <v>0.3</v>
      </c>
    </row>
    <row r="64" spans="2:12" x14ac:dyDescent="0.25">
      <c r="B64" t="s">
        <v>599</v>
      </c>
      <c r="L64">
        <v>0.2</v>
      </c>
    </row>
    <row r="65" spans="2:12" x14ac:dyDescent="0.25">
      <c r="B65" t="s">
        <v>510</v>
      </c>
      <c r="J65">
        <v>0.25</v>
      </c>
      <c r="K65">
        <v>0.1</v>
      </c>
      <c r="L65">
        <v>0.1</v>
      </c>
    </row>
    <row r="66" spans="2:12" x14ac:dyDescent="0.25">
      <c r="B66" t="s">
        <v>514</v>
      </c>
      <c r="J66">
        <v>0.25</v>
      </c>
      <c r="K66">
        <v>0.25</v>
      </c>
      <c r="L66">
        <v>0.25</v>
      </c>
    </row>
    <row r="67" spans="2:12" x14ac:dyDescent="0.25">
      <c r="B67" t="s">
        <v>513</v>
      </c>
      <c r="J67">
        <v>0.5</v>
      </c>
      <c r="K67">
        <v>0.5</v>
      </c>
      <c r="L67">
        <v>0.5</v>
      </c>
    </row>
    <row r="68" spans="2:12" x14ac:dyDescent="0.25">
      <c r="B68" t="s">
        <v>509</v>
      </c>
      <c r="J68">
        <v>1</v>
      </c>
      <c r="K68">
        <v>1</v>
      </c>
      <c r="L68">
        <v>1</v>
      </c>
    </row>
    <row r="69" spans="2:12" x14ac:dyDescent="0.25">
      <c r="B69" t="s">
        <v>533</v>
      </c>
      <c r="K69">
        <v>0.2</v>
      </c>
      <c r="L69">
        <v>0.2</v>
      </c>
    </row>
    <row r="70" spans="2:12" x14ac:dyDescent="0.25">
      <c r="B70" t="s">
        <v>508</v>
      </c>
      <c r="J70">
        <v>0.5</v>
      </c>
      <c r="K70">
        <v>0.5</v>
      </c>
      <c r="L70">
        <v>0.5</v>
      </c>
    </row>
    <row r="71" spans="2:12" x14ac:dyDescent="0.25">
      <c r="B71" t="s">
        <v>72</v>
      </c>
      <c r="C71">
        <v>3</v>
      </c>
      <c r="D71">
        <v>3</v>
      </c>
      <c r="J71">
        <v>2</v>
      </c>
      <c r="K71">
        <v>2</v>
      </c>
      <c r="L71">
        <v>2</v>
      </c>
    </row>
    <row r="73" spans="2:12" x14ac:dyDescent="0.25">
      <c r="B73" s="27">
        <f>0+C73+D73</f>
        <v>26</v>
      </c>
      <c r="C73" s="28">
        <f>SUM(C18:C71)</f>
        <v>11.5</v>
      </c>
      <c r="D73" s="29">
        <f>SUM(D18:D71)</f>
        <v>14.5</v>
      </c>
      <c r="F73" s="17">
        <f t="shared" ref="F73:L73" si="0">SUMIF(F18:F72,"",$C18:$C72)+SUMIF(F18:F72,"",$D18:$D72)+SUBTOTAL(109,F18:F72)</f>
        <v>24.5</v>
      </c>
      <c r="G73" s="17">
        <f t="shared" si="0"/>
        <v>23.75</v>
      </c>
      <c r="H73" s="17">
        <f t="shared" si="0"/>
        <v>24</v>
      </c>
      <c r="I73" s="17">
        <f t="shared" si="0"/>
        <v>19</v>
      </c>
      <c r="J73" s="17">
        <f t="shared" si="0"/>
        <v>10.5</v>
      </c>
      <c r="K73" s="17">
        <f t="shared" ref="K73" si="1">SUMIF(K18:K72,"",$C18:$C72)+SUMIF(K18:K72,"",$D18:$D72)+SUBTOTAL(109,K18:K72)</f>
        <v>10.75</v>
      </c>
      <c r="L73" s="17">
        <f t="shared" si="0"/>
        <v>10.65</v>
      </c>
    </row>
    <row r="76" spans="2:12" x14ac:dyDescent="0.25">
      <c r="B76" t="s">
        <v>46</v>
      </c>
    </row>
  </sheetData>
  <autoFilter ref="F17:L73" xr:uid="{00379212-E3CF-4218-9FEE-9E59D27F5740}">
    <filterColumn colId="6">
      <filters blank="1">
        <filter val="0,1"/>
        <filter val="0,2"/>
        <filter val="0,25"/>
        <filter val="0,3"/>
        <filter val="0,5"/>
        <filter val="1"/>
        <filter val="10,75"/>
        <filter val="2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2AB17-4C01-46D2-A8A8-94F27E949FEE}">
  <sheetPr codeName="Feuil6">
    <outlinePr summaryBelow="0"/>
  </sheetPr>
  <dimension ref="A3:C81"/>
  <sheetViews>
    <sheetView workbookViewId="0">
      <selection activeCell="C3" sqref="C3"/>
    </sheetView>
  </sheetViews>
  <sheetFormatPr baseColWidth="10" defaultRowHeight="15" outlineLevelRow="2" x14ac:dyDescent="0.25"/>
  <cols>
    <col min="1" max="1" width="13.42578125" bestFit="1" customWidth="1"/>
  </cols>
  <sheetData>
    <row r="3" spans="1:3" x14ac:dyDescent="0.25">
      <c r="A3" t="s">
        <v>84</v>
      </c>
    </row>
    <row r="4" spans="1:3" outlineLevel="1" x14ac:dyDescent="0.25">
      <c r="B4" t="s">
        <v>220</v>
      </c>
    </row>
    <row r="5" spans="1:3" outlineLevel="1" x14ac:dyDescent="0.25">
      <c r="B5" t="s">
        <v>221</v>
      </c>
    </row>
    <row r="6" spans="1:3" outlineLevel="1" x14ac:dyDescent="0.25">
      <c r="B6" t="s">
        <v>222</v>
      </c>
    </row>
    <row r="7" spans="1:3" outlineLevel="1" x14ac:dyDescent="0.25">
      <c r="B7" t="s">
        <v>507</v>
      </c>
    </row>
    <row r="8" spans="1:3" outlineLevel="1" x14ac:dyDescent="0.25"/>
    <row r="11" spans="1:3" x14ac:dyDescent="0.25">
      <c r="A11" t="s">
        <v>521</v>
      </c>
      <c r="B11" t="s">
        <v>522</v>
      </c>
      <c r="C11" t="s">
        <v>523</v>
      </c>
    </row>
    <row r="12" spans="1:3" outlineLevel="1" x14ac:dyDescent="0.25">
      <c r="B12" t="s">
        <v>496</v>
      </c>
    </row>
    <row r="13" spans="1:3" outlineLevel="1" x14ac:dyDescent="0.25">
      <c r="B13" t="s">
        <v>497</v>
      </c>
    </row>
    <row r="14" spans="1:3" outlineLevel="1" x14ac:dyDescent="0.25">
      <c r="B14" t="s">
        <v>498</v>
      </c>
    </row>
    <row r="15" spans="1:3" outlineLevel="1" x14ac:dyDescent="0.25"/>
    <row r="16" spans="1:3" outlineLevel="1" x14ac:dyDescent="0.25"/>
    <row r="19" spans="1:3" collapsed="1" x14ac:dyDescent="0.25">
      <c r="A19" t="s">
        <v>247</v>
      </c>
      <c r="B19" t="s">
        <v>248</v>
      </c>
      <c r="C19" t="s">
        <v>249</v>
      </c>
    </row>
    <row r="20" spans="1:3" hidden="1" outlineLevel="1" x14ac:dyDescent="0.25">
      <c r="B20" t="s">
        <v>496</v>
      </c>
    </row>
    <row r="21" spans="1:3" hidden="1" outlineLevel="1" x14ac:dyDescent="0.25">
      <c r="B21" t="s">
        <v>497</v>
      </c>
    </row>
    <row r="22" spans="1:3" hidden="1" outlineLevel="1" x14ac:dyDescent="0.25">
      <c r="B22" t="s">
        <v>498</v>
      </c>
    </row>
    <row r="23" spans="1:3" hidden="1" outlineLevel="1" x14ac:dyDescent="0.25"/>
    <row r="24" spans="1:3" hidden="1" outlineLevel="1" x14ac:dyDescent="0.25"/>
    <row r="26" spans="1:3" collapsed="1" x14ac:dyDescent="0.25">
      <c r="A26" t="s">
        <v>246</v>
      </c>
      <c r="B26" t="s">
        <v>227</v>
      </c>
      <c r="C26" t="s">
        <v>243</v>
      </c>
    </row>
    <row r="27" spans="1:3" hidden="1" outlineLevel="1" x14ac:dyDescent="0.25"/>
    <row r="28" spans="1:3" hidden="1" outlineLevel="1" x14ac:dyDescent="0.25"/>
    <row r="29" spans="1:3" hidden="1" outlineLevel="1" x14ac:dyDescent="0.25"/>
    <row r="31" spans="1:3" collapsed="1" x14ac:dyDescent="0.25">
      <c r="A31" t="s">
        <v>242</v>
      </c>
      <c r="B31" t="s">
        <v>227</v>
      </c>
      <c r="C31" t="s">
        <v>243</v>
      </c>
    </row>
    <row r="32" spans="1:3" hidden="1" outlineLevel="1" x14ac:dyDescent="0.25">
      <c r="B32" t="s">
        <v>244</v>
      </c>
    </row>
    <row r="33" spans="1:3" hidden="1" outlineLevel="1" x14ac:dyDescent="0.25">
      <c r="B33" t="s">
        <v>245</v>
      </c>
    </row>
    <row r="34" spans="1:3" hidden="1" outlineLevel="1" x14ac:dyDescent="0.25"/>
    <row r="36" spans="1:3" collapsed="1" x14ac:dyDescent="0.25">
      <c r="A36" t="s">
        <v>226</v>
      </c>
      <c r="B36" t="s">
        <v>227</v>
      </c>
      <c r="C36" t="s">
        <v>80</v>
      </c>
    </row>
    <row r="37" spans="1:3" hidden="1" outlineLevel="1" x14ac:dyDescent="0.25">
      <c r="B37" t="s">
        <v>232</v>
      </c>
    </row>
    <row r="38" spans="1:3" hidden="1" outlineLevel="1" x14ac:dyDescent="0.25">
      <c r="B38" t="s">
        <v>233</v>
      </c>
    </row>
    <row r="39" spans="1:3" hidden="1" outlineLevel="1" x14ac:dyDescent="0.25">
      <c r="B39" t="s">
        <v>234</v>
      </c>
    </row>
    <row r="40" spans="1:3" hidden="1" outlineLevel="1" x14ac:dyDescent="0.25">
      <c r="B40" t="s">
        <v>240</v>
      </c>
    </row>
    <row r="41" spans="1:3" hidden="1" outlineLevel="1" x14ac:dyDescent="0.25"/>
    <row r="43" spans="1:3" collapsed="1" x14ac:dyDescent="0.25">
      <c r="A43" t="s">
        <v>210</v>
      </c>
      <c r="B43" t="s">
        <v>211</v>
      </c>
      <c r="C43" t="s">
        <v>224</v>
      </c>
    </row>
    <row r="44" spans="1:3" hidden="1" outlineLevel="1" x14ac:dyDescent="0.25">
      <c r="B44" t="s">
        <v>214</v>
      </c>
    </row>
    <row r="45" spans="1:3" hidden="1" outlineLevel="1" x14ac:dyDescent="0.25">
      <c r="B45" t="s">
        <v>212</v>
      </c>
    </row>
    <row r="46" spans="1:3" hidden="1" outlineLevel="1" x14ac:dyDescent="0.25">
      <c r="B46" t="s">
        <v>213</v>
      </c>
    </row>
    <row r="47" spans="1:3" hidden="1" outlineLevel="1" x14ac:dyDescent="0.25"/>
    <row r="49" spans="1:3" collapsed="1" x14ac:dyDescent="0.25">
      <c r="A49" t="s">
        <v>215</v>
      </c>
      <c r="B49" t="s">
        <v>216</v>
      </c>
      <c r="C49" t="s">
        <v>225</v>
      </c>
    </row>
    <row r="50" spans="1:3" hidden="1" outlineLevel="1" x14ac:dyDescent="0.25">
      <c r="B50" t="s">
        <v>217</v>
      </c>
    </row>
    <row r="51" spans="1:3" hidden="1" outlineLevel="1" x14ac:dyDescent="0.25"/>
    <row r="52" spans="1:3" hidden="1" outlineLevel="1" x14ac:dyDescent="0.25"/>
    <row r="53" spans="1:3" hidden="1" outlineLevel="1" x14ac:dyDescent="0.25"/>
    <row r="56" spans="1:3" collapsed="1" x14ac:dyDescent="0.25">
      <c r="A56" t="s">
        <v>139</v>
      </c>
    </row>
    <row r="57" spans="1:3" hidden="1" outlineLevel="1" collapsed="1" x14ac:dyDescent="0.25">
      <c r="B57" t="s">
        <v>223</v>
      </c>
    </row>
    <row r="58" spans="1:3" hidden="1" outlineLevel="2" x14ac:dyDescent="0.25">
      <c r="B58" t="s">
        <v>117</v>
      </c>
    </row>
    <row r="59" spans="1:3" hidden="1" outlineLevel="2" x14ac:dyDescent="0.25"/>
    <row r="60" spans="1:3" hidden="1" outlineLevel="2" x14ac:dyDescent="0.25">
      <c r="B60" t="s">
        <v>118</v>
      </c>
    </row>
    <row r="61" spans="1:3" hidden="1" outlineLevel="2" x14ac:dyDescent="0.25"/>
    <row r="62" spans="1:3" hidden="1" outlineLevel="2" x14ac:dyDescent="0.25">
      <c r="B62" t="s">
        <v>119</v>
      </c>
    </row>
    <row r="63" spans="1:3" hidden="1" outlineLevel="2" x14ac:dyDescent="0.25">
      <c r="B63" t="s">
        <v>120</v>
      </c>
    </row>
    <row r="64" spans="1:3" hidden="1" outlineLevel="2" x14ac:dyDescent="0.25">
      <c r="B64" t="s">
        <v>121</v>
      </c>
    </row>
    <row r="65" spans="2:2" hidden="1" outlineLevel="2" x14ac:dyDescent="0.25">
      <c r="B65" t="s">
        <v>122</v>
      </c>
    </row>
    <row r="66" spans="2:2" hidden="1" outlineLevel="2" x14ac:dyDescent="0.25">
      <c r="B66" t="s">
        <v>123</v>
      </c>
    </row>
    <row r="67" spans="2:2" hidden="1" outlineLevel="2" x14ac:dyDescent="0.25">
      <c r="B67" t="s">
        <v>124</v>
      </c>
    </row>
    <row r="68" spans="2:2" hidden="1" outlineLevel="2" x14ac:dyDescent="0.25"/>
    <row r="69" spans="2:2" hidden="1" outlineLevel="2" x14ac:dyDescent="0.25">
      <c r="B69" t="s">
        <v>125</v>
      </c>
    </row>
    <row r="70" spans="2:2" hidden="1" outlineLevel="2" x14ac:dyDescent="0.25">
      <c r="B70" t="s">
        <v>126</v>
      </c>
    </row>
    <row r="71" spans="2:2" hidden="1" outlineLevel="2" x14ac:dyDescent="0.25"/>
    <row r="72" spans="2:2" hidden="1" outlineLevel="2" x14ac:dyDescent="0.25">
      <c r="B72" t="s">
        <v>127</v>
      </c>
    </row>
    <row r="73" spans="2:2" hidden="1" outlineLevel="2" x14ac:dyDescent="0.25">
      <c r="B73" t="s">
        <v>128</v>
      </c>
    </row>
    <row r="74" spans="2:2" hidden="1" outlineLevel="2" x14ac:dyDescent="0.25">
      <c r="B74" t="s">
        <v>129</v>
      </c>
    </row>
    <row r="75" spans="2:2" hidden="1" outlineLevel="2" x14ac:dyDescent="0.25">
      <c r="B75" t="s">
        <v>130</v>
      </c>
    </row>
    <row r="76" spans="2:2" hidden="1" outlineLevel="2" x14ac:dyDescent="0.25">
      <c r="B76" t="s">
        <v>131</v>
      </c>
    </row>
    <row r="77" spans="2:2" hidden="1" outlineLevel="2" x14ac:dyDescent="0.25">
      <c r="B77" t="s">
        <v>132</v>
      </c>
    </row>
    <row r="78" spans="2:2" hidden="1" outlineLevel="2" x14ac:dyDescent="0.25">
      <c r="B78" t="s">
        <v>133</v>
      </c>
    </row>
    <row r="79" spans="2:2" hidden="1" outlineLevel="1" x14ac:dyDescent="0.25"/>
    <row r="80" spans="2:2" hidden="1" outlineLevel="1" collapsed="1" x14ac:dyDescent="0.25">
      <c r="B80" t="s">
        <v>140</v>
      </c>
    </row>
    <row r="81" spans="3:3" hidden="1" outlineLevel="2" x14ac:dyDescent="0.25">
      <c r="C81" t="s">
        <v>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9C7FF-75F3-40F3-9B2F-D3EAF1CD8DB9}">
  <sheetPr codeName="I18N_Data"/>
  <dimension ref="A1:L114"/>
  <sheetViews>
    <sheetView topLeftCell="A90" workbookViewId="0">
      <selection activeCell="E35" sqref="E35"/>
    </sheetView>
  </sheetViews>
  <sheetFormatPr baseColWidth="10" defaultRowHeight="15" x14ac:dyDescent="0.25"/>
  <cols>
    <col min="1" max="1" width="20.7109375" bestFit="1" customWidth="1"/>
    <col min="3" max="3" width="12.5703125" bestFit="1" customWidth="1"/>
    <col min="4" max="4" width="11.28515625" bestFit="1" customWidth="1"/>
    <col min="7" max="7" width="25.42578125" bestFit="1" customWidth="1"/>
    <col min="8" max="8" width="24.5703125" bestFit="1" customWidth="1"/>
  </cols>
  <sheetData>
    <row r="1" spans="1:12" ht="17.25" customHeight="1" x14ac:dyDescent="0.25">
      <c r="J1" s="1" t="s">
        <v>12</v>
      </c>
      <c r="L1" t="s">
        <v>56</v>
      </c>
    </row>
    <row r="2" spans="1:12" ht="17.25" customHeight="1" x14ac:dyDescent="0.25"/>
    <row r="3" spans="1:1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11</v>
      </c>
      <c r="H3" t="s">
        <v>12</v>
      </c>
    </row>
    <row r="4" spans="1:12" x14ac:dyDescent="0.25">
      <c r="A4" s="2" t="s">
        <v>12</v>
      </c>
      <c r="B4" s="2"/>
      <c r="C4" s="2"/>
      <c r="D4" s="2"/>
      <c r="E4" s="2"/>
      <c r="F4" s="2"/>
      <c r="G4" s="2" t="s">
        <v>15</v>
      </c>
      <c r="H4" s="2" t="s">
        <v>13</v>
      </c>
    </row>
    <row r="5" spans="1:12" x14ac:dyDescent="0.25">
      <c r="A5" s="2" t="s">
        <v>11</v>
      </c>
      <c r="B5" s="2"/>
      <c r="C5" s="2"/>
      <c r="D5" s="2"/>
      <c r="E5" s="2"/>
      <c r="F5" s="2"/>
      <c r="G5" s="2" t="s">
        <v>16</v>
      </c>
      <c r="H5" s="2" t="s">
        <v>14</v>
      </c>
    </row>
    <row r="6" spans="1:12" x14ac:dyDescent="0.25">
      <c r="A6" s="2" t="s">
        <v>157</v>
      </c>
      <c r="B6" s="2"/>
      <c r="C6" s="3"/>
      <c r="D6" s="3"/>
      <c r="E6" s="2" t="s">
        <v>63</v>
      </c>
      <c r="F6" s="2" t="s">
        <v>63</v>
      </c>
      <c r="G6" s="2" t="s">
        <v>158</v>
      </c>
      <c r="H6" s="2" t="s">
        <v>159</v>
      </c>
    </row>
    <row r="7" spans="1:12" x14ac:dyDescent="0.25">
      <c r="A7" s="2" t="s">
        <v>160</v>
      </c>
      <c r="B7" s="2"/>
      <c r="C7" s="3"/>
      <c r="D7" s="3"/>
      <c r="E7" s="2"/>
      <c r="F7" s="2"/>
      <c r="G7" s="2" t="s">
        <v>161</v>
      </c>
      <c r="H7" s="2" t="s">
        <v>168</v>
      </c>
    </row>
    <row r="8" spans="1:12" x14ac:dyDescent="0.25">
      <c r="A8" s="2" t="s">
        <v>162</v>
      </c>
      <c r="B8" s="2"/>
      <c r="C8" s="3"/>
      <c r="D8" s="3"/>
      <c r="E8" s="2"/>
      <c r="F8" s="2"/>
      <c r="G8" s="2" t="s">
        <v>163</v>
      </c>
      <c r="H8" s="2" t="s">
        <v>164</v>
      </c>
    </row>
    <row r="9" spans="1:12" x14ac:dyDescent="0.25">
      <c r="A9" s="2" t="s">
        <v>167</v>
      </c>
      <c r="B9" s="2"/>
      <c r="C9" s="3"/>
      <c r="D9" s="3"/>
      <c r="E9" s="2"/>
      <c r="F9" s="2"/>
      <c r="G9" s="2" t="s">
        <v>169</v>
      </c>
      <c r="H9" s="2" t="s">
        <v>170</v>
      </c>
    </row>
    <row r="10" spans="1:12" x14ac:dyDescent="0.25">
      <c r="A10" s="2" t="s">
        <v>53</v>
      </c>
      <c r="B10" s="2" t="s">
        <v>165</v>
      </c>
      <c r="C10" s="3" t="s">
        <v>166</v>
      </c>
      <c r="D10" s="3"/>
      <c r="E10" s="2"/>
      <c r="F10" s="2"/>
      <c r="G10" s="2" t="str">
        <f xml:space="preserve"> "Version " &amp; tI18N[[#This Row],[Param1]] &amp; " - " &amp; tI18N[[#This Row],[Param2]]</f>
        <v>Version 01 - 10 12 15</v>
      </c>
      <c r="H10" s="2" t="str">
        <f xml:space="preserve"> "Version " &amp; tI18N[[#This Row],[Param1]] &amp; " du " &amp; tI18N[[#This Row],[Param2]]</f>
        <v>Version 01 du 10 12 15</v>
      </c>
    </row>
    <row r="11" spans="1:12" x14ac:dyDescent="0.25">
      <c r="A11" s="2" t="s">
        <v>57</v>
      </c>
      <c r="B11" s="2" t="s">
        <v>63</v>
      </c>
      <c r="C11" s="2" t="s">
        <v>63</v>
      </c>
      <c r="D11" s="2" t="s">
        <v>63</v>
      </c>
      <c r="E11" s="2" t="s">
        <v>63</v>
      </c>
      <c r="F11" s="2" t="s">
        <v>63</v>
      </c>
      <c r="G11" s="2" t="s">
        <v>58</v>
      </c>
      <c r="H11" s="2" t="s">
        <v>59</v>
      </c>
    </row>
    <row r="12" spans="1:12" x14ac:dyDescent="0.25">
      <c r="A12" s="2" t="s">
        <v>60</v>
      </c>
      <c r="B12" s="2" t="s">
        <v>63</v>
      </c>
      <c r="C12" s="2" t="s">
        <v>63</v>
      </c>
      <c r="D12" s="2" t="s">
        <v>63</v>
      </c>
      <c r="E12" s="2" t="s">
        <v>63</v>
      </c>
      <c r="F12" s="2" t="s">
        <v>63</v>
      </c>
      <c r="G12" s="2" t="s">
        <v>62</v>
      </c>
      <c r="H12" s="2" t="s">
        <v>61</v>
      </c>
    </row>
    <row r="13" spans="1:12" x14ac:dyDescent="0.25">
      <c r="A13" s="2" t="s">
        <v>49</v>
      </c>
      <c r="B13" s="2"/>
      <c r="C13" s="2"/>
      <c r="D13" s="2"/>
      <c r="E13" s="2"/>
      <c r="F13" s="2"/>
      <c r="G13" s="2" t="s">
        <v>6</v>
      </c>
      <c r="H13" s="2" t="s">
        <v>18</v>
      </c>
    </row>
    <row r="14" spans="1:12" x14ac:dyDescent="0.25">
      <c r="A14" s="2" t="s">
        <v>50</v>
      </c>
      <c r="B14" s="2"/>
      <c r="C14" s="2"/>
      <c r="D14" s="2"/>
      <c r="E14" s="2"/>
      <c r="F14" s="2"/>
      <c r="G14" s="2" t="s">
        <v>7</v>
      </c>
      <c r="H14" s="2" t="s">
        <v>7</v>
      </c>
    </row>
    <row r="15" spans="1:12" x14ac:dyDescent="0.25">
      <c r="A15" s="2" t="s">
        <v>51</v>
      </c>
      <c r="B15" s="2"/>
      <c r="C15" s="2"/>
      <c r="D15" s="2"/>
      <c r="E15" s="2"/>
      <c r="F15" s="2"/>
      <c r="G15" s="2" t="s">
        <v>8</v>
      </c>
      <c r="H15" s="2" t="s">
        <v>8</v>
      </c>
    </row>
    <row r="16" spans="1:12" x14ac:dyDescent="0.25">
      <c r="A16" s="2" t="s">
        <v>52</v>
      </c>
      <c r="B16" s="2"/>
      <c r="C16" s="2"/>
      <c r="D16" s="2"/>
      <c r="E16" s="2"/>
      <c r="F16" s="2"/>
      <c r="G16" s="2" t="s">
        <v>9</v>
      </c>
      <c r="H16" s="2" t="s">
        <v>17</v>
      </c>
    </row>
    <row r="17" spans="1:8" x14ac:dyDescent="0.25">
      <c r="A17" s="2" t="s">
        <v>10</v>
      </c>
      <c r="B17" s="2">
        <v>10</v>
      </c>
      <c r="C17" s="2"/>
      <c r="D17" s="2"/>
      <c r="E17" s="2"/>
      <c r="F17" s="2"/>
      <c r="G17" s="2" t="str">
        <f>"End after " &amp; TEXT(tI18N[[#This Row],[Param1]], "### ### ###") &amp; " second" &amp; IF(tI18N[[#This Row],[Param1]] &gt; 1, "s", "")</f>
        <v>End after 10 seconds</v>
      </c>
      <c r="H17" s="2" t="str">
        <f>"Terminé en " &amp; TEXT(tI18N[[#This Row],[Param1]], "### ### ###") &amp; " seconde" &amp; IF(tI18N[[#This Row],[Param1]] &gt; 1, "s", "")</f>
        <v>Terminé en 10 secondes</v>
      </c>
    </row>
    <row r="18" spans="1:8" x14ac:dyDescent="0.25">
      <c r="A18" s="2" t="s">
        <v>171</v>
      </c>
      <c r="B18" s="2"/>
      <c r="C18" s="2"/>
      <c r="D18" s="2"/>
      <c r="E18" s="2"/>
      <c r="F18" s="2"/>
      <c r="G18" s="2" t="s">
        <v>493</v>
      </c>
      <c r="H18" s="2" t="s">
        <v>237</v>
      </c>
    </row>
    <row r="19" spans="1:8" x14ac:dyDescent="0.25">
      <c r="A19" s="2" t="s">
        <v>172</v>
      </c>
      <c r="B19" s="2"/>
      <c r="C19" s="2"/>
      <c r="D19" s="2"/>
      <c r="E19" s="2"/>
      <c r="F19" s="2"/>
      <c r="G19" s="2" t="s">
        <v>174</v>
      </c>
      <c r="H19" s="2" t="s">
        <v>173</v>
      </c>
    </row>
    <row r="20" spans="1:8" x14ac:dyDescent="0.25">
      <c r="A20" s="2" t="s">
        <v>175</v>
      </c>
      <c r="B20" s="2"/>
      <c r="C20" s="2"/>
      <c r="D20" s="2"/>
      <c r="E20" s="2"/>
      <c r="F20" s="2"/>
      <c r="G20" s="2" t="s">
        <v>115</v>
      </c>
      <c r="H20" s="2" t="s">
        <v>65</v>
      </c>
    </row>
    <row r="21" spans="1:8" x14ac:dyDescent="0.25">
      <c r="A21" s="2" t="s">
        <v>75</v>
      </c>
      <c r="B21" s="2"/>
      <c r="C21" s="2"/>
      <c r="D21" s="2"/>
      <c r="E21" s="2"/>
      <c r="F21" s="2"/>
      <c r="G21" s="2" t="s">
        <v>76</v>
      </c>
      <c r="H21" s="2" t="s">
        <v>77</v>
      </c>
    </row>
    <row r="22" spans="1:8" x14ac:dyDescent="0.25">
      <c r="A22" s="2" t="s">
        <v>93</v>
      </c>
      <c r="B22" s="2"/>
      <c r="C22" s="2"/>
      <c r="D22" s="2"/>
      <c r="E22" s="2"/>
      <c r="F22" s="2"/>
      <c r="G22" s="2" t="s">
        <v>0</v>
      </c>
      <c r="H22" s="2" t="s">
        <v>0</v>
      </c>
    </row>
    <row r="23" spans="1:8" x14ac:dyDescent="0.25">
      <c r="A23" s="2" t="s">
        <v>73</v>
      </c>
      <c r="B23" s="2"/>
      <c r="C23" s="2"/>
      <c r="D23" s="2"/>
      <c r="E23" s="2"/>
      <c r="F23" s="2"/>
      <c r="G23" s="2" t="s">
        <v>20</v>
      </c>
      <c r="H23" s="2" t="s">
        <v>47</v>
      </c>
    </row>
    <row r="24" spans="1:8" x14ac:dyDescent="0.25">
      <c r="A24" s="2" t="s">
        <v>105</v>
      </c>
      <c r="B24" s="2"/>
      <c r="C24" s="2"/>
      <c r="D24" s="2"/>
      <c r="E24" s="2"/>
      <c r="F24" s="2"/>
      <c r="G24" s="2" t="s">
        <v>28</v>
      </c>
      <c r="H24" s="2" t="s">
        <v>107</v>
      </c>
    </row>
    <row r="25" spans="1:8" x14ac:dyDescent="0.25">
      <c r="A25" s="2" t="s">
        <v>103</v>
      </c>
      <c r="B25" s="2"/>
      <c r="C25" s="2"/>
      <c r="D25" s="2"/>
      <c r="E25" s="2"/>
      <c r="F25" s="2"/>
      <c r="G25" s="2" t="s">
        <v>104</v>
      </c>
      <c r="H25" s="2" t="s">
        <v>48</v>
      </c>
    </row>
    <row r="26" spans="1:8" x14ac:dyDescent="0.25">
      <c r="A26" s="2" t="s">
        <v>74</v>
      </c>
      <c r="B26" s="2"/>
      <c r="C26" s="2"/>
      <c r="D26" s="2"/>
      <c r="E26" s="2"/>
      <c r="F26" s="2"/>
      <c r="G26" s="2" t="s">
        <v>54</v>
      </c>
      <c r="H26" s="2" t="s">
        <v>55</v>
      </c>
    </row>
    <row r="27" spans="1:8" x14ac:dyDescent="0.25">
      <c r="A27" s="2" t="s">
        <v>87</v>
      </c>
      <c r="B27" s="2"/>
      <c r="C27" s="2"/>
      <c r="D27" s="2"/>
      <c r="E27" s="2"/>
      <c r="F27" s="2"/>
      <c r="G27" s="2" t="s">
        <v>88</v>
      </c>
      <c r="H27" s="2" t="s">
        <v>89</v>
      </c>
    </row>
    <row r="28" spans="1:8" x14ac:dyDescent="0.25">
      <c r="A28" s="2" t="s">
        <v>83</v>
      </c>
      <c r="B28" s="2"/>
      <c r="C28" s="2"/>
      <c r="D28" s="2"/>
      <c r="E28" s="2"/>
      <c r="F28" s="2"/>
      <c r="G28" s="2" t="s">
        <v>79</v>
      </c>
      <c r="H28" s="2" t="s">
        <v>81</v>
      </c>
    </row>
    <row r="29" spans="1:8" x14ac:dyDescent="0.25">
      <c r="A29" s="2" t="s">
        <v>78</v>
      </c>
      <c r="B29" s="2"/>
      <c r="C29" s="2"/>
      <c r="D29" s="2"/>
      <c r="E29" s="2"/>
      <c r="F29" s="2"/>
      <c r="G29" s="2" t="s">
        <v>80</v>
      </c>
      <c r="H29" s="2" t="s">
        <v>82</v>
      </c>
    </row>
    <row r="30" spans="1:8" x14ac:dyDescent="0.25">
      <c r="A30" s="26" t="s">
        <v>146</v>
      </c>
      <c r="B30" s="2"/>
      <c r="C30" s="2"/>
      <c r="D30" s="2"/>
      <c r="E30" s="2"/>
      <c r="F30" s="2"/>
      <c r="G30" s="2" t="s">
        <v>181</v>
      </c>
      <c r="H30" s="2" t="s">
        <v>182</v>
      </c>
    </row>
    <row r="31" spans="1:8" x14ac:dyDescent="0.25">
      <c r="A31" s="26" t="s">
        <v>147</v>
      </c>
      <c r="B31" s="2"/>
      <c r="C31" s="2"/>
      <c r="D31" s="2"/>
      <c r="E31" s="2"/>
      <c r="F31" s="2"/>
      <c r="G31" s="2" t="s">
        <v>45</v>
      </c>
      <c r="H31" s="2" t="s">
        <v>183</v>
      </c>
    </row>
    <row r="32" spans="1:8" x14ac:dyDescent="0.25">
      <c r="A32" s="26" t="s">
        <v>148</v>
      </c>
      <c r="B32" s="2"/>
      <c r="C32" s="2"/>
      <c r="D32" s="2"/>
      <c r="E32" s="2"/>
      <c r="F32" s="2"/>
      <c r="G32" s="2" t="s">
        <v>184</v>
      </c>
      <c r="H32" s="2" t="s">
        <v>185</v>
      </c>
    </row>
    <row r="33" spans="1:8" x14ac:dyDescent="0.25">
      <c r="A33" s="26" t="s">
        <v>180</v>
      </c>
      <c r="B33" s="2"/>
      <c r="C33" s="2"/>
      <c r="D33" s="2"/>
      <c r="E33" s="2"/>
      <c r="F33" s="2"/>
      <c r="G33" s="2" t="s">
        <v>582</v>
      </c>
      <c r="H33" s="2" t="s">
        <v>583</v>
      </c>
    </row>
    <row r="34" spans="1:8" x14ac:dyDescent="0.25">
      <c r="A34" s="26" t="s">
        <v>150</v>
      </c>
      <c r="B34" s="2"/>
      <c r="C34" s="2"/>
      <c r="D34" s="2"/>
      <c r="E34" s="2"/>
      <c r="F34" s="2"/>
      <c r="G34" s="2" t="s">
        <v>186</v>
      </c>
      <c r="H34" s="2" t="s">
        <v>188</v>
      </c>
    </row>
    <row r="35" spans="1:8" x14ac:dyDescent="0.25">
      <c r="A35" s="26" t="s">
        <v>151</v>
      </c>
      <c r="B35" s="2"/>
      <c r="C35" s="2"/>
      <c r="D35" s="2"/>
      <c r="E35" s="2"/>
      <c r="F35" s="2"/>
      <c r="G35" s="2" t="s">
        <v>187</v>
      </c>
      <c r="H35" s="2" t="s">
        <v>189</v>
      </c>
    </row>
    <row r="36" spans="1:8" x14ac:dyDescent="0.25">
      <c r="A36" s="2" t="s">
        <v>134</v>
      </c>
      <c r="B36" s="2"/>
      <c r="C36" s="2"/>
      <c r="D36" s="2"/>
      <c r="E36" s="2"/>
      <c r="F36" s="2"/>
      <c r="G36" s="2" t="s">
        <v>209</v>
      </c>
      <c r="H36" s="2" t="s">
        <v>190</v>
      </c>
    </row>
    <row r="37" spans="1:8" x14ac:dyDescent="0.25">
      <c r="A37" s="26" t="s">
        <v>199</v>
      </c>
      <c r="B37" s="2"/>
      <c r="C37" s="2"/>
      <c r="D37" s="2"/>
      <c r="E37" s="2"/>
      <c r="F37" s="2"/>
      <c r="G37" s="2" t="s">
        <v>19</v>
      </c>
      <c r="H37" s="2" t="s">
        <v>19</v>
      </c>
    </row>
    <row r="38" spans="1:8" x14ac:dyDescent="0.25">
      <c r="A38" s="26" t="s">
        <v>197</v>
      </c>
      <c r="B38" s="2"/>
      <c r="C38" s="2"/>
      <c r="D38" s="2"/>
      <c r="E38" s="2"/>
      <c r="F38" s="2"/>
      <c r="G38" s="2" t="s">
        <v>201</v>
      </c>
      <c r="H38" s="2" t="s">
        <v>200</v>
      </c>
    </row>
    <row r="39" spans="1:8" x14ac:dyDescent="0.25">
      <c r="A39" s="26" t="s">
        <v>198</v>
      </c>
      <c r="B39" s="2"/>
      <c r="C39" s="2"/>
      <c r="D39" s="2"/>
      <c r="E39" s="2"/>
      <c r="F39" s="2"/>
      <c r="G39" s="2" t="s">
        <v>34</v>
      </c>
      <c r="H39" s="2" t="s">
        <v>202</v>
      </c>
    </row>
    <row r="40" spans="1:8" x14ac:dyDescent="0.25">
      <c r="A40" s="36" t="s">
        <v>372</v>
      </c>
      <c r="B40" s="2"/>
      <c r="C40" s="2"/>
      <c r="D40" s="2"/>
      <c r="E40" s="2"/>
      <c r="F40" s="2"/>
      <c r="G40" s="2" t="s">
        <v>470</v>
      </c>
      <c r="H40" s="2" t="s">
        <v>17</v>
      </c>
    </row>
    <row r="41" spans="1:8" x14ac:dyDescent="0.25">
      <c r="A41" s="36" t="s">
        <v>373</v>
      </c>
      <c r="B41" s="2"/>
      <c r="C41" s="2"/>
      <c r="D41" s="2"/>
      <c r="E41" s="2"/>
      <c r="F41" s="2"/>
      <c r="G41" s="2" t="s">
        <v>471</v>
      </c>
      <c r="H41" s="2" t="s">
        <v>472</v>
      </c>
    </row>
    <row r="42" spans="1:8" x14ac:dyDescent="0.25">
      <c r="A42" s="35" t="s">
        <v>323</v>
      </c>
      <c r="B42" s="2"/>
      <c r="C42" s="2"/>
      <c r="D42" s="2"/>
      <c r="E42" s="2"/>
      <c r="F42" s="2"/>
      <c r="G42" s="2" t="s">
        <v>473</v>
      </c>
      <c r="H42" s="2" t="s">
        <v>474</v>
      </c>
    </row>
    <row r="43" spans="1:8" x14ac:dyDescent="0.25">
      <c r="A43" s="36" t="s">
        <v>450</v>
      </c>
      <c r="B43" s="2"/>
      <c r="C43" s="2"/>
      <c r="D43" s="2"/>
      <c r="E43" s="2"/>
      <c r="F43" s="2"/>
      <c r="G43" s="2" t="s">
        <v>475</v>
      </c>
      <c r="H43" s="38" t="s">
        <v>483</v>
      </c>
    </row>
    <row r="44" spans="1:8" x14ac:dyDescent="0.25">
      <c r="A44" s="36" t="s">
        <v>451</v>
      </c>
      <c r="B44" s="2"/>
      <c r="C44" s="2"/>
      <c r="D44" s="2"/>
      <c r="E44" s="2"/>
      <c r="F44" s="2"/>
      <c r="G44" s="2" t="s">
        <v>479</v>
      </c>
      <c r="H44" s="2" t="s">
        <v>481</v>
      </c>
    </row>
    <row r="45" spans="1:8" x14ac:dyDescent="0.25">
      <c r="A45" s="36" t="s">
        <v>452</v>
      </c>
      <c r="B45" s="2"/>
      <c r="C45" s="2"/>
      <c r="D45" s="2"/>
      <c r="E45" s="2"/>
      <c r="F45" s="2"/>
      <c r="G45" s="2" t="s">
        <v>476</v>
      </c>
      <c r="H45" s="38" t="s">
        <v>484</v>
      </c>
    </row>
    <row r="46" spans="1:8" x14ac:dyDescent="0.25">
      <c r="A46" s="36" t="s">
        <v>453</v>
      </c>
      <c r="B46" s="2"/>
      <c r="C46" s="2"/>
      <c r="D46" s="2"/>
      <c r="E46" s="2"/>
      <c r="F46" s="2"/>
      <c r="G46" s="2" t="s">
        <v>480</v>
      </c>
      <c r="H46" s="2" t="s">
        <v>482</v>
      </c>
    </row>
    <row r="47" spans="1:8" x14ac:dyDescent="0.25">
      <c r="A47" s="36" t="s">
        <v>454</v>
      </c>
      <c r="B47" s="2"/>
      <c r="C47" s="2"/>
      <c r="D47" s="2"/>
      <c r="E47" s="2"/>
      <c r="F47" s="2"/>
      <c r="G47" s="2" t="s">
        <v>485</v>
      </c>
      <c r="H47" s="2" t="s">
        <v>486</v>
      </c>
    </row>
    <row r="48" spans="1:8" x14ac:dyDescent="0.25">
      <c r="A48" s="36" t="s">
        <v>455</v>
      </c>
      <c r="B48" s="2"/>
      <c r="C48" s="2"/>
      <c r="D48" s="2"/>
      <c r="E48" s="2"/>
      <c r="F48" s="2"/>
      <c r="G48" s="2" t="s">
        <v>487</v>
      </c>
      <c r="H48" s="2" t="s">
        <v>488</v>
      </c>
    </row>
    <row r="49" spans="1:8" x14ac:dyDescent="0.25">
      <c r="A49" s="36" t="s">
        <v>456</v>
      </c>
      <c r="B49" s="2"/>
      <c r="C49" s="2"/>
      <c r="D49" s="2"/>
      <c r="E49" s="2"/>
      <c r="F49" s="2"/>
      <c r="G49" s="2" t="s">
        <v>477</v>
      </c>
      <c r="H49" s="2" t="s">
        <v>489</v>
      </c>
    </row>
    <row r="50" spans="1:8" x14ac:dyDescent="0.25">
      <c r="A50" s="36" t="s">
        <v>457</v>
      </c>
      <c r="B50" s="2"/>
      <c r="C50" s="2"/>
      <c r="D50" s="2"/>
      <c r="E50" s="2"/>
      <c r="F50" s="2"/>
      <c r="G50" s="2" t="s">
        <v>490</v>
      </c>
      <c r="H50" s="2" t="s">
        <v>491</v>
      </c>
    </row>
    <row r="51" spans="1:8" x14ac:dyDescent="0.25">
      <c r="A51" s="36" t="s">
        <v>458</v>
      </c>
      <c r="B51" s="2"/>
      <c r="C51" s="2"/>
      <c r="D51" s="2"/>
      <c r="E51" s="2"/>
      <c r="F51" s="2"/>
      <c r="G51" s="2" t="s">
        <v>478</v>
      </c>
      <c r="H51" s="2" t="s">
        <v>492</v>
      </c>
    </row>
    <row r="52" spans="1:8" x14ac:dyDescent="0.25">
      <c r="A52" s="36" t="s">
        <v>459</v>
      </c>
      <c r="B52" s="2"/>
      <c r="C52" s="2"/>
      <c r="D52" s="2"/>
      <c r="E52" s="2"/>
      <c r="F52" s="2"/>
      <c r="G52" s="36" t="s">
        <v>527</v>
      </c>
      <c r="H52" s="36" t="s">
        <v>528</v>
      </c>
    </row>
    <row r="53" spans="1:8" x14ac:dyDescent="0.25">
      <c r="A53" s="36" t="s">
        <v>460</v>
      </c>
      <c r="B53" s="2"/>
      <c r="C53" s="2"/>
      <c r="D53" s="2"/>
      <c r="E53" s="2"/>
      <c r="F53" s="2"/>
      <c r="G53" s="36" t="s">
        <v>530</v>
      </c>
      <c r="H53" s="36" t="s">
        <v>529</v>
      </c>
    </row>
    <row r="54" spans="1:8" x14ac:dyDescent="0.25">
      <c r="A54" s="36" t="s">
        <v>461</v>
      </c>
      <c r="B54" s="2"/>
      <c r="C54" s="2"/>
      <c r="D54" s="2"/>
      <c r="E54" s="2"/>
      <c r="F54" s="2"/>
      <c r="G54" s="36" t="s">
        <v>531</v>
      </c>
      <c r="H54" s="36" t="s">
        <v>532</v>
      </c>
    </row>
    <row r="55" spans="1:8" x14ac:dyDescent="0.25">
      <c r="A55" s="36" t="s">
        <v>462</v>
      </c>
      <c r="B55" s="2"/>
      <c r="C55" s="2"/>
      <c r="D55" s="2"/>
      <c r="E55" s="2"/>
      <c r="F55" s="2"/>
      <c r="G55" s="36" t="s">
        <v>534</v>
      </c>
      <c r="H55" s="36" t="s">
        <v>535</v>
      </c>
    </row>
    <row r="56" spans="1:8" x14ac:dyDescent="0.25">
      <c r="A56" s="36" t="s">
        <v>463</v>
      </c>
      <c r="B56" s="2"/>
      <c r="C56" s="2"/>
      <c r="D56" s="2"/>
      <c r="E56" s="2"/>
      <c r="F56" s="2"/>
      <c r="G56" s="36" t="s">
        <v>536</v>
      </c>
      <c r="H56" s="36" t="s">
        <v>538</v>
      </c>
    </row>
    <row r="57" spans="1:8" x14ac:dyDescent="0.25">
      <c r="A57" s="36" t="s">
        <v>464</v>
      </c>
      <c r="B57" s="2"/>
      <c r="C57" s="2"/>
      <c r="D57" s="2"/>
      <c r="E57" s="2"/>
      <c r="F57" s="2"/>
      <c r="G57" s="36" t="s">
        <v>537</v>
      </c>
      <c r="H57" s="36" t="s">
        <v>539</v>
      </c>
    </row>
    <row r="58" spans="1:8" x14ac:dyDescent="0.25">
      <c r="A58" s="36" t="s">
        <v>465</v>
      </c>
      <c r="B58" s="2"/>
      <c r="C58" s="2"/>
      <c r="D58" s="2"/>
      <c r="E58" s="2"/>
      <c r="F58" s="2"/>
      <c r="G58" s="36" t="s">
        <v>540</v>
      </c>
      <c r="H58" s="36" t="s">
        <v>541</v>
      </c>
    </row>
    <row r="59" spans="1:8" x14ac:dyDescent="0.25">
      <c r="A59" s="36" t="s">
        <v>466</v>
      </c>
      <c r="B59" s="2"/>
      <c r="C59" s="2"/>
      <c r="D59" s="2"/>
      <c r="E59" s="2"/>
      <c r="F59" s="2"/>
      <c r="G59" s="36" t="s">
        <v>542</v>
      </c>
      <c r="H59" s="36" t="s">
        <v>543</v>
      </c>
    </row>
    <row r="60" spans="1:8" x14ac:dyDescent="0.25">
      <c r="A60" s="36" t="s">
        <v>467</v>
      </c>
      <c r="B60" s="2"/>
      <c r="C60" s="2"/>
      <c r="D60" s="2"/>
      <c r="E60" s="2"/>
      <c r="F60" s="2"/>
      <c r="G60" s="36" t="s">
        <v>544</v>
      </c>
      <c r="H60" s="36" t="s">
        <v>545</v>
      </c>
    </row>
    <row r="61" spans="1:8" x14ac:dyDescent="0.25">
      <c r="A61" s="36" t="s">
        <v>468</v>
      </c>
      <c r="B61" s="2"/>
      <c r="C61" s="2"/>
      <c r="D61" s="2"/>
      <c r="E61" s="2"/>
      <c r="F61" s="2"/>
      <c r="G61" s="36" t="s">
        <v>546</v>
      </c>
      <c r="H61" s="36" t="s">
        <v>547</v>
      </c>
    </row>
    <row r="62" spans="1:8" x14ac:dyDescent="0.25">
      <c r="A62" s="36" t="s">
        <v>469</v>
      </c>
      <c r="B62" s="2"/>
      <c r="C62" s="2"/>
      <c r="D62" s="2"/>
      <c r="E62" s="2"/>
      <c r="F62" s="2"/>
      <c r="G62" s="36" t="s">
        <v>548</v>
      </c>
      <c r="H62" s="36" t="s">
        <v>549</v>
      </c>
    </row>
    <row r="63" spans="1:8" x14ac:dyDescent="0.25">
      <c r="A63" s="35" t="s">
        <v>324</v>
      </c>
      <c r="B63" s="2"/>
      <c r="C63" s="2"/>
      <c r="D63" s="2"/>
      <c r="E63" s="2"/>
      <c r="F63" s="2"/>
      <c r="G63" s="35" t="s">
        <v>34</v>
      </c>
      <c r="H63" s="35" t="s">
        <v>202</v>
      </c>
    </row>
    <row r="64" spans="1:8" x14ac:dyDescent="0.25">
      <c r="A64" s="35" t="s">
        <v>325</v>
      </c>
      <c r="B64" s="2"/>
      <c r="C64" s="2"/>
      <c r="D64" s="2"/>
      <c r="E64" s="2"/>
      <c r="F64" s="2"/>
      <c r="G64" s="35" t="s">
        <v>550</v>
      </c>
      <c r="H64" s="35" t="s">
        <v>551</v>
      </c>
    </row>
    <row r="65" spans="1:8" x14ac:dyDescent="0.25">
      <c r="A65" s="36" t="s">
        <v>407</v>
      </c>
      <c r="B65" s="2"/>
      <c r="C65" s="2"/>
      <c r="D65" s="2"/>
      <c r="E65" s="2"/>
      <c r="F65" s="2"/>
      <c r="G65" s="36" t="s">
        <v>552</v>
      </c>
      <c r="H65" s="36" t="s">
        <v>553</v>
      </c>
    </row>
    <row r="66" spans="1:8" x14ac:dyDescent="0.25">
      <c r="A66" s="36" t="s">
        <v>408</v>
      </c>
      <c r="B66" s="2"/>
      <c r="C66" s="2"/>
      <c r="D66" s="2"/>
      <c r="E66" s="2"/>
      <c r="F66" s="2"/>
      <c r="G66" s="36" t="s">
        <v>554</v>
      </c>
      <c r="H66" s="36" t="s">
        <v>555</v>
      </c>
    </row>
    <row r="67" spans="1:8" x14ac:dyDescent="0.25">
      <c r="A67" s="36" t="s">
        <v>409</v>
      </c>
      <c r="B67" s="2"/>
      <c r="C67" s="2"/>
      <c r="D67" s="2"/>
      <c r="E67" s="2"/>
      <c r="F67" s="2"/>
      <c r="G67" s="36" t="s">
        <v>556</v>
      </c>
      <c r="H67" s="36" t="s">
        <v>557</v>
      </c>
    </row>
    <row r="68" spans="1:8" x14ac:dyDescent="0.25">
      <c r="A68" s="36" t="s">
        <v>410</v>
      </c>
      <c r="B68" s="2"/>
      <c r="C68" s="2"/>
      <c r="D68" s="2"/>
      <c r="E68" s="2"/>
      <c r="F68" s="2"/>
      <c r="G68" s="36" t="s">
        <v>558</v>
      </c>
      <c r="H68" s="36" t="s">
        <v>559</v>
      </c>
    </row>
    <row r="69" spans="1:8" x14ac:dyDescent="0.25">
      <c r="A69" s="35" t="s">
        <v>326</v>
      </c>
      <c r="B69" s="2"/>
      <c r="C69" s="2"/>
      <c r="D69" s="2"/>
      <c r="E69" s="2"/>
      <c r="F69" s="2"/>
      <c r="G69" s="35" t="s">
        <v>560</v>
      </c>
      <c r="H69" s="35" t="s">
        <v>561</v>
      </c>
    </row>
    <row r="70" spans="1:8" x14ac:dyDescent="0.25">
      <c r="A70" s="36" t="s">
        <v>411</v>
      </c>
      <c r="B70" s="2"/>
      <c r="C70" s="2"/>
      <c r="D70" s="2"/>
      <c r="E70" s="2"/>
      <c r="F70" s="2"/>
      <c r="G70" s="36" t="s">
        <v>562</v>
      </c>
      <c r="H70" s="36" t="s">
        <v>568</v>
      </c>
    </row>
    <row r="71" spans="1:8" x14ac:dyDescent="0.25">
      <c r="A71" s="36" t="s">
        <v>412</v>
      </c>
      <c r="B71" s="2"/>
      <c r="C71" s="2"/>
      <c r="D71" s="2"/>
      <c r="E71" s="2"/>
      <c r="F71" s="2"/>
      <c r="G71" s="36" t="s">
        <v>565</v>
      </c>
      <c r="H71" s="36" t="s">
        <v>569</v>
      </c>
    </row>
    <row r="72" spans="1:8" x14ac:dyDescent="0.25">
      <c r="A72" s="36" t="s">
        <v>413</v>
      </c>
      <c r="B72" s="2"/>
      <c r="C72" s="2"/>
      <c r="D72" s="2"/>
      <c r="E72" s="2"/>
      <c r="F72" s="2"/>
      <c r="G72" s="36" t="s">
        <v>566</v>
      </c>
      <c r="H72" s="36" t="s">
        <v>570</v>
      </c>
    </row>
    <row r="73" spans="1:8" x14ac:dyDescent="0.25">
      <c r="A73" s="36" t="s">
        <v>414</v>
      </c>
      <c r="B73" s="2"/>
      <c r="C73" s="2"/>
      <c r="D73" s="2"/>
      <c r="E73" s="2"/>
      <c r="F73" s="2"/>
      <c r="G73" s="36" t="s">
        <v>567</v>
      </c>
      <c r="H73" s="36" t="s">
        <v>571</v>
      </c>
    </row>
    <row r="74" spans="1:8" x14ac:dyDescent="0.25">
      <c r="A74" s="35" t="s">
        <v>327</v>
      </c>
      <c r="B74" s="2"/>
      <c r="C74" s="2"/>
      <c r="D74" s="2"/>
      <c r="E74" s="2"/>
      <c r="F74" s="2"/>
      <c r="G74" s="35" t="s">
        <v>563</v>
      </c>
      <c r="H74" s="35" t="s">
        <v>564</v>
      </c>
    </row>
    <row r="75" spans="1:8" x14ac:dyDescent="0.25">
      <c r="A75" s="36" t="s">
        <v>251</v>
      </c>
      <c r="B75" s="2"/>
      <c r="C75" s="2"/>
      <c r="D75" s="2"/>
      <c r="E75" s="2"/>
      <c r="F75" s="2"/>
      <c r="G75" s="36" t="s">
        <v>251</v>
      </c>
      <c r="H75" s="36" t="s">
        <v>251</v>
      </c>
    </row>
    <row r="76" spans="1:8" x14ac:dyDescent="0.25">
      <c r="A76" s="36" t="s">
        <v>415</v>
      </c>
      <c r="B76" s="2"/>
      <c r="C76" s="2"/>
      <c r="D76" s="2"/>
      <c r="E76" s="2"/>
      <c r="F76" s="2"/>
      <c r="G76" s="36" t="s">
        <v>572</v>
      </c>
      <c r="H76" s="36" t="s">
        <v>573</v>
      </c>
    </row>
    <row r="77" spans="1:8" x14ac:dyDescent="0.25">
      <c r="A77" s="36" t="s">
        <v>416</v>
      </c>
      <c r="B77" s="2"/>
      <c r="C77" s="2"/>
      <c r="D77" s="2"/>
      <c r="E77" s="2"/>
      <c r="F77" s="2"/>
      <c r="G77" s="36" t="s">
        <v>574</v>
      </c>
      <c r="H77" s="36" t="s">
        <v>575</v>
      </c>
    </row>
    <row r="78" spans="1:8" x14ac:dyDescent="0.25">
      <c r="A78" s="35" t="s">
        <v>364</v>
      </c>
      <c r="B78" s="2"/>
      <c r="C78" s="2"/>
      <c r="D78" s="2"/>
      <c r="E78" s="2"/>
      <c r="F78" s="2"/>
      <c r="G78" s="35" t="s">
        <v>473</v>
      </c>
      <c r="H78" s="35" t="s">
        <v>474</v>
      </c>
    </row>
    <row r="79" spans="1:8" x14ac:dyDescent="0.25">
      <c r="A79" s="36" t="s">
        <v>417</v>
      </c>
      <c r="B79" s="2"/>
      <c r="C79" s="2"/>
      <c r="D79" s="2"/>
      <c r="E79" s="2"/>
      <c r="F79" s="2"/>
      <c r="G79" s="2" t="s">
        <v>475</v>
      </c>
      <c r="H79" s="38" t="s">
        <v>483</v>
      </c>
    </row>
    <row r="80" spans="1:8" x14ac:dyDescent="0.25">
      <c r="A80" s="36" t="s">
        <v>436</v>
      </c>
      <c r="B80" s="2"/>
      <c r="C80" s="2"/>
      <c r="D80" s="2"/>
      <c r="E80" s="2"/>
      <c r="F80" s="2"/>
      <c r="G80" s="2" t="s">
        <v>479</v>
      </c>
      <c r="H80" s="2" t="s">
        <v>481</v>
      </c>
    </row>
    <row r="81" spans="1:8" x14ac:dyDescent="0.25">
      <c r="A81" s="36" t="s">
        <v>418</v>
      </c>
      <c r="B81" s="2"/>
      <c r="C81" s="2"/>
      <c r="D81" s="2"/>
      <c r="E81" s="2"/>
      <c r="F81" s="2"/>
      <c r="G81" s="2" t="s">
        <v>476</v>
      </c>
      <c r="H81" s="38" t="s">
        <v>484</v>
      </c>
    </row>
    <row r="82" spans="1:8" x14ac:dyDescent="0.25">
      <c r="A82" s="36" t="s">
        <v>449</v>
      </c>
      <c r="B82" s="2"/>
      <c r="C82" s="2"/>
      <c r="D82" s="2"/>
      <c r="E82" s="2"/>
      <c r="F82" s="2"/>
      <c r="G82" s="2" t="s">
        <v>480</v>
      </c>
      <c r="H82" s="2" t="s">
        <v>482</v>
      </c>
    </row>
    <row r="83" spans="1:8" x14ac:dyDescent="0.25">
      <c r="A83" s="36" t="s">
        <v>419</v>
      </c>
      <c r="B83" s="2"/>
      <c r="C83" s="2"/>
      <c r="D83" s="2"/>
      <c r="E83" s="2"/>
      <c r="F83" s="2"/>
      <c r="G83" s="2" t="s">
        <v>485</v>
      </c>
      <c r="H83" s="2" t="s">
        <v>486</v>
      </c>
    </row>
    <row r="84" spans="1:8" x14ac:dyDescent="0.25">
      <c r="A84" s="36" t="s">
        <v>437</v>
      </c>
      <c r="B84" s="2"/>
      <c r="C84" s="2"/>
      <c r="D84" s="2"/>
      <c r="E84" s="2"/>
      <c r="F84" s="2"/>
      <c r="G84" s="2" t="s">
        <v>487</v>
      </c>
      <c r="H84" s="2" t="s">
        <v>488</v>
      </c>
    </row>
    <row r="85" spans="1:8" x14ac:dyDescent="0.25">
      <c r="A85" s="36" t="s">
        <v>420</v>
      </c>
      <c r="B85" s="2"/>
      <c r="C85" s="2"/>
      <c r="D85" s="2"/>
      <c r="E85" s="2"/>
      <c r="F85" s="2"/>
      <c r="G85" s="2" t="s">
        <v>477</v>
      </c>
      <c r="H85" s="2" t="s">
        <v>489</v>
      </c>
    </row>
    <row r="86" spans="1:8" x14ac:dyDescent="0.25">
      <c r="A86" s="36" t="s">
        <v>421</v>
      </c>
      <c r="B86" s="2"/>
      <c r="C86" s="2"/>
      <c r="D86" s="2"/>
      <c r="E86" s="2"/>
      <c r="F86" s="2"/>
      <c r="G86" s="2" t="s">
        <v>490</v>
      </c>
      <c r="H86" s="2" t="s">
        <v>491</v>
      </c>
    </row>
    <row r="87" spans="1:8" x14ac:dyDescent="0.25">
      <c r="A87" s="36" t="s">
        <v>422</v>
      </c>
      <c r="B87" s="2"/>
      <c r="C87" s="2"/>
      <c r="D87" s="2"/>
      <c r="E87" s="2"/>
      <c r="F87" s="2"/>
      <c r="G87" s="2" t="s">
        <v>478</v>
      </c>
      <c r="H87" s="2" t="s">
        <v>492</v>
      </c>
    </row>
    <row r="88" spans="1:8" x14ac:dyDescent="0.25">
      <c r="A88" s="36" t="s">
        <v>423</v>
      </c>
      <c r="B88" s="2"/>
      <c r="C88" s="2"/>
      <c r="D88" s="2"/>
      <c r="E88" s="2"/>
      <c r="F88" s="2"/>
      <c r="G88" s="36" t="s">
        <v>527</v>
      </c>
      <c r="H88" s="36" t="s">
        <v>528</v>
      </c>
    </row>
    <row r="89" spans="1:8" x14ac:dyDescent="0.25">
      <c r="A89" s="36" t="s">
        <v>438</v>
      </c>
      <c r="B89" s="2"/>
      <c r="C89" s="2"/>
      <c r="D89" s="2"/>
      <c r="E89" s="2"/>
      <c r="F89" s="2"/>
      <c r="G89" s="36" t="s">
        <v>530</v>
      </c>
      <c r="H89" s="36" t="s">
        <v>529</v>
      </c>
    </row>
    <row r="90" spans="1:8" x14ac:dyDescent="0.25">
      <c r="A90" s="36" t="s">
        <v>424</v>
      </c>
      <c r="B90" s="2"/>
      <c r="C90" s="2"/>
      <c r="D90" s="2"/>
      <c r="E90" s="2"/>
      <c r="F90" s="2"/>
      <c r="G90" s="36" t="s">
        <v>531</v>
      </c>
      <c r="H90" s="36" t="s">
        <v>532</v>
      </c>
    </row>
    <row r="91" spans="1:8" x14ac:dyDescent="0.25">
      <c r="A91" s="36" t="s">
        <v>439</v>
      </c>
      <c r="B91" s="2"/>
      <c r="C91" s="2"/>
      <c r="D91" s="2"/>
      <c r="E91" s="2"/>
      <c r="F91" s="2"/>
      <c r="G91" s="36" t="s">
        <v>534</v>
      </c>
      <c r="H91" s="36" t="s">
        <v>535</v>
      </c>
    </row>
    <row r="92" spans="1:8" x14ac:dyDescent="0.25">
      <c r="A92" s="36" t="s">
        <v>425</v>
      </c>
      <c r="B92" s="2"/>
      <c r="C92" s="2"/>
      <c r="D92" s="2"/>
      <c r="E92" s="2"/>
      <c r="F92" s="2"/>
      <c r="G92" s="36" t="s">
        <v>536</v>
      </c>
      <c r="H92" s="36" t="s">
        <v>538</v>
      </c>
    </row>
    <row r="93" spans="1:8" x14ac:dyDescent="0.25">
      <c r="A93" s="36" t="s">
        <v>426</v>
      </c>
      <c r="B93" s="2"/>
      <c r="C93" s="2"/>
      <c r="D93" s="2"/>
      <c r="E93" s="2"/>
      <c r="F93" s="2"/>
      <c r="G93" s="36" t="s">
        <v>537</v>
      </c>
      <c r="H93" s="36" t="s">
        <v>539</v>
      </c>
    </row>
    <row r="94" spans="1:8" x14ac:dyDescent="0.25">
      <c r="A94" s="36" t="s">
        <v>440</v>
      </c>
      <c r="B94" s="2"/>
      <c r="C94" s="2"/>
      <c r="D94" s="2"/>
      <c r="E94" s="2"/>
      <c r="F94" s="2"/>
      <c r="G94" s="36" t="s">
        <v>540</v>
      </c>
      <c r="H94" s="36" t="s">
        <v>541</v>
      </c>
    </row>
    <row r="95" spans="1:8" x14ac:dyDescent="0.25">
      <c r="A95" s="36" t="s">
        <v>427</v>
      </c>
      <c r="B95" s="2"/>
      <c r="C95" s="2"/>
      <c r="D95" s="2"/>
      <c r="E95" s="2"/>
      <c r="F95" s="2"/>
      <c r="G95" s="36" t="s">
        <v>542</v>
      </c>
      <c r="H95" s="36" t="s">
        <v>543</v>
      </c>
    </row>
    <row r="96" spans="1:8" x14ac:dyDescent="0.25">
      <c r="A96" s="36" t="s">
        <v>428</v>
      </c>
      <c r="B96" s="2"/>
      <c r="C96" s="2"/>
      <c r="D96" s="2"/>
      <c r="E96" s="2"/>
      <c r="F96" s="2"/>
      <c r="G96" s="36" t="s">
        <v>544</v>
      </c>
      <c r="H96" s="36" t="s">
        <v>545</v>
      </c>
    </row>
    <row r="97" spans="1:8" x14ac:dyDescent="0.25">
      <c r="A97" s="36" t="s">
        <v>429</v>
      </c>
      <c r="B97" s="2"/>
      <c r="C97" s="2"/>
      <c r="D97" s="2"/>
      <c r="E97" s="2"/>
      <c r="F97" s="2"/>
      <c r="G97" s="36" t="s">
        <v>546</v>
      </c>
      <c r="H97" s="36" t="s">
        <v>547</v>
      </c>
    </row>
    <row r="98" spans="1:8" x14ac:dyDescent="0.25">
      <c r="A98" s="36" t="s">
        <v>430</v>
      </c>
      <c r="B98" s="2"/>
      <c r="C98" s="2"/>
      <c r="D98" s="2"/>
      <c r="E98" s="2"/>
      <c r="F98" s="2"/>
      <c r="G98" s="36" t="s">
        <v>548</v>
      </c>
      <c r="H98" s="36" t="s">
        <v>549</v>
      </c>
    </row>
    <row r="99" spans="1:8" x14ac:dyDescent="0.25">
      <c r="A99" s="35" t="s">
        <v>365</v>
      </c>
      <c r="B99" s="2"/>
      <c r="C99" s="2"/>
      <c r="D99" s="2"/>
      <c r="E99" s="2"/>
      <c r="F99" s="2"/>
      <c r="G99" s="35" t="s">
        <v>34</v>
      </c>
      <c r="H99" s="35" t="s">
        <v>202</v>
      </c>
    </row>
    <row r="100" spans="1:8" x14ac:dyDescent="0.25">
      <c r="A100" s="36" t="s">
        <v>431</v>
      </c>
      <c r="B100" s="2"/>
      <c r="C100" s="2"/>
      <c r="D100" s="2"/>
      <c r="E100" s="2"/>
      <c r="F100" s="2"/>
      <c r="G100" s="35" t="s">
        <v>580</v>
      </c>
      <c r="H100" s="35" t="s">
        <v>581</v>
      </c>
    </row>
    <row r="101" spans="1:8" x14ac:dyDescent="0.25">
      <c r="A101" s="36" t="s">
        <v>432</v>
      </c>
      <c r="B101" s="2"/>
      <c r="C101" s="2"/>
      <c r="D101" s="2"/>
      <c r="E101" s="2"/>
      <c r="F101" s="2"/>
      <c r="G101" s="36" t="s">
        <v>184</v>
      </c>
      <c r="H101" s="36" t="s">
        <v>185</v>
      </c>
    </row>
    <row r="102" spans="1:8" x14ac:dyDescent="0.25">
      <c r="A102" s="36" t="s">
        <v>433</v>
      </c>
      <c r="B102" s="2"/>
      <c r="C102" s="2"/>
      <c r="D102" s="2"/>
      <c r="E102" s="2"/>
      <c r="F102" s="2"/>
      <c r="G102" s="36" t="s">
        <v>582</v>
      </c>
      <c r="H102" s="36" t="s">
        <v>583</v>
      </c>
    </row>
    <row r="103" spans="1:8" x14ac:dyDescent="0.25">
      <c r="A103" s="35" t="s">
        <v>366</v>
      </c>
      <c r="B103" s="2"/>
      <c r="C103" s="2"/>
      <c r="D103" s="2"/>
      <c r="E103" s="2"/>
      <c r="F103" s="2"/>
      <c r="G103" s="35" t="s">
        <v>550</v>
      </c>
      <c r="H103" s="35" t="s">
        <v>551</v>
      </c>
    </row>
    <row r="104" spans="1:8" x14ac:dyDescent="0.25">
      <c r="A104" s="36" t="s">
        <v>434</v>
      </c>
      <c r="B104" s="2"/>
      <c r="C104" s="2"/>
      <c r="D104" s="2"/>
      <c r="E104" s="2"/>
      <c r="F104" s="2"/>
      <c r="G104" s="35" t="s">
        <v>578</v>
      </c>
      <c r="H104" s="35" t="s">
        <v>579</v>
      </c>
    </row>
    <row r="105" spans="1:8" x14ac:dyDescent="0.25">
      <c r="A105" s="36" t="s">
        <v>441</v>
      </c>
      <c r="B105" s="2"/>
      <c r="C105" s="2"/>
      <c r="D105" s="2"/>
      <c r="E105" s="2"/>
      <c r="F105" s="2"/>
      <c r="G105" s="36" t="s">
        <v>552</v>
      </c>
      <c r="H105" s="36" t="s">
        <v>553</v>
      </c>
    </row>
    <row r="106" spans="1:8" x14ac:dyDescent="0.25">
      <c r="A106" s="36" t="s">
        <v>447</v>
      </c>
      <c r="B106" s="2"/>
      <c r="C106" s="2"/>
      <c r="D106" s="2"/>
      <c r="E106" s="2"/>
      <c r="F106" s="2"/>
      <c r="G106" s="36" t="s">
        <v>554</v>
      </c>
      <c r="H106" s="36" t="s">
        <v>555</v>
      </c>
    </row>
    <row r="107" spans="1:8" x14ac:dyDescent="0.25">
      <c r="A107" s="36" t="s">
        <v>448</v>
      </c>
      <c r="B107" s="2"/>
      <c r="C107" s="2"/>
      <c r="D107" s="2"/>
      <c r="E107" s="2"/>
      <c r="F107" s="2"/>
      <c r="G107" s="36" t="s">
        <v>556</v>
      </c>
      <c r="H107" s="36" t="s">
        <v>557</v>
      </c>
    </row>
    <row r="108" spans="1:8" x14ac:dyDescent="0.25">
      <c r="A108" s="36" t="s">
        <v>442</v>
      </c>
      <c r="B108" s="2"/>
      <c r="C108" s="2"/>
      <c r="D108" s="2"/>
      <c r="E108" s="2"/>
      <c r="F108" s="2"/>
      <c r="G108" s="36" t="s">
        <v>558</v>
      </c>
      <c r="H108" s="36" t="s">
        <v>559</v>
      </c>
    </row>
    <row r="109" spans="1:8" x14ac:dyDescent="0.25">
      <c r="A109" s="35" t="s">
        <v>367</v>
      </c>
      <c r="B109" s="2"/>
      <c r="C109" s="2"/>
      <c r="D109" s="2"/>
      <c r="E109" s="2"/>
      <c r="F109" s="2"/>
      <c r="G109" s="35" t="s">
        <v>560</v>
      </c>
      <c r="H109" s="35" t="s">
        <v>561</v>
      </c>
    </row>
    <row r="110" spans="1:8" x14ac:dyDescent="0.25">
      <c r="A110" s="36" t="s">
        <v>435</v>
      </c>
      <c r="B110" s="2"/>
      <c r="C110" s="2"/>
      <c r="D110" s="2"/>
      <c r="E110" s="2"/>
      <c r="F110" s="2"/>
      <c r="G110" s="35" t="s">
        <v>576</v>
      </c>
      <c r="H110" s="35" t="s">
        <v>577</v>
      </c>
    </row>
    <row r="111" spans="1:8" x14ac:dyDescent="0.25">
      <c r="A111" s="36" t="s">
        <v>443</v>
      </c>
      <c r="B111" s="2"/>
      <c r="C111" s="2"/>
      <c r="D111" s="2"/>
      <c r="E111" s="2"/>
      <c r="F111" s="2"/>
      <c r="G111" s="36" t="s">
        <v>562</v>
      </c>
      <c r="H111" s="36" t="s">
        <v>568</v>
      </c>
    </row>
    <row r="112" spans="1:8" x14ac:dyDescent="0.25">
      <c r="A112" s="36" t="s">
        <v>444</v>
      </c>
      <c r="B112" s="2"/>
      <c r="C112" s="2"/>
      <c r="D112" s="2"/>
      <c r="E112" s="2"/>
      <c r="F112" s="2"/>
      <c r="G112" s="36" t="s">
        <v>565</v>
      </c>
      <c r="H112" s="36" t="s">
        <v>569</v>
      </c>
    </row>
    <row r="113" spans="1:8" x14ac:dyDescent="0.25">
      <c r="A113" s="36" t="s">
        <v>445</v>
      </c>
      <c r="B113" s="2"/>
      <c r="C113" s="2"/>
      <c r="D113" s="2"/>
      <c r="E113" s="2"/>
      <c r="F113" s="2"/>
      <c r="G113" s="36" t="s">
        <v>566</v>
      </c>
      <c r="H113" s="36" t="s">
        <v>570</v>
      </c>
    </row>
    <row r="114" spans="1:8" x14ac:dyDescent="0.25">
      <c r="A114" s="36" t="s">
        <v>446</v>
      </c>
      <c r="B114" s="2"/>
      <c r="C114" s="2"/>
      <c r="D114" s="2"/>
      <c r="E114" s="2"/>
      <c r="F114" s="2"/>
      <c r="G114" s="36" t="s">
        <v>567</v>
      </c>
      <c r="H114" s="36" t="s">
        <v>571</v>
      </c>
    </row>
  </sheetData>
  <phoneticPr fontId="1" type="noConversion"/>
  <dataValidations count="1">
    <dataValidation type="list" showInputMessage="1" promptTitle="Langue" prompt="Choisir une langue" sqref="J1" xr:uid="{3CC2E797-95B2-4CB1-AB93-EFCC5B1ECBD8}">
      <formula1>"en_US,fr_FR"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D0AF-103F-435D-B985-1FB32C40F8E2}">
  <sheetPr codeName="Feuil7"/>
  <dimension ref="B1:S91"/>
  <sheetViews>
    <sheetView topLeftCell="A7" zoomScale="82" zoomScaleNormal="82" workbookViewId="0">
      <selection activeCell="K52" sqref="K52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12" bestFit="1" customWidth="1"/>
    <col min="7" max="7" width="51.42578125" bestFit="1" customWidth="1"/>
    <col min="8" max="8" width="12.7109375" customWidth="1"/>
    <col min="9" max="9" width="11.42578125" bestFit="1" customWidth="1"/>
    <col min="10" max="10" width="30.85546875" bestFit="1" customWidth="1"/>
    <col min="11" max="11" width="16.5703125" customWidth="1"/>
    <col min="12" max="12" width="19.140625" bestFit="1" customWidth="1"/>
    <col min="13" max="13" width="9.7109375" bestFit="1" customWidth="1"/>
    <col min="14" max="14" width="9.7109375" customWidth="1"/>
    <col min="15" max="15" width="12.5703125" bestFit="1" customWidth="1"/>
    <col min="16" max="16" width="12.5703125" customWidth="1"/>
    <col min="17" max="17" width="31.5703125" customWidth="1"/>
    <col min="18" max="18" width="23.28515625" bestFit="1" customWidth="1"/>
    <col min="19" max="19" width="12.5703125" customWidth="1"/>
  </cols>
  <sheetData>
    <row r="1" spans="2:19" x14ac:dyDescent="0.25">
      <c r="B1" t="s">
        <v>114</v>
      </c>
      <c r="J1" s="9"/>
      <c r="P1" s="44" t="s">
        <v>589</v>
      </c>
      <c r="Q1" s="9" t="s">
        <v>600</v>
      </c>
    </row>
    <row r="3" spans="2:19" x14ac:dyDescent="0.25">
      <c r="B3" t="s">
        <v>90</v>
      </c>
      <c r="C3" t="s">
        <v>112</v>
      </c>
      <c r="D3" t="s">
        <v>110</v>
      </c>
      <c r="E3" t="s">
        <v>136</v>
      </c>
      <c r="F3" t="s">
        <v>585</v>
      </c>
      <c r="G3" t="s">
        <v>97</v>
      </c>
      <c r="H3" t="s">
        <v>100</v>
      </c>
      <c r="I3" t="s">
        <v>135</v>
      </c>
      <c r="J3" t="s">
        <v>91</v>
      </c>
      <c r="K3" t="s">
        <v>155</v>
      </c>
      <c r="L3" t="s">
        <v>154</v>
      </c>
      <c r="M3" t="s">
        <v>196</v>
      </c>
      <c r="N3" t="s">
        <v>587</v>
      </c>
      <c r="O3" t="s">
        <v>92</v>
      </c>
      <c r="P3" t="s">
        <v>111</v>
      </c>
      <c r="Q3" s="39" t="s">
        <v>116</v>
      </c>
      <c r="R3" t="s">
        <v>108</v>
      </c>
      <c r="S3" t="s">
        <v>322</v>
      </c>
    </row>
    <row r="4" spans="2:19" ht="30" x14ac:dyDescent="0.25">
      <c r="B4" s="13" t="s">
        <v>495</v>
      </c>
      <c r="C4" s="14" t="s">
        <v>113</v>
      </c>
      <c r="D4" s="14" t="s">
        <v>94</v>
      </c>
      <c r="E4" s="14" t="s">
        <v>137</v>
      </c>
      <c r="F4" s="14" t="s">
        <v>96</v>
      </c>
      <c r="G4" s="14" t="s">
        <v>0</v>
      </c>
      <c r="H4" s="14" t="s">
        <v>98</v>
      </c>
      <c r="I4" s="14" t="s">
        <v>94</v>
      </c>
      <c r="J4" s="14" t="s">
        <v>93</v>
      </c>
      <c r="K4" s="14"/>
      <c r="L4" s="14"/>
      <c r="M4" s="14">
        <v>1</v>
      </c>
      <c r="N4" s="14">
        <v>14</v>
      </c>
      <c r="O4" s="14" t="s">
        <v>94</v>
      </c>
      <c r="P4" s="14" t="s">
        <v>87</v>
      </c>
      <c r="Q4" s="15" t="s">
        <v>177</v>
      </c>
      <c r="R4" s="14" t="s">
        <v>106</v>
      </c>
      <c r="S4" s="14"/>
    </row>
    <row r="5" spans="2:19" ht="30" x14ac:dyDescent="0.25">
      <c r="B5" s="14"/>
      <c r="C5" s="14"/>
      <c r="D5" s="14"/>
      <c r="E5" s="14"/>
      <c r="F5" s="14"/>
      <c r="G5" s="14" t="s">
        <v>47</v>
      </c>
      <c r="H5" s="14" t="s">
        <v>101</v>
      </c>
      <c r="I5" s="14" t="s">
        <v>94</v>
      </c>
      <c r="J5" s="14" t="s">
        <v>73</v>
      </c>
      <c r="K5" s="14"/>
      <c r="L5" s="14"/>
      <c r="M5" s="14">
        <v>1</v>
      </c>
      <c r="N5" s="14">
        <v>14</v>
      </c>
      <c r="O5" s="14" t="s">
        <v>96</v>
      </c>
      <c r="P5" s="14" t="s">
        <v>83</v>
      </c>
      <c r="Q5" s="15" t="s">
        <v>178</v>
      </c>
      <c r="R5" s="14" t="s">
        <v>109</v>
      </c>
      <c r="S5" s="14"/>
    </row>
    <row r="6" spans="2:19" ht="30" x14ac:dyDescent="0.25">
      <c r="B6" s="14"/>
      <c r="C6" s="14"/>
      <c r="D6" s="14"/>
      <c r="E6" s="14"/>
      <c r="F6" s="14"/>
      <c r="G6" s="14" t="s">
        <v>102</v>
      </c>
      <c r="H6" s="14" t="s">
        <v>101</v>
      </c>
      <c r="I6" s="14" t="s">
        <v>94</v>
      </c>
      <c r="J6" s="14" t="s">
        <v>103</v>
      </c>
      <c r="K6" s="14"/>
      <c r="L6" s="14"/>
      <c r="M6" s="14">
        <v>1</v>
      </c>
      <c r="N6" s="14">
        <v>14</v>
      </c>
      <c r="O6" s="14" t="s">
        <v>96</v>
      </c>
      <c r="P6" s="14" t="s">
        <v>78</v>
      </c>
      <c r="Q6" s="15" t="s">
        <v>178</v>
      </c>
      <c r="R6" s="14" t="s">
        <v>109</v>
      </c>
      <c r="S6" s="14"/>
    </row>
    <row r="7" spans="2:19" x14ac:dyDescent="0.25">
      <c r="B7" s="14"/>
      <c r="C7" s="14"/>
      <c r="D7" s="14"/>
      <c r="E7" s="14"/>
      <c r="F7" s="14"/>
      <c r="G7" s="14" t="s">
        <v>95</v>
      </c>
      <c r="H7" s="14" t="s">
        <v>99</v>
      </c>
      <c r="I7" s="14" t="s">
        <v>96</v>
      </c>
      <c r="J7" s="14" t="s">
        <v>74</v>
      </c>
      <c r="K7" s="14"/>
      <c r="L7" s="14" t="s">
        <v>156</v>
      </c>
      <c r="M7" s="14">
        <v>1</v>
      </c>
      <c r="N7" s="14">
        <v>28</v>
      </c>
      <c r="O7" s="14" t="s">
        <v>96</v>
      </c>
      <c r="P7" s="14"/>
      <c r="Q7" s="15"/>
      <c r="R7" s="14"/>
      <c r="S7" s="14"/>
    </row>
    <row r="8" spans="2:19" x14ac:dyDescent="0.25"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5"/>
      <c r="R8" s="14"/>
      <c r="S8" s="14"/>
    </row>
    <row r="9" spans="2:19" ht="30" x14ac:dyDescent="0.25">
      <c r="B9" s="13" t="s">
        <v>494</v>
      </c>
      <c r="C9" s="14" t="s">
        <v>239</v>
      </c>
      <c r="D9" s="14" t="s">
        <v>94</v>
      </c>
      <c r="E9" s="15" t="s">
        <v>516</v>
      </c>
      <c r="F9" s="15" t="s">
        <v>94</v>
      </c>
      <c r="G9" s="14" t="s">
        <v>586</v>
      </c>
      <c r="H9" s="14"/>
      <c r="I9" s="14"/>
      <c r="J9" s="14" t="s">
        <v>199</v>
      </c>
      <c r="K9" s="14"/>
      <c r="L9" s="14"/>
      <c r="M9" s="14">
        <v>1</v>
      </c>
      <c r="N9" s="14">
        <v>5</v>
      </c>
      <c r="O9" s="14"/>
      <c r="P9" s="14" t="s">
        <v>134</v>
      </c>
      <c r="Q9" s="15" t="s">
        <v>520</v>
      </c>
      <c r="R9" s="14" t="s">
        <v>106</v>
      </c>
      <c r="S9" s="14"/>
    </row>
    <row r="10" spans="2:19" x14ac:dyDescent="0.25">
      <c r="B10" s="14"/>
      <c r="C10" s="14"/>
      <c r="D10" s="14"/>
      <c r="E10" s="14"/>
      <c r="F10" s="14"/>
      <c r="G10" s="33" t="s">
        <v>191</v>
      </c>
      <c r="H10" s="33" t="s">
        <v>101</v>
      </c>
      <c r="I10" s="33" t="s">
        <v>94</v>
      </c>
      <c r="J10" s="32" t="s">
        <v>73</v>
      </c>
      <c r="K10" s="32" t="s">
        <v>590</v>
      </c>
      <c r="L10" s="33"/>
      <c r="M10" s="33">
        <v>4</v>
      </c>
      <c r="N10" s="33">
        <v>9</v>
      </c>
      <c r="O10" s="33" t="s">
        <v>96</v>
      </c>
      <c r="P10" s="34"/>
      <c r="Q10" s="40"/>
      <c r="R10" s="34"/>
      <c r="S10" s="33" t="s">
        <v>250</v>
      </c>
    </row>
    <row r="11" spans="2:19" x14ac:dyDescent="0.25">
      <c r="B11" s="14"/>
      <c r="C11" s="14"/>
      <c r="D11" s="14"/>
      <c r="E11" s="14"/>
      <c r="F11" s="14"/>
      <c r="G11" s="33" t="s">
        <v>192</v>
      </c>
      <c r="H11" s="33" t="s">
        <v>101</v>
      </c>
      <c r="I11" s="33" t="s">
        <v>94</v>
      </c>
      <c r="J11" s="32" t="s">
        <v>103</v>
      </c>
      <c r="K11" s="33" t="s">
        <v>601</v>
      </c>
      <c r="L11" s="33"/>
      <c r="M11" s="33">
        <v>4</v>
      </c>
      <c r="N11" s="33">
        <v>9</v>
      </c>
      <c r="O11" s="33" t="s">
        <v>96</v>
      </c>
      <c r="P11" s="34"/>
      <c r="Q11" s="40"/>
      <c r="R11" s="34"/>
      <c r="S11" s="33" t="s">
        <v>281</v>
      </c>
    </row>
    <row r="12" spans="2:19" x14ac:dyDescent="0.25">
      <c r="B12" s="14"/>
      <c r="C12" s="14"/>
      <c r="D12" s="14"/>
      <c r="E12" s="14"/>
      <c r="F12" s="14"/>
      <c r="G12" s="33" t="s">
        <v>193</v>
      </c>
      <c r="H12" s="33" t="s">
        <v>101</v>
      </c>
      <c r="I12" s="33" t="s">
        <v>94</v>
      </c>
      <c r="J12" s="32" t="s">
        <v>105</v>
      </c>
      <c r="K12" s="33" t="s">
        <v>591</v>
      </c>
      <c r="L12" s="33"/>
      <c r="M12" s="33">
        <v>4</v>
      </c>
      <c r="N12" s="33">
        <v>9</v>
      </c>
      <c r="O12" s="33" t="s">
        <v>96</v>
      </c>
      <c r="P12" s="34"/>
      <c r="Q12" s="40"/>
      <c r="R12" s="34"/>
      <c r="S12" s="33" t="s">
        <v>282</v>
      </c>
    </row>
    <row r="13" spans="2:19" x14ac:dyDescent="0.25">
      <c r="B13" s="14"/>
      <c r="C13" s="14"/>
      <c r="D13" s="14"/>
      <c r="E13" s="14"/>
      <c r="F13" s="14"/>
      <c r="G13" s="33" t="s">
        <v>374</v>
      </c>
      <c r="H13" s="33" t="s">
        <v>99</v>
      </c>
      <c r="I13" s="33" t="s">
        <v>94</v>
      </c>
      <c r="J13" s="33" t="s">
        <v>372</v>
      </c>
      <c r="K13" s="33"/>
      <c r="L13" s="32" t="s">
        <v>194</v>
      </c>
      <c r="M13" s="33">
        <v>4</v>
      </c>
      <c r="N13" s="33">
        <v>21</v>
      </c>
      <c r="O13" s="33" t="s">
        <v>96</v>
      </c>
      <c r="P13" s="34"/>
      <c r="Q13" s="40"/>
      <c r="R13" s="34"/>
      <c r="S13" s="33" t="s">
        <v>283</v>
      </c>
    </row>
    <row r="14" spans="2:19" x14ac:dyDescent="0.25">
      <c r="B14" s="14"/>
      <c r="C14" s="14"/>
      <c r="D14" s="14"/>
      <c r="E14" s="14"/>
      <c r="F14" s="14"/>
      <c r="G14" s="33" t="s">
        <v>375</v>
      </c>
      <c r="H14" s="33" t="s">
        <v>99</v>
      </c>
      <c r="I14" s="33" t="s">
        <v>94</v>
      </c>
      <c r="J14" s="33" t="s">
        <v>373</v>
      </c>
      <c r="K14" s="33"/>
      <c r="L14" s="32" t="s">
        <v>194</v>
      </c>
      <c r="M14" s="33">
        <v>4</v>
      </c>
      <c r="N14" s="33">
        <v>21</v>
      </c>
      <c r="O14" s="33" t="s">
        <v>96</v>
      </c>
      <c r="P14" s="34"/>
      <c r="Q14" s="40"/>
      <c r="R14" s="34"/>
      <c r="S14" s="33" t="s">
        <v>284</v>
      </c>
    </row>
    <row r="15" spans="2:19" x14ac:dyDescent="0.25">
      <c r="B15" s="14"/>
      <c r="C15" s="14"/>
      <c r="D15" s="14"/>
      <c r="E15" s="14"/>
      <c r="F15" s="14"/>
      <c r="G15" s="32" t="s">
        <v>195</v>
      </c>
      <c r="H15" s="32"/>
      <c r="I15" s="33"/>
      <c r="J15" s="32" t="s">
        <v>327</v>
      </c>
      <c r="K15" s="32"/>
      <c r="L15" s="32"/>
      <c r="M15" s="32">
        <v>2</v>
      </c>
      <c r="N15" s="42">
        <v>5</v>
      </c>
      <c r="O15" s="33"/>
      <c r="P15" s="34"/>
      <c r="Q15" s="40"/>
      <c r="R15" s="34"/>
      <c r="S15" s="33"/>
    </row>
    <row r="16" spans="2:19" x14ac:dyDescent="0.25">
      <c r="B16" s="14"/>
      <c r="C16" s="14"/>
      <c r="D16" s="14"/>
      <c r="E16" s="14"/>
      <c r="F16" s="14"/>
      <c r="G16" s="32" t="s">
        <v>195</v>
      </c>
      <c r="H16" s="32"/>
      <c r="I16" s="33"/>
      <c r="J16" s="32" t="s">
        <v>323</v>
      </c>
      <c r="K16" s="32"/>
      <c r="L16" s="32"/>
      <c r="M16" s="32">
        <v>2</v>
      </c>
      <c r="N16" s="42">
        <v>5</v>
      </c>
      <c r="O16" s="33"/>
      <c r="P16" s="34"/>
      <c r="Q16" s="40"/>
      <c r="R16" s="34"/>
      <c r="S16" s="33"/>
    </row>
    <row r="17" spans="2:19" x14ac:dyDescent="0.25">
      <c r="B17" s="14"/>
      <c r="C17" s="14"/>
      <c r="D17" s="14"/>
      <c r="E17" s="14"/>
      <c r="F17" s="14"/>
      <c r="G17" s="33" t="s">
        <v>376</v>
      </c>
      <c r="H17" s="33" t="s">
        <v>149</v>
      </c>
      <c r="I17" s="33" t="s">
        <v>96</v>
      </c>
      <c r="J17" s="33" t="s">
        <v>450</v>
      </c>
      <c r="K17" s="33"/>
      <c r="L17" s="33"/>
      <c r="M17" s="33">
        <v>4</v>
      </c>
      <c r="N17" s="33">
        <v>9</v>
      </c>
      <c r="O17" s="33" t="s">
        <v>96</v>
      </c>
      <c r="P17" s="34"/>
      <c r="Q17" s="40"/>
      <c r="R17" s="34"/>
      <c r="S17" s="33" t="s">
        <v>252</v>
      </c>
    </row>
    <row r="18" spans="2:19" x14ac:dyDescent="0.25">
      <c r="B18" s="14"/>
      <c r="C18" s="14"/>
      <c r="D18" s="14"/>
      <c r="E18" s="14"/>
      <c r="F18" s="14"/>
      <c r="G18" s="33" t="s">
        <v>377</v>
      </c>
      <c r="H18" s="33" t="s">
        <v>101</v>
      </c>
      <c r="I18" s="33" t="s">
        <v>96</v>
      </c>
      <c r="J18" s="33" t="s">
        <v>451</v>
      </c>
      <c r="K18" s="33" t="s">
        <v>368</v>
      </c>
      <c r="L18" s="33"/>
      <c r="M18" s="33">
        <v>4</v>
      </c>
      <c r="N18" s="33">
        <v>9</v>
      </c>
      <c r="O18" s="33" t="s">
        <v>96</v>
      </c>
      <c r="P18" s="34"/>
      <c r="Q18" s="40"/>
      <c r="R18" s="34"/>
      <c r="S18" s="33" t="s">
        <v>253</v>
      </c>
    </row>
    <row r="19" spans="2:19" x14ac:dyDescent="0.25">
      <c r="B19" s="14"/>
      <c r="C19" s="14"/>
      <c r="D19" s="14"/>
      <c r="E19" s="14"/>
      <c r="F19" s="14"/>
      <c r="G19" s="33" t="s">
        <v>378</v>
      </c>
      <c r="H19" s="33" t="s">
        <v>149</v>
      </c>
      <c r="I19" s="33" t="s">
        <v>96</v>
      </c>
      <c r="J19" s="33" t="s">
        <v>452</v>
      </c>
      <c r="K19" s="33"/>
      <c r="L19" s="33"/>
      <c r="M19" s="33">
        <v>4</v>
      </c>
      <c r="N19" s="33">
        <v>9</v>
      </c>
      <c r="O19" s="33" t="s">
        <v>96</v>
      </c>
      <c r="P19" s="34"/>
      <c r="Q19" s="40"/>
      <c r="R19" s="34"/>
      <c r="S19" s="33" t="s">
        <v>254</v>
      </c>
    </row>
    <row r="20" spans="2:19" x14ac:dyDescent="0.25">
      <c r="B20" s="14"/>
      <c r="C20" s="14"/>
      <c r="D20" s="14"/>
      <c r="E20" s="14"/>
      <c r="F20" s="14"/>
      <c r="G20" s="33" t="s">
        <v>379</v>
      </c>
      <c r="H20" s="33" t="s">
        <v>101</v>
      </c>
      <c r="I20" s="33" t="s">
        <v>96</v>
      </c>
      <c r="J20" s="33" t="s">
        <v>453</v>
      </c>
      <c r="K20" s="33" t="s">
        <v>368</v>
      </c>
      <c r="L20" s="33"/>
      <c r="M20" s="33">
        <v>4</v>
      </c>
      <c r="N20" s="33">
        <v>9</v>
      </c>
      <c r="O20" s="33" t="s">
        <v>96</v>
      </c>
      <c r="P20" s="34"/>
      <c r="Q20" s="40"/>
      <c r="R20" s="34"/>
      <c r="S20" s="33" t="s">
        <v>255</v>
      </c>
    </row>
    <row r="21" spans="2:19" x14ac:dyDescent="0.25">
      <c r="B21" s="14"/>
      <c r="C21" s="14"/>
      <c r="D21" s="14"/>
      <c r="E21" s="14"/>
      <c r="F21" s="14"/>
      <c r="G21" s="33" t="s">
        <v>380</v>
      </c>
      <c r="H21" s="33" t="s">
        <v>149</v>
      </c>
      <c r="I21" s="33" t="s">
        <v>96</v>
      </c>
      <c r="J21" s="33" t="s">
        <v>454</v>
      </c>
      <c r="K21" s="33"/>
      <c r="L21" s="33"/>
      <c r="M21" s="33">
        <v>4</v>
      </c>
      <c r="N21" s="33">
        <v>9</v>
      </c>
      <c r="O21" s="33" t="s">
        <v>96</v>
      </c>
      <c r="P21" s="34"/>
      <c r="Q21" s="40"/>
      <c r="R21" s="34"/>
      <c r="S21" s="33" t="s">
        <v>256</v>
      </c>
    </row>
    <row r="22" spans="2:19" x14ac:dyDescent="0.25">
      <c r="B22" s="14"/>
      <c r="C22" s="14"/>
      <c r="D22" s="14"/>
      <c r="E22" s="14"/>
      <c r="F22" s="14"/>
      <c r="G22" s="33" t="s">
        <v>381</v>
      </c>
      <c r="H22" s="33" t="s">
        <v>101</v>
      </c>
      <c r="I22" s="33" t="s">
        <v>96</v>
      </c>
      <c r="J22" s="33" t="s">
        <v>455</v>
      </c>
      <c r="K22" s="33" t="s">
        <v>597</v>
      </c>
      <c r="L22" s="33"/>
      <c r="M22" s="33">
        <v>4</v>
      </c>
      <c r="N22" s="33">
        <v>9</v>
      </c>
      <c r="O22" s="33" t="s">
        <v>96</v>
      </c>
      <c r="P22" s="34"/>
      <c r="Q22" s="40"/>
      <c r="R22" s="34"/>
      <c r="S22" s="33" t="s">
        <v>257</v>
      </c>
    </row>
    <row r="23" spans="2:19" x14ac:dyDescent="0.25">
      <c r="B23" s="14"/>
      <c r="C23" s="14"/>
      <c r="D23" s="14"/>
      <c r="E23" s="14"/>
      <c r="F23" s="14"/>
      <c r="G23" s="33" t="s">
        <v>382</v>
      </c>
      <c r="H23" s="33" t="s">
        <v>149</v>
      </c>
      <c r="I23" s="33" t="s">
        <v>96</v>
      </c>
      <c r="J23" s="33" t="s">
        <v>456</v>
      </c>
      <c r="K23" s="33"/>
      <c r="L23" s="33"/>
      <c r="M23" s="33">
        <v>4</v>
      </c>
      <c r="N23" s="33">
        <v>9</v>
      </c>
      <c r="O23" s="33" t="s">
        <v>96</v>
      </c>
      <c r="P23" s="34"/>
      <c r="Q23" s="40"/>
      <c r="R23" s="34"/>
      <c r="S23" s="33" t="s">
        <v>258</v>
      </c>
    </row>
    <row r="24" spans="2:19" x14ac:dyDescent="0.25">
      <c r="B24" s="14"/>
      <c r="C24" s="14"/>
      <c r="D24" s="14"/>
      <c r="E24" s="14"/>
      <c r="F24" s="14"/>
      <c r="G24" s="33" t="s">
        <v>383</v>
      </c>
      <c r="H24" s="33" t="s">
        <v>98</v>
      </c>
      <c r="I24" s="33" t="s">
        <v>96</v>
      </c>
      <c r="J24" s="33" t="s">
        <v>457</v>
      </c>
      <c r="K24" s="33" t="s">
        <v>598</v>
      </c>
      <c r="L24" s="33"/>
      <c r="M24" s="33">
        <v>4</v>
      </c>
      <c r="N24" s="33">
        <v>9</v>
      </c>
      <c r="O24" s="33" t="s">
        <v>96</v>
      </c>
      <c r="P24" s="34"/>
      <c r="Q24" s="40"/>
      <c r="R24" s="34"/>
      <c r="S24" s="33" t="s">
        <v>259</v>
      </c>
    </row>
    <row r="25" spans="2:19" x14ac:dyDescent="0.25">
      <c r="B25" s="14"/>
      <c r="C25" s="14"/>
      <c r="D25" s="14"/>
      <c r="E25" s="14"/>
      <c r="F25" s="14"/>
      <c r="G25" s="33" t="s">
        <v>384</v>
      </c>
      <c r="H25" s="33" t="s">
        <v>149</v>
      </c>
      <c r="I25" s="33" t="s">
        <v>96</v>
      </c>
      <c r="J25" s="33" t="s">
        <v>458</v>
      </c>
      <c r="K25" s="33"/>
      <c r="L25" s="33"/>
      <c r="M25" s="33">
        <v>4</v>
      </c>
      <c r="N25" s="33">
        <v>9</v>
      </c>
      <c r="O25" s="33" t="s">
        <v>96</v>
      </c>
      <c r="P25" s="34"/>
      <c r="Q25" s="40"/>
      <c r="R25" s="34"/>
      <c r="S25" s="33" t="s">
        <v>260</v>
      </c>
    </row>
    <row r="26" spans="2:19" x14ac:dyDescent="0.25">
      <c r="B26" s="14"/>
      <c r="C26" s="14"/>
      <c r="D26" s="14"/>
      <c r="E26" s="14"/>
      <c r="F26" s="14"/>
      <c r="G26" s="33" t="s">
        <v>385</v>
      </c>
      <c r="H26" s="33" t="s">
        <v>149</v>
      </c>
      <c r="I26" s="33" t="s">
        <v>96</v>
      </c>
      <c r="J26" s="33" t="s">
        <v>459</v>
      </c>
      <c r="K26" s="33"/>
      <c r="L26" s="33"/>
      <c r="M26" s="33">
        <v>4</v>
      </c>
      <c r="N26" s="33">
        <v>9</v>
      </c>
      <c r="O26" s="33" t="s">
        <v>96</v>
      </c>
      <c r="P26" s="34"/>
      <c r="Q26" s="40"/>
      <c r="R26" s="34"/>
      <c r="S26" s="33" t="s">
        <v>261</v>
      </c>
    </row>
    <row r="27" spans="2:19" x14ac:dyDescent="0.25">
      <c r="B27" s="14"/>
      <c r="C27" s="14"/>
      <c r="D27" s="14"/>
      <c r="E27" s="14"/>
      <c r="F27" s="14"/>
      <c r="G27" s="33" t="s">
        <v>386</v>
      </c>
      <c r="H27" s="33" t="s">
        <v>98</v>
      </c>
      <c r="I27" s="33" t="s">
        <v>96</v>
      </c>
      <c r="J27" s="33" t="s">
        <v>460</v>
      </c>
      <c r="K27" s="33" t="s">
        <v>369</v>
      </c>
      <c r="L27" s="33"/>
      <c r="M27" s="33">
        <v>4</v>
      </c>
      <c r="N27" s="33">
        <v>9</v>
      </c>
      <c r="O27" s="33" t="s">
        <v>96</v>
      </c>
      <c r="P27" s="34"/>
      <c r="Q27" s="40"/>
      <c r="R27" s="34"/>
      <c r="S27" s="33" t="s">
        <v>262</v>
      </c>
    </row>
    <row r="28" spans="2:19" x14ac:dyDescent="0.25">
      <c r="B28" s="14"/>
      <c r="C28" s="14"/>
      <c r="D28" s="14"/>
      <c r="E28" s="14"/>
      <c r="F28" s="14"/>
      <c r="G28" s="33" t="s">
        <v>387</v>
      </c>
      <c r="H28" s="33" t="s">
        <v>149</v>
      </c>
      <c r="I28" s="33" t="s">
        <v>96</v>
      </c>
      <c r="J28" s="33" t="s">
        <v>461</v>
      </c>
      <c r="K28" s="33"/>
      <c r="L28" s="33"/>
      <c r="M28" s="33">
        <v>4</v>
      </c>
      <c r="N28" s="33">
        <v>9</v>
      </c>
      <c r="O28" s="33" t="s">
        <v>96</v>
      </c>
      <c r="P28" s="34"/>
      <c r="Q28" s="40"/>
      <c r="R28" s="34"/>
      <c r="S28" s="33" t="s">
        <v>263</v>
      </c>
    </row>
    <row r="29" spans="2:19" x14ac:dyDescent="0.25">
      <c r="B29" s="14"/>
      <c r="C29" s="14"/>
      <c r="D29" s="14"/>
      <c r="E29" s="14"/>
      <c r="F29" s="14"/>
      <c r="G29" s="33" t="s">
        <v>388</v>
      </c>
      <c r="H29" s="33" t="s">
        <v>101</v>
      </c>
      <c r="I29" s="33" t="s">
        <v>96</v>
      </c>
      <c r="J29" s="33" t="s">
        <v>462</v>
      </c>
      <c r="K29" s="33" t="s">
        <v>370</v>
      </c>
      <c r="L29" s="33"/>
      <c r="M29" s="33">
        <v>4</v>
      </c>
      <c r="N29" s="33">
        <v>9</v>
      </c>
      <c r="O29" s="33" t="s">
        <v>96</v>
      </c>
      <c r="P29" s="34"/>
      <c r="Q29" s="40"/>
      <c r="R29" s="34"/>
      <c r="S29" s="33" t="s">
        <v>264</v>
      </c>
    </row>
    <row r="30" spans="2:19" x14ac:dyDescent="0.25">
      <c r="B30" s="14"/>
      <c r="C30" s="14"/>
      <c r="D30" s="14"/>
      <c r="E30" s="14"/>
      <c r="F30" s="14"/>
      <c r="G30" s="33" t="s">
        <v>389</v>
      </c>
      <c r="H30" s="33" t="s">
        <v>149</v>
      </c>
      <c r="I30" s="33" t="s">
        <v>96</v>
      </c>
      <c r="J30" s="33" t="s">
        <v>463</v>
      </c>
      <c r="K30" s="33"/>
      <c r="L30" s="33"/>
      <c r="M30" s="33">
        <v>4</v>
      </c>
      <c r="N30" s="33">
        <v>9</v>
      </c>
      <c r="O30" s="33" t="s">
        <v>96</v>
      </c>
      <c r="P30" s="34"/>
      <c r="Q30" s="40"/>
      <c r="R30" s="34"/>
      <c r="S30" s="33" t="s">
        <v>265</v>
      </c>
    </row>
    <row r="31" spans="2:19" x14ac:dyDescent="0.25">
      <c r="B31" s="14"/>
      <c r="C31" s="14"/>
      <c r="D31" s="14"/>
      <c r="E31" s="14"/>
      <c r="F31" s="14"/>
      <c r="G31" s="33" t="s">
        <v>390</v>
      </c>
      <c r="H31" s="33" t="s">
        <v>149</v>
      </c>
      <c r="I31" s="33" t="s">
        <v>96</v>
      </c>
      <c r="J31" s="33" t="s">
        <v>464</v>
      </c>
      <c r="K31" s="33"/>
      <c r="L31" s="33"/>
      <c r="M31" s="33">
        <v>4</v>
      </c>
      <c r="N31" s="33">
        <v>9</v>
      </c>
      <c r="O31" s="33" t="s">
        <v>96</v>
      </c>
      <c r="P31" s="34"/>
      <c r="Q31" s="40"/>
      <c r="R31" s="34"/>
      <c r="S31" s="33" t="s">
        <v>266</v>
      </c>
    </row>
    <row r="32" spans="2:19" x14ac:dyDescent="0.25">
      <c r="B32" s="14"/>
      <c r="C32" s="14"/>
      <c r="D32" s="14"/>
      <c r="E32" s="14"/>
      <c r="F32" s="14"/>
      <c r="G32" s="33" t="s">
        <v>391</v>
      </c>
      <c r="H32" s="33" t="s">
        <v>101</v>
      </c>
      <c r="I32" s="33" t="s">
        <v>96</v>
      </c>
      <c r="J32" s="33" t="s">
        <v>465</v>
      </c>
      <c r="K32" s="33" t="s">
        <v>592</v>
      </c>
      <c r="L32" s="33"/>
      <c r="M32" s="33">
        <v>4</v>
      </c>
      <c r="N32" s="33">
        <v>9</v>
      </c>
      <c r="O32" s="33" t="s">
        <v>96</v>
      </c>
      <c r="P32" s="34"/>
      <c r="Q32" s="40"/>
      <c r="R32" s="34"/>
      <c r="S32" s="33" t="s">
        <v>267</v>
      </c>
    </row>
    <row r="33" spans="2:19" x14ac:dyDescent="0.25">
      <c r="B33" s="14"/>
      <c r="C33" s="14"/>
      <c r="D33" s="14"/>
      <c r="E33" s="14"/>
      <c r="F33" s="14"/>
      <c r="G33" s="33" t="s">
        <v>392</v>
      </c>
      <c r="H33" s="33" t="s">
        <v>101</v>
      </c>
      <c r="I33" s="33" t="s">
        <v>96</v>
      </c>
      <c r="J33" s="33" t="s">
        <v>466</v>
      </c>
      <c r="K33" s="33" t="s">
        <v>593</v>
      </c>
      <c r="L33" s="33"/>
      <c r="M33" s="33">
        <v>4</v>
      </c>
      <c r="N33" s="33">
        <v>9</v>
      </c>
      <c r="O33" s="33" t="s">
        <v>96</v>
      </c>
      <c r="P33" s="34"/>
      <c r="Q33" s="40"/>
      <c r="R33" s="34"/>
      <c r="S33" s="33" t="s">
        <v>268</v>
      </c>
    </row>
    <row r="34" spans="2:19" x14ac:dyDescent="0.25">
      <c r="B34" s="14"/>
      <c r="C34" s="14"/>
      <c r="D34" s="14"/>
      <c r="E34" s="14"/>
      <c r="F34" s="14"/>
      <c r="G34" s="33" t="s">
        <v>393</v>
      </c>
      <c r="H34" s="33" t="s">
        <v>101</v>
      </c>
      <c r="I34" s="33" t="s">
        <v>96</v>
      </c>
      <c r="J34" s="33" t="s">
        <v>467</v>
      </c>
      <c r="K34" s="33" t="s">
        <v>594</v>
      </c>
      <c r="L34" s="33"/>
      <c r="M34" s="33">
        <v>4</v>
      </c>
      <c r="N34" s="33">
        <v>9</v>
      </c>
      <c r="O34" s="33" t="s">
        <v>96</v>
      </c>
      <c r="P34" s="34"/>
      <c r="Q34" s="40"/>
      <c r="R34" s="34"/>
      <c r="S34" s="33" t="s">
        <v>269</v>
      </c>
    </row>
    <row r="35" spans="2:19" x14ac:dyDescent="0.25">
      <c r="B35" s="14"/>
      <c r="C35" s="14"/>
      <c r="D35" s="14"/>
      <c r="E35" s="14"/>
      <c r="F35" s="14"/>
      <c r="G35" s="33" t="s">
        <v>394</v>
      </c>
      <c r="H35" s="33" t="s">
        <v>101</v>
      </c>
      <c r="I35" s="33" t="s">
        <v>96</v>
      </c>
      <c r="J35" s="33" t="s">
        <v>468</v>
      </c>
      <c r="K35" s="33" t="s">
        <v>595</v>
      </c>
      <c r="L35" s="33"/>
      <c r="M35" s="33">
        <v>4</v>
      </c>
      <c r="N35" s="33">
        <v>9</v>
      </c>
      <c r="O35" s="33" t="s">
        <v>96</v>
      </c>
      <c r="P35" s="34"/>
      <c r="Q35" s="40"/>
      <c r="R35" s="34"/>
      <c r="S35" s="33" t="s">
        <v>270</v>
      </c>
    </row>
    <row r="36" spans="2:19" x14ac:dyDescent="0.25">
      <c r="B36" s="14"/>
      <c r="C36" s="14"/>
      <c r="D36" s="14"/>
      <c r="E36" s="14"/>
      <c r="F36" s="14"/>
      <c r="G36" s="33" t="s">
        <v>395</v>
      </c>
      <c r="H36" s="33" t="s">
        <v>101</v>
      </c>
      <c r="I36" s="33" t="s">
        <v>96</v>
      </c>
      <c r="J36" s="33" t="s">
        <v>469</v>
      </c>
      <c r="K36" s="33" t="s">
        <v>596</v>
      </c>
      <c r="L36" s="33"/>
      <c r="M36" s="33">
        <v>4</v>
      </c>
      <c r="N36" s="33">
        <v>9</v>
      </c>
      <c r="O36" s="33" t="s">
        <v>96</v>
      </c>
      <c r="P36" s="34"/>
      <c r="Q36" s="40"/>
      <c r="R36" s="34"/>
      <c r="S36" s="33" t="s">
        <v>271</v>
      </c>
    </row>
    <row r="37" spans="2:19" x14ac:dyDescent="0.25">
      <c r="B37" s="14"/>
      <c r="C37" s="14"/>
      <c r="D37" s="14"/>
      <c r="E37" s="14"/>
      <c r="F37" s="14"/>
      <c r="G37" s="32" t="s">
        <v>586</v>
      </c>
      <c r="H37" s="32"/>
      <c r="I37" s="33"/>
      <c r="J37" s="32" t="s">
        <v>324</v>
      </c>
      <c r="K37" s="32"/>
      <c r="L37" s="32"/>
      <c r="M37" s="32">
        <v>2</v>
      </c>
      <c r="N37" s="33">
        <v>5</v>
      </c>
      <c r="O37" s="33"/>
      <c r="P37" s="34"/>
      <c r="Q37" s="40"/>
      <c r="R37" s="34"/>
      <c r="S37" s="33"/>
    </row>
    <row r="38" spans="2:19" x14ac:dyDescent="0.25">
      <c r="B38" s="14"/>
      <c r="C38" s="14"/>
      <c r="D38" s="14"/>
      <c r="E38" s="14"/>
      <c r="F38" s="14"/>
      <c r="G38" s="33" t="s">
        <v>396</v>
      </c>
      <c r="H38" s="33" t="s">
        <v>99</v>
      </c>
      <c r="I38" s="33" t="s">
        <v>96</v>
      </c>
      <c r="J38" s="32" t="s">
        <v>148</v>
      </c>
      <c r="K38" s="33"/>
      <c r="L38" s="32" t="s">
        <v>194</v>
      </c>
      <c r="M38" s="33">
        <v>4</v>
      </c>
      <c r="N38" s="33">
        <v>21</v>
      </c>
      <c r="O38" s="33" t="s">
        <v>96</v>
      </c>
      <c r="P38" s="34"/>
      <c r="Q38" s="40"/>
      <c r="R38" s="34"/>
      <c r="S38" s="33" t="s">
        <v>272</v>
      </c>
    </row>
    <row r="39" spans="2:19" x14ac:dyDescent="0.25">
      <c r="B39" s="14"/>
      <c r="C39" s="14"/>
      <c r="D39" s="14"/>
      <c r="E39" s="14"/>
      <c r="F39" s="14"/>
      <c r="G39" s="33" t="s">
        <v>397</v>
      </c>
      <c r="H39" s="33" t="s">
        <v>149</v>
      </c>
      <c r="I39" s="33" t="s">
        <v>96</v>
      </c>
      <c r="J39" s="32" t="s">
        <v>180</v>
      </c>
      <c r="K39" s="33"/>
      <c r="L39" s="33"/>
      <c r="M39" s="33">
        <v>4</v>
      </c>
      <c r="N39" s="33">
        <v>10</v>
      </c>
      <c r="O39" s="33" t="s">
        <v>96</v>
      </c>
      <c r="P39" s="34"/>
      <c r="Q39" s="40"/>
      <c r="R39" s="34"/>
      <c r="S39" s="33" t="s">
        <v>138</v>
      </c>
    </row>
    <row r="40" spans="2:19" x14ac:dyDescent="0.25">
      <c r="B40" s="14"/>
      <c r="C40" s="14"/>
      <c r="D40" s="14"/>
      <c r="E40" s="14"/>
      <c r="F40" s="14"/>
      <c r="G40" s="32" t="s">
        <v>195</v>
      </c>
      <c r="H40" s="32"/>
      <c r="I40" s="33"/>
      <c r="J40" s="32" t="s">
        <v>325</v>
      </c>
      <c r="K40" s="32"/>
      <c r="L40" s="32"/>
      <c r="M40" s="32">
        <v>3</v>
      </c>
      <c r="N40" s="33">
        <v>5</v>
      </c>
      <c r="O40" s="33"/>
      <c r="P40" s="34"/>
      <c r="Q40" s="40"/>
      <c r="R40" s="34"/>
      <c r="S40" s="33"/>
    </row>
    <row r="41" spans="2:19" x14ac:dyDescent="0.25">
      <c r="B41" s="14"/>
      <c r="C41" s="14"/>
      <c r="D41" s="14"/>
      <c r="E41" s="14"/>
      <c r="F41" s="14"/>
      <c r="G41" s="33" t="s">
        <v>398</v>
      </c>
      <c r="H41" s="33" t="s">
        <v>149</v>
      </c>
      <c r="I41" s="33" t="s">
        <v>96</v>
      </c>
      <c r="J41" s="33" t="s">
        <v>407</v>
      </c>
      <c r="K41" s="33"/>
      <c r="L41" s="33"/>
      <c r="M41" s="33">
        <v>4</v>
      </c>
      <c r="N41" s="33">
        <v>9</v>
      </c>
      <c r="O41" s="33" t="s">
        <v>96</v>
      </c>
      <c r="P41" s="34"/>
      <c r="Q41" s="40"/>
      <c r="R41" s="34"/>
      <c r="S41" s="33" t="s">
        <v>273</v>
      </c>
    </row>
    <row r="42" spans="2:19" x14ac:dyDescent="0.25">
      <c r="B42" s="14"/>
      <c r="C42" s="14"/>
      <c r="D42" s="14"/>
      <c r="E42" s="14"/>
      <c r="F42" s="14"/>
      <c r="G42" s="33" t="s">
        <v>399</v>
      </c>
      <c r="H42" s="33" t="s">
        <v>149</v>
      </c>
      <c r="I42" s="33" t="s">
        <v>96</v>
      </c>
      <c r="J42" s="33" t="s">
        <v>408</v>
      </c>
      <c r="K42" s="33"/>
      <c r="L42" s="33"/>
      <c r="M42" s="33">
        <v>4</v>
      </c>
      <c r="N42" s="33">
        <v>9</v>
      </c>
      <c r="O42" s="33" t="s">
        <v>96</v>
      </c>
      <c r="P42" s="34"/>
      <c r="Q42" s="40"/>
      <c r="R42" s="34"/>
      <c r="S42" s="33" t="s">
        <v>274</v>
      </c>
    </row>
    <row r="43" spans="2:19" x14ac:dyDescent="0.25">
      <c r="B43" s="14"/>
      <c r="C43" s="14"/>
      <c r="D43" s="14"/>
      <c r="E43" s="14"/>
      <c r="F43" s="14"/>
      <c r="G43" s="33" t="s">
        <v>400</v>
      </c>
      <c r="H43" s="33" t="s">
        <v>149</v>
      </c>
      <c r="I43" s="33" t="s">
        <v>96</v>
      </c>
      <c r="J43" s="33" t="s">
        <v>409</v>
      </c>
      <c r="K43" s="33"/>
      <c r="L43" s="33"/>
      <c r="M43" s="33">
        <v>4</v>
      </c>
      <c r="N43" s="33">
        <v>9</v>
      </c>
      <c r="O43" s="33" t="s">
        <v>96</v>
      </c>
      <c r="P43" s="34"/>
      <c r="Q43" s="40"/>
      <c r="R43" s="34"/>
      <c r="S43" s="33" t="s">
        <v>275</v>
      </c>
    </row>
    <row r="44" spans="2:19" x14ac:dyDescent="0.25">
      <c r="B44" s="14"/>
      <c r="C44" s="14"/>
      <c r="D44" s="14"/>
      <c r="E44" s="14"/>
      <c r="F44" s="14"/>
      <c r="G44" s="33" t="s">
        <v>401</v>
      </c>
      <c r="H44" s="33" t="s">
        <v>98</v>
      </c>
      <c r="I44" s="33" t="s">
        <v>96</v>
      </c>
      <c r="J44" s="33" t="s">
        <v>410</v>
      </c>
      <c r="K44" s="33" t="s">
        <v>598</v>
      </c>
      <c r="L44" s="33"/>
      <c r="M44" s="33">
        <v>4</v>
      </c>
      <c r="N44" s="33">
        <v>9</v>
      </c>
      <c r="O44" s="33" t="s">
        <v>96</v>
      </c>
      <c r="P44" s="34"/>
      <c r="Q44" s="40"/>
      <c r="R44" s="34"/>
      <c r="S44" s="33" t="s">
        <v>276</v>
      </c>
    </row>
    <row r="45" spans="2:19" x14ac:dyDescent="0.25">
      <c r="B45" s="14"/>
      <c r="C45" s="14"/>
      <c r="D45" s="14"/>
      <c r="E45" s="14"/>
      <c r="F45" s="14"/>
      <c r="G45" s="32" t="s">
        <v>195</v>
      </c>
      <c r="H45" s="32"/>
      <c r="I45" s="33"/>
      <c r="J45" s="32" t="s">
        <v>326</v>
      </c>
      <c r="K45" s="32"/>
      <c r="L45" s="32"/>
      <c r="M45" s="32">
        <v>3</v>
      </c>
      <c r="N45" s="33">
        <v>5</v>
      </c>
      <c r="O45" s="33"/>
      <c r="P45" s="34"/>
      <c r="Q45" s="40"/>
      <c r="R45" s="34"/>
      <c r="S45" s="33"/>
    </row>
    <row r="46" spans="2:19" x14ac:dyDescent="0.25">
      <c r="B46" s="14"/>
      <c r="C46" s="14"/>
      <c r="D46" s="14"/>
      <c r="E46" s="14"/>
      <c r="F46" s="14"/>
      <c r="G46" s="33" t="s">
        <v>402</v>
      </c>
      <c r="H46" s="33" t="s">
        <v>149</v>
      </c>
      <c r="I46" s="33" t="s">
        <v>96</v>
      </c>
      <c r="J46" s="33" t="s">
        <v>411</v>
      </c>
      <c r="K46" s="33"/>
      <c r="L46" s="33"/>
      <c r="M46" s="33">
        <v>4</v>
      </c>
      <c r="N46" s="33">
        <v>9</v>
      </c>
      <c r="O46" s="33" t="s">
        <v>96</v>
      </c>
      <c r="P46" s="34"/>
      <c r="Q46" s="40"/>
      <c r="R46" s="34"/>
      <c r="S46" s="33" t="s">
        <v>277</v>
      </c>
    </row>
    <row r="47" spans="2:19" x14ac:dyDescent="0.25">
      <c r="B47" s="14"/>
      <c r="C47" s="14"/>
      <c r="D47" s="14"/>
      <c r="E47" s="14"/>
      <c r="F47" s="14"/>
      <c r="G47" s="33" t="s">
        <v>403</v>
      </c>
      <c r="H47" s="33" t="s">
        <v>149</v>
      </c>
      <c r="I47" s="33" t="s">
        <v>96</v>
      </c>
      <c r="J47" s="33" t="s">
        <v>412</v>
      </c>
      <c r="K47" s="33"/>
      <c r="L47" s="33"/>
      <c r="M47" s="33">
        <v>4</v>
      </c>
      <c r="N47" s="33">
        <v>9</v>
      </c>
      <c r="O47" s="33" t="s">
        <v>96</v>
      </c>
      <c r="P47" s="34"/>
      <c r="Q47" s="40"/>
      <c r="R47" s="34"/>
      <c r="S47" s="33" t="s">
        <v>278</v>
      </c>
    </row>
    <row r="48" spans="2:19" x14ac:dyDescent="0.25">
      <c r="B48" s="14"/>
      <c r="C48" s="14"/>
      <c r="D48" s="14"/>
      <c r="E48" s="14"/>
      <c r="F48" s="14"/>
      <c r="G48" s="33" t="s">
        <v>404</v>
      </c>
      <c r="H48" s="33" t="s">
        <v>149</v>
      </c>
      <c r="I48" s="33" t="s">
        <v>96</v>
      </c>
      <c r="J48" s="33" t="s">
        <v>413</v>
      </c>
      <c r="K48" s="33"/>
      <c r="L48" s="33"/>
      <c r="M48" s="33">
        <v>4</v>
      </c>
      <c r="N48" s="33">
        <v>9</v>
      </c>
      <c r="O48" s="33" t="s">
        <v>96</v>
      </c>
      <c r="P48" s="34"/>
      <c r="Q48" s="40"/>
      <c r="R48" s="34"/>
      <c r="S48" s="33" t="s">
        <v>279</v>
      </c>
    </row>
    <row r="49" spans="2:19" x14ac:dyDescent="0.25">
      <c r="B49" s="14"/>
      <c r="C49" s="14"/>
      <c r="D49" s="14"/>
      <c r="E49" s="14"/>
      <c r="F49" s="14"/>
      <c r="G49" s="33" t="s">
        <v>405</v>
      </c>
      <c r="H49" s="33" t="s">
        <v>98</v>
      </c>
      <c r="I49" s="33" t="s">
        <v>96</v>
      </c>
      <c r="J49" s="33" t="s">
        <v>414</v>
      </c>
      <c r="K49" s="33" t="s">
        <v>598</v>
      </c>
      <c r="L49" s="33"/>
      <c r="M49" s="33">
        <v>4</v>
      </c>
      <c r="N49" s="33">
        <v>9</v>
      </c>
      <c r="O49" s="33" t="s">
        <v>96</v>
      </c>
      <c r="P49" s="34"/>
      <c r="Q49" s="40"/>
      <c r="R49" s="34"/>
      <c r="S49" s="33" t="s">
        <v>280</v>
      </c>
    </row>
    <row r="50" spans="2:19" x14ac:dyDescent="0.25">
      <c r="B50" s="14"/>
      <c r="C50" s="14"/>
      <c r="D50" s="14"/>
      <c r="E50" s="14"/>
      <c r="F50" s="14"/>
      <c r="G50" s="32" t="s">
        <v>586</v>
      </c>
      <c r="H50" s="32"/>
      <c r="I50" s="33"/>
      <c r="J50" s="32" t="s">
        <v>146</v>
      </c>
      <c r="K50" s="32"/>
      <c r="L50" s="32"/>
      <c r="M50" s="32">
        <v>1</v>
      </c>
      <c r="N50" s="33">
        <v>5</v>
      </c>
      <c r="O50" s="33"/>
      <c r="P50" s="34"/>
      <c r="Q50" s="40"/>
      <c r="R50" s="34"/>
      <c r="S50" s="33"/>
    </row>
    <row r="51" spans="2:19" x14ac:dyDescent="0.25">
      <c r="B51" s="14"/>
      <c r="C51" s="14"/>
      <c r="D51" s="14"/>
      <c r="E51" s="14"/>
      <c r="F51" s="14"/>
      <c r="G51" s="33" t="s">
        <v>181</v>
      </c>
      <c r="H51" s="33" t="s">
        <v>101</v>
      </c>
      <c r="I51" s="33" t="s">
        <v>94</v>
      </c>
      <c r="J51" s="32" t="s">
        <v>197</v>
      </c>
      <c r="K51" s="33" t="s">
        <v>181</v>
      </c>
      <c r="L51" s="33"/>
      <c r="M51" s="33">
        <v>4</v>
      </c>
      <c r="N51" s="33">
        <v>9</v>
      </c>
      <c r="O51" s="33" t="s">
        <v>96</v>
      </c>
      <c r="P51" s="34"/>
      <c r="Q51" s="40"/>
      <c r="R51" s="34"/>
      <c r="S51" s="33" t="s">
        <v>285</v>
      </c>
    </row>
    <row r="52" spans="2:19" x14ac:dyDescent="0.25">
      <c r="B52" s="14"/>
      <c r="C52" s="14"/>
      <c r="D52" s="14"/>
      <c r="E52" s="14"/>
      <c r="F52" s="14"/>
      <c r="G52" s="33" t="s">
        <v>328</v>
      </c>
      <c r="H52" s="33" t="s">
        <v>101</v>
      </c>
      <c r="I52" s="33" t="s">
        <v>94</v>
      </c>
      <c r="J52" s="32" t="s">
        <v>147</v>
      </c>
      <c r="K52" s="33" t="s">
        <v>45</v>
      </c>
      <c r="L52" s="33"/>
      <c r="M52" s="33">
        <v>4</v>
      </c>
      <c r="N52" s="33">
        <v>9</v>
      </c>
      <c r="O52" s="33" t="s">
        <v>96</v>
      </c>
      <c r="P52" s="34"/>
      <c r="Q52" s="40"/>
      <c r="R52" s="34"/>
      <c r="S52" s="33" t="s">
        <v>286</v>
      </c>
    </row>
    <row r="53" spans="2:19" x14ac:dyDescent="0.25">
      <c r="B53" s="14"/>
      <c r="C53" s="14"/>
      <c r="D53" s="14"/>
      <c r="E53" s="14"/>
      <c r="F53" s="14"/>
      <c r="G53" s="33" t="s">
        <v>329</v>
      </c>
      <c r="H53" s="33" t="s">
        <v>101</v>
      </c>
      <c r="I53" s="33" t="s">
        <v>94</v>
      </c>
      <c r="J53" s="33" t="s">
        <v>415</v>
      </c>
      <c r="K53" s="33" t="s">
        <v>371</v>
      </c>
      <c r="L53" s="33"/>
      <c r="M53" s="33">
        <v>4</v>
      </c>
      <c r="N53" s="33">
        <v>9</v>
      </c>
      <c r="O53" s="33" t="s">
        <v>96</v>
      </c>
      <c r="P53" s="34"/>
      <c r="Q53" s="40"/>
      <c r="R53" s="34"/>
      <c r="S53" s="33" t="s">
        <v>287</v>
      </c>
    </row>
    <row r="54" spans="2:19" x14ac:dyDescent="0.25">
      <c r="B54" s="14"/>
      <c r="C54" s="14"/>
      <c r="D54" s="14"/>
      <c r="E54" s="14"/>
      <c r="F54" s="14"/>
      <c r="G54" s="33" t="s">
        <v>330</v>
      </c>
      <c r="H54" s="33" t="s">
        <v>101</v>
      </c>
      <c r="I54" s="33" t="s">
        <v>94</v>
      </c>
      <c r="J54" s="33" t="s">
        <v>416</v>
      </c>
      <c r="K54" s="33" t="s">
        <v>371</v>
      </c>
      <c r="L54" s="33"/>
      <c r="M54" s="33">
        <v>4</v>
      </c>
      <c r="N54" s="33">
        <v>10</v>
      </c>
      <c r="O54" s="33" t="s">
        <v>96</v>
      </c>
      <c r="P54" s="34"/>
      <c r="Q54" s="40"/>
      <c r="R54" s="34"/>
      <c r="S54" s="33" t="s">
        <v>288</v>
      </c>
    </row>
    <row r="55" spans="2:19" x14ac:dyDescent="0.25">
      <c r="B55" s="14"/>
      <c r="C55" s="14"/>
      <c r="D55" s="14"/>
      <c r="E55" s="14"/>
      <c r="F55" s="14"/>
      <c r="G55" s="32" t="s">
        <v>195</v>
      </c>
      <c r="H55" s="32"/>
      <c r="I55" s="33"/>
      <c r="J55" s="32" t="s">
        <v>364</v>
      </c>
      <c r="K55" s="32"/>
      <c r="L55" s="32"/>
      <c r="M55" s="32">
        <v>2</v>
      </c>
      <c r="N55" s="33">
        <v>5</v>
      </c>
      <c r="O55" s="33"/>
      <c r="P55" s="34"/>
      <c r="Q55" s="40"/>
      <c r="R55" s="34"/>
      <c r="S55" s="33"/>
    </row>
    <row r="56" spans="2:19" x14ac:dyDescent="0.25">
      <c r="B56" s="14"/>
      <c r="C56" s="14"/>
      <c r="D56" s="14"/>
      <c r="E56" s="14"/>
      <c r="F56" s="14"/>
      <c r="G56" s="33" t="s">
        <v>331</v>
      </c>
      <c r="H56" s="33" t="s">
        <v>149</v>
      </c>
      <c r="I56" s="33" t="s">
        <v>96</v>
      </c>
      <c r="J56" s="33" t="s">
        <v>417</v>
      </c>
      <c r="K56" s="33"/>
      <c r="L56" s="33"/>
      <c r="M56" s="33">
        <v>4</v>
      </c>
      <c r="N56" s="33">
        <v>9</v>
      </c>
      <c r="O56" s="33" t="s">
        <v>96</v>
      </c>
      <c r="P56" s="34"/>
      <c r="Q56" s="40"/>
      <c r="R56" s="34"/>
      <c r="S56" s="33" t="s">
        <v>289</v>
      </c>
    </row>
    <row r="57" spans="2:19" x14ac:dyDescent="0.25">
      <c r="B57" s="14"/>
      <c r="C57" s="14"/>
      <c r="D57" s="14"/>
      <c r="E57" s="14"/>
      <c r="F57" s="14"/>
      <c r="G57" s="33" t="s">
        <v>332</v>
      </c>
      <c r="H57" s="33" t="s">
        <v>101</v>
      </c>
      <c r="I57" s="33" t="s">
        <v>96</v>
      </c>
      <c r="J57" s="33" t="s">
        <v>436</v>
      </c>
      <c r="K57" s="33" t="s">
        <v>368</v>
      </c>
      <c r="L57" s="33"/>
      <c r="M57" s="33">
        <v>4</v>
      </c>
      <c r="N57" s="33">
        <v>9</v>
      </c>
      <c r="O57" s="33" t="s">
        <v>96</v>
      </c>
      <c r="P57" s="34"/>
      <c r="Q57" s="40"/>
      <c r="R57" s="34"/>
      <c r="S57" s="33" t="s">
        <v>290</v>
      </c>
    </row>
    <row r="58" spans="2:19" x14ac:dyDescent="0.25">
      <c r="B58" s="14"/>
      <c r="C58" s="14"/>
      <c r="D58" s="14"/>
      <c r="E58" s="14"/>
      <c r="F58" s="14"/>
      <c r="G58" s="33" t="s">
        <v>333</v>
      </c>
      <c r="H58" s="33" t="s">
        <v>149</v>
      </c>
      <c r="I58" s="33" t="s">
        <v>96</v>
      </c>
      <c r="J58" s="33" t="s">
        <v>418</v>
      </c>
      <c r="K58" s="33"/>
      <c r="L58" s="33"/>
      <c r="M58" s="33">
        <v>4</v>
      </c>
      <c r="N58" s="33">
        <v>9</v>
      </c>
      <c r="O58" s="33" t="s">
        <v>96</v>
      </c>
      <c r="P58" s="34"/>
      <c r="Q58" s="40"/>
      <c r="R58" s="34"/>
      <c r="S58" s="33" t="s">
        <v>291</v>
      </c>
    </row>
    <row r="59" spans="2:19" x14ac:dyDescent="0.25">
      <c r="B59" s="14"/>
      <c r="C59" s="14"/>
      <c r="D59" s="14"/>
      <c r="E59" s="14"/>
      <c r="F59" s="14"/>
      <c r="G59" s="33" t="s">
        <v>334</v>
      </c>
      <c r="H59" s="33" t="s">
        <v>101</v>
      </c>
      <c r="I59" s="33" t="s">
        <v>96</v>
      </c>
      <c r="J59" s="33" t="s">
        <v>449</v>
      </c>
      <c r="K59" s="33" t="s">
        <v>368</v>
      </c>
      <c r="L59" s="33"/>
      <c r="M59" s="33">
        <v>4</v>
      </c>
      <c r="N59" s="33">
        <v>9</v>
      </c>
      <c r="O59" s="33" t="s">
        <v>96</v>
      </c>
      <c r="P59" s="34"/>
      <c r="Q59" s="40"/>
      <c r="R59" s="34"/>
      <c r="S59" s="33" t="s">
        <v>292</v>
      </c>
    </row>
    <row r="60" spans="2:19" x14ac:dyDescent="0.25">
      <c r="B60" s="14"/>
      <c r="C60" s="14"/>
      <c r="D60" s="14"/>
      <c r="E60" s="14"/>
      <c r="F60" s="14"/>
      <c r="G60" s="33" t="s">
        <v>335</v>
      </c>
      <c r="H60" s="33" t="s">
        <v>149</v>
      </c>
      <c r="I60" s="33" t="s">
        <v>96</v>
      </c>
      <c r="J60" s="33" t="s">
        <v>419</v>
      </c>
      <c r="K60" s="33"/>
      <c r="L60" s="33"/>
      <c r="M60" s="33">
        <v>4</v>
      </c>
      <c r="N60" s="33">
        <v>9</v>
      </c>
      <c r="O60" s="33" t="s">
        <v>96</v>
      </c>
      <c r="P60" s="34"/>
      <c r="Q60" s="40"/>
      <c r="R60" s="34"/>
      <c r="S60" s="33" t="s">
        <v>293</v>
      </c>
    </row>
    <row r="61" spans="2:19" x14ac:dyDescent="0.25">
      <c r="B61" s="14"/>
      <c r="C61" s="14"/>
      <c r="D61" s="14"/>
      <c r="E61" s="14"/>
      <c r="F61" s="14"/>
      <c r="G61" s="33" t="s">
        <v>336</v>
      </c>
      <c r="H61" s="33" t="s">
        <v>101</v>
      </c>
      <c r="I61" s="33" t="s">
        <v>96</v>
      </c>
      <c r="J61" s="33" t="s">
        <v>437</v>
      </c>
      <c r="K61" s="33" t="s">
        <v>597</v>
      </c>
      <c r="L61" s="33"/>
      <c r="M61" s="33">
        <v>4</v>
      </c>
      <c r="N61" s="33">
        <v>9</v>
      </c>
      <c r="O61" s="33" t="s">
        <v>96</v>
      </c>
      <c r="P61" s="34"/>
      <c r="Q61" s="40"/>
      <c r="R61" s="34"/>
      <c r="S61" s="33" t="s">
        <v>294</v>
      </c>
    </row>
    <row r="62" spans="2:19" x14ac:dyDescent="0.25">
      <c r="B62" s="14"/>
      <c r="C62" s="14"/>
      <c r="D62" s="14"/>
      <c r="E62" s="14"/>
      <c r="F62" s="14"/>
      <c r="G62" s="33" t="s">
        <v>337</v>
      </c>
      <c r="H62" s="33" t="s">
        <v>149</v>
      </c>
      <c r="I62" s="33" t="s">
        <v>96</v>
      </c>
      <c r="J62" s="33" t="s">
        <v>420</v>
      </c>
      <c r="K62" s="33"/>
      <c r="L62" s="33"/>
      <c r="M62" s="33">
        <v>4</v>
      </c>
      <c r="N62" s="33">
        <v>9</v>
      </c>
      <c r="O62" s="33" t="s">
        <v>96</v>
      </c>
      <c r="P62" s="34"/>
      <c r="Q62" s="40"/>
      <c r="R62" s="34"/>
      <c r="S62" s="33" t="s">
        <v>295</v>
      </c>
    </row>
    <row r="63" spans="2:19" x14ac:dyDescent="0.25">
      <c r="B63" s="14"/>
      <c r="C63" s="14"/>
      <c r="D63" s="14"/>
      <c r="E63" s="14"/>
      <c r="F63" s="14"/>
      <c r="G63" s="33" t="s">
        <v>338</v>
      </c>
      <c r="H63" s="33" t="s">
        <v>98</v>
      </c>
      <c r="I63" s="33" t="s">
        <v>96</v>
      </c>
      <c r="J63" s="33" t="s">
        <v>421</v>
      </c>
      <c r="K63" s="33" t="s">
        <v>598</v>
      </c>
      <c r="L63" s="33"/>
      <c r="M63" s="33">
        <v>4</v>
      </c>
      <c r="N63" s="33">
        <v>9</v>
      </c>
      <c r="O63" s="33" t="s">
        <v>96</v>
      </c>
      <c r="P63" s="34"/>
      <c r="Q63" s="40"/>
      <c r="R63" s="34"/>
      <c r="S63" s="33" t="s">
        <v>296</v>
      </c>
    </row>
    <row r="64" spans="2:19" x14ac:dyDescent="0.25">
      <c r="B64" s="14"/>
      <c r="C64" s="14"/>
      <c r="D64" s="14"/>
      <c r="E64" s="14"/>
      <c r="F64" s="14"/>
      <c r="G64" s="33" t="s">
        <v>339</v>
      </c>
      <c r="H64" s="33" t="s">
        <v>149</v>
      </c>
      <c r="I64" s="33" t="s">
        <v>96</v>
      </c>
      <c r="J64" s="33" t="s">
        <v>422</v>
      </c>
      <c r="K64" s="33"/>
      <c r="L64" s="33"/>
      <c r="M64" s="33">
        <v>4</v>
      </c>
      <c r="N64" s="33">
        <v>9</v>
      </c>
      <c r="O64" s="33" t="s">
        <v>96</v>
      </c>
      <c r="P64" s="34"/>
      <c r="Q64" s="40"/>
      <c r="R64" s="34"/>
      <c r="S64" s="33" t="s">
        <v>297</v>
      </c>
    </row>
    <row r="65" spans="2:19" x14ac:dyDescent="0.25">
      <c r="B65" s="14"/>
      <c r="C65" s="14"/>
      <c r="D65" s="14"/>
      <c r="E65" s="14"/>
      <c r="F65" s="14"/>
      <c r="G65" s="33" t="s">
        <v>340</v>
      </c>
      <c r="H65" s="33" t="s">
        <v>149</v>
      </c>
      <c r="I65" s="33" t="s">
        <v>96</v>
      </c>
      <c r="J65" s="33" t="s">
        <v>423</v>
      </c>
      <c r="K65" s="33"/>
      <c r="L65" s="33"/>
      <c r="M65" s="33">
        <v>4</v>
      </c>
      <c r="N65" s="33">
        <v>9</v>
      </c>
      <c r="O65" s="33" t="s">
        <v>96</v>
      </c>
      <c r="P65" s="34"/>
      <c r="Q65" s="40"/>
      <c r="R65" s="34"/>
      <c r="S65" s="33" t="s">
        <v>298</v>
      </c>
    </row>
    <row r="66" spans="2:19" x14ac:dyDescent="0.25">
      <c r="B66" s="14"/>
      <c r="C66" s="14"/>
      <c r="D66" s="14"/>
      <c r="E66" s="14"/>
      <c r="F66" s="14"/>
      <c r="G66" s="33" t="s">
        <v>341</v>
      </c>
      <c r="H66" s="33" t="s">
        <v>98</v>
      </c>
      <c r="I66" s="33" t="s">
        <v>96</v>
      </c>
      <c r="J66" s="33" t="s">
        <v>438</v>
      </c>
      <c r="K66" s="33" t="s">
        <v>369</v>
      </c>
      <c r="L66" s="33"/>
      <c r="M66" s="33">
        <v>4</v>
      </c>
      <c r="N66" s="33">
        <v>9</v>
      </c>
      <c r="O66" s="33" t="s">
        <v>96</v>
      </c>
      <c r="P66" s="34"/>
      <c r="Q66" s="40"/>
      <c r="R66" s="34"/>
      <c r="S66" s="33" t="s">
        <v>299</v>
      </c>
    </row>
    <row r="67" spans="2:19" x14ac:dyDescent="0.25">
      <c r="B67" s="14"/>
      <c r="C67" s="14"/>
      <c r="D67" s="14"/>
      <c r="E67" s="14"/>
      <c r="F67" s="14"/>
      <c r="G67" s="33" t="s">
        <v>342</v>
      </c>
      <c r="H67" s="33" t="s">
        <v>149</v>
      </c>
      <c r="I67" s="33" t="s">
        <v>96</v>
      </c>
      <c r="J67" s="33" t="s">
        <v>424</v>
      </c>
      <c r="K67" s="33"/>
      <c r="L67" s="33"/>
      <c r="M67" s="33">
        <v>4</v>
      </c>
      <c r="N67" s="33">
        <v>9</v>
      </c>
      <c r="O67" s="33" t="s">
        <v>96</v>
      </c>
      <c r="P67" s="34"/>
      <c r="Q67" s="40"/>
      <c r="R67" s="34"/>
      <c r="S67" s="33" t="s">
        <v>300</v>
      </c>
    </row>
    <row r="68" spans="2:19" x14ac:dyDescent="0.25">
      <c r="B68" s="14"/>
      <c r="C68" s="14"/>
      <c r="D68" s="14"/>
      <c r="E68" s="14"/>
      <c r="F68" s="14"/>
      <c r="G68" s="33" t="s">
        <v>343</v>
      </c>
      <c r="H68" s="33" t="s">
        <v>101</v>
      </c>
      <c r="I68" s="33" t="s">
        <v>96</v>
      </c>
      <c r="J68" s="33" t="s">
        <v>439</v>
      </c>
      <c r="K68" s="33" t="s">
        <v>370</v>
      </c>
      <c r="L68" s="33"/>
      <c r="M68" s="33">
        <v>4</v>
      </c>
      <c r="N68" s="33">
        <v>9</v>
      </c>
      <c r="O68" s="33" t="s">
        <v>96</v>
      </c>
      <c r="P68" s="34"/>
      <c r="Q68" s="40"/>
      <c r="R68" s="34"/>
      <c r="S68" s="33" t="s">
        <v>301</v>
      </c>
    </row>
    <row r="69" spans="2:19" x14ac:dyDescent="0.25">
      <c r="B69" s="14"/>
      <c r="C69" s="14"/>
      <c r="D69" s="14"/>
      <c r="E69" s="14"/>
      <c r="F69" s="14"/>
      <c r="G69" s="33" t="s">
        <v>344</v>
      </c>
      <c r="H69" s="33" t="s">
        <v>149</v>
      </c>
      <c r="I69" s="33" t="s">
        <v>96</v>
      </c>
      <c r="J69" s="33" t="s">
        <v>425</v>
      </c>
      <c r="K69" s="33"/>
      <c r="L69" s="33"/>
      <c r="M69" s="33">
        <v>4</v>
      </c>
      <c r="N69" s="33">
        <v>9</v>
      </c>
      <c r="O69" s="33" t="s">
        <v>96</v>
      </c>
      <c r="P69" s="34"/>
      <c r="Q69" s="40"/>
      <c r="R69" s="34"/>
      <c r="S69" s="33" t="s">
        <v>302</v>
      </c>
    </row>
    <row r="70" spans="2:19" x14ac:dyDescent="0.25">
      <c r="B70" s="14"/>
      <c r="C70" s="14"/>
      <c r="D70" s="14"/>
      <c r="E70" s="14"/>
      <c r="F70" s="14"/>
      <c r="G70" s="33" t="s">
        <v>345</v>
      </c>
      <c r="H70" s="33" t="s">
        <v>149</v>
      </c>
      <c r="I70" s="33" t="s">
        <v>96</v>
      </c>
      <c r="J70" s="33" t="s">
        <v>426</v>
      </c>
      <c r="K70" s="33"/>
      <c r="L70" s="33"/>
      <c r="M70" s="33">
        <v>4</v>
      </c>
      <c r="N70" s="33">
        <v>9</v>
      </c>
      <c r="O70" s="33" t="s">
        <v>96</v>
      </c>
      <c r="P70" s="34"/>
      <c r="Q70" s="40"/>
      <c r="R70" s="34"/>
      <c r="S70" s="33" t="s">
        <v>303</v>
      </c>
    </row>
    <row r="71" spans="2:19" x14ac:dyDescent="0.25">
      <c r="B71" s="14"/>
      <c r="C71" s="14"/>
      <c r="D71" s="14"/>
      <c r="E71" s="14"/>
      <c r="F71" s="14"/>
      <c r="G71" s="33" t="s">
        <v>346</v>
      </c>
      <c r="H71" s="33" t="s">
        <v>101</v>
      </c>
      <c r="I71" s="33" t="s">
        <v>96</v>
      </c>
      <c r="J71" s="33" t="s">
        <v>440</v>
      </c>
      <c r="K71" s="33" t="s">
        <v>592</v>
      </c>
      <c r="L71" s="33"/>
      <c r="M71" s="33">
        <v>4</v>
      </c>
      <c r="N71" s="33">
        <v>9</v>
      </c>
      <c r="O71" s="33" t="s">
        <v>96</v>
      </c>
      <c r="P71" s="34"/>
      <c r="Q71" s="40"/>
      <c r="R71" s="34"/>
      <c r="S71" s="33" t="s">
        <v>304</v>
      </c>
    </row>
    <row r="72" spans="2:19" x14ac:dyDescent="0.25">
      <c r="B72" s="14"/>
      <c r="C72" s="14"/>
      <c r="D72" s="14"/>
      <c r="E72" s="14"/>
      <c r="F72" s="14"/>
      <c r="G72" s="33" t="s">
        <v>347</v>
      </c>
      <c r="H72" s="33" t="s">
        <v>101</v>
      </c>
      <c r="I72" s="33" t="s">
        <v>96</v>
      </c>
      <c r="J72" s="33" t="s">
        <v>427</v>
      </c>
      <c r="K72" s="33" t="s">
        <v>593</v>
      </c>
      <c r="L72" s="33"/>
      <c r="M72" s="33">
        <v>4</v>
      </c>
      <c r="N72" s="33">
        <v>9</v>
      </c>
      <c r="O72" s="33" t="s">
        <v>96</v>
      </c>
      <c r="P72" s="34"/>
      <c r="Q72" s="40"/>
      <c r="R72" s="34"/>
      <c r="S72" s="33" t="s">
        <v>305</v>
      </c>
    </row>
    <row r="73" spans="2:19" x14ac:dyDescent="0.25">
      <c r="B73" s="14"/>
      <c r="C73" s="14"/>
      <c r="D73" s="14"/>
      <c r="E73" s="14"/>
      <c r="F73" s="14"/>
      <c r="G73" s="33" t="s">
        <v>348</v>
      </c>
      <c r="H73" s="33" t="s">
        <v>101</v>
      </c>
      <c r="I73" s="33" t="s">
        <v>96</v>
      </c>
      <c r="J73" s="33" t="s">
        <v>428</v>
      </c>
      <c r="K73" s="33" t="s">
        <v>594</v>
      </c>
      <c r="L73" s="33"/>
      <c r="M73" s="33">
        <v>4</v>
      </c>
      <c r="N73" s="33">
        <v>9</v>
      </c>
      <c r="O73" s="33" t="s">
        <v>96</v>
      </c>
      <c r="P73" s="34"/>
      <c r="Q73" s="40"/>
      <c r="R73" s="34"/>
      <c r="S73" s="33" t="s">
        <v>306</v>
      </c>
    </row>
    <row r="74" spans="2:19" x14ac:dyDescent="0.25">
      <c r="B74" s="14"/>
      <c r="C74" s="14"/>
      <c r="D74" s="14"/>
      <c r="E74" s="14"/>
      <c r="F74" s="14"/>
      <c r="G74" s="33" t="s">
        <v>349</v>
      </c>
      <c r="H74" s="33" t="s">
        <v>101</v>
      </c>
      <c r="I74" s="33" t="s">
        <v>96</v>
      </c>
      <c r="J74" s="33" t="s">
        <v>429</v>
      </c>
      <c r="K74" s="33" t="s">
        <v>595</v>
      </c>
      <c r="L74" s="33"/>
      <c r="M74" s="33">
        <v>4</v>
      </c>
      <c r="N74" s="33">
        <v>9</v>
      </c>
      <c r="O74" s="33" t="s">
        <v>96</v>
      </c>
      <c r="P74" s="34"/>
      <c r="Q74" s="40"/>
      <c r="R74" s="34"/>
      <c r="S74" s="33" t="s">
        <v>307</v>
      </c>
    </row>
    <row r="75" spans="2:19" x14ac:dyDescent="0.25">
      <c r="B75" s="14"/>
      <c r="C75" s="14"/>
      <c r="D75" s="14"/>
      <c r="E75" s="14"/>
      <c r="F75" s="14"/>
      <c r="G75" s="33" t="s">
        <v>350</v>
      </c>
      <c r="H75" s="33" t="s">
        <v>101</v>
      </c>
      <c r="I75" s="33" t="s">
        <v>96</v>
      </c>
      <c r="J75" s="33" t="s">
        <v>430</v>
      </c>
      <c r="K75" s="33" t="s">
        <v>596</v>
      </c>
      <c r="L75" s="33"/>
      <c r="M75" s="33">
        <v>4</v>
      </c>
      <c r="N75" s="33">
        <v>9</v>
      </c>
      <c r="O75" s="33" t="s">
        <v>96</v>
      </c>
      <c r="P75" s="34"/>
      <c r="Q75" s="40"/>
      <c r="R75" s="34"/>
      <c r="S75" s="33" t="s">
        <v>308</v>
      </c>
    </row>
    <row r="76" spans="2:19" x14ac:dyDescent="0.25">
      <c r="B76" s="14"/>
      <c r="C76" s="14"/>
      <c r="D76" s="14"/>
      <c r="E76" s="14"/>
      <c r="F76" s="14"/>
      <c r="G76" s="32" t="s">
        <v>586</v>
      </c>
      <c r="H76" s="32"/>
      <c r="I76" s="33"/>
      <c r="J76" s="32" t="s">
        <v>365</v>
      </c>
      <c r="K76" s="32"/>
      <c r="L76" s="32"/>
      <c r="M76" s="32">
        <v>2</v>
      </c>
      <c r="N76" s="33">
        <v>5</v>
      </c>
      <c r="O76" s="33"/>
      <c r="P76" s="34"/>
      <c r="Q76" s="40"/>
      <c r="R76" s="34"/>
      <c r="S76" s="33"/>
    </row>
    <row r="77" spans="2:19" x14ac:dyDescent="0.25">
      <c r="B77" s="14"/>
      <c r="C77" s="14"/>
      <c r="D77" s="14"/>
      <c r="E77" s="14"/>
      <c r="F77" s="14"/>
      <c r="G77" s="33" t="s">
        <v>351</v>
      </c>
      <c r="H77" s="33" t="s">
        <v>149</v>
      </c>
      <c r="I77" s="33" t="s">
        <v>96</v>
      </c>
      <c r="J77" s="33" t="s">
        <v>431</v>
      </c>
      <c r="K77" s="33"/>
      <c r="L77" s="33"/>
      <c r="M77" s="33">
        <v>4</v>
      </c>
      <c r="N77" s="33">
        <v>10</v>
      </c>
      <c r="O77" s="33" t="s">
        <v>96</v>
      </c>
      <c r="P77" s="34"/>
      <c r="Q77" s="40"/>
      <c r="R77" s="34"/>
      <c r="S77" s="33" t="s">
        <v>309</v>
      </c>
    </row>
    <row r="78" spans="2:19" x14ac:dyDescent="0.25">
      <c r="B78" s="14"/>
      <c r="C78" s="14"/>
      <c r="D78" s="14"/>
      <c r="E78" s="14"/>
      <c r="F78" s="14"/>
      <c r="G78" s="33" t="s">
        <v>352</v>
      </c>
      <c r="H78" s="33" t="s">
        <v>99</v>
      </c>
      <c r="I78" s="33" t="s">
        <v>96</v>
      </c>
      <c r="J78" s="33" t="s">
        <v>432</v>
      </c>
      <c r="K78" s="33"/>
      <c r="L78" s="32" t="s">
        <v>194</v>
      </c>
      <c r="M78" s="33">
        <v>4</v>
      </c>
      <c r="N78" s="33">
        <v>21</v>
      </c>
      <c r="O78" s="33" t="s">
        <v>96</v>
      </c>
      <c r="P78" s="34"/>
      <c r="Q78" s="40"/>
      <c r="R78" s="34"/>
      <c r="S78" s="33" t="s">
        <v>310</v>
      </c>
    </row>
    <row r="79" spans="2:19" x14ac:dyDescent="0.25">
      <c r="B79" s="14"/>
      <c r="C79" s="14"/>
      <c r="D79" s="14"/>
      <c r="E79" s="14"/>
      <c r="F79" s="14"/>
      <c r="G79" s="33" t="s">
        <v>353</v>
      </c>
      <c r="H79" s="33" t="s">
        <v>149</v>
      </c>
      <c r="I79" s="33" t="s">
        <v>96</v>
      </c>
      <c r="J79" s="33" t="s">
        <v>433</v>
      </c>
      <c r="K79" s="33"/>
      <c r="L79" s="33"/>
      <c r="M79" s="33">
        <v>4</v>
      </c>
      <c r="N79" s="33">
        <v>10</v>
      </c>
      <c r="O79" s="33" t="s">
        <v>96</v>
      </c>
      <c r="P79" s="34"/>
      <c r="Q79" s="40"/>
      <c r="R79" s="34"/>
      <c r="S79" s="33" t="s">
        <v>311</v>
      </c>
    </row>
    <row r="80" spans="2:19" x14ac:dyDescent="0.25">
      <c r="B80" s="14"/>
      <c r="C80" s="14"/>
      <c r="D80" s="14"/>
      <c r="E80" s="14"/>
      <c r="F80" s="14"/>
      <c r="G80" s="32" t="s">
        <v>195</v>
      </c>
      <c r="H80" s="32"/>
      <c r="I80" s="33"/>
      <c r="J80" s="32" t="s">
        <v>366</v>
      </c>
      <c r="K80" s="32"/>
      <c r="L80" s="32"/>
      <c r="M80" s="32">
        <v>3</v>
      </c>
      <c r="N80" s="33">
        <v>5</v>
      </c>
      <c r="O80" s="33"/>
      <c r="P80" s="34"/>
      <c r="Q80" s="40"/>
      <c r="R80" s="34"/>
      <c r="S80" s="33"/>
    </row>
    <row r="81" spans="2:19" x14ac:dyDescent="0.25">
      <c r="B81" s="14"/>
      <c r="C81" s="14"/>
      <c r="D81" s="14"/>
      <c r="E81" s="14"/>
      <c r="F81" s="14"/>
      <c r="G81" s="33" t="s">
        <v>354</v>
      </c>
      <c r="H81" s="33" t="s">
        <v>149</v>
      </c>
      <c r="I81" s="33" t="s">
        <v>96</v>
      </c>
      <c r="J81" s="33" t="s">
        <v>434</v>
      </c>
      <c r="K81" s="33"/>
      <c r="L81" s="33"/>
      <c r="M81" s="33">
        <v>4</v>
      </c>
      <c r="N81" s="33">
        <v>9</v>
      </c>
      <c r="O81" s="33" t="s">
        <v>96</v>
      </c>
      <c r="P81" s="34"/>
      <c r="Q81" s="40"/>
      <c r="R81" s="34"/>
      <c r="S81" s="33" t="s">
        <v>312</v>
      </c>
    </row>
    <row r="82" spans="2:19" x14ac:dyDescent="0.25">
      <c r="B82" s="14"/>
      <c r="C82" s="14"/>
      <c r="D82" s="14"/>
      <c r="E82" s="14"/>
      <c r="F82" s="14"/>
      <c r="G82" s="33" t="s">
        <v>355</v>
      </c>
      <c r="H82" s="33" t="s">
        <v>149</v>
      </c>
      <c r="I82" s="33" t="s">
        <v>96</v>
      </c>
      <c r="J82" s="33" t="s">
        <v>441</v>
      </c>
      <c r="K82" s="33"/>
      <c r="L82" s="33"/>
      <c r="M82" s="33">
        <v>4</v>
      </c>
      <c r="N82" s="33">
        <v>9</v>
      </c>
      <c r="O82" s="33" t="s">
        <v>96</v>
      </c>
      <c r="P82" s="34"/>
      <c r="Q82" s="40"/>
      <c r="R82" s="34"/>
      <c r="S82" s="33" t="s">
        <v>313</v>
      </c>
    </row>
    <row r="83" spans="2:19" x14ac:dyDescent="0.25">
      <c r="B83" s="14"/>
      <c r="C83" s="14"/>
      <c r="D83" s="14"/>
      <c r="E83" s="14"/>
      <c r="F83" s="14"/>
      <c r="G83" s="33" t="s">
        <v>356</v>
      </c>
      <c r="H83" s="33" t="s">
        <v>149</v>
      </c>
      <c r="I83" s="33" t="s">
        <v>96</v>
      </c>
      <c r="J83" s="33" t="s">
        <v>447</v>
      </c>
      <c r="K83" s="33"/>
      <c r="L83" s="33"/>
      <c r="M83" s="33">
        <v>4</v>
      </c>
      <c r="N83" s="33">
        <v>9</v>
      </c>
      <c r="O83" s="33" t="s">
        <v>96</v>
      </c>
      <c r="P83" s="34"/>
      <c r="Q83" s="40"/>
      <c r="R83" s="34"/>
      <c r="S83" s="33" t="s">
        <v>314</v>
      </c>
    </row>
    <row r="84" spans="2:19" x14ac:dyDescent="0.25">
      <c r="B84" s="14"/>
      <c r="C84" s="14"/>
      <c r="D84" s="14"/>
      <c r="E84" s="14"/>
      <c r="F84" s="14"/>
      <c r="G84" s="33" t="s">
        <v>357</v>
      </c>
      <c r="H84" s="33" t="s">
        <v>149</v>
      </c>
      <c r="I84" s="33" t="s">
        <v>96</v>
      </c>
      <c r="J84" s="33" t="s">
        <v>448</v>
      </c>
      <c r="K84" s="33"/>
      <c r="L84" s="33"/>
      <c r="M84" s="33">
        <v>4</v>
      </c>
      <c r="N84" s="33">
        <v>9</v>
      </c>
      <c r="O84" s="33" t="s">
        <v>96</v>
      </c>
      <c r="P84" s="34"/>
      <c r="Q84" s="40"/>
      <c r="R84" s="34"/>
      <c r="S84" s="33" t="s">
        <v>315</v>
      </c>
    </row>
    <row r="85" spans="2:19" x14ac:dyDescent="0.25">
      <c r="B85" s="14"/>
      <c r="C85" s="14"/>
      <c r="D85" s="14"/>
      <c r="E85" s="14"/>
      <c r="F85" s="14"/>
      <c r="G85" s="33" t="s">
        <v>358</v>
      </c>
      <c r="H85" s="33" t="s">
        <v>98</v>
      </c>
      <c r="I85" s="33" t="s">
        <v>96</v>
      </c>
      <c r="J85" s="33" t="s">
        <v>442</v>
      </c>
      <c r="K85" s="33" t="s">
        <v>598</v>
      </c>
      <c r="L85" s="33"/>
      <c r="M85" s="33">
        <v>4</v>
      </c>
      <c r="N85" s="33">
        <v>9</v>
      </c>
      <c r="O85" s="33" t="s">
        <v>96</v>
      </c>
      <c r="P85" s="34"/>
      <c r="Q85" s="40"/>
      <c r="R85" s="34"/>
      <c r="S85" s="33" t="s">
        <v>316</v>
      </c>
    </row>
    <row r="86" spans="2:19" x14ac:dyDescent="0.25">
      <c r="B86" s="14"/>
      <c r="C86" s="14"/>
      <c r="D86" s="14"/>
      <c r="E86" s="14"/>
      <c r="F86" s="14"/>
      <c r="G86" s="32" t="s">
        <v>195</v>
      </c>
      <c r="H86" s="32"/>
      <c r="I86" s="33"/>
      <c r="J86" s="32" t="s">
        <v>367</v>
      </c>
      <c r="K86" s="32"/>
      <c r="L86" s="32"/>
      <c r="M86" s="32">
        <v>3</v>
      </c>
      <c r="N86" s="33">
        <v>5</v>
      </c>
      <c r="O86" s="33"/>
      <c r="P86" s="34"/>
      <c r="Q86" s="40"/>
      <c r="R86" s="34"/>
      <c r="S86" s="33"/>
    </row>
    <row r="87" spans="2:19" x14ac:dyDescent="0.25">
      <c r="B87" s="14"/>
      <c r="C87" s="14"/>
      <c r="D87" s="14"/>
      <c r="E87" s="14"/>
      <c r="F87" s="14"/>
      <c r="G87" s="33" t="s">
        <v>359</v>
      </c>
      <c r="H87" s="33" t="s">
        <v>149</v>
      </c>
      <c r="I87" s="33" t="s">
        <v>96</v>
      </c>
      <c r="J87" s="33" t="s">
        <v>435</v>
      </c>
      <c r="K87" s="33"/>
      <c r="L87" s="33"/>
      <c r="M87" s="33">
        <v>4</v>
      </c>
      <c r="N87" s="33">
        <v>9</v>
      </c>
      <c r="O87" s="33" t="s">
        <v>96</v>
      </c>
      <c r="P87" s="34"/>
      <c r="Q87" s="40"/>
      <c r="R87" s="34"/>
      <c r="S87" s="33" t="s">
        <v>317</v>
      </c>
    </row>
    <row r="88" spans="2:19" x14ac:dyDescent="0.25">
      <c r="B88" s="14"/>
      <c r="C88" s="14"/>
      <c r="D88" s="14"/>
      <c r="E88" s="14"/>
      <c r="F88" s="14"/>
      <c r="G88" s="33" t="s">
        <v>360</v>
      </c>
      <c r="H88" s="33" t="s">
        <v>149</v>
      </c>
      <c r="I88" s="33" t="s">
        <v>96</v>
      </c>
      <c r="J88" s="33" t="s">
        <v>443</v>
      </c>
      <c r="K88" s="33"/>
      <c r="L88" s="33"/>
      <c r="M88" s="33">
        <v>4</v>
      </c>
      <c r="N88" s="33">
        <v>9</v>
      </c>
      <c r="O88" s="33" t="s">
        <v>96</v>
      </c>
      <c r="P88" s="34"/>
      <c r="Q88" s="40"/>
      <c r="R88" s="34"/>
      <c r="S88" s="33" t="s">
        <v>318</v>
      </c>
    </row>
    <row r="89" spans="2:19" x14ac:dyDescent="0.25">
      <c r="B89" s="14"/>
      <c r="C89" s="14"/>
      <c r="D89" s="14"/>
      <c r="E89" s="14"/>
      <c r="F89" s="14"/>
      <c r="G89" s="33" t="s">
        <v>361</v>
      </c>
      <c r="H89" s="33" t="s">
        <v>149</v>
      </c>
      <c r="I89" s="33" t="s">
        <v>96</v>
      </c>
      <c r="J89" s="33" t="s">
        <v>444</v>
      </c>
      <c r="K89" s="33"/>
      <c r="L89" s="33"/>
      <c r="M89" s="33">
        <v>4</v>
      </c>
      <c r="N89" s="33">
        <v>9</v>
      </c>
      <c r="O89" s="33" t="s">
        <v>96</v>
      </c>
      <c r="P89" s="34"/>
      <c r="Q89" s="40"/>
      <c r="R89" s="34"/>
      <c r="S89" s="33" t="s">
        <v>319</v>
      </c>
    </row>
    <row r="90" spans="2:19" x14ac:dyDescent="0.25">
      <c r="B90" s="14"/>
      <c r="C90" s="14"/>
      <c r="D90" s="14"/>
      <c r="E90" s="14"/>
      <c r="F90" s="14"/>
      <c r="G90" s="33" t="s">
        <v>362</v>
      </c>
      <c r="H90" s="33" t="s">
        <v>149</v>
      </c>
      <c r="I90" s="33" t="s">
        <v>96</v>
      </c>
      <c r="J90" s="33" t="s">
        <v>445</v>
      </c>
      <c r="K90" s="33"/>
      <c r="L90" s="33"/>
      <c r="M90" s="33">
        <v>4</v>
      </c>
      <c r="N90" s="33">
        <v>9</v>
      </c>
      <c r="O90" s="33" t="s">
        <v>96</v>
      </c>
      <c r="P90" s="34"/>
      <c r="Q90" s="40"/>
      <c r="R90" s="34"/>
      <c r="S90" s="33" t="s">
        <v>320</v>
      </c>
    </row>
    <row r="91" spans="2:19" x14ac:dyDescent="0.25">
      <c r="B91" s="14"/>
      <c r="C91" s="14"/>
      <c r="D91" s="14"/>
      <c r="E91" s="14"/>
      <c r="F91" s="14"/>
      <c r="G91" s="33" t="s">
        <v>363</v>
      </c>
      <c r="H91" s="33" t="s">
        <v>98</v>
      </c>
      <c r="I91" s="33" t="s">
        <v>96</v>
      </c>
      <c r="J91" s="33" t="s">
        <v>446</v>
      </c>
      <c r="K91" s="33" t="s">
        <v>598</v>
      </c>
      <c r="L91" s="33"/>
      <c r="M91" s="33">
        <v>4</v>
      </c>
      <c r="N91" s="33">
        <v>9</v>
      </c>
      <c r="O91" s="33" t="s">
        <v>96</v>
      </c>
      <c r="P91" s="34"/>
      <c r="Q91" s="40"/>
      <c r="R91" s="34"/>
      <c r="S91" s="33" t="s">
        <v>321</v>
      </c>
    </row>
  </sheetData>
  <hyperlinks>
    <hyperlink ref="B9" r:id="rId1" display="http://20.188.62.95/reportingmanager/api/reporting/{ID}" xr:uid="{10FE6A28-D839-4124-AB92-F50F125C824C}"/>
    <hyperlink ref="B4" r:id="rId2" display="http://20.188.62.95/reportingmanager/api/reporting" xr:uid="{E4BC7E82-3420-4C54-88BD-3467497FFFFC}"/>
  </hyperlinks>
  <pageMargins left="0.7" right="0.7" top="0.75" bottom="0.75" header="0.3" footer="0.3"/>
  <pageSetup paperSize="9" orientation="portrait" horizontalDpi="4294967295" verticalDpi="4294967295"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641F5-F8A6-4AF1-BA7A-867EDA62C716}">
  <sheetPr codeName="Feuil8"/>
  <dimension ref="B1:Q7"/>
  <sheetViews>
    <sheetView topLeftCell="A68" zoomScale="82" zoomScaleNormal="82" workbookViewId="0">
      <selection activeCell="E35" sqref="E35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51.42578125" bestFit="1" customWidth="1"/>
    <col min="7" max="7" width="12.7109375" customWidth="1"/>
    <col min="8" max="8" width="11.42578125" bestFit="1" customWidth="1"/>
    <col min="9" max="9" width="30.85546875" bestFit="1" customWidth="1"/>
    <col min="10" max="10" width="16.5703125" customWidth="1"/>
    <col min="11" max="11" width="19.140625" bestFit="1" customWidth="1"/>
    <col min="12" max="12" width="9.7109375" bestFit="1" customWidth="1"/>
    <col min="13" max="13" width="12.5703125" bestFit="1" customWidth="1"/>
    <col min="14" max="14" width="12.5703125" customWidth="1"/>
    <col min="15" max="15" width="15.28515625" bestFit="1" customWidth="1"/>
    <col min="16" max="16" width="23.28515625" bestFit="1" customWidth="1"/>
    <col min="17" max="17" width="12.5703125" customWidth="1"/>
  </cols>
  <sheetData>
    <row r="1" spans="2:17" x14ac:dyDescent="0.25">
      <c r="B1" t="s">
        <v>114</v>
      </c>
      <c r="I1" s="9"/>
    </row>
    <row r="3" spans="2:17" x14ac:dyDescent="0.25">
      <c r="B3" t="s">
        <v>90</v>
      </c>
      <c r="C3" t="s">
        <v>112</v>
      </c>
      <c r="D3" t="s">
        <v>110</v>
      </c>
      <c r="E3" t="s">
        <v>136</v>
      </c>
      <c r="F3" t="s">
        <v>97</v>
      </c>
      <c r="G3" t="s">
        <v>100</v>
      </c>
      <c r="H3" t="s">
        <v>135</v>
      </c>
      <c r="I3" t="s">
        <v>91</v>
      </c>
      <c r="J3" t="s">
        <v>155</v>
      </c>
      <c r="K3" t="s">
        <v>154</v>
      </c>
      <c r="L3" t="s">
        <v>196</v>
      </c>
      <c r="M3" t="s">
        <v>92</v>
      </c>
      <c r="N3" t="s">
        <v>111</v>
      </c>
      <c r="O3" t="s">
        <v>116</v>
      </c>
      <c r="P3" t="s">
        <v>108</v>
      </c>
      <c r="Q3" t="s">
        <v>322</v>
      </c>
    </row>
    <row r="4" spans="2:17" x14ac:dyDescent="0.25">
      <c r="B4" s="13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7" spans="2:17" x14ac:dyDescent="0.25">
      <c r="B7" s="14"/>
      <c r="C7" s="14"/>
      <c r="D7" s="14"/>
      <c r="E7" s="14"/>
      <c r="F7" s="33" t="s">
        <v>406</v>
      </c>
      <c r="G7" s="33" t="s">
        <v>101</v>
      </c>
      <c r="H7" s="33" t="s">
        <v>96</v>
      </c>
      <c r="I7" s="33" t="s">
        <v>506</v>
      </c>
      <c r="J7" s="33"/>
      <c r="K7" s="33"/>
      <c r="L7" s="33">
        <v>3</v>
      </c>
      <c r="M7" s="33" t="s">
        <v>96</v>
      </c>
      <c r="N7" s="34"/>
      <c r="O7" s="34"/>
      <c r="P7" s="34"/>
      <c r="Q7" s="33" t="s">
        <v>505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9</vt:i4>
      </vt:variant>
    </vt:vector>
  </HeadingPairs>
  <TitlesOfParts>
    <vt:vector size="16" baseType="lpstr">
      <vt:lpstr>Liste des reportings</vt:lpstr>
      <vt:lpstr>CACHE</vt:lpstr>
      <vt:lpstr>Planning</vt:lpstr>
      <vt:lpstr>History</vt:lpstr>
      <vt:lpstr>I18N</vt:lpstr>
      <vt:lpstr>JSON</vt:lpstr>
      <vt:lpstr>JSON (2)</vt:lpstr>
      <vt:lpstr>'JSON (2)'!cell_JSON_Param</vt:lpstr>
      <vt:lpstr>cell_JSON_Param</vt:lpstr>
      <vt:lpstr>cellLanguage</vt:lpstr>
      <vt:lpstr>JSON_MetadataQuery</vt:lpstr>
      <vt:lpstr>lCategory</vt:lpstr>
      <vt:lpstr>lCategoryVersion</vt:lpstr>
      <vt:lpstr>lFolders</vt:lpstr>
      <vt:lpstr>tReportings____ROWS_</vt:lpstr>
      <vt:lpstr>tReportings___RF_Refresh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</dc:creator>
  <cp:lastModifiedBy>Pierre</cp:lastModifiedBy>
  <dcterms:created xsi:type="dcterms:W3CDTF">2015-06-05T18:19:34Z</dcterms:created>
  <dcterms:modified xsi:type="dcterms:W3CDTF">2021-03-15T17:38:11Z</dcterms:modified>
</cp:coreProperties>
</file>