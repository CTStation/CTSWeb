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8D906C47-5E63-479A-8590-1A24CC7C0604}" xr6:coauthVersionLast="46" xr6:coauthVersionMax="46" xr10:uidLastSave="{00000000-0000-0000-0000-000000000000}"/>
  <bookViews>
    <workbookView xWindow="-120" yWindow="-120" windowWidth="29040" windowHeight="17640" tabRatio="723" activeTab="1" xr2:uid="{00000000-000D-0000-FFFF-FFFF00000000}"/>
  </bookViews>
  <sheets>
    <sheet name="Liste des reportings" sheetId="6" r:id="rId1"/>
    <sheet name="A - 2000.09" sheetId="14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0" hidden="1">'Liste des reportings'!$C$10:$E$14</definedName>
    <definedName name="_xlnm._FilterDatabase" localSheetId="3" hidden="1">Planning!$F$17:$L$73</definedName>
    <definedName name="cell_JSON_Param" localSheetId="7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New8___RF_Save">'A - 2000.09'!$B$2</definedName>
    <definedName name="tReportings____ROWS_">'Liste des reportings'!$H$14:$I$41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4" l="1"/>
  <c r="D11" i="6"/>
  <c r="K73" i="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B2" i="14"/>
  <c r="I41" i="6"/>
  <c r="I37" i="6"/>
  <c r="I33" i="6"/>
  <c r="I29" i="6"/>
  <c r="I25" i="6"/>
  <c r="I21" i="6"/>
  <c r="I17" i="6"/>
  <c r="H41" i="6"/>
  <c r="H37" i="6"/>
  <c r="H33" i="6"/>
  <c r="H29" i="6"/>
  <c r="H25" i="6"/>
  <c r="H21" i="6"/>
  <c r="H17" i="6"/>
  <c r="I35" i="6"/>
  <c r="I27" i="6"/>
  <c r="I19" i="6"/>
  <c r="H39" i="6"/>
  <c r="H31" i="6"/>
  <c r="H23" i="6"/>
  <c r="H15" i="6"/>
  <c r="I34" i="6"/>
  <c r="I26" i="6"/>
  <c r="I18" i="6"/>
  <c r="H38" i="6"/>
  <c r="H26" i="6"/>
  <c r="H18" i="6"/>
  <c r="I40" i="6"/>
  <c r="I36" i="6"/>
  <c r="I32" i="6"/>
  <c r="I28" i="6"/>
  <c r="I24" i="6"/>
  <c r="I20" i="6"/>
  <c r="I16" i="6"/>
  <c r="H40" i="6"/>
  <c r="H36" i="6"/>
  <c r="H32" i="6"/>
  <c r="H28" i="6"/>
  <c r="H24" i="6"/>
  <c r="H20" i="6"/>
  <c r="H16" i="6"/>
  <c r="I39" i="6"/>
  <c r="I31" i="6"/>
  <c r="I23" i="6"/>
  <c r="I15" i="6"/>
  <c r="H35" i="6"/>
  <c r="H27" i="6"/>
  <c r="H19" i="6"/>
  <c r="I38" i="6"/>
  <c r="I30" i="6"/>
  <c r="I22" i="6"/>
  <c r="H34" i="6"/>
  <c r="H30" i="6"/>
  <c r="H22" i="6"/>
  <c r="I14" i="6"/>
  <c r="H14" i="6"/>
  <c r="F12" i="6"/>
  <c r="E12" i="6"/>
  <c r="D12" i="6"/>
  <c r="C12" i="6"/>
  <c r="D10" i="6"/>
  <c r="L73" i="4" l="1"/>
  <c r="J73" i="4"/>
  <c r="I73" i="4" l="1"/>
  <c r="H73" i="4"/>
  <c r="F73" i="4" l="1"/>
  <c r="G73" i="4"/>
  <c r="D73" i="4"/>
  <c r="C73" i="4"/>
  <c r="I4" i="6" a="1"/>
  <c r="B73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<sst xmlns="http://schemas.openxmlformats.org/spreadsheetml/2006/main" count="1735" uniqueCount="797">
  <si>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</si>
  <si>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</si>
  <si>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</si>
  <si>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</si>
  <si>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</si>
  <si>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</si>
  <si>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</si>
  <si>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</si>
  <si>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</si>
  <si>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</si>
  <si>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</si>
  <si>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</si>
  <si>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</si>
  <si>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</si>
  <si>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</si>
  <si>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</si>
  <si>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</si>
  <si>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</si>
  <si>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</si>
  <si>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</si>
  <si>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</si>
  <si>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</si>
  <si>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</si>
  <si>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</si>
  <si>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</si>
  <si>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</si>
  <si>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</si>
  <si>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</si>
  <si>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</si>
  <si>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</si>
  <si>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</si>
  <si>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</si>
  <si>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</si>
  <si>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</si>
  <si>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</si>
  <si>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</si>
  <si>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</si>
  <si>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</si>
  <si>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</si>
  <si>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</si>
  <si>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</si>
  <si>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</si>
  <si>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</si>
  <si>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</si>
  <si>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</si>
  <si>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</si>
  <si>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</si>
  <si>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</si>
  <si>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</si>
  <si>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</si>
  <si>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</si>
  <si>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</si>
  <si>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</si>
  <si>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</si>
  <si>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</si>
  <si>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</si>
  <si>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</si>
  <si>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</si>
  <si>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</si>
  <si>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</si>
  <si>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</si>
  <si>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</si>
  <si>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</si>
  <si>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</si>
  <si>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</si>
  <si>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</si>
  <si>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</si>
  <si>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</si>
  <si>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</si>
  <si>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</si>
  <si>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</si>
  <si>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</si>
  <si>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</si>
  <si>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</si>
  <si>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</si>
  <si>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</si>
  <si>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</si>
  <si>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</si>
  <si>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</si>
  <si>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</si>
  <si>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</si>
  <si>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</si>
  <si>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</si>
  <si>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</si>
  <si>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</si>
  <si>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</si>
  <si>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</si>
  <si>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</si>
  <si>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</si>
  <si>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</si>
  <si>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</si>
  <si>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</si>
  <si>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</si>
  <si>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</si>
  <si>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</si>
  <si>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</si>
  <si>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</si>
  <si>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</si>
  <si>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</si>
  <si>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</si>
  <si>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</si>
  <si>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</si>
  <si>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</si>
  <si>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</si>
  <si>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</si>
  <si>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</si>
  <si>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</si>
  <si>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</si>
  <si>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</si>
  <si>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</si>
  <si>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</si>
  <si>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</si>
  <si>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</si>
  <si>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</si>
  <si>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</si>
  <si>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</si>
  <si>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</si>
  <si>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</si>
  <si>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</si>
  <si>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</si>
  <si>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</si>
  <si>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</si>
  <si>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</si>
  <si>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</si>
  <si>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</si>
  <si>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</si>
  <si>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</si>
  <si>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</si>
  <si>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</si>
  <si>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</si>
  <si>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</si>
  <si>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</si>
  <si>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</si>
  <si>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</si>
  <si>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</si>
  <si>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</si>
  <si>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</si>
  <si>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</si>
  <si>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</si>
  <si>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</si>
  <si>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</si>
  <si>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</si>
  <si>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</si>
  <si>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</si>
  <si>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</si>
  <si>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</si>
  <si>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</si>
  <si>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</si>
  <si>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</si>
  <si>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</si>
  <si>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</si>
  <si>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</si>
  <si>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</si>
  <si>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</si>
  <si>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</si>
  <si>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</si>
  <si>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</si>
  <si>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</si>
  <si>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</si>
  <si>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</si>
  <si>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</si>
  <si>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</si>
  <si>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</si>
  <si>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</si>
  <si>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</si>
  <si>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</si>
  <si>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</si>
  <si>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</si>
  <si>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</si>
  <si>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</si>
  <si>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</si>
  <si>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</si>
  <si>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</si>
  <si>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</si>
  <si>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</si>
  <si>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</si>
  <si>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</si>
  <si>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</si>
  <si>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</si>
  <si>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</si>
  <si>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</si>
  <si>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</si>
  <si>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</si>
  <si>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</si>
  <si>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</si>
  <si>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</si>
  <si>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</si>
  <si>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</si>
  <si>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</si>
  <si>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</si>
  <si>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</si>
  <si>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</si>
  <si>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</si>
  <si>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</si>
  <si>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</si>
  <si>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</si>
  <si>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</si>
  <si>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</si>
  <si>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</si>
  <si>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</si>
  <si>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</si>
  <si>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</si>
  <si>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</si>
  <si>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</si>
  <si>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</si>
  <si>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</si>
  <si>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</si>
  <si>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</si>
  <si>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</si>
  <si>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</si>
  <si>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</si>
  <si>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</si>
  <si>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</si>
  <si>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</si>
  <si>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</si>
  <si>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</si>
  <si>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</si>
  <si>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</si>
  <si>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</si>
  <si>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</si>
  <si>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</si>
  <si>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</si>
  <si>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</si>
  <si>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</si>
  <si>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</si>
  <si>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</si>
  <si>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</si>
  <si>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</si>
  <si>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</si>
  <si>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</si>
  <si>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</si>
  <si>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</si>
  <si>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</si>
  <si>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</si>
  <si>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</si>
  <si>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</si>
  <si>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</si>
  <si>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</si>
  <si>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</si>
  <si>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</si>
  <si>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</si>
  <si>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</si>
  <si>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</si>
  <si>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</si>
  <si>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</si>
  <si>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</si>
  <si>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</si>
  <si>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</si>
  <si>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</si>
  <si>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</si>
  <si>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</si>
  <si>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</si>
  <si>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</si>
  <si>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</si>
  <si>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</si>
  <si>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</si>
  <si>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</si>
  <si>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</si>
  <si>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</si>
  <si>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</si>
  <si>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</si>
  <si>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</si>
  <si>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</si>
  <si>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</si>
  <si>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</si>
  <si>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</si>
  <si>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</si>
  <si>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</si>
  <si>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</si>
  <si>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</si>
  <si>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</si>
  <si>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</si>
  <si>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</si>
  <si>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</si>
  <si>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</si>
  <si>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</si>
  <si>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</si>
  <si>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</si>
  <si>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</si>
  <si>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</si>
  <si>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</si>
  <si>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</si>
  <si>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</si>
  <si>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</si>
  <si>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</si>
  <si>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</si>
  <si>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</si>
  <si>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</si>
  <si>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</si>
  <si>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</si>
  <si>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</si>
  <si>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</si>
  <si>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</si>
  <si>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</si>
  <si>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</si>
  <si>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</si>
  <si>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</si>
  <si>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</si>
  <si>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</si>
  <si>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</si>
  <si>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</si>
  <si>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</si>
  <si>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</si>
  <si>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</si>
  <si>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</si>
  <si>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</si>
  <si>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</si>
  <si>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</si>
  <si>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</si>
  <si>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</si>
  <si>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</si>
  <si>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</si>
  <si>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</si>
  <si>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</si>
  <si>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</si>
  <si>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</si>
  <si>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</si>
  <si>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</si>
  <si>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</si>
  <si>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</si>
  <si>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</si>
  <si>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</si>
  <si>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</si>
  <si>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</si>
  <si>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</si>
  <si>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</si>
  <si>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</si>
  <si>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</si>
  <si>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</si>
  <si>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</si>
  <si>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</si>
  <si>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</si>
  <si>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</si>
  <si>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</si>
  <si>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</si>
  <si>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</si>
  <si>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</si>
  <si>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</si>
  <si>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</si>
  <si>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</si>
  <si>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</si>
  <si>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</si>
  <si>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</si>
  <si>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</si>
  <si>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</si>
  <si>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</si>
  <si>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</si>
  <si>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</si>
  <si>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</si>
  <si>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</si>
  <si>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</si>
  <si>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</si>
  <si>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</si>
  <si>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</si>
  <si>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</si>
  <si>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</si>
  <si>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</si>
  <si>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</si>
  <si>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</si>
  <si>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</si>
  <si>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</si>
  <si>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</si>
  <si>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</si>
  <si>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</si>
  <si>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</si>
  <si>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</si>
  <si>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</si>
  <si>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</si>
  <si>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</si>
  <si>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</si>
  <si>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</si>
  <si>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</si>
  <si>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</si>
  <si>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</si>
  <si>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</si>
  <si>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</si>
  <si>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</si>
  <si>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</si>
  <si>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</si>
  <si>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</si>
  <si>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</si>
  <si>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</si>
  <si>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</si>
  <si>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</si>
  <si>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</si>
  <si>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</si>
  <si>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</si>
  <si>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</si>
  <si>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</si>
  <si>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</si>
  <si>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</si>
  <si>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</si>
  <si>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</si>
  <si>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</si>
  <si>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</si>
  <si>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</si>
  <si>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</si>
  <si>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</si>
  <si>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</si>
  <si>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</si>
  <si>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</si>
  <si>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</si>
  <si>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</si>
  <si>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</si>
  <si>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</si>
  <si>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</si>
  <si>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</si>
  <si>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</si>
  <si>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</si>
  <si>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</si>
  <si>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</si>
  <si>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</si>
  <si>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</si>
  <si>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</si>
  <si>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</si>
  <si>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</si>
  <si>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</si>
  <si>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</si>
  <si>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</si>
  <si>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</si>
  <si>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</si>
  <si>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</si>
  <si>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</si>
  <si>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</si>
  <si>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</si>
  <si>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</si>
  <si>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</si>
  <si>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</si>
  <si>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</si>
  <si>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</si>
  <si>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</si>
  <si>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</si>
  <si>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</si>
  <si>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</si>
  <si>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</si>
  <si>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</si>
  <si>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</si>
  <si>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</si>
  <si>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</si>
  <si>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</si>
  <si>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</si>
  <si>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</si>
  <si>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</si>
  <si>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</si>
  <si>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</si>
  <si>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</si>
  <si>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</si>
  <si>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</si>
  <si>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</si>
  <si>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</si>
  <si>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</si>
  <si>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</si>
  <si>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</si>
  <si>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</si>
  <si>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</si>
  <si>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</si>
  <si>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</si>
  <si>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</si>
  <si>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</si>
  <si>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</si>
  <si>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</si>
  <si>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</si>
  <si>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</si>
  <si>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</si>
  <si>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</si>
  <si>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</si>
  <si>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</si>
  <si>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</si>
  <si>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</si>
  <si>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</si>
  <si>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</si>
  <si>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</si>
  <si>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</si>
  <si>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</si>
  <si>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</si>
  <si>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</si>
  <si>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</si>
  <si>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</si>
  <si>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</si>
  <si>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</si>
  <si>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</si>
  <si>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</si>
  <si>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</si>
  <si>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</si>
  <si>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</si>
  <si>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</si>
  <si>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</si>
  <si>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</si>
  <si>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</si>
  <si>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</si>
  <si>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</si>
  <si>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</si>
  <si>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</si>
  <si>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</si>
  <si>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</si>
  <si>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</si>
  <si>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</si>
  <si>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</si>
  <si>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</si>
  <si>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</si>
  <si>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</si>
  <si>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</si>
  <si>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</si>
  <si>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</si>
  <si>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</si>
  <si>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</si>
  <si>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</si>
  <si>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</si>
  <si>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</si>
  <si>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</si>
  <si>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</si>
  <si>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</si>
  <si>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</si>
  <si>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</si>
  <si>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</si>
  <si>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</si>
  <si>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</si>
  <si>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</si>
  <si>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</si>
  <si>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</si>
  <si>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</si>
  <si>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</si>
  <si>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</si>
  <si>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</si>
  <si>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</si>
  <si>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</si>
  <si>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</si>
  <si>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</si>
  <si>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</si>
  <si>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</si>
  <si>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</si>
  <si>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</si>
  <si>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</si>
  <si>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</si>
  <si>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</si>
  <si>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</si>
  <si>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</si>
  <si>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</si>
  <si>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</si>
  <si>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</si>
  <si>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</si>
  <si>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</si>
  <si>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</si>
  <si>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</si>
  <si>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</si>
  <si>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</si>
  <si>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</si>
  <si>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</si>
  <si>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</si>
  <si>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</si>
  <si>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</si>
  <si>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</si>
  <si>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</si>
  <si>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</si>
  <si>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</si>
  <si>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</si>
  <si>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</si>
  <si>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</si>
  <si>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</si>
  <si>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</si>
  <si>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</si>
  <si>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</si>
  <si>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</si>
  <si>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</si>
  <si>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</si>
  <si>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</si>
  <si>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</si>
  <si>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</si>
  <si>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</si>
  <si>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</si>
  <si>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</si>
  <si>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</si>
  <si>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</si>
  <si>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</si>
  <si>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</si>
  <si>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</si>
  <si>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</si>
  <si>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</si>
  <si>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</si>
  <si>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</si>
  <si>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</si>
  <si>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</si>
  <si>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</si>
  <si>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</si>
  <si>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</si>
  <si>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</si>
  <si>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</si>
  <si>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</si>
  <si>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</si>
  <si>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</si>
  <si>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</si>
  <si>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</si>
  <si>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</si>
  <si>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</si>
  <si>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</si>
  <si>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</si>
  <si>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</si>
  <si>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</si>
  <si>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</si>
  <si>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</si>
  <si>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</si>
  <si>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</si>
  <si>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</si>
  <si>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</si>
  <si>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</si>
  <si>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</si>
  <si>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</si>
  <si>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</si>
  <si>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</si>
  <si>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</si>
  <si>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</si>
  <si>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</si>
  <si>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</si>
  <si>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</si>
  <si>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</si>
  <si>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</si>
  <si>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</si>
  <si>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</si>
  <si>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</si>
  <si>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</si>
  <si>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</si>
  <si>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</si>
  <si>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</si>
  <si>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</si>
  <si>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</si>
  <si>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</si>
  <si>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</si>
  <si>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</si>
  <si>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</si>
  <si>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</si>
  <si>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</si>
  <si>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</si>
  <si>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</si>
  <si>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</si>
  <si>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</si>
  <si>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</si>
  <si>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</si>
  <si>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</si>
  <si>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</si>
  <si>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</si>
  <si>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</si>
  <si>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</si>
  <si>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</si>
  <si>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</si>
  <si>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</si>
  <si>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</si>
  <si>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</si>
  <si>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</si>
  <si>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</si>
  <si>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</si>
  <si>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</si>
  <si>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</si>
  <si>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</si>
  <si>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</si>
  <si>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</si>
  <si>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</si>
  <si>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</si>
  <si>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</si>
  <si>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</si>
  <si>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</si>
  <si>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</si>
  <si>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</si>
  <si>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</si>
  <si>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</si>
  <si>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</si>
  <si>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</si>
  <si>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</si>
  <si>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</si>
  <si>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</si>
  <si>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</si>
  <si>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</si>
  <si>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</si>
  <si>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/api/reporting/New5</t>
  </si>
  <si>
    <t>tReportingNew5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</si>
  <si>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-08T23:00:00.000Z","ReportingEndDate":"2021-03-19T23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</si>
  <si>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Post#tReportingNew5</t>
  </si>
  <si>
    <t>{"Table":[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,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]}</t>
  </si>
  <si>
    <t>PostResponse#tReportingNew5</t>
  </si>
  <si>
    <t>{"Data":[],"Messages":{"Messages":[{"Code":"RF0212","Severity":8,"Description":"Valeur incorrecte 'V1' dans la colonne 'al'","SourceRow":1,"SourceCol":3},{"Code":"RF0212","Severity":8,"Description":"Valeur incorrecte 'V1' dans la colonne 'al'","SourceRow":2,"SourceCol":3}],"UsedHints":{"RF0212":"Corrigez la valeur"}}}</t>
  </si>
  <si>
    <t>Dim_UpdPer</t>
  </si>
  <si>
    <t>Dim_Currency</t>
  </si>
  <si>
    <t>Dim_Entity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</si>
  <si>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</si>
  <si>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</si>
  <si>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</si>
  <si>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</si>
  <si>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</si>
  <si>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</si>
  <si>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</si>
  <si>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</si>
  <si>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</si>
  <si>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</si>
  <si>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</si>
  <si>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</si>
  <si>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/api/metadata/PublishedFramework</t>
  </si>
  <si>
    <t>PublishedFramework</t>
  </si>
  <si>
    <t>{"Data":[{"Desc":"Réel","Next":[{"Desc":"Actuel","Next":null,"Name":"C"}],"Name":"A"}],"Messages":{"Messages":[],"UsedHints":{}}}</t>
  </si>
  <si>
    <t>/api/metadata/Dim</t>
  </si>
  <si>
    <t>Dim</t>
  </si>
  <si>
    <t>{"Data":null,"Messages":{"Messages":[],"UsedHints":{}}}</t>
  </si>
  <si>
    <t>/api/metadata/Folder</t>
  </si>
  <si>
    <t>{"Data":[{"Descriptions":[{"CultureName":"fr-FR","Texts":{"LDesc":"Homepage"}},{"CultureName":"en-US","Texts":{"LDesc":"Page d'accueil"}}],"ID":-524287,"LDesc":"Homepage","Name":"HOME"},{"Descriptions":[{"CultureName":"fr-FR","Texts":{"LDesc":"Liasse de consolidation statutaire"}},{"CultureName":"en-US","Texts":{"LDesc":"Package - Actual"}}],"ID":1,"LDesc":"Liasse de consolidation statutaire","Name":"P-A"},{"Descriptions":[{"CultureName":"fr-FR","Texts":{"LDesc":"Consultations comptables"}},{"CultureName":"en-US","Texts":{"LDesc":"Accounting reports"}}],"ID":2,"LDesc":"Consultations comptables","Name":"C3"},{"Descriptions":[{"CultureName":"fr-FR","Texts":{"LDesc":"Etats financiers"}},{"CultureName":"en-US","Texts":{"LDesc":"Annual report"}}],"ID":4,"LDesc":"Etats financiers","Name":"C1"},{"Descriptions":[{"CultureName":"fr-FR","Texts":{"LDesc":"Sommaire de restitution"}},{"CultureName":"en-US","Texts":{"LDesc":"Home pages and summary reports"}}],"ID":5,"LDesc":"Sommaire de restitution","Name":"C0"},{"Descriptions":[{"CultureName":"fr-FR","Texts":{"LDesc":"Analyses"}},{"CultureName":"en-US","Texts":{"LDesc":"Analysis"}}],"ID":7,"LDesc":"Analyses","Name":"C2"},{"Descriptions":[{"CultureName":"fr-FR","Texts":{"LDesc":"Contrôles"}},{"CultureName":"en-US","Texts":{"LDesc":"Control reports"}}],"ID":8,"LDesc":"Contrôles","Name":"C4"},{"Descriptions":[{"CultureName":"fr-FR","Texts":{"LDesc":"Liasse pour les unités mises en équivalence"}},{"CultureName":"en-US","Texts":{"LDesc":"Package for equity method companies"}}],"ID":9,"LDesc":"Liasse pour les unités mises en équivalence","Name":"P-E"},{"Descriptions":[{"CultureName":"fr-FR","Texts":{"LDesc":"Contrôle du paramétrage"}},{"CultureName":"en-US","Texts":{"LDesc":"Check configuration"}}],"ID":10,"LDesc":"Contrôle du paramétrage","Name":"T"},{"Descriptions":[{"CultureName":"fr-FR","Texts":{"LDesc":"Taux de conversion - Saisie"}},{"CultureName":"en-US","Texts":{"LDesc":"Conversion rates - Input"}}],"ID":11,"LDesc":"Taux de conversion - Saisie","Name":"Y"},{"Descriptions":[{"CultureName":"fr-FR","Texts":{"LDesc":"Adoption des IFRS"}},{"CultureName":"en-US","Texts":{"LDesc":"IFRS adoption"}}],"ID":13,"LDesc":"Adoption des IFRS","Name":"C5"},{"Descriptions":[{"CultureName":"fr-FR","Texts":{"LDesc":"Rapports locaux"}},{"CultureName":"en-US","Texts":{"LDesc":"Local reports"}}],"ID":15,"LDesc":"Rapports locaux","Name":"C6"}],"Messages":{"Messages":[],"UsedHints":{}}}</t>
  </si>
  <si>
    <t>/api/metadata/SetOfCtrl</t>
  </si>
  <si>
    <t>SetOfCtrl</t>
  </si>
  <si>
    <t>/api/metadata/Lock</t>
  </si>
  <si>
    <t>/api/metadata/SetOfRules</t>
  </si>
  <si>
    <t>/api/metadata/Conso</t>
  </si>
  <si>
    <t>Conso</t>
  </si>
  <si>
    <t>/api/metadata/Recipient</t>
  </si>
  <si>
    <t>{"Data":[],"Messages":{"Messages":[],"UsedHints":{}}}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</si>
  <si>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</si>
  <si>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</si>
  <si>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</si>
  <si>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</si>
  <si>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</si>
  <si>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</si>
  <si>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</si>
  <si>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</si>
  <si>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</si>
  <si>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</si>
  <si>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</si>
  <si>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</si>
  <si>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</si>
  <si>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</si>
  <si>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</si>
  <si>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</si>
  <si>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</si>
  <si>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</si>
  <si>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</si>
  <si>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</si>
  <si>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</si>
  <si>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</si>
  <si>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</si>
  <si>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</si>
  <si>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</si>
  <si>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</si>
  <si>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</si>
  <si>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</si>
  <si>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</si>
  <si>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</si>
  <si>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</si>
  <si>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</si>
  <si>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</si>
  <si>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</si>
  <si>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</si>
  <si>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</si>
  <si>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</si>
  <si>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</si>
  <si>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</si>
  <si>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</si>
  <si>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</si>
  <si>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</si>
  <si>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</si>
  <si>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</si>
  <si>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</si>
  <si>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</si>
  <si>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</si>
  <si>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</si>
  <si>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</si>
  <si>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</si>
  <si>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</si>
  <si>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</si>
  <si>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</si>
  <si>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</si>
  <si>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</si>
  <si>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</si>
  <si>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</si>
  <si>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</si>
  <si>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</si>
  <si>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</si>
  <si>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</si>
  <si>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</si>
  <si>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</si>
  <si>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</si>
  <si>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</si>
  <si>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</si>
  <si>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</si>
  <si>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</si>
  <si>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</si>
  <si>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</si>
  <si>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</si>
  <si>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</si>
  <si>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</si>
  <si>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</si>
  <si>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</si>
  <si>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</si>
  <si>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</si>
  <si>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</si>
  <si>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</si>
  <si>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/api/reporting/New8</t>
  </si>
  <si>
    <t>tReportingNew8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</si>
  <si>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1899-12-30T01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1899-12-30T01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2000.09","FrameworkVersion":"C","ReportingStartDate":"1899-12-30T01:00:00.000Z","ReportingEndDate":"1899-12-30T01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</si>
  <si>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2000.09</t>
  </si>
  <si>
    <t>2:00:00 AM</t>
  </si>
  <si>
    <t>S001</t>
  </si>
  <si>
    <t>EUR</t>
  </si>
  <si>
    <t>0000.TOP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</si>
</sst>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  <xf numFmtId="0" fontId="3" fillId="0" borderId="0" xfId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137"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#VALEUR!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#VALEUR!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46" name="tReportings_1">
          <a:extLst>
            <a:ext uri="{FF2B5EF4-FFF2-40B4-BE49-F238E27FC236}">
              <a16:creationId xmlns:a16="http://schemas.microsoft.com/office/drawing/2014/main" id="{C2B62AF3-5C3C-44A4-8A43-4BF96F12E465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064F09-681B-44D7-A04B-2FD88D20FD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47" name="tReportings_2">
          <a:extLst>
            <a:ext uri="{FF2B5EF4-FFF2-40B4-BE49-F238E27FC236}">
              <a16:creationId xmlns:a16="http://schemas.microsoft.com/office/drawing/2014/main" id="{034A303A-67C9-41D8-A37B-18C565094E6C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63AD78-D1C4-47EA-8514-AFFA788168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48" name="tReportings_3">
          <a:extLst>
            <a:ext uri="{FF2B5EF4-FFF2-40B4-BE49-F238E27FC236}">
              <a16:creationId xmlns:a16="http://schemas.microsoft.com/office/drawing/2014/main" id="{1F3C2823-B840-4398-8368-AEB7BBBD1014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4B3395B-114C-444A-8809-E354D878EF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49" name="tReportings_4">
          <a:extLst>
            <a:ext uri="{FF2B5EF4-FFF2-40B4-BE49-F238E27FC236}">
              <a16:creationId xmlns:a16="http://schemas.microsoft.com/office/drawing/2014/main" id="{9CD733A9-4BCE-40E9-B9EF-B3BE75FE00D3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5166B6-39B9-400C-A894-4E823AE68CB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8_1">
          <a:extLst>
            <a:ext uri="{FF2B5EF4-FFF2-40B4-BE49-F238E27FC236}">
              <a16:creationId xmlns:a16="http://schemas.microsoft.com/office/drawing/2014/main" id="{AB6D79E8-838D-45FF-A56A-17721DEE6730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9A3E862-5AB6-4D51-9DEE-B0F97066ED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8_2">
          <a:extLst>
            <a:ext uri="{FF2B5EF4-FFF2-40B4-BE49-F238E27FC236}">
              <a16:creationId xmlns:a16="http://schemas.microsoft.com/office/drawing/2014/main" id="{F14352F5-1D5E-4611-B564-8FCE592901A9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7B807D9-2B06-4C6E-B127-8D45EBB0F2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8_3">
          <a:extLst>
            <a:ext uri="{FF2B5EF4-FFF2-40B4-BE49-F238E27FC236}">
              <a16:creationId xmlns:a16="http://schemas.microsoft.com/office/drawing/2014/main" id="{61524D2B-E34D-42F2-A560-E56BABB75F0A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5FCD97-E935-4814-ACFA-5616E108E46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8_4">
          <a:extLst>
            <a:ext uri="{FF2B5EF4-FFF2-40B4-BE49-F238E27FC236}">
              <a16:creationId xmlns:a16="http://schemas.microsoft.com/office/drawing/2014/main" id="{AEBE3E37-AA78-4742-8DE6-8067AD481057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28E854-586C-4B90-9D60-A53C67A76D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Version de référentiel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8_5">
          <a:extLst>
            <a:ext uri="{FF2B5EF4-FFF2-40B4-BE49-F238E27FC236}">
              <a16:creationId xmlns:a16="http://schemas.microsoft.com/office/drawing/2014/main" id="{1B80C1C0-6477-4439-BCAE-D2C1C50D7B04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493908-A181-42E3-B0AA-0DFEC8C1AE8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Début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8_6">
          <a:extLst>
            <a:ext uri="{FF2B5EF4-FFF2-40B4-BE49-F238E27FC236}">
              <a16:creationId xmlns:a16="http://schemas.microsoft.com/office/drawing/2014/main" id="{A74D3F0F-C49E-4621-96A5-80B5C1B64EDD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2F96918-3C66-4254-A72F-53D027720D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Fin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8_7">
          <a:extLst>
            <a:ext uri="{FF2B5EF4-FFF2-40B4-BE49-F238E27FC236}">
              <a16:creationId xmlns:a16="http://schemas.microsoft.com/office/drawing/2014/main" id="{98DE601A-8E1B-4AD3-8BB1-F98D95F3E011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9A15421-1742-475C-8BD0-FBAEF05EC8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8_8">
          <a:extLst>
            <a:ext uri="{FF2B5EF4-FFF2-40B4-BE49-F238E27FC236}">
              <a16:creationId xmlns:a16="http://schemas.microsoft.com/office/drawing/2014/main" id="{C8558A43-E69C-4BD8-B5C1-346848DD9095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F459450-9F24-415A-AD0C-58AAF1D433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8_9">
          <a:extLst>
            <a:ext uri="{FF2B5EF4-FFF2-40B4-BE49-F238E27FC236}">
              <a16:creationId xmlns:a16="http://schemas.microsoft.com/office/drawing/2014/main" id="{13B9D8ED-77F4-4358-8C84-4F1A035DCDCE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678CFC3-7EC9-41C8-87A7-ED6EAE07804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8_10">
          <a:extLst>
            <a:ext uri="{FF2B5EF4-FFF2-40B4-BE49-F238E27FC236}">
              <a16:creationId xmlns:a16="http://schemas.microsoft.com/office/drawing/2014/main" id="{3EC9E186-9357-4973-9CA2-0EACA43428BA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D677A5-65D5-40EE-AA56-66EDE5AA563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8_11">
          <a:extLst>
            <a:ext uri="{FF2B5EF4-FFF2-40B4-BE49-F238E27FC236}">
              <a16:creationId xmlns:a16="http://schemas.microsoft.com/office/drawing/2014/main" id="{42D0CD28-2CF3-4DC0-B7DB-F5FAC48C7917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C1C8900-B29F-4C24-905F-BC4625A9D24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8_12">
          <a:extLst>
            <a:ext uri="{FF2B5EF4-FFF2-40B4-BE49-F238E27FC236}">
              <a16:creationId xmlns:a16="http://schemas.microsoft.com/office/drawing/2014/main" id="{43BD7572-457B-41A4-846C-01492E8AD6CB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1321836-85F5-4B9B-847D-45B1C41AE5D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8_13">
          <a:extLst>
            <a:ext uri="{FF2B5EF4-FFF2-40B4-BE49-F238E27FC236}">
              <a16:creationId xmlns:a16="http://schemas.microsoft.com/office/drawing/2014/main" id="{16AFC1AF-1188-4F7B-919A-D54FD9524FEE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6B68D2-044C-40CA-A66C-F244D99184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8_14">
          <a:extLst>
            <a:ext uri="{FF2B5EF4-FFF2-40B4-BE49-F238E27FC236}">
              <a16:creationId xmlns:a16="http://schemas.microsoft.com/office/drawing/2014/main" id="{55E978F5-E706-429C-988C-6C83ADDB1941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123D74-2FE6-463D-88FD-1FAB277AE6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8_15">
          <a:extLst>
            <a:ext uri="{FF2B5EF4-FFF2-40B4-BE49-F238E27FC236}">
              <a16:creationId xmlns:a16="http://schemas.microsoft.com/office/drawing/2014/main" id="{F9ADAAF4-CF3E-40A4-A26A-9E9B736D6091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9502418-B390-47D1-ABB8-BBBF1C9FA1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8_16">
          <a:extLst>
            <a:ext uri="{FF2B5EF4-FFF2-40B4-BE49-F238E27FC236}">
              <a16:creationId xmlns:a16="http://schemas.microsoft.com/office/drawing/2014/main" id="{A88BC2AE-D629-4809-8287-610813DFF55E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F47771-0B19-4698-A23E-9227F1F5CD2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8_17">
          <a:extLst>
            <a:ext uri="{FF2B5EF4-FFF2-40B4-BE49-F238E27FC236}">
              <a16:creationId xmlns:a16="http://schemas.microsoft.com/office/drawing/2014/main" id="{313537ED-9561-41C5-A0E1-75885B94BF48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0ECAE72-DC52-44DB-899B-4E903D2F35E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8_18">
          <a:extLst>
            <a:ext uri="{FF2B5EF4-FFF2-40B4-BE49-F238E27FC236}">
              <a16:creationId xmlns:a16="http://schemas.microsoft.com/office/drawing/2014/main" id="{30D41728-9087-4CCE-88BC-6C001F45DB50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4601F4-4D6D-4F2B-904E-F479F8E40E1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8_19">
          <a:extLst>
            <a:ext uri="{FF2B5EF4-FFF2-40B4-BE49-F238E27FC236}">
              <a16:creationId xmlns:a16="http://schemas.microsoft.com/office/drawing/2014/main" id="{9F01DE1C-877F-424B-AFA1-720D6E584253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3A2DF7-45BE-4D43-AA49-D4A90C0137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8_20">
          <a:extLst>
            <a:ext uri="{FF2B5EF4-FFF2-40B4-BE49-F238E27FC236}">
              <a16:creationId xmlns:a16="http://schemas.microsoft.com/office/drawing/2014/main" id="{B038BD14-C610-418C-8E42-62AA4B49AA3B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674C6B-D012-4AD1-81B5-974A8029CA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8_21">
          <a:extLst>
            <a:ext uri="{FF2B5EF4-FFF2-40B4-BE49-F238E27FC236}">
              <a16:creationId xmlns:a16="http://schemas.microsoft.com/office/drawing/2014/main" id="{B6F377E1-D0A1-4DF2-9EB4-2E647B5E0224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708A252-E2CA-4E5A-9EB1-8CB9521650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8_22">
          <a:extLst>
            <a:ext uri="{FF2B5EF4-FFF2-40B4-BE49-F238E27FC236}">
              <a16:creationId xmlns:a16="http://schemas.microsoft.com/office/drawing/2014/main" id="{7F5DA262-051F-4572-BF02-369AD14B99C0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A7EFD3-6679-4C7C-9224-A37AF3FB97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8_23">
          <a:extLst>
            <a:ext uri="{FF2B5EF4-FFF2-40B4-BE49-F238E27FC236}">
              <a16:creationId xmlns:a16="http://schemas.microsoft.com/office/drawing/2014/main" id="{545EC87F-7DB5-41F1-B065-AE4A6DFCC175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F9B75A-2270-4286-A8EA-9E4BE151184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8_24">
          <a:extLst>
            <a:ext uri="{FF2B5EF4-FFF2-40B4-BE49-F238E27FC236}">
              <a16:creationId xmlns:a16="http://schemas.microsoft.com/office/drawing/2014/main" id="{4A76BCE6-C3CC-4BF8-9840-B38B541BA28F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D806B9D-F794-489D-88DF-F613D8B7F5A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8_25">
          <a:extLst>
            <a:ext uri="{FF2B5EF4-FFF2-40B4-BE49-F238E27FC236}">
              <a16:creationId xmlns:a16="http://schemas.microsoft.com/office/drawing/2014/main" id="{BE3E3ACD-B460-437E-B932-E5EDE0019E47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ECD731B-3EB6-4DC7-8E54-0CFE0254E76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8_26">
          <a:extLst>
            <a:ext uri="{FF2B5EF4-FFF2-40B4-BE49-F238E27FC236}">
              <a16:creationId xmlns:a16="http://schemas.microsoft.com/office/drawing/2014/main" id="{C2FF18A6-AEFD-4336-B539-5117FFB0638D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FB0563-1126-4A03-A988-41B2541C6B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8_27">
          <a:extLst>
            <a:ext uri="{FF2B5EF4-FFF2-40B4-BE49-F238E27FC236}">
              <a16:creationId xmlns:a16="http://schemas.microsoft.com/office/drawing/2014/main" id="{FC676A5A-F025-48B9-836F-E405FEAC83AD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3B853B-3BF1-41B9-9355-9691BB1E00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8_28">
          <a:extLst>
            <a:ext uri="{FF2B5EF4-FFF2-40B4-BE49-F238E27FC236}">
              <a16:creationId xmlns:a16="http://schemas.microsoft.com/office/drawing/2014/main" id="{CC39C57E-1F90-4354-9C6C-A2FA99AFC777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7C1781-1158-48F2-8FF8-53801A2D715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8_29">
          <a:extLst>
            <a:ext uri="{FF2B5EF4-FFF2-40B4-BE49-F238E27FC236}">
              <a16:creationId xmlns:a16="http://schemas.microsoft.com/office/drawing/2014/main" id="{83C1E116-1B50-4EB0-A59E-B1E1F46844C3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0770CC4-198B-4E39-8A0E-81A17ACF7D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8_30">
          <a:extLst>
            <a:ext uri="{FF2B5EF4-FFF2-40B4-BE49-F238E27FC236}">
              <a16:creationId xmlns:a16="http://schemas.microsoft.com/office/drawing/2014/main" id="{CD7E83DB-AAFE-4768-946E-5BAB81C74F3F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DF6FD4-63A4-4580-8226-A1A9DCA5D75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8_31">
          <a:extLst>
            <a:ext uri="{FF2B5EF4-FFF2-40B4-BE49-F238E27FC236}">
              <a16:creationId xmlns:a16="http://schemas.microsoft.com/office/drawing/2014/main" id="{F655B6EA-4949-4BDF-BA2A-E602E46220C5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2C926EA-B6D5-4077-9DFE-3D9C6BB9F41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8_32">
          <a:extLst>
            <a:ext uri="{FF2B5EF4-FFF2-40B4-BE49-F238E27FC236}">
              <a16:creationId xmlns:a16="http://schemas.microsoft.com/office/drawing/2014/main" id="{68FACE99-FA2E-4FEC-8718-A2AD39DF2ABF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F73C0D2-2D5C-43D8-A4FC-7507114501D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8_33">
          <a:extLst>
            <a:ext uri="{FF2B5EF4-FFF2-40B4-BE49-F238E27FC236}">
              <a16:creationId xmlns:a16="http://schemas.microsoft.com/office/drawing/2014/main" id="{0F52D034-149B-4B93-AD1B-38B13D86FDD0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857834-0F07-451F-BF36-BFEC40027D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8_34">
          <a:extLst>
            <a:ext uri="{FF2B5EF4-FFF2-40B4-BE49-F238E27FC236}">
              <a16:creationId xmlns:a16="http://schemas.microsoft.com/office/drawing/2014/main" id="{F8C4A908-7F46-431F-82AD-0D2F6F906D34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E90FDDA-750E-4EFC-A916-18EA82CA77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8_35">
          <a:extLst>
            <a:ext uri="{FF2B5EF4-FFF2-40B4-BE49-F238E27FC236}">
              <a16:creationId xmlns:a16="http://schemas.microsoft.com/office/drawing/2014/main" id="{BA7A66E7-06F7-4180-A8EB-0F0C7C155769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F83ED3-CA81-4A09-A2A1-92F5F4C86A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8_36">
          <a:extLst>
            <a:ext uri="{FF2B5EF4-FFF2-40B4-BE49-F238E27FC236}">
              <a16:creationId xmlns:a16="http://schemas.microsoft.com/office/drawing/2014/main" id="{4B55612B-D97A-4BC8-9548-9F989205DCB6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BF69460-F689-4D47-8F87-BE10378C1A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8_37">
          <a:extLst>
            <a:ext uri="{FF2B5EF4-FFF2-40B4-BE49-F238E27FC236}">
              <a16:creationId xmlns:a16="http://schemas.microsoft.com/office/drawing/2014/main" id="{ACE73162-56D7-4DE8-876D-DC8EB3A4C600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993ADA5-3A9B-4B87-A4D7-3A896195372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8_38">
          <a:extLst>
            <a:ext uri="{FF2B5EF4-FFF2-40B4-BE49-F238E27FC236}">
              <a16:creationId xmlns:a16="http://schemas.microsoft.com/office/drawing/2014/main" id="{76629597-1040-4E8D-BB2D-9E11F6278A8B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A20234B-A38E-4CE0-84A7-89D6F0314A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8_39">
          <a:extLst>
            <a:ext uri="{FF2B5EF4-FFF2-40B4-BE49-F238E27FC236}">
              <a16:creationId xmlns:a16="http://schemas.microsoft.com/office/drawing/2014/main" id="{5BC15BBC-2AC6-48F2-9586-8D05ACEFE370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015CEF-591C-4293-9252-4DB55D97C4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8_40">
          <a:extLst>
            <a:ext uri="{FF2B5EF4-FFF2-40B4-BE49-F238E27FC236}">
              <a16:creationId xmlns:a16="http://schemas.microsoft.com/office/drawing/2014/main" id="{CFCEB0A6-4D74-49FB-A68C-AE13546FDFA7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9FAF99-A0EF-4EC7-9D1E-6E4E2D03EA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8_41">
          <a:extLst>
            <a:ext uri="{FF2B5EF4-FFF2-40B4-BE49-F238E27FC236}">
              <a16:creationId xmlns:a16="http://schemas.microsoft.com/office/drawing/2014/main" id="{342BD141-08E3-49C4-82F6-0FD16E1A0389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9A1F2B-FB45-4DA7-8532-80C5DC7FD1E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8_42">
          <a:extLst>
            <a:ext uri="{FF2B5EF4-FFF2-40B4-BE49-F238E27FC236}">
              <a16:creationId xmlns:a16="http://schemas.microsoft.com/office/drawing/2014/main" id="{CB9BE94F-CD74-42C2-9C2B-C2AD3FE93EC8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287B268-3FAA-4017-8ACD-31A1D02370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8_43">
          <a:extLst>
            <a:ext uri="{FF2B5EF4-FFF2-40B4-BE49-F238E27FC236}">
              <a16:creationId xmlns:a16="http://schemas.microsoft.com/office/drawing/2014/main" id="{D7D23656-0506-4B79-9FD0-7CAFF0483F39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D6F90D9-47E5-4C3F-9FDA-658E91F9BCB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Code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8_44">
          <a:extLst>
            <a:ext uri="{FF2B5EF4-FFF2-40B4-BE49-F238E27FC236}">
              <a16:creationId xmlns:a16="http://schemas.microsoft.com/office/drawing/2014/main" id="{12053E4F-43C8-4691-8449-64256314DF64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9357E3-3925-4339-9C2B-9FC79A4C4A8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Devise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8_45">
          <a:extLst>
            <a:ext uri="{FF2B5EF4-FFF2-40B4-BE49-F238E27FC236}">
              <a16:creationId xmlns:a16="http://schemas.microsoft.com/office/drawing/2014/main" id="{54511177-2ADE-4A81-A7D9-73B383DE5AE6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DF71D3-2F7C-4EF5-8D59-211116D4FDD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saisie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8_46">
          <a:extLst>
            <a:ext uri="{FF2B5EF4-FFF2-40B4-BE49-F238E27FC236}">
              <a16:creationId xmlns:a16="http://schemas.microsoft.com/office/drawing/2014/main" id="{FC1CAF38-E9B1-4321-BF04-82C38EBEC6F8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C03991-B8DC-4DE8-B342-8815F08A0D3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publication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8_47">
          <a:extLst>
            <a:ext uri="{FF2B5EF4-FFF2-40B4-BE49-F238E27FC236}">
              <a16:creationId xmlns:a16="http://schemas.microsoft.com/office/drawing/2014/main" id="{76A68973-57F9-4B6C-9298-202AAA931F26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166FFF1-B895-4D12-8977-2A66F471490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8_48">
          <a:extLst>
            <a:ext uri="{FF2B5EF4-FFF2-40B4-BE49-F238E27FC236}">
              <a16:creationId xmlns:a16="http://schemas.microsoft.com/office/drawing/2014/main" id="{687A7B67-C452-45D7-9964-69CADCA0C5B5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F0677C2-815E-41AE-AADC-3A6F9D03C8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8_49">
          <a:extLst>
            <a:ext uri="{FF2B5EF4-FFF2-40B4-BE49-F238E27FC236}">
              <a16:creationId xmlns:a16="http://schemas.microsoft.com/office/drawing/2014/main" id="{DF34FFCB-B414-46E7-BBD8-DCD696B6337D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AA4974-FCF1-4F00-B80E-8E9D978303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8_50">
          <a:extLst>
            <a:ext uri="{FF2B5EF4-FFF2-40B4-BE49-F238E27FC236}">
              <a16:creationId xmlns:a16="http://schemas.microsoft.com/office/drawing/2014/main" id="{29648008-AF10-4780-A35A-78A47EFD3A2E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C48618-9A18-4B27-8FA6-2DD5B770ED9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8_51">
          <a:extLst>
            <a:ext uri="{FF2B5EF4-FFF2-40B4-BE49-F238E27FC236}">
              <a16:creationId xmlns:a16="http://schemas.microsoft.com/office/drawing/2014/main" id="{E3A3B649-D206-4814-B63E-875E74F39B04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76B2F5-AD6D-4306-A65C-4A83215684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8_52">
          <a:extLst>
            <a:ext uri="{FF2B5EF4-FFF2-40B4-BE49-F238E27FC236}">
              <a16:creationId xmlns:a16="http://schemas.microsoft.com/office/drawing/2014/main" id="{4CAA2B19-B139-45DE-86F5-2B8C296F8367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729EFB1-DDC0-47B0-953E-BB0BBED5DE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8_53">
          <a:extLst>
            <a:ext uri="{FF2B5EF4-FFF2-40B4-BE49-F238E27FC236}">
              <a16:creationId xmlns:a16="http://schemas.microsoft.com/office/drawing/2014/main" id="{20EB2CEF-03FC-43B3-81C3-8F63B60BFCB1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E9F1242-EB54-4060-8402-42DCA33E23E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8_54">
          <a:extLst>
            <a:ext uri="{FF2B5EF4-FFF2-40B4-BE49-F238E27FC236}">
              <a16:creationId xmlns:a16="http://schemas.microsoft.com/office/drawing/2014/main" id="{111BDEC0-7DDD-4714-8AD7-2C5574C5710A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B348C54-DCA2-4CFD-8D36-B08C96BE2ED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8_55">
          <a:extLst>
            <a:ext uri="{FF2B5EF4-FFF2-40B4-BE49-F238E27FC236}">
              <a16:creationId xmlns:a16="http://schemas.microsoft.com/office/drawing/2014/main" id="{2927EAA8-50FD-409E-9680-54C1724F67D2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5BCF888-99BF-4F76-A4C1-F73670335AF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8_56">
          <a:extLst>
            <a:ext uri="{FF2B5EF4-FFF2-40B4-BE49-F238E27FC236}">
              <a16:creationId xmlns:a16="http://schemas.microsoft.com/office/drawing/2014/main" id="{F1D6BF80-B842-457B-9BE2-E7004C5432A9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7788AE1-4A69-4783-BB0F-240DFA74317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8_57">
          <a:extLst>
            <a:ext uri="{FF2B5EF4-FFF2-40B4-BE49-F238E27FC236}">
              <a16:creationId xmlns:a16="http://schemas.microsoft.com/office/drawing/2014/main" id="{8F581280-AF22-42BA-A0DD-CF1A67B22B43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A802F1E-B9BD-4FE8-9DD5-2626110CE7D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8_58">
          <a:extLst>
            <a:ext uri="{FF2B5EF4-FFF2-40B4-BE49-F238E27FC236}">
              <a16:creationId xmlns:a16="http://schemas.microsoft.com/office/drawing/2014/main" id="{886B538B-BF17-4C1E-83E7-D1144D266757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FB801D-707B-4A24-A411-90A7C5C767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8_59">
          <a:extLst>
            <a:ext uri="{FF2B5EF4-FFF2-40B4-BE49-F238E27FC236}">
              <a16:creationId xmlns:a16="http://schemas.microsoft.com/office/drawing/2014/main" id="{F3FB1978-46BB-415A-AE69-C982D195005D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303DF0D-AC03-4D93-A7E8-9C24486337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8_60">
          <a:extLst>
            <a:ext uri="{FF2B5EF4-FFF2-40B4-BE49-F238E27FC236}">
              <a16:creationId xmlns:a16="http://schemas.microsoft.com/office/drawing/2014/main" id="{0F1703A0-5A98-49A7-881D-43CB714B3CFE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7E7AB3-3018-4085-A8B0-8F6EB3B03D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8_61">
          <a:extLst>
            <a:ext uri="{FF2B5EF4-FFF2-40B4-BE49-F238E27FC236}">
              <a16:creationId xmlns:a16="http://schemas.microsoft.com/office/drawing/2014/main" id="{1AAF0C1A-0A4D-4506-8CB0-0E18E220A586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383BB4-CE28-4BD6-8B04-954E2438DBB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8_62">
          <a:extLst>
            <a:ext uri="{FF2B5EF4-FFF2-40B4-BE49-F238E27FC236}">
              <a16:creationId xmlns:a16="http://schemas.microsoft.com/office/drawing/2014/main" id="{7168FE8A-CE3F-49B5-9786-62E3647FFF1E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F23EB34-EBCB-456D-B557-E209942DC7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8_63">
          <a:extLst>
            <a:ext uri="{FF2B5EF4-FFF2-40B4-BE49-F238E27FC236}">
              <a16:creationId xmlns:a16="http://schemas.microsoft.com/office/drawing/2014/main" id="{A318CDD0-B11F-406E-B061-8F22E3C9F0CD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6127C3-A0CA-41A3-8246-821659B123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8_64">
          <a:extLst>
            <a:ext uri="{FF2B5EF4-FFF2-40B4-BE49-F238E27FC236}">
              <a16:creationId xmlns:a16="http://schemas.microsoft.com/office/drawing/2014/main" id="{728D8392-AC9B-4650-AE34-2D7FE96BEE8A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D76DE3A-752E-448E-9E54-C1541FFA8AF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8_65">
          <a:extLst>
            <a:ext uri="{FF2B5EF4-FFF2-40B4-BE49-F238E27FC236}">
              <a16:creationId xmlns:a16="http://schemas.microsoft.com/office/drawing/2014/main" id="{C8A36C18-37A8-44C3-A301-947AAE1F259C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906BD9-719A-46E6-ABB5-1ED584D477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8_66">
          <a:extLst>
            <a:ext uri="{FF2B5EF4-FFF2-40B4-BE49-F238E27FC236}">
              <a16:creationId xmlns:a16="http://schemas.microsoft.com/office/drawing/2014/main" id="{02FC8D82-39AE-4833-96B9-F8E1DB819BC3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6079E72-A0D5-482C-AE11-89B3C09154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8_67">
          <a:extLst>
            <a:ext uri="{FF2B5EF4-FFF2-40B4-BE49-F238E27FC236}">
              <a16:creationId xmlns:a16="http://schemas.microsoft.com/office/drawing/2014/main" id="{00A5BB70-F72C-4147-BEC9-8A77DE092329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513CBE2-E8F5-4DF3-BEBC-7E6516F27E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8_68">
          <a:extLst>
            <a:ext uri="{FF2B5EF4-FFF2-40B4-BE49-F238E27FC236}">
              <a16:creationId xmlns:a16="http://schemas.microsoft.com/office/drawing/2014/main" id="{088719C9-B376-45F1-8305-A66494EEAB70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F0423836-BA16-48A3-BCD1-A5DF71BADC9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8_69">
          <a:extLst>
            <a:ext uri="{FF2B5EF4-FFF2-40B4-BE49-F238E27FC236}">
              <a16:creationId xmlns:a16="http://schemas.microsoft.com/office/drawing/2014/main" id="{4FE7A659-D546-410C-8358-8476BC4715EC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2D2066-EF51-433A-9112-98DC753F13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Exploitation: défaut?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8_70">
          <a:extLst>
            <a:ext uri="{FF2B5EF4-FFF2-40B4-BE49-F238E27FC236}">
              <a16:creationId xmlns:a16="http://schemas.microsoft.com/office/drawing/2014/main" id="{0A131FBF-02F9-4F2D-80CF-75C1D1BBE102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C36A78C-0ECC-4864-A091-1B1988E7DE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8_71">
          <a:extLst>
            <a:ext uri="{FF2B5EF4-FFF2-40B4-BE49-F238E27FC236}">
              <a16:creationId xmlns:a16="http://schemas.microsoft.com/office/drawing/2014/main" id="{6F875DB9-5E9D-4279-AD39-01629CD8C86D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A5FB32E-0CEA-4EBF-AA61-58EE332C12E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8_72">
          <a:extLst>
            <a:ext uri="{FF2B5EF4-FFF2-40B4-BE49-F238E27FC236}">
              <a16:creationId xmlns:a16="http://schemas.microsoft.com/office/drawing/2014/main" id="{D4888C49-1C82-45E8-AFB9-A391810F71BF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97513F3-5936-4504-A146-42F90C9BD1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8_73">
          <a:extLst>
            <a:ext uri="{FF2B5EF4-FFF2-40B4-BE49-F238E27FC236}">
              <a16:creationId xmlns:a16="http://schemas.microsoft.com/office/drawing/2014/main" id="{21DBEB13-0C8C-4F77-AF86-4E14EBE331DC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74C3270-090E-47A8-80FB-ECC05C9C81C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publication: défaut?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8_74">
          <a:extLst>
            <a:ext uri="{FF2B5EF4-FFF2-40B4-BE49-F238E27FC236}">
              <a16:creationId xmlns:a16="http://schemas.microsoft.com/office/drawing/2014/main" id="{4DB58B65-28CF-4693-80FE-78287C6DC513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5A4346-5B95-43E4-BEB2-FF823A734E8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8_75">
          <a:extLst>
            <a:ext uri="{FF2B5EF4-FFF2-40B4-BE49-F238E27FC236}">
              <a16:creationId xmlns:a16="http://schemas.microsoft.com/office/drawing/2014/main" id="{C9E0B58A-53DB-4A62-8426-E8BE41CC563C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606D61B-B97B-4A0B-906E-287D8932A9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8_76">
          <a:extLst>
            <a:ext uri="{FF2B5EF4-FFF2-40B4-BE49-F238E27FC236}">
              <a16:creationId xmlns:a16="http://schemas.microsoft.com/office/drawing/2014/main" id="{060A24F1-7CCD-44A7-8EF4-79ABEE6CEB2E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393F3DB-6B14-47B0-A68B-B1F8BDBF046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8_77">
          <a:extLst>
            <a:ext uri="{FF2B5EF4-FFF2-40B4-BE49-F238E27FC236}">
              <a16:creationId xmlns:a16="http://schemas.microsoft.com/office/drawing/2014/main" id="{B3F6D406-50C0-4FBA-92A6-636F44957094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92F0A3-9397-4FF6-99B8-47A7D1B4A6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8_78">
          <a:extLst>
            <a:ext uri="{FF2B5EF4-FFF2-40B4-BE49-F238E27FC236}">
              <a16:creationId xmlns:a16="http://schemas.microsoft.com/office/drawing/2014/main" id="{5999CAF6-7C3F-4F5A-AC53-2B49C40159EF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76F8527-19CB-4CF8-8503-501E671BFE4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8_79">
          <a:extLst>
            <a:ext uri="{FF2B5EF4-FFF2-40B4-BE49-F238E27FC236}">
              <a16:creationId xmlns:a16="http://schemas.microsoft.com/office/drawing/2014/main" id="{CE3C7234-6F75-4E9C-AF04-262A22B2A104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B5069B3-E7D5-4118-8C85-8FD8223946C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transfert: défaut?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8_80">
          <a:extLst>
            <a:ext uri="{FF2B5EF4-FFF2-40B4-BE49-F238E27FC236}">
              <a16:creationId xmlns:a16="http://schemas.microsoft.com/office/drawing/2014/main" id="{15AA79DD-F1DF-4AD1-AAF4-0E4841DA1FCA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BB0D34-3003-44B1-A924-DD8AD9DBF31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8_81">
          <a:extLst>
            <a:ext uri="{FF2B5EF4-FFF2-40B4-BE49-F238E27FC236}">
              <a16:creationId xmlns:a16="http://schemas.microsoft.com/office/drawing/2014/main" id="{26AFBD38-C728-430E-B2BB-104B6059580F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C6DAD3-A245-491A-B79A-FAC22E52F73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8_82">
          <a:extLst>
            <a:ext uri="{FF2B5EF4-FFF2-40B4-BE49-F238E27FC236}">
              <a16:creationId xmlns:a16="http://schemas.microsoft.com/office/drawing/2014/main" id="{6C2F12EA-2BB8-4731-8982-B79574E24094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B3ED4B-3284-43F0-9B51-D4D80FD67E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8_83">
          <a:extLst>
            <a:ext uri="{FF2B5EF4-FFF2-40B4-BE49-F238E27FC236}">
              <a16:creationId xmlns:a16="http://schemas.microsoft.com/office/drawing/2014/main" id="{B48FC4BB-AE09-40BB-835E-B415ECB00F33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B3499F1-C21A-4A83-A69A-55F506C035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6917EF0-4E47-4A19-AFA4-9EE2A0D34788}" name="tReportings" displayName="tReportings" ref="C13:F41" totalsRowShown="0" headerRowDxfId="90" dataDxfId="85" tableBorderDxfId="91">
  <autoFilter ref="C13:F41" xr:uid="{FD6E6E6E-85B5-432F-A6DB-DDD31325B3F8}"/>
  <tableColumns count="4">
    <tableColumn id="1" xr3:uid="{94366C89-F122-469D-A57F-4EFC0E536F82}" name=" 1" dataDxfId="89"/>
    <tableColumn id="2" xr3:uid="{01CB9A38-AE41-4376-8EF3-E1E3BE6727BB}" name=" 2" dataDxfId="88"/>
    <tableColumn id="3" xr3:uid="{C72F8046-8BC8-4B5D-8D72-6590C6FF4BE3}" name=" 3" dataDxfId="87"/>
    <tableColumn id="4" xr3:uid="{634E9DBD-9413-46BA-8E74-0C67BF9FE664}" name=" 4" dataDxfId="8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E5D51EB-1125-48D0-AB29-5ACE4A549DD6}" name="tReportingNew8" displayName="tReportingNew8" ref="B5:CF6" totalsRowShown="0" headerRowDxfId="84" dataDxfId="0">
  <autoFilter ref="B5:CF6" xr:uid="{42B314C4-5F61-40CC-A348-F66363759812}"/>
  <tableColumns count="83">
    <tableColumn id="1" xr3:uid="{1445B87A-A4BC-404E-AD40-0BA51C06D8C9}" name=" 1" dataDxfId="83"/>
    <tableColumn id="2" xr3:uid="{2A419770-374D-4530-9BD4-CFF13C9C0B9D}" name=" 2" dataDxfId="82"/>
    <tableColumn id="3" xr3:uid="{F46E4567-6142-4088-8593-FD5FBEF50F21}" name=" 3" dataDxfId="81"/>
    <tableColumn id="4" xr3:uid="{B25D9915-6F81-4118-AA74-A0E6037A35A1}" name=" 4" dataDxfId="80"/>
    <tableColumn id="5" xr3:uid="{81B76217-EE31-4DBF-BCDC-3FD03160C650}" name=" 5" dataDxfId="79"/>
    <tableColumn id="6" xr3:uid="{33F6A7FB-8D63-4CEB-B203-FDBEEACDADBA}" name=" 6" dataDxfId="78"/>
    <tableColumn id="7" xr3:uid="{D168EA79-9608-47F9-ABB6-7EEF0DE82458}" name=" 7" dataDxfId="77"/>
    <tableColumn id="8" xr3:uid="{E0C04EB7-E40E-46E2-8A86-29DA041D6E8B}" name=" 8" dataDxfId="76"/>
    <tableColumn id="9" xr3:uid="{9BC68C53-4E6B-4C3C-85F2-D0EA5575D204}" name=" 9" dataDxfId="75"/>
    <tableColumn id="10" xr3:uid="{A2369DB3-B635-4C90-AD5B-9B85ACC9774E}" name=" 10" dataDxfId="74"/>
    <tableColumn id="11" xr3:uid="{02FA52D6-5E10-4389-BA07-E45D2BFF1CDD}" name=" 11" dataDxfId="73"/>
    <tableColumn id="12" xr3:uid="{895589D9-7FD1-4774-AEAC-50B90BEA1A4D}" name=" 12" dataDxfId="72"/>
    <tableColumn id="13" xr3:uid="{4CDBD6FA-3A10-4D42-948E-95B8BD1A3103}" name=" 13" dataDxfId="71"/>
    <tableColumn id="14" xr3:uid="{27E5D087-A17E-4F8F-8E7F-9BF820ECF278}" name=" 14" dataDxfId="70"/>
    <tableColumn id="15" xr3:uid="{53B0F874-9C15-4BA8-A0B8-A31D19355027}" name=" 15" dataDxfId="69"/>
    <tableColumn id="16" xr3:uid="{CA7211DF-719F-4214-AA65-65FA39CF2673}" name=" 16" dataDxfId="68"/>
    <tableColumn id="17" xr3:uid="{5423EDAE-0F26-43D2-B7DA-1878CB8A7005}" name=" 17" dataDxfId="67"/>
    <tableColumn id="18" xr3:uid="{B56543CB-9546-4059-9D83-9382964DE155}" name=" 18" dataDxfId="66"/>
    <tableColumn id="19" xr3:uid="{3CC5492B-763F-40F5-9EF7-2FD15F9EC168}" name=" 19" dataDxfId="65"/>
    <tableColumn id="20" xr3:uid="{684E1742-E796-45F6-81A1-AAE94EB3BEF6}" name=" 20" dataDxfId="64"/>
    <tableColumn id="21" xr3:uid="{F14DAEA1-C5A5-40C9-8BC0-07B6A0962A57}" name=" 21" dataDxfId="63"/>
    <tableColumn id="22" xr3:uid="{9924E1D8-9F97-45A1-80AC-8DF5CE4A95F7}" name=" 22" dataDxfId="62"/>
    <tableColumn id="23" xr3:uid="{CD154D81-48C7-4042-90C9-D779184E258D}" name=" 23" dataDxfId="61"/>
    <tableColumn id="24" xr3:uid="{1F1412AF-4DB7-4FB4-9615-4AD4E8F7E347}" name=" 24" dataDxfId="60"/>
    <tableColumn id="25" xr3:uid="{84BE8570-2400-426B-88D7-E2B089B7E7F1}" name=" 25" dataDxfId="59"/>
    <tableColumn id="26" xr3:uid="{886FFDAD-F17E-4E90-9383-9E1A34893F3C}" name=" 26" dataDxfId="58"/>
    <tableColumn id="27" xr3:uid="{C0960743-358E-49B0-9F75-1FB525ACE954}" name=" 27" dataDxfId="57"/>
    <tableColumn id="28" xr3:uid="{23D1194B-E325-4D85-9260-CDD9030DD4B0}" name=" 28" dataDxfId="56"/>
    <tableColumn id="29" xr3:uid="{1A73669F-1AD7-432B-B835-3967A73881DE}" name=" 29" dataDxfId="55"/>
    <tableColumn id="30" xr3:uid="{25EA5006-6978-4197-867E-4888AB06BB09}" name=" 30" dataDxfId="54"/>
    <tableColumn id="31" xr3:uid="{2A3216FA-DEC3-4B15-871C-A13D413E413E}" name=" 31" dataDxfId="53"/>
    <tableColumn id="32" xr3:uid="{4FE8478F-02CE-4B33-B46B-60ADF0CC8558}" name=" 32" dataDxfId="52"/>
    <tableColumn id="33" xr3:uid="{90732812-FF9D-409F-A686-E851B0D6E3AE}" name=" 33" dataDxfId="51"/>
    <tableColumn id="34" xr3:uid="{E7EDA6EE-CE86-4DD5-90D8-7C8A583515D3}" name=" 34" dataDxfId="50"/>
    <tableColumn id="35" xr3:uid="{230E3DC7-D028-4401-AEEC-F2DED1094524}" name=" 35" dataDxfId="49"/>
    <tableColumn id="36" xr3:uid="{248F8485-90DB-4C20-8FBC-B5F189E74809}" name=" 36" dataDxfId="48"/>
    <tableColumn id="37" xr3:uid="{7A0A2144-A750-49CC-A1D5-77C202B1D31E}" name=" 37" dataDxfId="47"/>
    <tableColumn id="38" xr3:uid="{B3436656-6FA1-458A-96D3-F9360C6BD775}" name=" 38" dataDxfId="46"/>
    <tableColumn id="39" xr3:uid="{55E116EC-4786-48BC-9972-EB7393BF1CEF}" name=" 39" dataDxfId="45"/>
    <tableColumn id="40" xr3:uid="{5C4D5418-9A64-4071-95AB-62E24E420FF9}" name=" 40" dataDxfId="44"/>
    <tableColumn id="41" xr3:uid="{E95162C6-0800-426D-BE79-483F14DF1CA2}" name=" 41" dataDxfId="43"/>
    <tableColumn id="42" xr3:uid="{5452CBBA-9C67-4A99-9016-3953ED386295}" name=" 42" dataDxfId="42"/>
    <tableColumn id="43" xr3:uid="{1F5961EF-55AD-4CAF-B30E-7965249BACCB}" name=" 43" dataDxfId="41"/>
    <tableColumn id="44" xr3:uid="{5BF18321-DA3D-47F6-A654-9A3ED77DC401}" name=" 44" dataDxfId="40"/>
    <tableColumn id="45" xr3:uid="{8D079E6C-98E9-436E-89F0-DF40DCC63D3E}" name=" 45" dataDxfId="39"/>
    <tableColumn id="46" xr3:uid="{1A0BD600-413A-4659-8D59-A883F50F5DDA}" name=" 46" dataDxfId="38"/>
    <tableColumn id="47" xr3:uid="{C9275556-5F96-4D0D-B54E-1CACB46D7B76}" name=" 47" dataDxfId="37"/>
    <tableColumn id="48" xr3:uid="{93C2ACB4-462C-4EEF-A03A-5FFEC248AFBC}" name=" 48" dataDxfId="36"/>
    <tableColumn id="49" xr3:uid="{8F26ABC7-B626-46AC-9DE5-5684259CE739}" name=" 49" dataDxfId="35"/>
    <tableColumn id="50" xr3:uid="{D09F70BD-B1A4-49CE-8E4C-1B80956989AC}" name=" 50" dataDxfId="34"/>
    <tableColumn id="51" xr3:uid="{A75B26A8-5686-4BA4-8285-ADBFAED11DC4}" name=" 51" dataDxfId="33"/>
    <tableColumn id="52" xr3:uid="{54844D24-A24E-448D-8A7B-045CB424868E}" name=" 52" dataDxfId="32"/>
    <tableColumn id="53" xr3:uid="{60105F85-2252-4560-87F4-36E8548E32AF}" name=" 53" dataDxfId="31"/>
    <tableColumn id="54" xr3:uid="{FBFE1065-81F2-4510-97B7-07A2C6217D84}" name=" 54" dataDxfId="30"/>
    <tableColumn id="55" xr3:uid="{B4315055-BDE3-4B3E-AE94-E53667FFA98A}" name=" 55" dataDxfId="29"/>
    <tableColumn id="56" xr3:uid="{63F5923B-EF84-46DA-84F1-092C716C003B}" name=" 56" dataDxfId="28"/>
    <tableColumn id="57" xr3:uid="{7FA07D7E-76D8-4ABD-952A-35B684CD4E7E}" name=" 57" dataDxfId="27"/>
    <tableColumn id="58" xr3:uid="{E0568239-4922-49F7-A9C4-C8A8C30C2646}" name=" 58" dataDxfId="26"/>
    <tableColumn id="59" xr3:uid="{1AE1F139-77D5-445C-B3E4-0EC014EE6C96}" name=" 59" dataDxfId="25"/>
    <tableColumn id="60" xr3:uid="{E889B75C-7A24-4750-A361-3ACE788D8150}" name=" 60" dataDxfId="24"/>
    <tableColumn id="61" xr3:uid="{0EAC69EB-C552-4FEA-9001-A8EFA556D03D}" name=" 61" dataDxfId="23"/>
    <tableColumn id="62" xr3:uid="{6EC23D77-8C29-46D6-AA44-17F416A0CAC0}" name=" 62" dataDxfId="22"/>
    <tableColumn id="63" xr3:uid="{F69FB26D-55CC-4346-A094-7DCF6CCBD981}" name=" 63" dataDxfId="21"/>
    <tableColumn id="64" xr3:uid="{EB3905FD-A15E-46A2-AF20-815F2137DA81}" name=" 64" dataDxfId="20"/>
    <tableColumn id="65" xr3:uid="{8D4E59E6-A895-43B0-A81F-B0E4B0BF9F84}" name=" 65" dataDxfId="19"/>
    <tableColumn id="66" xr3:uid="{BE5852EF-3A56-442A-A6E2-F16E5E9BFC2D}" name=" 66" dataDxfId="18"/>
    <tableColumn id="67" xr3:uid="{71A362C7-9A60-485A-A526-804BE9BA3A7E}" name=" 67" dataDxfId="17"/>
    <tableColumn id="68" xr3:uid="{BA471C02-EABC-41E6-883A-794CE4C80212}" name=" 68" dataDxfId="16"/>
    <tableColumn id="69" xr3:uid="{869CDB33-A098-4D8F-863C-10CFC164E741}" name=" 69" dataDxfId="15"/>
    <tableColumn id="70" xr3:uid="{8E1CDB3C-0170-42C3-A2C3-773E14E01225}" name=" 70" dataDxfId="14"/>
    <tableColumn id="71" xr3:uid="{66131E7E-FD2D-47A6-9DF6-61B19CC5D3E8}" name=" 71" dataDxfId="13"/>
    <tableColumn id="72" xr3:uid="{445E1315-E011-41A7-B9D6-816124EF0DC5}" name=" 72" dataDxfId="12"/>
    <tableColumn id="73" xr3:uid="{C1293F7C-1A20-4785-A0AC-1FDC879B9C7D}" name=" 73" dataDxfId="11"/>
    <tableColumn id="74" xr3:uid="{AD7F0DD8-C3B4-49EE-9A8F-4C5E5F7897CE}" name=" 74" dataDxfId="10"/>
    <tableColumn id="75" xr3:uid="{A4D977B5-FAEF-4C61-B3F3-5B4FA4B5365C}" name=" 75" dataDxfId="9"/>
    <tableColumn id="76" xr3:uid="{EC2D7D61-8DEE-43E1-9A87-645FE212F24C}" name=" 76" dataDxfId="8"/>
    <tableColumn id="77" xr3:uid="{80AE491A-37EB-43A7-8E96-E234455023DB}" name=" 77" dataDxfId="7"/>
    <tableColumn id="78" xr3:uid="{F7D568F8-D48B-4C25-A945-C807D0F8ECDD}" name=" 78" dataDxfId="6"/>
    <tableColumn id="79" xr3:uid="{19D76E96-7DE9-40F1-9458-A7CC34C50B97}" name=" 79" dataDxfId="5"/>
    <tableColumn id="80" xr3:uid="{508A0DED-7E9F-4256-A926-B88B749ABB4B}" name=" 80" dataDxfId="4"/>
    <tableColumn id="81" xr3:uid="{DA2C9012-F4EA-4BEB-B9ED-8C36E1842E97}" name=" 81" dataDxfId="3"/>
    <tableColumn id="82" xr3:uid="{EF7023E8-19A1-4382-96B7-972254AB1AD6}" name=" 82" dataDxfId="2"/>
    <tableColumn id="83" xr3:uid="{8FD8DC5A-8A07-41D1-AE00-C0219C3B2E90}" name=" 83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92">
  <autoFilter ref="A3:H114" xr:uid="{20495ABC-A0D8-40BE-8188-61D0FEE75739}"/>
  <tableColumns count="8">
    <tableColumn id="1" xr3:uid="{73903A16-45BE-4CB3-B71C-3468798E69E6}" name="ID" dataDxfId="100"/>
    <tableColumn id="3" xr3:uid="{02ADB156-C3E9-44A8-BC1B-FB2018DC836B}" name="Param1" dataDxfId="99"/>
    <tableColumn id="4" xr3:uid="{CF8C7CB6-4B86-4085-ACCC-19CBFD4C59FE}" name="Param2" dataDxfId="98"/>
    <tableColumn id="5" xr3:uid="{1227E0CB-DF13-4AEB-9B7C-A5B66DBC0C3F}" name="Param3" dataDxfId="97"/>
    <tableColumn id="6" xr3:uid="{2E60890B-30E9-4D21-92C9-7B06D14BAF00}" name="Param4" dataDxfId="96"/>
    <tableColumn id="7" xr3:uid="{03AC2232-F9FA-428A-BCAB-A8039123FBB5}" name="Param5" dataDxfId="95"/>
    <tableColumn id="9" xr3:uid="{5D6B89C0-1432-4927-AC0D-CC962FDD7705}" name="en_US" dataDxfId="94"/>
    <tableColumn id="8" xr3:uid="{8F5786B6-467E-46BD-A85E-B24EA01C31DC}" name="fr_FR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6">
  <autoFilter ref="B3:S91" xr:uid="{D9E8808B-D9E1-4272-8694-E8D5F2C45F29}"/>
  <tableColumns count="18">
    <tableColumn id="1" xr3:uid="{3A646773-BE89-4522-98D7-B786E44BE0DC}" name="Query" dataDxfId="135"/>
    <tableColumn id="9" xr3:uid="{C4EB6F9D-3EAD-42F0-84FF-9BBD170B0DE5}" name="Table" dataDxfId="134"/>
    <tableColumn id="8" xr3:uid="{70E4004F-52ED-4A60-A759-27AFE028F894}" name="I18N" dataDxfId="133"/>
    <tableColumn id="13" xr3:uid="{A78438C4-24D6-4E6E-A29B-E72CABDED5AB}" name="JSON Row Array" dataDxfId="132"/>
    <tableColumn id="16" xr3:uid="{02735810-2DA9-4B37-A9AB-CC1D7668127D}" name="Editable?" dataDxfId="131"/>
    <tableColumn id="2" xr3:uid="{DFC5B263-91CC-4653-8ADC-74A0368CD202}" name="JSON Column" dataDxfId="130"/>
    <tableColumn id="3" xr3:uid="{D5540814-CF2F-4ACB-B92D-22093C535E0C}" name="JSON Type" dataDxfId="129"/>
    <tableColumn id="11" xr3:uid="{EDC8EA7C-C33C-4E55-9909-B09F730AE94B}" name="Required" dataDxfId="128"/>
    <tableColumn id="4" xr3:uid="{8D0A36EB-752B-47BA-B4F5-009678ACFDD0}" name="Title" dataDxfId="127"/>
    <tableColumn id="12" xr3:uid="{B7222461-457D-4B90-9925-68BAF8D1E421}" name="Editor" dataDxfId="126"/>
    <tableColumn id="14" xr3:uid="{C8DD975C-C222-4560-AD83-9B3E4EF275CD}" name="Format" dataDxfId="125"/>
    <tableColumn id="15" xr3:uid="{30CC9560-5D67-406A-B687-D2883B19A560}" name="Level" dataDxfId="124"/>
    <tableColumn id="18" xr3:uid="{9414E3E8-B630-435F-9660-16EFF4CAEFD7}" name="Width" dataDxfId="123"/>
    <tableColumn id="5" xr3:uid="{3613A1E0-361B-4D77-AB85-A190D3D733FC}" name="Hidden" dataDxfId="122"/>
    <tableColumn id="6" xr3:uid="{4FC768DF-246E-41E4-8A37-38EE7A822849}" name="Command" dataDxfId="121"/>
    <tableColumn id="10" xr3:uid="{08F0F3AA-70C9-46BE-9E8F-F9089FF43A15}" name="Params" dataDxfId="120"/>
    <tableColumn id="7" xr3:uid="{C3148FB9-B4AC-439B-977D-F7DC6FE2F875}" name="Position" dataDxfId="119"/>
    <tableColumn id="17" xr3:uid="{AAA7A96E-0AF3-43EB-9CAA-11C66E543F5D}" name="ReturnCol" dataDxfId="1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7">
  <autoFilter ref="B3:Q4" xr:uid="{D9E8808B-D9E1-4272-8694-E8D5F2C45F29}"/>
  <tableColumns count="16">
    <tableColumn id="1" xr3:uid="{848A5172-BE10-4671-A96C-19CB95280C30}" name="Query" dataDxfId="116"/>
    <tableColumn id="9" xr3:uid="{D4503C74-5BC6-42E3-9059-14AE6DF0435F}" name="Table" dataDxfId="115"/>
    <tableColumn id="8" xr3:uid="{6B1E570F-3015-4379-A06B-47DE792E9FF7}" name="I18N" dataDxfId="114"/>
    <tableColumn id="13" xr3:uid="{1F3DA983-C15A-44A1-9F86-08FE41BABCC4}" name="JSON Row Array" dataDxfId="113"/>
    <tableColumn id="2" xr3:uid="{2146287D-FA7C-4DC4-A184-861C99FB53FA}" name="JSON Column" dataDxfId="112"/>
    <tableColumn id="3" xr3:uid="{41F1B5AB-7B7D-4E20-9599-A4A18E607AC2}" name="JSON Type" dataDxfId="111"/>
    <tableColumn id="11" xr3:uid="{6B6D5F65-9066-427A-9E8E-83BC24FDA24E}" name="Required" dataDxfId="110"/>
    <tableColumn id="4" xr3:uid="{5632F87F-624C-41CA-9F02-FC8191282D24}" name="Title" dataDxfId="109"/>
    <tableColumn id="12" xr3:uid="{42F4ED45-AB09-422F-A7F0-D0219F6C21FB}" name="Editor" dataDxfId="108"/>
    <tableColumn id="14" xr3:uid="{2AA5569E-51E1-495E-B26C-0E3F01504CAF}" name="Format" dataDxfId="107"/>
    <tableColumn id="15" xr3:uid="{9FF31EFB-98A5-441C-AEEE-A8D70F766993}" name="Level" dataDxfId="106"/>
    <tableColumn id="5" xr3:uid="{AAEEF1F0-17A9-4995-BF9B-AB4346088E71}" name="Hidden" dataDxfId="105"/>
    <tableColumn id="6" xr3:uid="{7BDF45C7-3CB9-461B-82E3-465AF4328F16}" name="Command" dataDxfId="104"/>
    <tableColumn id="10" xr3:uid="{CC86848F-2654-487A-90EA-707ECEAFF905}" name="Params" dataDxfId="103"/>
    <tableColumn id="7" xr3:uid="{EB4FA941-2795-46FC-8CA9-7D002B610299}" name="Position" dataDxfId="102"/>
    <tableColumn id="17" xr3:uid="{CA1F3260-0D6C-4F7F-B7AE-4DFA8A856532}" name="ReturnCol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O50"/>
  <sheetViews>
    <sheetView showGridLines="0" showRowColHeaders="0" zoomScaleNormal="100" workbookViewId="0">
      <selection activeCell="O50" sqref="O50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e" cm="1">
        <f t="array" ref="B4">I18N_T(cellLanguage, "RF_Title")</f>
        <v>#VALUE!</v>
      </c>
      <c r="F4" s="11"/>
      <c r="I4" s="5" t="e" cm="1">
        <f t="array" ref="I4">I18N_Version(cellLanguage)</f>
        <v>#VALUE!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606</v>
      </c>
      <c r="F14" s="43" t="s">
        <v>607</v>
      </c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608</v>
      </c>
      <c r="F15" s="43" t="s">
        <v>609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 s="43">
        <v>52428858</v>
      </c>
      <c r="D16" s="43" t="s">
        <v>21</v>
      </c>
      <c r="E16" s="43" t="s">
        <v>610</v>
      </c>
      <c r="F16" s="43" t="s">
        <v>611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43">
        <v>52428847</v>
      </c>
      <c r="D17" s="43" t="s">
        <v>21</v>
      </c>
      <c r="E17" s="43" t="s">
        <v>612</v>
      </c>
      <c r="F17" s="43" t="s">
        <v>613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43">
        <v>52428855</v>
      </c>
      <c r="D18" s="43" t="s">
        <v>21</v>
      </c>
      <c r="E18" s="43" t="s">
        <v>614</v>
      </c>
      <c r="F18" s="43" t="s">
        <v>615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43">
        <v>52428853</v>
      </c>
      <c r="D19" s="43" t="s">
        <v>21</v>
      </c>
      <c r="E19" s="43" t="s">
        <v>616</v>
      </c>
      <c r="F19" s="43" t="s">
        <v>617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43">
        <v>52428851</v>
      </c>
      <c r="D20" s="43" t="s">
        <v>21</v>
      </c>
      <c r="E20" s="43" t="s">
        <v>618</v>
      </c>
      <c r="F20" s="43" t="s">
        <v>619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43">
        <v>52428848</v>
      </c>
      <c r="D21" s="43" t="s">
        <v>21</v>
      </c>
      <c r="E21" s="43" t="s">
        <v>620</v>
      </c>
      <c r="F21" s="43" t="s">
        <v>621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43">
        <v>52428841</v>
      </c>
      <c r="D22" s="43" t="s">
        <v>21</v>
      </c>
      <c r="E22" s="43" t="s">
        <v>622</v>
      </c>
      <c r="F22" s="43" t="s">
        <v>623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43">
        <v>52428840</v>
      </c>
      <c r="D23" s="43" t="s">
        <v>21</v>
      </c>
      <c r="E23" s="43" t="s">
        <v>624</v>
      </c>
      <c r="F23" s="43" t="s">
        <v>625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43">
        <v>52428838</v>
      </c>
      <c r="D24" s="43" t="s">
        <v>21</v>
      </c>
      <c r="E24" s="43" t="s">
        <v>626</v>
      </c>
      <c r="F24" s="43" t="s">
        <v>627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43">
        <v>52428832</v>
      </c>
      <c r="D25" s="43" t="s">
        <v>21</v>
      </c>
      <c r="E25" s="43" t="s">
        <v>628</v>
      </c>
      <c r="F25" s="43" t="s">
        <v>629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43">
        <v>52428830</v>
      </c>
      <c r="D26" s="43" t="s">
        <v>21</v>
      </c>
      <c r="E26" s="43" t="s">
        <v>630</v>
      </c>
      <c r="F26" s="43" t="s">
        <v>631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43">
        <v>52428829</v>
      </c>
      <c r="D27" s="43" t="s">
        <v>21</v>
      </c>
      <c r="E27" s="43" t="s">
        <v>632</v>
      </c>
      <c r="F27" s="43" t="s">
        <v>633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43">
        <v>52428827</v>
      </c>
      <c r="D28" s="43" t="s">
        <v>21</v>
      </c>
      <c r="E28" s="43" t="s">
        <v>634</v>
      </c>
      <c r="F28" s="43" t="s">
        <v>635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43">
        <v>79</v>
      </c>
      <c r="D29" s="43" t="s">
        <v>21</v>
      </c>
      <c r="E29" s="43" t="s">
        <v>636</v>
      </c>
      <c r="F29" s="43" t="s">
        <v>637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43">
        <v>77</v>
      </c>
      <c r="D30" s="43" t="s">
        <v>21</v>
      </c>
      <c r="E30" s="43" t="s">
        <v>638</v>
      </c>
      <c r="F30" s="43" t="s">
        <v>639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43">
        <v>55</v>
      </c>
      <c r="D31" s="43" t="s">
        <v>21</v>
      </c>
      <c r="E31" s="43" t="s">
        <v>640</v>
      </c>
      <c r="F31" s="43" t="s">
        <v>641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43">
        <v>67</v>
      </c>
      <c r="D32" s="43" t="s">
        <v>21</v>
      </c>
      <c r="E32" s="43" t="s">
        <v>642</v>
      </c>
      <c r="F32" s="43" t="s">
        <v>643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43">
        <v>68</v>
      </c>
      <c r="D33" s="43" t="s">
        <v>21</v>
      </c>
      <c r="E33" s="43" t="s">
        <v>644</v>
      </c>
      <c r="F33" s="43" t="s">
        <v>645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43">
        <v>69</v>
      </c>
      <c r="D34" s="43" t="s">
        <v>21</v>
      </c>
      <c r="E34" s="43" t="s">
        <v>646</v>
      </c>
      <c r="F34" s="43" t="s">
        <v>647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43">
        <v>56</v>
      </c>
      <c r="D35" s="43" t="s">
        <v>21</v>
      </c>
      <c r="E35" s="43" t="s">
        <v>648</v>
      </c>
      <c r="F35" s="43" t="s">
        <v>649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43">
        <v>52428802</v>
      </c>
      <c r="D36" s="43" t="s">
        <v>21</v>
      </c>
      <c r="E36" s="43" t="s">
        <v>650</v>
      </c>
      <c r="F36" s="43" t="s">
        <v>651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43">
        <v>71</v>
      </c>
      <c r="D37" s="43" t="s">
        <v>21</v>
      </c>
      <c r="E37" s="43" t="s">
        <v>652</v>
      </c>
      <c r="F37" s="43" t="s">
        <v>653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43">
        <v>73</v>
      </c>
      <c r="D38" s="43" t="s">
        <v>21</v>
      </c>
      <c r="E38" s="43" t="s">
        <v>654</v>
      </c>
      <c r="F38" s="43" t="s">
        <v>655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43">
        <v>61</v>
      </c>
      <c r="D39" s="43" t="s">
        <v>21</v>
      </c>
      <c r="E39" s="43" t="s">
        <v>656</v>
      </c>
      <c r="F39" s="43" t="s">
        <v>657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43">
        <v>59</v>
      </c>
      <c r="D40" s="43" t="s">
        <v>21</v>
      </c>
      <c r="E40" s="43" t="s">
        <v>658</v>
      </c>
      <c r="F40" s="43" t="s">
        <v>659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43">
        <v>60</v>
      </c>
      <c r="D41" s="43" t="s">
        <v>21</v>
      </c>
      <c r="E41" s="43" t="s">
        <v>660</v>
      </c>
      <c r="F41" s="43" t="s">
        <v>661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/>
      <c r="D42"/>
      <c r="E42"/>
      <c r="F42"/>
      <c r="H42"/>
      <c r="I42"/>
      <c r="J42" s="12"/>
    </row>
    <row r="43" spans="3:13" x14ac:dyDescent="0.25">
      <c r="C43"/>
      <c r="D43"/>
      <c r="E43"/>
      <c r="F43"/>
      <c r="H43"/>
      <c r="I43"/>
      <c r="J43" s="12"/>
    </row>
    <row r="44" spans="3:13" x14ac:dyDescent="0.25">
      <c r="C44"/>
      <c r="D44"/>
      <c r="E44"/>
      <c r="F44"/>
      <c r="H44"/>
      <c r="I44"/>
      <c r="J44" s="12"/>
    </row>
    <row r="45" spans="3:13" x14ac:dyDescent="0.25">
      <c r="C45"/>
      <c r="D45"/>
      <c r="E45"/>
      <c r="F45"/>
      <c r="H45"/>
      <c r="I45"/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15" x14ac:dyDescent="0.25">
      <c r="N49"/>
    </row>
    <row r="50" spans="14:15" x14ac:dyDescent="0.25">
      <c r="O50"/>
    </row>
  </sheetData>
  <sheetProtection sheet="1" objects="1" scenarios="1" formatCells="0" formatColumns="0" formatRows="0" insertRows="0" sort="0" autoFilter="0"/>
  <hyperlinks>
    <hyperlink ref="D10" location="C3" tooltip=" " display="C3" xr:uid="{48B0270B-5FE4-419B-A677-7DD4411E8E38}"/>
    <hyperlink ref="H14" location="C3" tooltip=" " display="C3" xr:uid="{8EF1D8F7-BE03-4A5E-8128-14D541156407}"/>
    <hyperlink ref="I14" location="C3" tooltip=" " display="C3" xr:uid="{21A3CD5C-11ED-412C-B835-9E9304067239}"/>
    <hyperlink ref="H15" location="C3" tooltip=" " display="C3" xr:uid="{84293421-0E5C-49A4-89B0-312E59B8DB08}"/>
    <hyperlink ref="H16" location="C3" tooltip=" " display="C3" xr:uid="{EF840D1B-8788-4C31-AACB-A9B4A4964D19}"/>
    <hyperlink ref="H17" location="C3" tooltip=" " display="C3" xr:uid="{C34A034A-02D6-4FD7-B1DA-54DC4E82DF5B}"/>
    <hyperlink ref="H18" location="C3" tooltip=" " display="C3" xr:uid="{01F22156-5789-4E24-8734-E5548B795A8B}"/>
    <hyperlink ref="H19" location="C3" tooltip=" " display="C3" xr:uid="{2F5C45B4-4AB7-41DA-98EF-6F7854B4327D}"/>
    <hyperlink ref="H20" location="C3" tooltip=" " display="C3" xr:uid="{BF0C753C-E05C-42FE-A8B8-73B3D98FA221}"/>
    <hyperlink ref="H21" location="C3" tooltip=" " display="C3" xr:uid="{EC1767C0-3660-4986-BE96-3D8594C02E82}"/>
    <hyperlink ref="H22" location="C3" tooltip=" " display="C3" xr:uid="{53B151A9-DD56-4B26-9E1F-8E62A4C273A6}"/>
    <hyperlink ref="H23" location="C3" tooltip=" " display="C3" xr:uid="{89C6F14F-ADC9-44BB-B3FD-50E4C076C989}"/>
    <hyperlink ref="H24" location="C3" tooltip=" " display="C3" xr:uid="{99BCA1EE-8A3A-44ED-BDA1-E6E9551DD2F3}"/>
    <hyperlink ref="H25" location="C3" tooltip=" " display="C3" xr:uid="{492558F5-6103-48AF-B71F-19C70FCA6FDD}"/>
    <hyperlink ref="H26" location="C3" tooltip=" " display="C3" xr:uid="{9F9F2F66-826F-4249-B0E0-D7DF2488EC75}"/>
    <hyperlink ref="H27" location="C3" tooltip=" " display="C3" xr:uid="{A0BA640E-8D43-4E89-A79F-5527A65EF4B9}"/>
    <hyperlink ref="H28" location="C3" tooltip=" " display="C3" xr:uid="{19EE2FAC-D6B1-463A-9D12-D4344D35D7F9}"/>
    <hyperlink ref="H29" location="C3" tooltip=" " display="C3" xr:uid="{88CD5D92-2BF7-453A-B202-BAA455985C0C}"/>
    <hyperlink ref="H30" location="C3" tooltip=" " display="C3" xr:uid="{6235DCB7-9D45-451E-B2D4-781B06ED4A47}"/>
    <hyperlink ref="H31" location="C3" tooltip=" " display="C3" xr:uid="{31235C9A-DBBC-4B05-BACB-AA4E3776DAC0}"/>
    <hyperlink ref="H32" location="C3" tooltip=" " display="C3" xr:uid="{91B7FE6F-CC9F-42CC-A36E-55A2E7182625}"/>
    <hyperlink ref="H33" location="C3" tooltip=" " display="C3" xr:uid="{C5524BE0-D2FD-477E-B3E3-A6517E8BB7F1}"/>
    <hyperlink ref="H34" location="C3" tooltip=" " display="C3" xr:uid="{4DDB42C6-BDF5-4CEC-8760-590FD4048023}"/>
    <hyperlink ref="H35" location="C3" tooltip=" " display="C3" xr:uid="{4C5F999F-CFC4-43EB-BF18-3AF0CCE29B31}"/>
    <hyperlink ref="H36" location="C3" tooltip=" " display="C3" xr:uid="{F41676C0-49D5-4779-8BB1-4D68829C6242}"/>
    <hyperlink ref="H37" location="C3" tooltip=" " display="C3" xr:uid="{B69F332D-9266-4B09-807F-0F95C323D4B0}"/>
    <hyperlink ref="H38" location="C3" tooltip=" " display="C3" xr:uid="{A326DF58-8546-4940-AAA0-44B3A0677961}"/>
    <hyperlink ref="H39" location="C3" tooltip=" " display="C3" xr:uid="{5A522D1D-2CA2-4695-A97F-DB25B09001CE}"/>
    <hyperlink ref="H40" location="C3" tooltip=" " display="C3" xr:uid="{3A56BDFF-5799-499F-AE19-E152A07455BF}"/>
    <hyperlink ref="H41" location="C3" tooltip=" " display="C3" xr:uid="{65F148FA-1F32-4078-BBD6-BB30A5A79363}"/>
    <hyperlink ref="I15" location="C3" tooltip=" " display="C3" xr:uid="{699BEE27-8335-4F5C-9628-98BE86D423F1}"/>
    <hyperlink ref="I16" location="C3" tooltip=" " display="C3" xr:uid="{513F5663-615A-4DDB-A6BB-AB8ED07031C3}"/>
    <hyperlink ref="I17" location="C3" tooltip=" " display="C3" xr:uid="{DE3CBB8C-20F7-40A4-AC86-B3B7B85E9364}"/>
    <hyperlink ref="I18" location="C3" tooltip=" " display="C3" xr:uid="{601DABC5-56ED-4BFE-837B-D94116A6FADF}"/>
    <hyperlink ref="I19" location="C3" tooltip=" " display="C3" xr:uid="{039330DB-A34E-4CF2-A783-5CFB46903764}"/>
    <hyperlink ref="I20" location="C3" tooltip=" " display="C3" xr:uid="{C1F2DF95-DDD5-4571-989F-E8EECD5B2D9A}"/>
    <hyperlink ref="I21" location="C3" tooltip=" " display="C3" xr:uid="{7AF99CA9-5FA4-423B-8909-41E6C21B0494}"/>
    <hyperlink ref="I22" location="C3" tooltip=" " display="C3" xr:uid="{4562A0C8-8C90-4D75-A7B3-9A8E1CE9B868}"/>
    <hyperlink ref="I23" location="C3" tooltip=" " display="C3" xr:uid="{A33FBB23-C96A-4C26-BFA3-3540C377F771}"/>
    <hyperlink ref="I24" location="C3" tooltip=" " display="C3" xr:uid="{A0FD0A82-0019-4CAB-9DA2-91BFFE0D5463}"/>
    <hyperlink ref="I25" location="C3" tooltip=" " display="C3" xr:uid="{317B44C9-9C52-4B2F-9CC9-C61118B1A1C1}"/>
    <hyperlink ref="I26" location="C3" tooltip=" " display="C3" xr:uid="{BA4C7979-4B95-4B10-8F59-C7E739F54B14}"/>
    <hyperlink ref="I27" location="C3" tooltip=" " display="C3" xr:uid="{5D3443C0-B42C-4557-BFF8-CF46E5A8AC35}"/>
    <hyperlink ref="I28" location="C3" tooltip=" " display="C3" xr:uid="{8059C95D-C055-48E7-B7E5-5F8D78BAFE1D}"/>
    <hyperlink ref="I29" location="C3" tooltip=" " display="C3" xr:uid="{D76A20F2-871A-4389-9258-3696357786B4}"/>
    <hyperlink ref="I30" location="C3" tooltip=" " display="C3" xr:uid="{F73570B7-74D4-4CE8-B34A-E890A980096C}"/>
    <hyperlink ref="I31" location="C3" tooltip=" " display="C3" xr:uid="{219C80CE-6555-4F8C-834C-421B98AB9565}"/>
    <hyperlink ref="I32" location="C3" tooltip=" " display="C3" xr:uid="{B8DB7338-9E56-44EA-B5A0-014DC53E13FD}"/>
    <hyperlink ref="I33" location="C3" tooltip=" " display="C3" xr:uid="{2A86542C-EF56-4AD7-AB91-0A597BF46482}"/>
    <hyperlink ref="I34" location="C3" tooltip=" " display="C3" xr:uid="{4D15FAB1-49E1-490A-BC58-21E648021841}"/>
    <hyperlink ref="I35" location="C3" tooltip=" " display="C3" xr:uid="{AA91EF6C-F8BF-4721-9E9D-96E41A2E61A3}"/>
    <hyperlink ref="I36" location="C3" tooltip=" " display="C3" xr:uid="{2C5ED3C8-F4EA-47CE-9F7D-29C83EF2381B}"/>
    <hyperlink ref="I37" location="C3" tooltip=" " display="C3" xr:uid="{6D8FE967-9EAC-403B-82A5-ED77F90B9212}"/>
    <hyperlink ref="I38" location="C3" tooltip=" " display="C3" xr:uid="{EBA67C0B-AA5D-491C-B3AF-2F6B688E901B}"/>
    <hyperlink ref="I39" location="C3" tooltip=" " display="C3" xr:uid="{159DEA25-1FB9-4F2D-9506-037B51D6411B}"/>
    <hyperlink ref="I40" location="C3" tooltip=" " display="C3" xr:uid="{7DE64B81-47B0-4B57-9264-34D37D20EDA8}"/>
    <hyperlink ref="I41" location="C3" tooltip=" " display="C3" xr:uid="{6069BD3B-669B-4078-A243-58228353D3F4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E540-79A7-4D4F-A978-0F31964763C3}">
  <sheetPr codeName="Feuil1">
    <outlinePr summaryRight="0"/>
  </sheetPr>
  <dimension ref="B2:CF6"/>
  <sheetViews>
    <sheetView showGridLines="0" tabSelected="1" workbookViewId="0">
      <selection activeCell="B6" sqref="B6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45" t="str">
        <f>I18N_T(cellLanguage, "RF_Save")</f>
        <v>Sauvegarder</v>
      </c>
    </row>
    <row r="3" spans="2:84" x14ac:dyDescent="0.25">
      <c r="C3" s="41">
        <f>SUBTOTAL(103, tReportingNew8[[ 2]])</f>
        <v>1</v>
      </c>
    </row>
    <row r="4" spans="2:84" hidden="1" x14ac:dyDescent="0.25">
      <c r="B4" s="47" t="str">
        <f>I18N_T(cellLanguage, "RF_Reporting")</f>
        <v>Reporting</v>
      </c>
      <c r="C4" s="48" t="str">
        <f>I18N_T(cellLanguage, "RF_Phase")</f>
        <v>Phase</v>
      </c>
      <c r="D4" s="48" t="str">
        <f>I18N_T(cellLanguage, "RF_UpdatePeriod")</f>
        <v>Exercice</v>
      </c>
      <c r="E4" s="48" t="str">
        <f>I18N_T(cellLanguage, "RF_FrameworkVersion")</f>
        <v>Version de référentiel</v>
      </c>
      <c r="F4" s="48" t="str">
        <f>I18N_T(cellLanguage, "RF_Start")</f>
        <v>Début</v>
      </c>
      <c r="G4" s="48" t="str">
        <f>I18N_T(cellLanguage, "RF_End")</f>
        <v>Fin</v>
      </c>
      <c r="H4" s="48" t="str">
        <f>I18N_T(cellLanguage, "RF_RepDesc")</f>
        <v>Libellés</v>
      </c>
      <c r="I4" s="48" t="str">
        <f>I18N_T(cellLanguage, "RF_RepPack")</f>
        <v>Liasse</v>
      </c>
      <c r="J4" s="48" t="str">
        <f>I18N_T(cellLanguage, "RF_UseDefaultWindowsFolder")</f>
        <v>Cahier Windows: défaut?</v>
      </c>
      <c r="K4" s="48" t="str">
        <f>I18N_T(cellLanguage, "RF_WindowsFolder")</f>
        <v>Cahier Windows</v>
      </c>
      <c r="L4" s="48" t="str">
        <f>I18N_T(cellLanguage, "RF_UseDefaultInternetFolder")</f>
        <v>Cahier Internet: défaut?</v>
      </c>
      <c r="M4" s="48" t="str">
        <f>I18N_T(cellLanguage, "RF_InternetFolder")</f>
        <v>Cahier Internet</v>
      </c>
      <c r="N4" s="48" t="str">
        <f>I18N_T(cellLanguage, "RF_UseDefaultSetOfControls")</f>
        <v>Jeu de contrôles: défaut?</v>
      </c>
      <c r="O4" s="48" t="str">
        <f>I18N_T(cellLanguage, "RF_SetOfControls")</f>
        <v>Jeu de contrôles</v>
      </c>
      <c r="P4" s="48" t="str">
        <f>I18N_T(cellLanguage, "RF_UseDefaultLevel")</f>
        <v>Niveau de contrôle: défaut?</v>
      </c>
      <c r="Q4" s="48" t="str">
        <f>I18N_T(cellLanguage, "RF_LevelToReach")</f>
        <v>Niveau de contrôle</v>
      </c>
      <c r="R4" s="48" t="str">
        <f>I18N_T(cellLanguage, "RF_Blocking")</f>
        <v>Bloquant?</v>
      </c>
      <c r="S4" s="48" t="str">
        <f>I18N_T(cellLanguage, "RF_UseDefaultLock")</f>
        <v>Verrouillage: défaut?</v>
      </c>
      <c r="T4" s="48" t="str">
        <f>I18N_T(cellLanguage, "RF_LockOnPublication")</f>
        <v>Verrouillage</v>
      </c>
      <c r="U4" s="48" t="str">
        <f>I18N_T(cellLanguage, "RF_UseDefaultRuleSet")</f>
        <v>Jeu de règles: défaut?</v>
      </c>
      <c r="V4" s="48" t="str">
        <f>I18N_T(cellLanguage, "RF_RuleSet")</f>
        <v>Jeu de règles</v>
      </c>
      <c r="W4" s="48" t="str">
        <f>I18N_T(cellLanguage, "RF_UseDefaultOpbal")</f>
        <v>A-nouveaux: défaut?</v>
      </c>
      <c r="X4" s="48" t="str">
        <f>I18N_T(cellLanguage, "RF_HasOpBal")</f>
        <v>A-nouveaux?</v>
      </c>
      <c r="Y4" s="48" t="str">
        <f>I18N_T(cellLanguage, "RF_OpbPhase")</f>
        <v>AN Phase</v>
      </c>
      <c r="Z4" s="48" t="str">
        <f>I18N_T(cellLanguage, "RF_OpbUpdatePeriod")</f>
        <v>AN Exercice</v>
      </c>
      <c r="AA4" s="48" t="str">
        <f>I18N_T(cellLanguage, "RF_OpbScope")</f>
        <v>AN Périmètre</v>
      </c>
      <c r="AB4" s="48" t="str">
        <f>I18N_T(cellLanguage, "RF_OpbVariant")</f>
        <v>AN Variante</v>
      </c>
      <c r="AC4" s="48" t="str">
        <f>I18N_T(cellLanguage, "RF_OpbConsCurrency")</f>
        <v>AN Devise</v>
      </c>
      <c r="AD4" s="48" t="str">
        <f>I18N_T(cellLanguage, "RF_RepOp")</f>
        <v>Exploitation</v>
      </c>
      <c r="AE4" s="48" t="str">
        <f>I18N_T(cellLanguage, "RF_CutoffDate")</f>
        <v>Date limite</v>
      </c>
      <c r="AF4" s="48" t="str">
        <f>I18N_T(cellLanguage, "RF_EarlyPublishing")</f>
        <v>Publication anticipée?</v>
      </c>
      <c r="AG4" s="48" t="str">
        <f>I18N_T(cellLanguage, "RF_RepOpAftPub")</f>
        <v>Après publication</v>
      </c>
      <c r="AH4" s="48" t="str">
        <f>I18N_T(cellLanguage, "RF_RepOpAftPubStd")</f>
        <v>Publication standard</v>
      </c>
      <c r="AI4" s="48" t="str">
        <f>I18N_T(cellLanguage, "RF_RepOpAftPubSpe")</f>
        <v>Publication spéciale</v>
      </c>
      <c r="AJ4" s="48" t="str">
        <f>I18N_T(cellLanguage, "RF_RepOpAftPubAdv")</f>
        <v>Publication avancée</v>
      </c>
      <c r="AK4" s="48" t="str">
        <f>I18N_T(cellLanguage, "RF_RepOpAftPubLvl")</f>
        <v>Niveau après pub.</v>
      </c>
      <c r="AL4" s="48" t="str">
        <f>I18N_T(cellLanguage, "RF_RepOpAftTran")</f>
        <v>Après transfert</v>
      </c>
      <c r="AM4" s="48" t="str">
        <f>I18N_T(cellLanguage, "RF_RepOpAftTranStd")</f>
        <v>Transfert standard</v>
      </c>
      <c r="AN4" s="48" t="str">
        <f>I18N_T(cellLanguage, "RF_RepOpAftTranSpe")</f>
        <v>Transfert spécial</v>
      </c>
      <c r="AO4" s="48" t="str">
        <f>I18N_T(cellLanguage, "RF_RepOpAftTranAdv")</f>
        <v>Transfert avancé</v>
      </c>
      <c r="AP4" s="48" t="str">
        <f>I18N_T(cellLanguage, "RF_RepOpAftTranLvl")</f>
        <v>Niveau après tran.</v>
      </c>
      <c r="AQ4" s="48" t="str">
        <f>I18N_T(cellLanguage, "RF_Entity")</f>
        <v>Unité</v>
      </c>
      <c r="AR4" s="48" t="str">
        <f>I18N_T(cellLanguage, "RF_Entity2")</f>
        <v>Code</v>
      </c>
      <c r="AS4" s="48" t="str">
        <f>I18N_T(cellLanguage, "RF_InputCurrency")</f>
        <v>Devise</v>
      </c>
      <c r="AT4" s="48" t="str">
        <f>I18N_T(cellLanguage, "RF_InputSite")</f>
        <v>Site de saisie</v>
      </c>
      <c r="AU4" s="48" t="str">
        <f>I18N_T(cellLanguage, "RF_PublicationSite")</f>
        <v>Site de publication</v>
      </c>
      <c r="AV4" s="48" t="str">
        <f>I18N_T(cellLanguage, "RF_EntPack")</f>
        <v>Liasse</v>
      </c>
      <c r="AW4" s="48" t="str">
        <f>I18N_T(cellLanguage, "RF_EntUseDefaultWindowsFolder")</f>
        <v>Cahier Windows: défaut?</v>
      </c>
      <c r="AX4" s="48" t="str">
        <f>I18N_T(cellLanguage, "RF_EntWindowsFolder")</f>
        <v>Cahier Windows</v>
      </c>
      <c r="AY4" s="48" t="str">
        <f>I18N_T(cellLanguage, "RF_EntUseDefaultInternetFolder")</f>
        <v>Cahier Internet: défaut?</v>
      </c>
      <c r="AZ4" s="48" t="str">
        <f>I18N_T(cellLanguage, "RF_EntInternetFolder")</f>
        <v>Cahier Internet</v>
      </c>
      <c r="BA4" s="48" t="str">
        <f>I18N_T(cellLanguage, "RF_EntUseDefaultSetOfControls")</f>
        <v>Jeu de contrôles: défaut?</v>
      </c>
      <c r="BB4" s="48" t="str">
        <f>I18N_T(cellLanguage, "RF_EntSetOfControls")</f>
        <v>Jeu de contrôles</v>
      </c>
      <c r="BC4" s="48" t="str">
        <f>I18N_T(cellLanguage, "RF_EntUseDefaultLevel")</f>
        <v>Niveau de contrôle: défaut?</v>
      </c>
      <c r="BD4" s="48" t="str">
        <f>I18N_T(cellLanguage, "RF_EntLevelToReach")</f>
        <v>Niveau de contrôle</v>
      </c>
      <c r="BE4" s="48" t="str">
        <f>I18N_T(cellLanguage, "RF_EntBlocking")</f>
        <v>Bloquant?</v>
      </c>
      <c r="BF4" s="48" t="str">
        <f>I18N_T(cellLanguage, "RF_EntUseDefaultLock")</f>
        <v>Verrouillage: défaut?</v>
      </c>
      <c r="BG4" s="48" t="str">
        <f>I18N_T(cellLanguage, "RF_EntLockOnPublication")</f>
        <v>Verrouillage</v>
      </c>
      <c r="BH4" s="48" t="str">
        <f>I18N_T(cellLanguage, "RF_EntUseDefaultRuleSet")</f>
        <v>Jeu de règles: défaut?</v>
      </c>
      <c r="BI4" s="48" t="str">
        <f>I18N_T(cellLanguage, "RF_EntRuleSet")</f>
        <v>Jeu de règles</v>
      </c>
      <c r="BJ4" s="48" t="str">
        <f>I18N_T(cellLanguage, "RF_EntUseDefaultOpbal")</f>
        <v>A-nouveaux: défaut?</v>
      </c>
      <c r="BK4" s="48" t="str">
        <f>I18N_T(cellLanguage, "RF_EntHasOpBal")</f>
        <v>A-nouveaux?</v>
      </c>
      <c r="BL4" s="48" t="str">
        <f>I18N_T(cellLanguage, "RF_EntOpbPhase")</f>
        <v>AN Phase</v>
      </c>
      <c r="BM4" s="48" t="str">
        <f>I18N_T(cellLanguage, "RF_EntOpbUpdatePeriod")</f>
        <v>AN Exercice</v>
      </c>
      <c r="BN4" s="48" t="str">
        <f>I18N_T(cellLanguage, "RF_EntOpbScope")</f>
        <v>AN Périmètre</v>
      </c>
      <c r="BO4" s="48" t="str">
        <f>I18N_T(cellLanguage, "RF_EntOpbVariant")</f>
        <v>AN Variante</v>
      </c>
      <c r="BP4" s="48" t="str">
        <f>I18N_T(cellLanguage, "RF_EntOpbConsCurrency")</f>
        <v>AN Devise</v>
      </c>
      <c r="BQ4" s="48" t="str">
        <f>I18N_T(cellLanguage, "RF_EntOp")</f>
        <v>Exploitation</v>
      </c>
      <c r="BR4" s="48" t="str">
        <f>I18N_T(cellLanguage, "RF_EntUseDefaultPublish")</f>
        <v>Exploitation: défaut?</v>
      </c>
      <c r="BS4" s="48" t="str">
        <f>I18N_T(cellLanguage, "RF_EntPackPublishingCutOffDate")</f>
        <v>Date limite</v>
      </c>
      <c r="BT4" s="48" t="str">
        <f>I18N_T(cellLanguage, "RF_EntAllowEarlyPublishing")</f>
        <v>Publication anticipée?</v>
      </c>
      <c r="BU4" s="48" t="str">
        <f>I18N_T(cellLanguage, "RF_EntOpAftPub")</f>
        <v>Après publication</v>
      </c>
      <c r="BV4" s="48" t="str">
        <f>I18N_T(cellLanguage, "RF_EntUseDefaultAfterPub")</f>
        <v>Après publication: défaut?</v>
      </c>
      <c r="BW4" s="48" t="str">
        <f>I18N_T(cellLanguage, "RF_EntAftPubStandard")</f>
        <v>Publication standard</v>
      </c>
      <c r="BX4" s="48" t="str">
        <f>I18N_T(cellLanguage, "RF_EntAftPubSpecial")</f>
        <v>Publication spéciale</v>
      </c>
      <c r="BY4" s="48" t="str">
        <f>I18N_T(cellLanguage, "RF_EntAftPubAdvanced")</f>
        <v>Publication avancée</v>
      </c>
      <c r="BZ4" s="48" t="str">
        <f>I18N_T(cellLanguage, "RF_EntAftPubLevel")</f>
        <v>Niveau après pub.</v>
      </c>
      <c r="CA4" s="48" t="str">
        <f>I18N_T(cellLanguage, "RF_EntOpAftTran")</f>
        <v>Après transfert</v>
      </c>
      <c r="CB4" s="48" t="str">
        <f>I18N_T(cellLanguage, "RF_EntUseDefaultAfterTran")</f>
        <v>Après transfert: défaut?</v>
      </c>
      <c r="CC4" s="48" t="str">
        <f>I18N_T(cellLanguage, "RF_EntAftTranStandard")</f>
        <v>Transfert standard</v>
      </c>
      <c r="CD4" s="48" t="str">
        <f>I18N_T(cellLanguage, "RF_EntAftTranSpecial")</f>
        <v>Transfert spécial</v>
      </c>
      <c r="CE4" s="48" t="str">
        <f>I18N_T(cellLanguage, "RF_EntAftTranAdvanced")</f>
        <v>Transfert avancé</v>
      </c>
      <c r="CF4" s="49" t="str">
        <f>I18N_T(cellLanguage, "RF_EntAftTranLevel")</f>
        <v>Niveau après tran.</v>
      </c>
    </row>
    <row r="5" spans="2:84" ht="66" customHeight="1" x14ac:dyDescent="0.25">
      <c r="B5" s="46" t="s">
        <v>204</v>
      </c>
      <c r="C5" s="46" t="s">
        <v>205</v>
      </c>
      <c r="D5" s="46" t="s">
        <v>206</v>
      </c>
      <c r="E5" s="46" t="s">
        <v>207</v>
      </c>
      <c r="F5" s="46" t="s">
        <v>710</v>
      </c>
      <c r="G5" s="46" t="s">
        <v>711</v>
      </c>
      <c r="H5" s="46" t="s">
        <v>712</v>
      </c>
      <c r="I5" s="46" t="s">
        <v>713</v>
      </c>
      <c r="J5" s="46" t="s">
        <v>714</v>
      </c>
      <c r="K5" s="46" t="s">
        <v>715</v>
      </c>
      <c r="L5" s="46" t="s">
        <v>716</v>
      </c>
      <c r="M5" s="46" t="s">
        <v>717</v>
      </c>
      <c r="N5" s="46" t="s">
        <v>718</v>
      </c>
      <c r="O5" s="46" t="s">
        <v>719</v>
      </c>
      <c r="P5" s="46" t="s">
        <v>720</v>
      </c>
      <c r="Q5" s="46" t="s">
        <v>721</v>
      </c>
      <c r="R5" s="46" t="s">
        <v>722</v>
      </c>
      <c r="S5" s="46" t="s">
        <v>723</v>
      </c>
      <c r="T5" s="46" t="s">
        <v>724</v>
      </c>
      <c r="U5" s="46" t="s">
        <v>725</v>
      </c>
      <c r="V5" s="46" t="s">
        <v>726</v>
      </c>
      <c r="W5" s="46" t="s">
        <v>727</v>
      </c>
      <c r="X5" s="46" t="s">
        <v>728</v>
      </c>
      <c r="Y5" s="46" t="s">
        <v>729</v>
      </c>
      <c r="Z5" s="46" t="s">
        <v>730</v>
      </c>
      <c r="AA5" s="46" t="s">
        <v>731</v>
      </c>
      <c r="AB5" s="46" t="s">
        <v>732</v>
      </c>
      <c r="AC5" s="46" t="s">
        <v>733</v>
      </c>
      <c r="AD5" s="46" t="s">
        <v>734</v>
      </c>
      <c r="AE5" s="46" t="s">
        <v>735</v>
      </c>
      <c r="AF5" s="46" t="s">
        <v>736</v>
      </c>
      <c r="AG5" s="46" t="s">
        <v>737</v>
      </c>
      <c r="AH5" s="46" t="s">
        <v>738</v>
      </c>
      <c r="AI5" s="46" t="s">
        <v>739</v>
      </c>
      <c r="AJ5" s="46" t="s">
        <v>740</v>
      </c>
      <c r="AK5" s="46" t="s">
        <v>741</v>
      </c>
      <c r="AL5" s="46" t="s">
        <v>742</v>
      </c>
      <c r="AM5" s="46" t="s">
        <v>743</v>
      </c>
      <c r="AN5" s="46" t="s">
        <v>744</v>
      </c>
      <c r="AO5" s="46" t="s">
        <v>745</v>
      </c>
      <c r="AP5" s="46" t="s">
        <v>746</v>
      </c>
      <c r="AQ5" s="46" t="s">
        <v>747</v>
      </c>
      <c r="AR5" s="46" t="s">
        <v>748</v>
      </c>
      <c r="AS5" s="46" t="s">
        <v>749</v>
      </c>
      <c r="AT5" s="46" t="s">
        <v>750</v>
      </c>
      <c r="AU5" s="46" t="s">
        <v>751</v>
      </c>
      <c r="AV5" s="46" t="s">
        <v>752</v>
      </c>
      <c r="AW5" s="46" t="s">
        <v>753</v>
      </c>
      <c r="AX5" s="46" t="s">
        <v>754</v>
      </c>
      <c r="AY5" s="46" t="s">
        <v>755</v>
      </c>
      <c r="AZ5" s="46" t="s">
        <v>756</v>
      </c>
      <c r="BA5" s="46" t="s">
        <v>757</v>
      </c>
      <c r="BB5" s="46" t="s">
        <v>758</v>
      </c>
      <c r="BC5" s="46" t="s">
        <v>759</v>
      </c>
      <c r="BD5" s="46" t="s">
        <v>760</v>
      </c>
      <c r="BE5" s="46" t="s">
        <v>761</v>
      </c>
      <c r="BF5" s="46" t="s">
        <v>762</v>
      </c>
      <c r="BG5" s="46" t="s">
        <v>763</v>
      </c>
      <c r="BH5" s="46" t="s">
        <v>764</v>
      </c>
      <c r="BI5" s="46" t="s">
        <v>765</v>
      </c>
      <c r="BJ5" s="46" t="s">
        <v>766</v>
      </c>
      <c r="BK5" s="46" t="s">
        <v>767</v>
      </c>
      <c r="BL5" s="46" t="s">
        <v>768</v>
      </c>
      <c r="BM5" s="46" t="s">
        <v>769</v>
      </c>
      <c r="BN5" s="46" t="s">
        <v>770</v>
      </c>
      <c r="BO5" s="46" t="s">
        <v>771</v>
      </c>
      <c r="BP5" s="46" t="s">
        <v>772</v>
      </c>
      <c r="BQ5" s="46" t="s">
        <v>773</v>
      </c>
      <c r="BR5" s="46" t="s">
        <v>774</v>
      </c>
      <c r="BS5" s="46" t="s">
        <v>775</v>
      </c>
      <c r="BT5" s="46" t="s">
        <v>776</v>
      </c>
      <c r="BU5" s="46" t="s">
        <v>777</v>
      </c>
      <c r="BV5" s="46" t="s">
        <v>778</v>
      </c>
      <c r="BW5" s="46" t="s">
        <v>779</v>
      </c>
      <c r="BX5" s="46" t="s">
        <v>780</v>
      </c>
      <c r="BY5" s="46" t="s">
        <v>781</v>
      </c>
      <c r="BZ5" s="46" t="s">
        <v>782</v>
      </c>
      <c r="CA5" s="46" t="s">
        <v>783</v>
      </c>
      <c r="CB5" s="46" t="s">
        <v>784</v>
      </c>
      <c r="CC5" s="46" t="s">
        <v>785</v>
      </c>
      <c r="CD5" s="46" t="s">
        <v>786</v>
      </c>
      <c r="CE5" s="46" t="s">
        <v>787</v>
      </c>
      <c r="CF5" s="46" t="s">
        <v>788</v>
      </c>
    </row>
    <row r="6" spans="2:84" x14ac:dyDescent="0.25">
      <c r="B6" s="50"/>
      <c r="C6" s="50" t="s">
        <v>21</v>
      </c>
      <c r="D6" s="50" t="s">
        <v>792</v>
      </c>
      <c r="E6" s="50" t="s">
        <v>22</v>
      </c>
      <c r="F6" s="50" t="s">
        <v>793</v>
      </c>
      <c r="G6" s="50" t="s">
        <v>793</v>
      </c>
      <c r="H6" s="50"/>
      <c r="I6" s="50"/>
      <c r="J6" s="50" t="b">
        <v>1</v>
      </c>
      <c r="K6" s="50"/>
      <c r="L6" s="50" t="b">
        <v>1</v>
      </c>
      <c r="M6" s="50"/>
      <c r="N6" s="50" t="b">
        <v>1</v>
      </c>
      <c r="O6" s="50"/>
      <c r="P6" s="50" t="b">
        <v>1</v>
      </c>
      <c r="Q6" s="50"/>
      <c r="R6" s="50" t="b">
        <v>0</v>
      </c>
      <c r="S6" s="50" t="b">
        <v>1</v>
      </c>
      <c r="T6" s="50">
        <v>0</v>
      </c>
      <c r="U6" s="50" t="b">
        <v>1</v>
      </c>
      <c r="V6" s="50"/>
      <c r="W6" s="50" t="b">
        <v>1</v>
      </c>
      <c r="X6" s="50" t="b">
        <v>0</v>
      </c>
      <c r="Y6" s="50"/>
      <c r="Z6" s="50"/>
      <c r="AA6" s="50"/>
      <c r="AB6" s="50"/>
      <c r="AC6" s="50"/>
      <c r="AD6" s="50"/>
      <c r="AE6" s="50" t="s">
        <v>793</v>
      </c>
      <c r="AF6" s="50" t="b">
        <v>1</v>
      </c>
      <c r="AG6" s="50"/>
      <c r="AH6" s="50" t="b">
        <v>1</v>
      </c>
      <c r="AI6" s="50" t="b">
        <v>1</v>
      </c>
      <c r="AJ6" s="50" t="b">
        <v>1</v>
      </c>
      <c r="AK6" s="50">
        <v>2</v>
      </c>
      <c r="AL6" s="50"/>
      <c r="AM6" s="50" t="b">
        <v>0</v>
      </c>
      <c r="AN6" s="50" t="b">
        <v>1</v>
      </c>
      <c r="AO6" s="50" t="b">
        <v>0</v>
      </c>
      <c r="AP6" s="50"/>
      <c r="AQ6" s="50"/>
      <c r="AR6" s="50" t="s">
        <v>794</v>
      </c>
      <c r="AS6" s="50" t="s">
        <v>795</v>
      </c>
      <c r="AT6" s="50" t="s">
        <v>796</v>
      </c>
      <c r="AU6" s="50" t="s">
        <v>796</v>
      </c>
      <c r="AV6" s="50"/>
      <c r="AW6" s="50" t="b">
        <v>1</v>
      </c>
      <c r="AX6" s="50"/>
      <c r="AY6" s="50" t="b">
        <v>1</v>
      </c>
      <c r="AZ6" s="50"/>
      <c r="BA6" s="50" t="b">
        <v>1</v>
      </c>
      <c r="BB6" s="50"/>
      <c r="BC6" s="50" t="b">
        <v>1</v>
      </c>
      <c r="BD6" s="50"/>
      <c r="BE6" s="50" t="b">
        <v>0</v>
      </c>
      <c r="BF6" s="50" t="b">
        <v>1</v>
      </c>
      <c r="BG6" s="50">
        <v>0</v>
      </c>
      <c r="BH6" s="50" t="b">
        <v>1</v>
      </c>
      <c r="BI6" s="50"/>
      <c r="BJ6" s="50" t="b">
        <v>1</v>
      </c>
      <c r="BK6" s="50" t="b">
        <v>0</v>
      </c>
      <c r="BL6" s="50"/>
      <c r="BM6" s="50"/>
      <c r="BN6" s="50"/>
      <c r="BO6" s="50"/>
      <c r="BP6" s="50"/>
      <c r="BQ6" s="50"/>
      <c r="BR6" s="50" t="b">
        <v>1</v>
      </c>
      <c r="BS6" s="50" t="s">
        <v>793</v>
      </c>
      <c r="BT6" s="50" t="b">
        <v>0</v>
      </c>
      <c r="BU6" s="50"/>
      <c r="BV6" s="50" t="b">
        <v>1</v>
      </c>
      <c r="BW6" s="50" t="b">
        <v>0</v>
      </c>
      <c r="BX6" s="50" t="b">
        <v>0</v>
      </c>
      <c r="BY6" s="50" t="b">
        <v>0</v>
      </c>
      <c r="BZ6" s="50"/>
      <c r="CA6" s="50"/>
      <c r="CB6" s="50" t="b">
        <v>1</v>
      </c>
      <c r="CC6" s="50" t="b">
        <v>0</v>
      </c>
      <c r="CD6" s="50" t="b">
        <v>0</v>
      </c>
      <c r="CE6" s="50" t="b">
        <v>0</v>
      </c>
      <c r="CF6" s="50"/>
    </row>
  </sheetData>
  <sheetProtection sheet="1" objects="1" scenarios="1" formatCells="0" formatColumns="0" formatRows="0" insertRows="0" sort="0" autoFilter="0"/>
  <hyperlinks>
    <hyperlink ref="B2" location="C3" tooltip=" " display="C3" xr:uid="{CE974165-127B-4100-A802-674D99C78F70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97"/>
  <sheetViews>
    <sheetView topLeftCell="A67" workbookViewId="0">
      <selection activeCell="A95" sqref="A95"/>
    </sheetView>
  </sheetViews>
  <sheetFormatPr baseColWidth="10" defaultRowHeight="15" x14ac:dyDescent="0.25"/>
  <cols>
    <col min="1" max="1" width="18.85546875" style="2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8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521</v>
      </c>
      <c r="D4" s="30">
        <v>44262.77579861111</v>
      </c>
      <c r="E4" s="2" t="s">
        <v>522</v>
      </c>
    </row>
    <row r="5" spans="1:11" x14ac:dyDescent="0.25">
      <c r="A5" s="2" t="s">
        <v>523</v>
      </c>
      <c r="B5" s="2" t="s">
        <v>524</v>
      </c>
      <c r="C5" s="2" t="s">
        <v>525</v>
      </c>
      <c r="D5" s="30">
        <v>44262.775925925926</v>
      </c>
      <c r="E5" s="2" t="s">
        <v>526</v>
      </c>
    </row>
    <row r="6" spans="1:11" x14ac:dyDescent="0.25">
      <c r="A6" s="2" t="s">
        <v>523</v>
      </c>
      <c r="B6" s="2" t="s">
        <v>524</v>
      </c>
      <c r="C6" s="2" t="s">
        <v>525</v>
      </c>
      <c r="D6" s="30">
        <v>44262.77615740741</v>
      </c>
      <c r="E6" s="2" t="s">
        <v>526</v>
      </c>
    </row>
    <row r="7" spans="1:11" x14ac:dyDescent="0.25">
      <c r="A7" s="2" t="s">
        <v>523</v>
      </c>
      <c r="B7" s="2" t="s">
        <v>527</v>
      </c>
      <c r="C7" s="2" t="s">
        <v>521</v>
      </c>
      <c r="D7" s="30">
        <v>44262.776192129626</v>
      </c>
      <c r="E7" s="2" t="s">
        <v>528</v>
      </c>
    </row>
    <row r="8" spans="1:11" x14ac:dyDescent="0.25">
      <c r="A8" s="2" t="s">
        <v>495</v>
      </c>
      <c r="B8" s="2" t="s">
        <v>113</v>
      </c>
      <c r="C8" s="2" t="s">
        <v>521</v>
      </c>
      <c r="D8" s="30">
        <v>44262.792280092595</v>
      </c>
      <c r="E8" s="2" t="s">
        <v>522</v>
      </c>
    </row>
    <row r="9" spans="1:11" x14ac:dyDescent="0.25">
      <c r="A9" s="2" t="s">
        <v>529</v>
      </c>
      <c r="B9" s="2" t="s">
        <v>530</v>
      </c>
      <c r="C9" s="2" t="s">
        <v>521</v>
      </c>
      <c r="D9" s="30">
        <v>44262.792395833334</v>
      </c>
      <c r="E9" s="2" t="s">
        <v>531</v>
      </c>
    </row>
    <row r="10" spans="1:11" x14ac:dyDescent="0.25">
      <c r="A10" s="2" t="s">
        <v>523</v>
      </c>
      <c r="B10" s="2" t="s">
        <v>524</v>
      </c>
      <c r="C10" s="2" t="s">
        <v>525</v>
      </c>
      <c r="D10" s="30">
        <v>44262.792453703703</v>
      </c>
      <c r="E10" s="2" t="s">
        <v>532</v>
      </c>
    </row>
    <row r="11" spans="1:11" x14ac:dyDescent="0.25">
      <c r="A11" s="2" t="s">
        <v>523</v>
      </c>
      <c r="B11" s="2" t="s">
        <v>527</v>
      </c>
      <c r="C11" s="2" t="s">
        <v>521</v>
      </c>
      <c r="D11" s="30">
        <v>44262.792488425926</v>
      </c>
      <c r="E11" s="2" t="s">
        <v>533</v>
      </c>
    </row>
    <row r="12" spans="1:11" x14ac:dyDescent="0.25">
      <c r="A12" s="2" t="s">
        <v>523</v>
      </c>
      <c r="B12" s="2" t="s">
        <v>524</v>
      </c>
      <c r="C12" s="2" t="s">
        <v>525</v>
      </c>
      <c r="D12" s="30">
        <v>44262.793749999997</v>
      </c>
      <c r="E12" s="2" t="s">
        <v>534</v>
      </c>
    </row>
    <row r="13" spans="1:11" x14ac:dyDescent="0.25">
      <c r="A13" s="2" t="s">
        <v>523</v>
      </c>
      <c r="B13" s="2" t="s">
        <v>524</v>
      </c>
      <c r="C13" s="2" t="s">
        <v>525</v>
      </c>
      <c r="D13" s="30">
        <v>44262.79614583333</v>
      </c>
      <c r="E13" s="2" t="s">
        <v>534</v>
      </c>
    </row>
    <row r="14" spans="1:11" x14ac:dyDescent="0.25">
      <c r="A14" s="2" t="s">
        <v>523</v>
      </c>
      <c r="B14" s="2" t="s">
        <v>524</v>
      </c>
      <c r="C14" s="2" t="s">
        <v>525</v>
      </c>
      <c r="D14" s="30">
        <v>44262.796886574077</v>
      </c>
      <c r="E14" s="2" t="s">
        <v>534</v>
      </c>
    </row>
    <row r="15" spans="1:11" x14ac:dyDescent="0.25">
      <c r="A15" s="2" t="s">
        <v>523</v>
      </c>
      <c r="B15" s="2" t="s">
        <v>524</v>
      </c>
      <c r="C15" s="2" t="s">
        <v>525</v>
      </c>
      <c r="D15" s="30">
        <v>44262.798067129632</v>
      </c>
      <c r="E15" s="2" t="s">
        <v>534</v>
      </c>
    </row>
    <row r="16" spans="1:11" x14ac:dyDescent="0.25">
      <c r="A16" s="2" t="s">
        <v>523</v>
      </c>
      <c r="B16" s="2" t="s">
        <v>524</v>
      </c>
      <c r="C16" s="2" t="s">
        <v>525</v>
      </c>
      <c r="D16" s="30">
        <v>44262.799444444441</v>
      </c>
      <c r="E16" s="2" t="s">
        <v>534</v>
      </c>
    </row>
    <row r="17" spans="1:5" x14ac:dyDescent="0.25">
      <c r="A17" s="2" t="s">
        <v>523</v>
      </c>
      <c r="B17" s="2" t="s">
        <v>524</v>
      </c>
      <c r="C17" s="2" t="s">
        <v>525</v>
      </c>
      <c r="D17" s="30">
        <v>44262.801377314812</v>
      </c>
      <c r="E17" s="2" t="s">
        <v>534</v>
      </c>
    </row>
    <row r="18" spans="1:5" x14ac:dyDescent="0.25">
      <c r="A18" s="2" t="s">
        <v>495</v>
      </c>
      <c r="B18" s="2" t="s">
        <v>113</v>
      </c>
      <c r="C18" s="2" t="s">
        <v>521</v>
      </c>
      <c r="D18" s="30">
        <v>44262.802071759259</v>
      </c>
      <c r="E18" s="2" t="s">
        <v>522</v>
      </c>
    </row>
    <row r="19" spans="1:5" x14ac:dyDescent="0.25">
      <c r="A19" s="2" t="s">
        <v>523</v>
      </c>
      <c r="B19" s="2" t="s">
        <v>524</v>
      </c>
      <c r="C19" s="2" t="s">
        <v>525</v>
      </c>
      <c r="D19" s="30">
        <v>44262.802222222221</v>
      </c>
      <c r="E19" s="2" t="s">
        <v>534</v>
      </c>
    </row>
    <row r="20" spans="1:5" x14ac:dyDescent="0.25">
      <c r="A20" s="2" t="s">
        <v>523</v>
      </c>
      <c r="B20" s="2" t="s">
        <v>524</v>
      </c>
      <c r="C20" s="2" t="s">
        <v>525</v>
      </c>
      <c r="D20" s="30">
        <v>44262.804849537039</v>
      </c>
      <c r="E20" s="2" t="s">
        <v>534</v>
      </c>
    </row>
    <row r="21" spans="1:5" x14ac:dyDescent="0.25">
      <c r="A21" s="2" t="s">
        <v>495</v>
      </c>
      <c r="B21" s="2" t="s">
        <v>113</v>
      </c>
      <c r="C21" s="2" t="s">
        <v>521</v>
      </c>
      <c r="D21" s="30">
        <v>44262.805937500001</v>
      </c>
      <c r="E21" s="2" t="s">
        <v>522</v>
      </c>
    </row>
    <row r="22" spans="1:5" x14ac:dyDescent="0.25">
      <c r="A22" s="2" t="s">
        <v>523</v>
      </c>
      <c r="B22" s="2" t="s">
        <v>524</v>
      </c>
      <c r="C22" s="2" t="s">
        <v>525</v>
      </c>
      <c r="D22" s="30">
        <v>44262.806064814817</v>
      </c>
      <c r="E22" s="2" t="s">
        <v>534</v>
      </c>
    </row>
    <row r="23" spans="1:5" x14ac:dyDescent="0.25">
      <c r="A23" s="2" t="s">
        <v>523</v>
      </c>
      <c r="B23" s="2" t="s">
        <v>527</v>
      </c>
      <c r="C23" s="2" t="s">
        <v>521</v>
      </c>
      <c r="D23" s="30">
        <v>44262.80609953704</v>
      </c>
      <c r="E23" s="2" t="s">
        <v>535</v>
      </c>
    </row>
    <row r="24" spans="1:5" x14ac:dyDescent="0.25">
      <c r="A24" s="2" t="s">
        <v>495</v>
      </c>
      <c r="B24" s="2" t="s">
        <v>113</v>
      </c>
      <c r="C24" s="2" t="s">
        <v>521</v>
      </c>
      <c r="D24" s="30">
        <v>44262.813148148147</v>
      </c>
      <c r="E24" s="2" t="s">
        <v>536</v>
      </c>
    </row>
    <row r="25" spans="1:5" x14ac:dyDescent="0.25">
      <c r="A25" s="2" t="s">
        <v>523</v>
      </c>
      <c r="B25" s="2" t="s">
        <v>524</v>
      </c>
      <c r="C25" s="2" t="s">
        <v>525</v>
      </c>
      <c r="D25" s="30">
        <v>44262.813275462962</v>
      </c>
      <c r="E25" s="2" t="s">
        <v>534</v>
      </c>
    </row>
    <row r="26" spans="1:5" x14ac:dyDescent="0.25">
      <c r="A26" s="2" t="s">
        <v>495</v>
      </c>
      <c r="B26" s="2" t="s">
        <v>113</v>
      </c>
      <c r="C26" s="2" t="s">
        <v>521</v>
      </c>
      <c r="D26" s="30">
        <v>44262.813773148147</v>
      </c>
      <c r="E26" s="2" t="s">
        <v>522</v>
      </c>
    </row>
    <row r="27" spans="1:5" x14ac:dyDescent="0.25">
      <c r="A27" s="2" t="s">
        <v>523</v>
      </c>
      <c r="B27" s="2" t="s">
        <v>524</v>
      </c>
      <c r="C27" s="2" t="s">
        <v>525</v>
      </c>
      <c r="D27" s="30">
        <v>44262.813877314817</v>
      </c>
      <c r="E27" s="2" t="s">
        <v>534</v>
      </c>
    </row>
    <row r="28" spans="1:5" x14ac:dyDescent="0.25">
      <c r="A28" s="2" t="s">
        <v>495</v>
      </c>
      <c r="B28" s="2" t="s">
        <v>113</v>
      </c>
      <c r="C28" s="2" t="s">
        <v>521</v>
      </c>
      <c r="D28" s="30">
        <v>44262.816469907404</v>
      </c>
      <c r="E28" s="2" t="s">
        <v>536</v>
      </c>
    </row>
    <row r="29" spans="1:5" x14ac:dyDescent="0.25">
      <c r="A29" s="2" t="s">
        <v>523</v>
      </c>
      <c r="B29" s="2" t="s">
        <v>524</v>
      </c>
      <c r="C29" s="2" t="s">
        <v>525</v>
      </c>
      <c r="D29" s="30">
        <v>44262.816550925927</v>
      </c>
      <c r="E29" s="2" t="s">
        <v>534</v>
      </c>
    </row>
    <row r="30" spans="1:5" x14ac:dyDescent="0.25">
      <c r="A30" s="2" t="s">
        <v>523</v>
      </c>
      <c r="B30" s="2" t="s">
        <v>524</v>
      </c>
      <c r="C30" s="2" t="s">
        <v>525</v>
      </c>
      <c r="D30" s="30">
        <v>44262.820439814815</v>
      </c>
      <c r="E30" s="2" t="s">
        <v>534</v>
      </c>
    </row>
    <row r="31" spans="1:5" x14ac:dyDescent="0.25">
      <c r="A31" s="2" t="s">
        <v>523</v>
      </c>
      <c r="B31" s="2" t="s">
        <v>527</v>
      </c>
      <c r="C31" s="2" t="s">
        <v>521</v>
      </c>
      <c r="D31" s="30">
        <v>44262.820439814815</v>
      </c>
      <c r="E31" s="2" t="s">
        <v>535</v>
      </c>
    </row>
    <row r="32" spans="1:5" x14ac:dyDescent="0.25">
      <c r="A32" s="2" t="s">
        <v>523</v>
      </c>
      <c r="B32" s="2" t="s">
        <v>524</v>
      </c>
      <c r="C32" s="2" t="s">
        <v>525</v>
      </c>
      <c r="D32" s="30">
        <v>44262.821435185186</v>
      </c>
      <c r="E32" s="2" t="s">
        <v>534</v>
      </c>
    </row>
    <row r="33" spans="1:5" x14ac:dyDescent="0.25">
      <c r="A33" s="2" t="s">
        <v>523</v>
      </c>
      <c r="B33" s="2" t="s">
        <v>527</v>
      </c>
      <c r="C33" s="2" t="s">
        <v>521</v>
      </c>
      <c r="D33" s="30">
        <v>44262.821435185186</v>
      </c>
      <c r="E33" s="2" t="s">
        <v>535</v>
      </c>
    </row>
    <row r="34" spans="1:5" x14ac:dyDescent="0.25">
      <c r="A34" s="2" t="s">
        <v>523</v>
      </c>
      <c r="B34" s="2" t="s">
        <v>524</v>
      </c>
      <c r="C34" s="2" t="s">
        <v>525</v>
      </c>
      <c r="D34" s="30">
        <v>44262.821643518517</v>
      </c>
      <c r="E34" s="2" t="s">
        <v>534</v>
      </c>
    </row>
    <row r="35" spans="1:5" x14ac:dyDescent="0.25">
      <c r="A35" s="2" t="s">
        <v>523</v>
      </c>
      <c r="B35" s="2" t="s">
        <v>527</v>
      </c>
      <c r="C35" s="2" t="s">
        <v>521</v>
      </c>
      <c r="D35" s="30">
        <v>44262.821643518517</v>
      </c>
      <c r="E35" s="2" t="s">
        <v>535</v>
      </c>
    </row>
    <row r="36" spans="1:5" x14ac:dyDescent="0.25">
      <c r="A36" s="2" t="s">
        <v>523</v>
      </c>
      <c r="B36" s="2" t="s">
        <v>524</v>
      </c>
      <c r="C36" s="2" t="s">
        <v>525</v>
      </c>
      <c r="D36" s="30">
        <v>44262.822534722225</v>
      </c>
      <c r="E36" s="2" t="s">
        <v>534</v>
      </c>
    </row>
    <row r="37" spans="1:5" x14ac:dyDescent="0.25">
      <c r="A37" s="2" t="s">
        <v>495</v>
      </c>
      <c r="B37" s="2" t="s">
        <v>113</v>
      </c>
      <c r="C37" s="2" t="s">
        <v>521</v>
      </c>
      <c r="D37" s="30">
        <v>44262.827407407407</v>
      </c>
      <c r="E37" s="2" t="s">
        <v>522</v>
      </c>
    </row>
    <row r="38" spans="1:5" x14ac:dyDescent="0.25">
      <c r="A38" s="2" t="s">
        <v>523</v>
      </c>
      <c r="B38" s="2" t="s">
        <v>524</v>
      </c>
      <c r="C38" s="2" t="s">
        <v>525</v>
      </c>
      <c r="D38" s="30">
        <v>44262.827523148146</v>
      </c>
      <c r="E38" s="2" t="s">
        <v>534</v>
      </c>
    </row>
    <row r="39" spans="1:5" x14ac:dyDescent="0.25">
      <c r="A39" s="2" t="s">
        <v>523</v>
      </c>
      <c r="B39" s="2" t="s">
        <v>524</v>
      </c>
      <c r="C39" s="2" t="s">
        <v>525</v>
      </c>
      <c r="D39" s="30">
        <v>44262.827708333331</v>
      </c>
      <c r="E39" s="2" t="s">
        <v>534</v>
      </c>
    </row>
    <row r="40" spans="1:5" x14ac:dyDescent="0.25">
      <c r="A40" s="2" t="s">
        <v>495</v>
      </c>
      <c r="B40" s="2" t="s">
        <v>113</v>
      </c>
      <c r="C40" s="2" t="s">
        <v>521</v>
      </c>
      <c r="D40" s="30">
        <v>44262.8280787037</v>
      </c>
      <c r="E40" s="2" t="s">
        <v>537</v>
      </c>
    </row>
    <row r="41" spans="1:5" x14ac:dyDescent="0.25">
      <c r="A41" s="2" t="s">
        <v>523</v>
      </c>
      <c r="B41" s="2" t="s">
        <v>524</v>
      </c>
      <c r="C41" s="2" t="s">
        <v>525</v>
      </c>
      <c r="D41" s="30">
        <v>44262.828159722223</v>
      </c>
      <c r="E41" s="2" t="s">
        <v>534</v>
      </c>
    </row>
    <row r="42" spans="1:5" x14ac:dyDescent="0.25">
      <c r="A42" s="2" t="s">
        <v>523</v>
      </c>
      <c r="B42" s="2" t="s">
        <v>527</v>
      </c>
      <c r="C42" s="2" t="s">
        <v>521</v>
      </c>
      <c r="D42" s="30">
        <v>44262.828206018516</v>
      </c>
      <c r="E42" s="2" t="s">
        <v>538</v>
      </c>
    </row>
    <row r="43" spans="1:5" x14ac:dyDescent="0.25">
      <c r="A43" s="2" t="s">
        <v>663</v>
      </c>
      <c r="B43" s="2" t="s">
        <v>664</v>
      </c>
      <c r="C43" s="2" t="s">
        <v>521</v>
      </c>
      <c r="D43" s="30">
        <v>44265.385289351849</v>
      </c>
      <c r="E43" s="2" t="s">
        <v>665</v>
      </c>
    </row>
    <row r="44" spans="1:5" x14ac:dyDescent="0.25">
      <c r="A44" s="2" t="s">
        <v>666</v>
      </c>
      <c r="B44" s="2" t="s">
        <v>667</v>
      </c>
      <c r="C44" s="2" t="s">
        <v>521</v>
      </c>
      <c r="D44" s="30">
        <v>44265.387361111112</v>
      </c>
      <c r="E44" s="2" t="s">
        <v>668</v>
      </c>
    </row>
    <row r="45" spans="1:5" x14ac:dyDescent="0.25">
      <c r="A45" s="2" t="s">
        <v>495</v>
      </c>
      <c r="B45" s="2" t="s">
        <v>113</v>
      </c>
      <c r="C45" s="2" t="s">
        <v>521</v>
      </c>
      <c r="D45" s="30">
        <v>44265.406875000001</v>
      </c>
      <c r="E45" s="2" t="s">
        <v>669</v>
      </c>
    </row>
    <row r="46" spans="1:5" x14ac:dyDescent="0.25">
      <c r="A46" s="2" t="s">
        <v>529</v>
      </c>
      <c r="B46" s="2" t="s">
        <v>530</v>
      </c>
      <c r="C46" s="2" t="s">
        <v>521</v>
      </c>
      <c r="D46" s="30">
        <v>44265.406990740739</v>
      </c>
      <c r="E46" s="2" t="s">
        <v>670</v>
      </c>
    </row>
    <row r="47" spans="1:5" x14ac:dyDescent="0.25">
      <c r="A47" s="2" t="s">
        <v>529</v>
      </c>
      <c r="B47" s="2" t="s">
        <v>530</v>
      </c>
      <c r="C47" s="2" t="s">
        <v>521</v>
      </c>
      <c r="D47" s="30">
        <v>44265.407569444447</v>
      </c>
      <c r="E47" s="2" t="s">
        <v>671</v>
      </c>
    </row>
    <row r="48" spans="1:5" x14ac:dyDescent="0.25">
      <c r="A48" s="2" t="s">
        <v>672</v>
      </c>
      <c r="B48" s="2" t="s">
        <v>673</v>
      </c>
      <c r="C48" s="2" t="s">
        <v>521</v>
      </c>
      <c r="D48" s="30">
        <v>44265.407592592594</v>
      </c>
      <c r="E48" s="2" t="s">
        <v>674</v>
      </c>
    </row>
    <row r="49" spans="1:5" x14ac:dyDescent="0.25">
      <c r="A49" s="2" t="s">
        <v>523</v>
      </c>
      <c r="B49" s="2" t="s">
        <v>675</v>
      </c>
      <c r="C49" s="2" t="s">
        <v>525</v>
      </c>
      <c r="D49" s="30">
        <v>44265.40834490741</v>
      </c>
      <c r="E49" s="2" t="s">
        <v>676</v>
      </c>
    </row>
    <row r="50" spans="1:5" x14ac:dyDescent="0.25">
      <c r="A50" s="2" t="s">
        <v>523</v>
      </c>
      <c r="B50" s="2" t="s">
        <v>677</v>
      </c>
      <c r="C50" s="2" t="s">
        <v>521</v>
      </c>
      <c r="D50" s="30">
        <v>44265.408379629633</v>
      </c>
      <c r="E50" s="2" t="s">
        <v>678</v>
      </c>
    </row>
    <row r="51" spans="1:5" x14ac:dyDescent="0.25">
      <c r="A51" s="2" t="s">
        <v>495</v>
      </c>
      <c r="B51" s="2" t="s">
        <v>113</v>
      </c>
      <c r="C51" s="2" t="s">
        <v>521</v>
      </c>
      <c r="D51" s="30">
        <v>44269.923182870371</v>
      </c>
      <c r="E51" s="2" t="s">
        <v>669</v>
      </c>
    </row>
    <row r="52" spans="1:5" x14ac:dyDescent="0.25">
      <c r="A52" s="2" t="s">
        <v>495</v>
      </c>
      <c r="B52" s="2" t="s">
        <v>113</v>
      </c>
      <c r="C52" s="2" t="s">
        <v>521</v>
      </c>
      <c r="D52" s="30">
        <v>44269.923657407409</v>
      </c>
      <c r="E52" s="2" t="s">
        <v>669</v>
      </c>
    </row>
    <row r="53" spans="1:5" x14ac:dyDescent="0.25">
      <c r="A53" s="2" t="s">
        <v>495</v>
      </c>
      <c r="B53" s="2" t="s">
        <v>113</v>
      </c>
      <c r="C53" s="2" t="s">
        <v>521</v>
      </c>
      <c r="D53" s="30">
        <v>44269.924108796295</v>
      </c>
      <c r="E53" s="2" t="s">
        <v>669</v>
      </c>
    </row>
    <row r="54" spans="1:5" x14ac:dyDescent="0.25">
      <c r="A54" s="2" t="s">
        <v>694</v>
      </c>
      <c r="B54" s="2" t="s">
        <v>695</v>
      </c>
      <c r="C54" s="2" t="s">
        <v>521</v>
      </c>
      <c r="D54" s="30">
        <v>44269.924768518518</v>
      </c>
      <c r="E54" s="2" t="s">
        <v>696</v>
      </c>
    </row>
    <row r="55" spans="1:5" x14ac:dyDescent="0.25">
      <c r="A55" s="2" t="s">
        <v>495</v>
      </c>
      <c r="B55" s="2" t="s">
        <v>113</v>
      </c>
      <c r="C55" s="2" t="s">
        <v>521</v>
      </c>
      <c r="D55" s="30">
        <v>44269.929699074077</v>
      </c>
      <c r="E55" s="2" t="s">
        <v>669</v>
      </c>
    </row>
    <row r="56" spans="1:5" x14ac:dyDescent="0.25">
      <c r="A56" s="2" t="s">
        <v>694</v>
      </c>
      <c r="B56" s="2" t="s">
        <v>695</v>
      </c>
      <c r="C56" s="2" t="s">
        <v>521</v>
      </c>
      <c r="D56" s="30">
        <v>44269.929780092592</v>
      </c>
      <c r="E56" s="2" t="s">
        <v>696</v>
      </c>
    </row>
    <row r="57" spans="1:5" x14ac:dyDescent="0.25">
      <c r="A57" s="2" t="s">
        <v>495</v>
      </c>
      <c r="B57" s="2" t="s">
        <v>113</v>
      </c>
      <c r="C57" s="2" t="s">
        <v>521</v>
      </c>
      <c r="D57" s="30">
        <v>44269.930613425924</v>
      </c>
      <c r="E57" s="2" t="s">
        <v>669</v>
      </c>
    </row>
    <row r="58" spans="1:5" x14ac:dyDescent="0.25">
      <c r="A58" s="2" t="s">
        <v>694</v>
      </c>
      <c r="B58" s="2" t="s">
        <v>695</v>
      </c>
      <c r="C58" s="2" t="s">
        <v>521</v>
      </c>
      <c r="D58" s="30">
        <v>44269.931574074071</v>
      </c>
      <c r="E58" s="2" t="s">
        <v>696</v>
      </c>
    </row>
    <row r="59" spans="1:5" x14ac:dyDescent="0.25">
      <c r="A59" s="2" t="s">
        <v>697</v>
      </c>
      <c r="B59" s="2" t="s">
        <v>698</v>
      </c>
      <c r="C59" s="2" t="s">
        <v>521</v>
      </c>
      <c r="D59" s="30">
        <v>44269.93204861111</v>
      </c>
      <c r="E59" s="2" t="s">
        <v>699</v>
      </c>
    </row>
    <row r="60" spans="1:5" x14ac:dyDescent="0.25">
      <c r="A60" s="2" t="s">
        <v>700</v>
      </c>
      <c r="B60" s="2" t="s">
        <v>368</v>
      </c>
      <c r="C60" s="2" t="s">
        <v>521</v>
      </c>
      <c r="D60" s="30">
        <v>44269.93240740741</v>
      </c>
      <c r="E60" s="2" t="s">
        <v>701</v>
      </c>
    </row>
    <row r="61" spans="1:5" x14ac:dyDescent="0.25">
      <c r="A61" s="2" t="s">
        <v>702</v>
      </c>
      <c r="B61" s="2" t="s">
        <v>703</v>
      </c>
      <c r="C61" s="2" t="s">
        <v>521</v>
      </c>
      <c r="D61" s="30">
        <v>44269.932581018518</v>
      </c>
      <c r="E61" s="2" t="s">
        <v>699</v>
      </c>
    </row>
    <row r="62" spans="1:5" x14ac:dyDescent="0.25">
      <c r="A62" s="2" t="s">
        <v>704</v>
      </c>
      <c r="B62" s="2" t="s">
        <v>369</v>
      </c>
      <c r="C62" s="2" t="s">
        <v>521</v>
      </c>
      <c r="D62" s="30">
        <v>44269.932708333334</v>
      </c>
      <c r="E62" s="2" t="s">
        <v>699</v>
      </c>
    </row>
    <row r="63" spans="1:5" x14ac:dyDescent="0.25">
      <c r="A63" s="2" t="s">
        <v>705</v>
      </c>
      <c r="B63" s="2" t="s">
        <v>370</v>
      </c>
      <c r="C63" s="2" t="s">
        <v>521</v>
      </c>
      <c r="D63" s="30">
        <v>44269.932847222219</v>
      </c>
      <c r="E63" s="2" t="s">
        <v>699</v>
      </c>
    </row>
    <row r="64" spans="1:5" x14ac:dyDescent="0.25">
      <c r="A64" s="2" t="s">
        <v>706</v>
      </c>
      <c r="B64" s="2" t="s">
        <v>707</v>
      </c>
      <c r="C64" s="2" t="s">
        <v>521</v>
      </c>
      <c r="D64" s="30">
        <v>44269.932881944442</v>
      </c>
      <c r="E64" s="2" t="s">
        <v>699</v>
      </c>
    </row>
    <row r="65" spans="1:5" x14ac:dyDescent="0.25">
      <c r="A65" s="2" t="s">
        <v>495</v>
      </c>
      <c r="B65" s="2" t="s">
        <v>113</v>
      </c>
      <c r="C65" s="2" t="s">
        <v>521</v>
      </c>
      <c r="D65" s="30">
        <v>44269.935983796298</v>
      </c>
      <c r="E65" s="2" t="s">
        <v>669</v>
      </c>
    </row>
    <row r="66" spans="1:5" x14ac:dyDescent="0.25">
      <c r="A66" s="2" t="s">
        <v>694</v>
      </c>
      <c r="B66" s="2" t="s">
        <v>695</v>
      </c>
      <c r="C66" s="2" t="s">
        <v>521</v>
      </c>
      <c r="D66" s="30">
        <v>44269.936284722222</v>
      </c>
      <c r="E66" s="2" t="s">
        <v>696</v>
      </c>
    </row>
    <row r="67" spans="1:5" x14ac:dyDescent="0.25">
      <c r="A67" s="2" t="s">
        <v>697</v>
      </c>
      <c r="B67" s="2" t="s">
        <v>698</v>
      </c>
      <c r="C67" s="2" t="s">
        <v>521</v>
      </c>
      <c r="D67" s="30">
        <v>44269.936319444445</v>
      </c>
      <c r="E67" s="2" t="s">
        <v>699</v>
      </c>
    </row>
    <row r="68" spans="1:5" x14ac:dyDescent="0.25">
      <c r="A68" s="2" t="s">
        <v>700</v>
      </c>
      <c r="B68" s="2" t="s">
        <v>368</v>
      </c>
      <c r="C68" s="2" t="s">
        <v>521</v>
      </c>
      <c r="D68" s="30">
        <v>44269.936354166668</v>
      </c>
      <c r="E68" s="2" t="s">
        <v>701</v>
      </c>
    </row>
    <row r="69" spans="1:5" x14ac:dyDescent="0.25">
      <c r="A69" s="2" t="s">
        <v>702</v>
      </c>
      <c r="B69" s="2" t="s">
        <v>703</v>
      </c>
      <c r="C69" s="2" t="s">
        <v>521</v>
      </c>
      <c r="D69" s="30">
        <v>44269.936354166668</v>
      </c>
      <c r="E69" s="2" t="s">
        <v>699</v>
      </c>
    </row>
    <row r="70" spans="1:5" x14ac:dyDescent="0.25">
      <c r="A70" s="2" t="s">
        <v>704</v>
      </c>
      <c r="B70" s="2" t="s">
        <v>369</v>
      </c>
      <c r="C70" s="2" t="s">
        <v>521</v>
      </c>
      <c r="D70" s="30">
        <v>44269.936388888891</v>
      </c>
      <c r="E70" s="2" t="s">
        <v>699</v>
      </c>
    </row>
    <row r="71" spans="1:5" x14ac:dyDescent="0.25">
      <c r="A71" s="2" t="s">
        <v>705</v>
      </c>
      <c r="B71" s="2" t="s">
        <v>370</v>
      </c>
      <c r="C71" s="2" t="s">
        <v>521</v>
      </c>
      <c r="D71" s="30">
        <v>44269.936400462961</v>
      </c>
      <c r="E71" s="2" t="s">
        <v>699</v>
      </c>
    </row>
    <row r="72" spans="1:5" x14ac:dyDescent="0.25">
      <c r="A72" s="2" t="s">
        <v>706</v>
      </c>
      <c r="B72" s="2" t="s">
        <v>707</v>
      </c>
      <c r="C72" s="2" t="s">
        <v>521</v>
      </c>
      <c r="D72" s="30">
        <v>44269.936400462961</v>
      </c>
      <c r="E72" s="2" t="s">
        <v>699</v>
      </c>
    </row>
    <row r="73" spans="1:5" x14ac:dyDescent="0.25">
      <c r="A73" s="2" t="s">
        <v>708</v>
      </c>
      <c r="B73" s="2" t="s">
        <v>371</v>
      </c>
      <c r="C73" s="2" t="s">
        <v>521</v>
      </c>
      <c r="D73" s="30">
        <v>44269.936435185184</v>
      </c>
      <c r="E73" s="2" t="s">
        <v>699</v>
      </c>
    </row>
    <row r="74" spans="1:5" x14ac:dyDescent="0.25">
      <c r="A74" s="2" t="s">
        <v>495</v>
      </c>
      <c r="B74" s="2" t="s">
        <v>113</v>
      </c>
      <c r="C74" s="2" t="s">
        <v>521</v>
      </c>
      <c r="D74" s="30">
        <v>44270.241076388891</v>
      </c>
      <c r="E74" s="2" t="s">
        <v>669</v>
      </c>
    </row>
    <row r="75" spans="1:5" x14ac:dyDescent="0.25">
      <c r="A75" s="2" t="s">
        <v>694</v>
      </c>
      <c r="B75" s="2" t="s">
        <v>695</v>
      </c>
      <c r="C75" s="2" t="s">
        <v>521</v>
      </c>
      <c r="D75" s="30">
        <v>44270.24119212963</v>
      </c>
      <c r="E75" s="2" t="s">
        <v>696</v>
      </c>
    </row>
    <row r="76" spans="1:5" x14ac:dyDescent="0.25">
      <c r="A76" s="2" t="s">
        <v>697</v>
      </c>
      <c r="B76" s="2" t="s">
        <v>698</v>
      </c>
      <c r="C76" s="2" t="s">
        <v>521</v>
      </c>
      <c r="D76" s="30">
        <v>44270.24119212963</v>
      </c>
      <c r="E76" s="2" t="s">
        <v>709</v>
      </c>
    </row>
    <row r="77" spans="1:5" x14ac:dyDescent="0.25">
      <c r="A77" s="2" t="s">
        <v>700</v>
      </c>
      <c r="B77" s="2" t="s">
        <v>368</v>
      </c>
      <c r="C77" s="2" t="s">
        <v>521</v>
      </c>
      <c r="D77" s="30">
        <v>44270.241226851853</v>
      </c>
      <c r="E77" s="2" t="s">
        <v>701</v>
      </c>
    </row>
    <row r="78" spans="1:5" x14ac:dyDescent="0.25">
      <c r="A78" s="2" t="s">
        <v>702</v>
      </c>
      <c r="B78" s="2" t="s">
        <v>703</v>
      </c>
      <c r="C78" s="2" t="s">
        <v>521</v>
      </c>
      <c r="D78" s="30">
        <v>44270.241226851853</v>
      </c>
      <c r="E78" s="2" t="s">
        <v>709</v>
      </c>
    </row>
    <row r="79" spans="1:5" x14ac:dyDescent="0.25">
      <c r="A79" s="2" t="s">
        <v>704</v>
      </c>
      <c r="B79" s="2" t="s">
        <v>369</v>
      </c>
      <c r="C79" s="2" t="s">
        <v>521</v>
      </c>
      <c r="D79" s="30">
        <v>44270.241261574076</v>
      </c>
      <c r="E79" s="2" t="s">
        <v>709</v>
      </c>
    </row>
    <row r="80" spans="1:5" x14ac:dyDescent="0.25">
      <c r="A80" s="2" t="s">
        <v>705</v>
      </c>
      <c r="B80" s="2" t="s">
        <v>370</v>
      </c>
      <c r="C80" s="2" t="s">
        <v>521</v>
      </c>
      <c r="D80" s="30">
        <v>44270.241261574076</v>
      </c>
      <c r="E80" s="2" t="s">
        <v>709</v>
      </c>
    </row>
    <row r="81" spans="1:5" x14ac:dyDescent="0.25">
      <c r="A81" s="2" t="s">
        <v>706</v>
      </c>
      <c r="B81" s="2" t="s">
        <v>707</v>
      </c>
      <c r="C81" s="2" t="s">
        <v>521</v>
      </c>
      <c r="D81" s="30">
        <v>44270.241296296299</v>
      </c>
      <c r="E81" s="2" t="s">
        <v>709</v>
      </c>
    </row>
    <row r="82" spans="1:5" x14ac:dyDescent="0.25">
      <c r="A82" s="2" t="s">
        <v>708</v>
      </c>
      <c r="B82" s="2" t="s">
        <v>371</v>
      </c>
      <c r="C82" s="2" t="s">
        <v>521</v>
      </c>
      <c r="D82" s="30">
        <v>44270.241296296299</v>
      </c>
      <c r="E82" s="2" t="s">
        <v>709</v>
      </c>
    </row>
    <row r="83" spans="1:5" x14ac:dyDescent="0.25">
      <c r="A83" s="2" t="s">
        <v>495</v>
      </c>
      <c r="B83" s="2" t="s">
        <v>113</v>
      </c>
      <c r="C83" s="2" t="s">
        <v>521</v>
      </c>
      <c r="D83" s="30">
        <v>44270.241747685184</v>
      </c>
      <c r="E83" s="2" t="s">
        <v>669</v>
      </c>
    </row>
    <row r="84" spans="1:5" x14ac:dyDescent="0.25">
      <c r="A84" s="2" t="s">
        <v>694</v>
      </c>
      <c r="B84" s="2" t="s">
        <v>695</v>
      </c>
      <c r="C84" s="2" t="s">
        <v>521</v>
      </c>
      <c r="D84" s="30">
        <v>44270.241828703707</v>
      </c>
      <c r="E84" s="2" t="s">
        <v>696</v>
      </c>
    </row>
    <row r="85" spans="1:5" x14ac:dyDescent="0.25">
      <c r="A85" s="2" t="s">
        <v>697</v>
      </c>
      <c r="B85" s="2" t="s">
        <v>698</v>
      </c>
      <c r="C85" s="2" t="s">
        <v>521</v>
      </c>
      <c r="D85" s="30">
        <v>44270.241828703707</v>
      </c>
      <c r="E85" s="2" t="s">
        <v>709</v>
      </c>
    </row>
    <row r="86" spans="1:5" x14ac:dyDescent="0.25">
      <c r="A86" s="2" t="s">
        <v>700</v>
      </c>
      <c r="B86" s="2" t="s">
        <v>368</v>
      </c>
      <c r="C86" s="2" t="s">
        <v>521</v>
      </c>
      <c r="D86" s="30">
        <v>44270.241863425923</v>
      </c>
      <c r="E86" s="2" t="s">
        <v>701</v>
      </c>
    </row>
    <row r="87" spans="1:5" x14ac:dyDescent="0.25">
      <c r="A87" s="2" t="s">
        <v>702</v>
      </c>
      <c r="B87" s="2" t="s">
        <v>703</v>
      </c>
      <c r="C87" s="2" t="s">
        <v>521</v>
      </c>
      <c r="D87" s="30">
        <v>44270.241898148146</v>
      </c>
      <c r="E87" s="2" t="s">
        <v>709</v>
      </c>
    </row>
    <row r="88" spans="1:5" x14ac:dyDescent="0.25">
      <c r="A88" s="2" t="s">
        <v>704</v>
      </c>
      <c r="B88" s="2" t="s">
        <v>369</v>
      </c>
      <c r="C88" s="2" t="s">
        <v>521</v>
      </c>
      <c r="D88" s="30">
        <v>44270.241898148146</v>
      </c>
      <c r="E88" s="2" t="s">
        <v>709</v>
      </c>
    </row>
    <row r="89" spans="1:5" x14ac:dyDescent="0.25">
      <c r="A89" s="2" t="s">
        <v>705</v>
      </c>
      <c r="B89" s="2" t="s">
        <v>370</v>
      </c>
      <c r="C89" s="2" t="s">
        <v>521</v>
      </c>
      <c r="D89" s="30">
        <v>44270.241898148146</v>
      </c>
      <c r="E89" s="2" t="s">
        <v>709</v>
      </c>
    </row>
    <row r="90" spans="1:5" x14ac:dyDescent="0.25">
      <c r="A90" s="2" t="s">
        <v>706</v>
      </c>
      <c r="B90" s="2" t="s">
        <v>707</v>
      </c>
      <c r="C90" s="2" t="s">
        <v>521</v>
      </c>
      <c r="D90" s="30">
        <v>44270.241898148146</v>
      </c>
      <c r="E90" s="2" t="s">
        <v>709</v>
      </c>
    </row>
    <row r="91" spans="1:5" x14ac:dyDescent="0.25">
      <c r="A91" s="2" t="s">
        <v>708</v>
      </c>
      <c r="B91" s="2" t="s">
        <v>371</v>
      </c>
      <c r="C91" s="2" t="s">
        <v>521</v>
      </c>
      <c r="D91" s="30">
        <v>44270.241944444446</v>
      </c>
      <c r="E91" s="2" t="s">
        <v>709</v>
      </c>
    </row>
    <row r="92" spans="1:5" x14ac:dyDescent="0.25">
      <c r="A92" s="2" t="s">
        <v>495</v>
      </c>
      <c r="B92" s="2" t="s">
        <v>113</v>
      </c>
      <c r="C92" s="2" t="s">
        <v>521</v>
      </c>
      <c r="D92" s="30">
        <v>44270.244027777779</v>
      </c>
      <c r="E92" s="2" t="s">
        <v>669</v>
      </c>
    </row>
    <row r="93" spans="1:5" x14ac:dyDescent="0.25">
      <c r="A93" s="2" t="s">
        <v>495</v>
      </c>
      <c r="B93" s="2" t="s">
        <v>113</v>
      </c>
      <c r="C93" s="2" t="s">
        <v>521</v>
      </c>
      <c r="D93" s="30">
        <v>44270.244456018518</v>
      </c>
      <c r="E93" s="2" t="s">
        <v>669</v>
      </c>
    </row>
    <row r="94" spans="1:5" x14ac:dyDescent="0.25">
      <c r="A94" s="2" t="s">
        <v>694</v>
      </c>
      <c r="B94" s="2" t="s">
        <v>695</v>
      </c>
      <c r="C94" s="2" t="s">
        <v>521</v>
      </c>
      <c r="D94" s="30">
        <v>44270.244490740741</v>
      </c>
      <c r="E94" s="2" t="s">
        <v>696</v>
      </c>
    </row>
    <row r="95" spans="1:5" x14ac:dyDescent="0.25">
      <c r="A95" s="2" t="s">
        <v>697</v>
      </c>
      <c r="B95" s="2" t="s">
        <v>698</v>
      </c>
      <c r="C95" s="2" t="s">
        <v>521</v>
      </c>
      <c r="D95" s="30">
        <v>44270.244490740741</v>
      </c>
      <c r="E95" s="2" t="s">
        <v>709</v>
      </c>
    </row>
    <row r="96" spans="1:5" x14ac:dyDescent="0.25">
      <c r="A96" s="2" t="s">
        <v>495</v>
      </c>
      <c r="B96" s="2" t="s">
        <v>113</v>
      </c>
      <c r="C96" s="2" t="s">
        <v>521</v>
      </c>
      <c r="D96" s="30">
        <v>44270.259687500002</v>
      </c>
      <c r="E96" s="2" t="s">
        <v>669</v>
      </c>
    </row>
    <row r="97" spans="1:5" x14ac:dyDescent="0.25">
      <c r="A97" s="2" t="s">
        <v>789</v>
      </c>
      <c r="B97" s="2" t="s">
        <v>790</v>
      </c>
      <c r="C97" s="2" t="s">
        <v>521</v>
      </c>
      <c r="D97" s="30">
        <v>44270.278599537036</v>
      </c>
      <c r="E97" s="2" t="s">
        <v>791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6"/>
  <sheetViews>
    <sheetView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511</v>
      </c>
      <c r="J53" t="s">
        <v>138</v>
      </c>
      <c r="K53" t="s">
        <v>138</v>
      </c>
      <c r="L53" t="s">
        <v>138</v>
      </c>
    </row>
    <row r="54" spans="2:12" x14ac:dyDescent="0.25">
      <c r="B54" t="s">
        <v>602</v>
      </c>
      <c r="K54">
        <v>0.3</v>
      </c>
      <c r="L54" t="s">
        <v>138</v>
      </c>
    </row>
    <row r="55" spans="2:12" hidden="1" x14ac:dyDescent="0.25">
      <c r="B55" t="s">
        <v>518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544</v>
      </c>
      <c r="K56" t="s">
        <v>138</v>
      </c>
      <c r="L56" t="s">
        <v>138</v>
      </c>
    </row>
    <row r="57" spans="2:12" hidden="1" x14ac:dyDescent="0.25">
      <c r="B57" t="s">
        <v>519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542</v>
      </c>
      <c r="K58" t="s">
        <v>138</v>
      </c>
      <c r="L58" t="s">
        <v>138</v>
      </c>
    </row>
    <row r="59" spans="2:12" hidden="1" x14ac:dyDescent="0.25">
      <c r="B59" t="s">
        <v>543</v>
      </c>
      <c r="K59" t="s">
        <v>138</v>
      </c>
      <c r="L59" t="s">
        <v>138</v>
      </c>
    </row>
    <row r="60" spans="2:12" x14ac:dyDescent="0.25">
      <c r="B60" t="s">
        <v>512</v>
      </c>
      <c r="J60">
        <v>0.25</v>
      </c>
      <c r="K60">
        <v>0.2</v>
      </c>
      <c r="L60">
        <v>0.2</v>
      </c>
    </row>
    <row r="61" spans="2:12" x14ac:dyDescent="0.25">
      <c r="B61" t="s">
        <v>517</v>
      </c>
      <c r="J61">
        <v>0.25</v>
      </c>
      <c r="K61">
        <v>0.2</v>
      </c>
      <c r="L61">
        <v>0.2</v>
      </c>
    </row>
    <row r="62" spans="2:12" x14ac:dyDescent="0.25">
      <c r="B62" t="s">
        <v>662</v>
      </c>
      <c r="K62">
        <v>0.2</v>
      </c>
      <c r="L62">
        <v>0.2</v>
      </c>
    </row>
    <row r="63" spans="2:12" x14ac:dyDescent="0.25">
      <c r="B63" t="s">
        <v>515</v>
      </c>
      <c r="J63">
        <v>0.5</v>
      </c>
      <c r="K63">
        <v>0.3</v>
      </c>
      <c r="L63">
        <v>0.3</v>
      </c>
    </row>
    <row r="64" spans="2:12" x14ac:dyDescent="0.25">
      <c r="B64" t="s">
        <v>692</v>
      </c>
      <c r="L64">
        <v>0.2</v>
      </c>
    </row>
    <row r="65" spans="2:12" x14ac:dyDescent="0.25">
      <c r="B65" t="s">
        <v>510</v>
      </c>
      <c r="J65">
        <v>0.25</v>
      </c>
      <c r="K65">
        <v>0.1</v>
      </c>
      <c r="L65">
        <v>0.1</v>
      </c>
    </row>
    <row r="66" spans="2:12" x14ac:dyDescent="0.25">
      <c r="B66" t="s">
        <v>514</v>
      </c>
      <c r="J66">
        <v>0.25</v>
      </c>
      <c r="K66">
        <v>0.25</v>
      </c>
      <c r="L66">
        <v>0.25</v>
      </c>
    </row>
    <row r="67" spans="2:12" x14ac:dyDescent="0.25">
      <c r="B67" t="s">
        <v>513</v>
      </c>
      <c r="J67">
        <v>0.5</v>
      </c>
      <c r="K67">
        <v>0.5</v>
      </c>
      <c r="L67">
        <v>0.5</v>
      </c>
    </row>
    <row r="68" spans="2:12" x14ac:dyDescent="0.25">
      <c r="B68" t="s">
        <v>509</v>
      </c>
      <c r="J68">
        <v>1</v>
      </c>
      <c r="K68">
        <v>1</v>
      </c>
      <c r="L68">
        <v>1</v>
      </c>
    </row>
    <row r="69" spans="2:12" x14ac:dyDescent="0.25">
      <c r="B69" t="s">
        <v>551</v>
      </c>
      <c r="K69">
        <v>0.2</v>
      </c>
      <c r="L69">
        <v>0.2</v>
      </c>
    </row>
    <row r="70" spans="2:12" x14ac:dyDescent="0.25">
      <c r="B70" t="s">
        <v>508</v>
      </c>
      <c r="J70">
        <v>0.5</v>
      </c>
      <c r="K70">
        <v>0.5</v>
      </c>
      <c r="L70">
        <v>0.5</v>
      </c>
    </row>
    <row r="71" spans="2:12" x14ac:dyDescent="0.25">
      <c r="B71" t="s">
        <v>72</v>
      </c>
      <c r="C71">
        <v>3</v>
      </c>
      <c r="D71">
        <v>3</v>
      </c>
      <c r="J71">
        <v>2</v>
      </c>
      <c r="K71">
        <v>2</v>
      </c>
      <c r="L71">
        <v>2</v>
      </c>
    </row>
    <row r="73" spans="2:12" x14ac:dyDescent="0.25">
      <c r="B73" s="27">
        <f>0+C73+D73</f>
        <v>26</v>
      </c>
      <c r="C73" s="28">
        <f>SUM(C18:C71)</f>
        <v>11.5</v>
      </c>
      <c r="D73" s="29">
        <f>SUM(D18:D71)</f>
        <v>14.5</v>
      </c>
      <c r="F73" s="17">
        <f t="shared" ref="F73:L73" si="0">SUMIF(F18:F72,"",$C18:$C72)+SUMIF(F18:F72,"",$D18:$D72)+SUBTOTAL(109,F18:F72)</f>
        <v>24.5</v>
      </c>
      <c r="G73" s="17">
        <f t="shared" si="0"/>
        <v>23.75</v>
      </c>
      <c r="H73" s="17">
        <f t="shared" si="0"/>
        <v>24</v>
      </c>
      <c r="I73" s="17">
        <f t="shared" si="0"/>
        <v>19</v>
      </c>
      <c r="J73" s="17">
        <f t="shared" si="0"/>
        <v>10.5</v>
      </c>
      <c r="K73" s="17">
        <f t="shared" ref="K73" si="1">SUMIF(K18:K72,"",$C18:$C72)+SUMIF(K18:K72,"",$D18:$D72)+SUBTOTAL(109,K18:K72)</f>
        <v>10.75</v>
      </c>
      <c r="L73" s="17">
        <f t="shared" si="0"/>
        <v>10.65</v>
      </c>
    </row>
    <row r="76" spans="2:12" x14ac:dyDescent="0.25">
      <c r="B76" t="s">
        <v>46</v>
      </c>
    </row>
  </sheetData>
  <autoFilter ref="F17:L73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539</v>
      </c>
      <c r="B11" t="s">
        <v>540</v>
      </c>
      <c r="C11" t="s">
        <v>541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600</v>
      </c>
      <c r="H33" s="2" t="s">
        <v>601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372</v>
      </c>
      <c r="B40" s="2"/>
      <c r="C40" s="2"/>
      <c r="D40" s="2"/>
      <c r="E40" s="2"/>
      <c r="F40" s="2"/>
      <c r="G40" s="2" t="s">
        <v>470</v>
      </c>
      <c r="H40" s="2" t="s">
        <v>17</v>
      </c>
    </row>
    <row r="41" spans="1:8" x14ac:dyDescent="0.25">
      <c r="A41" s="36" t="s">
        <v>373</v>
      </c>
      <c r="B41" s="2"/>
      <c r="C41" s="2"/>
      <c r="D41" s="2"/>
      <c r="E41" s="2"/>
      <c r="F41" s="2"/>
      <c r="G41" s="2" t="s">
        <v>471</v>
      </c>
      <c r="H41" s="2" t="s">
        <v>472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473</v>
      </c>
      <c r="H42" s="2" t="s">
        <v>474</v>
      </c>
    </row>
    <row r="43" spans="1:8" x14ac:dyDescent="0.25">
      <c r="A43" s="36" t="s">
        <v>450</v>
      </c>
      <c r="B43" s="2"/>
      <c r="C43" s="2"/>
      <c r="D43" s="2"/>
      <c r="E43" s="2"/>
      <c r="F43" s="2"/>
      <c r="G43" s="2" t="s">
        <v>475</v>
      </c>
      <c r="H43" s="38" t="s">
        <v>483</v>
      </c>
    </row>
    <row r="44" spans="1:8" x14ac:dyDescent="0.25">
      <c r="A44" s="36" t="s">
        <v>451</v>
      </c>
      <c r="B44" s="2"/>
      <c r="C44" s="2"/>
      <c r="D44" s="2"/>
      <c r="E44" s="2"/>
      <c r="F44" s="2"/>
      <c r="G44" s="2" t="s">
        <v>479</v>
      </c>
      <c r="H44" s="2" t="s">
        <v>481</v>
      </c>
    </row>
    <row r="45" spans="1:8" x14ac:dyDescent="0.25">
      <c r="A45" s="36" t="s">
        <v>452</v>
      </c>
      <c r="B45" s="2"/>
      <c r="C45" s="2"/>
      <c r="D45" s="2"/>
      <c r="E45" s="2"/>
      <c r="F45" s="2"/>
      <c r="G45" s="2" t="s">
        <v>476</v>
      </c>
      <c r="H45" s="38" t="s">
        <v>484</v>
      </c>
    </row>
    <row r="46" spans="1:8" x14ac:dyDescent="0.25">
      <c r="A46" s="36" t="s">
        <v>453</v>
      </c>
      <c r="B46" s="2"/>
      <c r="C46" s="2"/>
      <c r="D46" s="2"/>
      <c r="E46" s="2"/>
      <c r="F46" s="2"/>
      <c r="G46" s="2" t="s">
        <v>480</v>
      </c>
      <c r="H46" s="2" t="s">
        <v>482</v>
      </c>
    </row>
    <row r="47" spans="1:8" x14ac:dyDescent="0.25">
      <c r="A47" s="36" t="s">
        <v>454</v>
      </c>
      <c r="B47" s="2"/>
      <c r="C47" s="2"/>
      <c r="D47" s="2"/>
      <c r="E47" s="2"/>
      <c r="F47" s="2"/>
      <c r="G47" s="2" t="s">
        <v>485</v>
      </c>
      <c r="H47" s="2" t="s">
        <v>486</v>
      </c>
    </row>
    <row r="48" spans="1:8" x14ac:dyDescent="0.25">
      <c r="A48" s="36" t="s">
        <v>455</v>
      </c>
      <c r="B48" s="2"/>
      <c r="C48" s="2"/>
      <c r="D48" s="2"/>
      <c r="E48" s="2"/>
      <c r="F48" s="2"/>
      <c r="G48" s="2" t="s">
        <v>487</v>
      </c>
      <c r="H48" s="2" t="s">
        <v>488</v>
      </c>
    </row>
    <row r="49" spans="1:8" x14ac:dyDescent="0.25">
      <c r="A49" s="36" t="s">
        <v>456</v>
      </c>
      <c r="B49" s="2"/>
      <c r="C49" s="2"/>
      <c r="D49" s="2"/>
      <c r="E49" s="2"/>
      <c r="F49" s="2"/>
      <c r="G49" s="2" t="s">
        <v>477</v>
      </c>
      <c r="H49" s="2" t="s">
        <v>489</v>
      </c>
    </row>
    <row r="50" spans="1:8" x14ac:dyDescent="0.25">
      <c r="A50" s="36" t="s">
        <v>457</v>
      </c>
      <c r="B50" s="2"/>
      <c r="C50" s="2"/>
      <c r="D50" s="2"/>
      <c r="E50" s="2"/>
      <c r="F50" s="2"/>
      <c r="G50" s="2" t="s">
        <v>490</v>
      </c>
      <c r="H50" s="2" t="s">
        <v>491</v>
      </c>
    </row>
    <row r="51" spans="1:8" x14ac:dyDescent="0.25">
      <c r="A51" s="36" t="s">
        <v>458</v>
      </c>
      <c r="B51" s="2"/>
      <c r="C51" s="2"/>
      <c r="D51" s="2"/>
      <c r="E51" s="2"/>
      <c r="F51" s="2"/>
      <c r="G51" s="2" t="s">
        <v>478</v>
      </c>
      <c r="H51" s="2" t="s">
        <v>492</v>
      </c>
    </row>
    <row r="52" spans="1:8" x14ac:dyDescent="0.25">
      <c r="A52" s="36" t="s">
        <v>459</v>
      </c>
      <c r="B52" s="2"/>
      <c r="C52" s="2"/>
      <c r="D52" s="2"/>
      <c r="E52" s="2"/>
      <c r="F52" s="2"/>
      <c r="G52" s="36" t="s">
        <v>545</v>
      </c>
      <c r="H52" s="36" t="s">
        <v>546</v>
      </c>
    </row>
    <row r="53" spans="1:8" x14ac:dyDescent="0.25">
      <c r="A53" s="36" t="s">
        <v>460</v>
      </c>
      <c r="B53" s="2"/>
      <c r="C53" s="2"/>
      <c r="D53" s="2"/>
      <c r="E53" s="2"/>
      <c r="F53" s="2"/>
      <c r="G53" s="36" t="s">
        <v>548</v>
      </c>
      <c r="H53" s="36" t="s">
        <v>547</v>
      </c>
    </row>
    <row r="54" spans="1:8" x14ac:dyDescent="0.25">
      <c r="A54" s="36" t="s">
        <v>461</v>
      </c>
      <c r="B54" s="2"/>
      <c r="C54" s="2"/>
      <c r="D54" s="2"/>
      <c r="E54" s="2"/>
      <c r="F54" s="2"/>
      <c r="G54" s="36" t="s">
        <v>549</v>
      </c>
      <c r="H54" s="36" t="s">
        <v>550</v>
      </c>
    </row>
    <row r="55" spans="1:8" x14ac:dyDescent="0.25">
      <c r="A55" s="36" t="s">
        <v>462</v>
      </c>
      <c r="B55" s="2"/>
      <c r="C55" s="2"/>
      <c r="D55" s="2"/>
      <c r="E55" s="2"/>
      <c r="F55" s="2"/>
      <c r="G55" s="36" t="s">
        <v>552</v>
      </c>
      <c r="H55" s="36" t="s">
        <v>553</v>
      </c>
    </row>
    <row r="56" spans="1:8" x14ac:dyDescent="0.25">
      <c r="A56" s="36" t="s">
        <v>463</v>
      </c>
      <c r="B56" s="2"/>
      <c r="C56" s="2"/>
      <c r="D56" s="2"/>
      <c r="E56" s="2"/>
      <c r="F56" s="2"/>
      <c r="G56" s="36" t="s">
        <v>554</v>
      </c>
      <c r="H56" s="36" t="s">
        <v>556</v>
      </c>
    </row>
    <row r="57" spans="1:8" x14ac:dyDescent="0.25">
      <c r="A57" s="36" t="s">
        <v>464</v>
      </c>
      <c r="B57" s="2"/>
      <c r="C57" s="2"/>
      <c r="D57" s="2"/>
      <c r="E57" s="2"/>
      <c r="F57" s="2"/>
      <c r="G57" s="36" t="s">
        <v>555</v>
      </c>
      <c r="H57" s="36" t="s">
        <v>557</v>
      </c>
    </row>
    <row r="58" spans="1:8" x14ac:dyDescent="0.25">
      <c r="A58" s="36" t="s">
        <v>465</v>
      </c>
      <c r="B58" s="2"/>
      <c r="C58" s="2"/>
      <c r="D58" s="2"/>
      <c r="E58" s="2"/>
      <c r="F58" s="2"/>
      <c r="G58" s="36" t="s">
        <v>558</v>
      </c>
      <c r="H58" s="36" t="s">
        <v>559</v>
      </c>
    </row>
    <row r="59" spans="1:8" x14ac:dyDescent="0.25">
      <c r="A59" s="36" t="s">
        <v>466</v>
      </c>
      <c r="B59" s="2"/>
      <c r="C59" s="2"/>
      <c r="D59" s="2"/>
      <c r="E59" s="2"/>
      <c r="F59" s="2"/>
      <c r="G59" s="36" t="s">
        <v>560</v>
      </c>
      <c r="H59" s="36" t="s">
        <v>561</v>
      </c>
    </row>
    <row r="60" spans="1:8" x14ac:dyDescent="0.25">
      <c r="A60" s="36" t="s">
        <v>467</v>
      </c>
      <c r="B60" s="2"/>
      <c r="C60" s="2"/>
      <c r="D60" s="2"/>
      <c r="E60" s="2"/>
      <c r="F60" s="2"/>
      <c r="G60" s="36" t="s">
        <v>562</v>
      </c>
      <c r="H60" s="36" t="s">
        <v>563</v>
      </c>
    </row>
    <row r="61" spans="1:8" x14ac:dyDescent="0.25">
      <c r="A61" s="36" t="s">
        <v>468</v>
      </c>
      <c r="B61" s="2"/>
      <c r="C61" s="2"/>
      <c r="D61" s="2"/>
      <c r="E61" s="2"/>
      <c r="F61" s="2"/>
      <c r="G61" s="36" t="s">
        <v>564</v>
      </c>
      <c r="H61" s="36" t="s">
        <v>565</v>
      </c>
    </row>
    <row r="62" spans="1:8" x14ac:dyDescent="0.25">
      <c r="A62" s="36" t="s">
        <v>469</v>
      </c>
      <c r="B62" s="2"/>
      <c r="C62" s="2"/>
      <c r="D62" s="2"/>
      <c r="E62" s="2"/>
      <c r="F62" s="2"/>
      <c r="G62" s="36" t="s">
        <v>566</v>
      </c>
      <c r="H62" s="36" t="s">
        <v>567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568</v>
      </c>
      <c r="H64" s="35" t="s">
        <v>569</v>
      </c>
    </row>
    <row r="65" spans="1:8" x14ac:dyDescent="0.25">
      <c r="A65" s="36" t="s">
        <v>407</v>
      </c>
      <c r="B65" s="2"/>
      <c r="C65" s="2"/>
      <c r="D65" s="2"/>
      <c r="E65" s="2"/>
      <c r="F65" s="2"/>
      <c r="G65" s="36" t="s">
        <v>570</v>
      </c>
      <c r="H65" s="36" t="s">
        <v>571</v>
      </c>
    </row>
    <row r="66" spans="1:8" x14ac:dyDescent="0.25">
      <c r="A66" s="36" t="s">
        <v>408</v>
      </c>
      <c r="B66" s="2"/>
      <c r="C66" s="2"/>
      <c r="D66" s="2"/>
      <c r="E66" s="2"/>
      <c r="F66" s="2"/>
      <c r="G66" s="36" t="s">
        <v>572</v>
      </c>
      <c r="H66" s="36" t="s">
        <v>573</v>
      </c>
    </row>
    <row r="67" spans="1:8" x14ac:dyDescent="0.25">
      <c r="A67" s="36" t="s">
        <v>409</v>
      </c>
      <c r="B67" s="2"/>
      <c r="C67" s="2"/>
      <c r="D67" s="2"/>
      <c r="E67" s="2"/>
      <c r="F67" s="2"/>
      <c r="G67" s="36" t="s">
        <v>574</v>
      </c>
      <c r="H67" s="36" t="s">
        <v>575</v>
      </c>
    </row>
    <row r="68" spans="1:8" x14ac:dyDescent="0.25">
      <c r="A68" s="36" t="s">
        <v>410</v>
      </c>
      <c r="B68" s="2"/>
      <c r="C68" s="2"/>
      <c r="D68" s="2"/>
      <c r="E68" s="2"/>
      <c r="F68" s="2"/>
      <c r="G68" s="36" t="s">
        <v>576</v>
      </c>
      <c r="H68" s="36" t="s">
        <v>577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578</v>
      </c>
      <c r="H69" s="35" t="s">
        <v>579</v>
      </c>
    </row>
    <row r="70" spans="1:8" x14ac:dyDescent="0.25">
      <c r="A70" s="36" t="s">
        <v>411</v>
      </c>
      <c r="B70" s="2"/>
      <c r="C70" s="2"/>
      <c r="D70" s="2"/>
      <c r="E70" s="2"/>
      <c r="F70" s="2"/>
      <c r="G70" s="36" t="s">
        <v>580</v>
      </c>
      <c r="H70" s="36" t="s">
        <v>586</v>
      </c>
    </row>
    <row r="71" spans="1:8" x14ac:dyDescent="0.25">
      <c r="A71" s="36" t="s">
        <v>412</v>
      </c>
      <c r="B71" s="2"/>
      <c r="C71" s="2"/>
      <c r="D71" s="2"/>
      <c r="E71" s="2"/>
      <c r="F71" s="2"/>
      <c r="G71" s="36" t="s">
        <v>583</v>
      </c>
      <c r="H71" s="36" t="s">
        <v>587</v>
      </c>
    </row>
    <row r="72" spans="1:8" x14ac:dyDescent="0.25">
      <c r="A72" s="36" t="s">
        <v>413</v>
      </c>
      <c r="B72" s="2"/>
      <c r="C72" s="2"/>
      <c r="D72" s="2"/>
      <c r="E72" s="2"/>
      <c r="F72" s="2"/>
      <c r="G72" s="36" t="s">
        <v>584</v>
      </c>
      <c r="H72" s="36" t="s">
        <v>588</v>
      </c>
    </row>
    <row r="73" spans="1:8" x14ac:dyDescent="0.25">
      <c r="A73" s="36" t="s">
        <v>414</v>
      </c>
      <c r="B73" s="2"/>
      <c r="C73" s="2"/>
      <c r="D73" s="2"/>
      <c r="E73" s="2"/>
      <c r="F73" s="2"/>
      <c r="G73" s="36" t="s">
        <v>585</v>
      </c>
      <c r="H73" s="36" t="s">
        <v>589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581</v>
      </c>
      <c r="H74" s="35" t="s">
        <v>582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415</v>
      </c>
      <c r="B76" s="2"/>
      <c r="C76" s="2"/>
      <c r="D76" s="2"/>
      <c r="E76" s="2"/>
      <c r="F76" s="2"/>
      <c r="G76" s="36" t="s">
        <v>590</v>
      </c>
      <c r="H76" s="36" t="s">
        <v>591</v>
      </c>
    </row>
    <row r="77" spans="1:8" x14ac:dyDescent="0.25">
      <c r="A77" s="36" t="s">
        <v>416</v>
      </c>
      <c r="B77" s="2"/>
      <c r="C77" s="2"/>
      <c r="D77" s="2"/>
      <c r="E77" s="2"/>
      <c r="F77" s="2"/>
      <c r="G77" s="36" t="s">
        <v>592</v>
      </c>
      <c r="H77" s="36" t="s">
        <v>593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473</v>
      </c>
      <c r="H78" s="35" t="s">
        <v>474</v>
      </c>
    </row>
    <row r="79" spans="1:8" x14ac:dyDescent="0.25">
      <c r="A79" s="36" t="s">
        <v>417</v>
      </c>
      <c r="B79" s="2"/>
      <c r="C79" s="2"/>
      <c r="D79" s="2"/>
      <c r="E79" s="2"/>
      <c r="F79" s="2"/>
      <c r="G79" s="2" t="s">
        <v>475</v>
      </c>
      <c r="H79" s="38" t="s">
        <v>483</v>
      </c>
    </row>
    <row r="80" spans="1:8" x14ac:dyDescent="0.25">
      <c r="A80" s="36" t="s">
        <v>436</v>
      </c>
      <c r="B80" s="2"/>
      <c r="C80" s="2"/>
      <c r="D80" s="2"/>
      <c r="E80" s="2"/>
      <c r="F80" s="2"/>
      <c r="G80" s="2" t="s">
        <v>479</v>
      </c>
      <c r="H80" s="2" t="s">
        <v>481</v>
      </c>
    </row>
    <row r="81" spans="1:8" x14ac:dyDescent="0.25">
      <c r="A81" s="36" t="s">
        <v>418</v>
      </c>
      <c r="B81" s="2"/>
      <c r="C81" s="2"/>
      <c r="D81" s="2"/>
      <c r="E81" s="2"/>
      <c r="F81" s="2"/>
      <c r="G81" s="2" t="s">
        <v>476</v>
      </c>
      <c r="H81" s="38" t="s">
        <v>484</v>
      </c>
    </row>
    <row r="82" spans="1:8" x14ac:dyDescent="0.25">
      <c r="A82" s="36" t="s">
        <v>449</v>
      </c>
      <c r="B82" s="2"/>
      <c r="C82" s="2"/>
      <c r="D82" s="2"/>
      <c r="E82" s="2"/>
      <c r="F82" s="2"/>
      <c r="G82" s="2" t="s">
        <v>480</v>
      </c>
      <c r="H82" s="2" t="s">
        <v>482</v>
      </c>
    </row>
    <row r="83" spans="1:8" x14ac:dyDescent="0.25">
      <c r="A83" s="36" t="s">
        <v>419</v>
      </c>
      <c r="B83" s="2"/>
      <c r="C83" s="2"/>
      <c r="D83" s="2"/>
      <c r="E83" s="2"/>
      <c r="F83" s="2"/>
      <c r="G83" s="2" t="s">
        <v>485</v>
      </c>
      <c r="H83" s="2" t="s">
        <v>486</v>
      </c>
    </row>
    <row r="84" spans="1:8" x14ac:dyDescent="0.25">
      <c r="A84" s="36" t="s">
        <v>437</v>
      </c>
      <c r="B84" s="2"/>
      <c r="C84" s="2"/>
      <c r="D84" s="2"/>
      <c r="E84" s="2"/>
      <c r="F84" s="2"/>
      <c r="G84" s="2" t="s">
        <v>487</v>
      </c>
      <c r="H84" s="2" t="s">
        <v>488</v>
      </c>
    </row>
    <row r="85" spans="1:8" x14ac:dyDescent="0.25">
      <c r="A85" s="36" t="s">
        <v>420</v>
      </c>
      <c r="B85" s="2"/>
      <c r="C85" s="2"/>
      <c r="D85" s="2"/>
      <c r="E85" s="2"/>
      <c r="F85" s="2"/>
      <c r="G85" s="2" t="s">
        <v>477</v>
      </c>
      <c r="H85" s="2" t="s">
        <v>489</v>
      </c>
    </row>
    <row r="86" spans="1:8" x14ac:dyDescent="0.25">
      <c r="A86" s="36" t="s">
        <v>421</v>
      </c>
      <c r="B86" s="2"/>
      <c r="C86" s="2"/>
      <c r="D86" s="2"/>
      <c r="E86" s="2"/>
      <c r="F86" s="2"/>
      <c r="G86" s="2" t="s">
        <v>490</v>
      </c>
      <c r="H86" s="2" t="s">
        <v>491</v>
      </c>
    </row>
    <row r="87" spans="1:8" x14ac:dyDescent="0.25">
      <c r="A87" s="36" t="s">
        <v>422</v>
      </c>
      <c r="B87" s="2"/>
      <c r="C87" s="2"/>
      <c r="D87" s="2"/>
      <c r="E87" s="2"/>
      <c r="F87" s="2"/>
      <c r="G87" s="2" t="s">
        <v>478</v>
      </c>
      <c r="H87" s="2" t="s">
        <v>492</v>
      </c>
    </row>
    <row r="88" spans="1:8" x14ac:dyDescent="0.25">
      <c r="A88" s="36" t="s">
        <v>423</v>
      </c>
      <c r="B88" s="2"/>
      <c r="C88" s="2"/>
      <c r="D88" s="2"/>
      <c r="E88" s="2"/>
      <c r="F88" s="2"/>
      <c r="G88" s="36" t="s">
        <v>545</v>
      </c>
      <c r="H88" s="36" t="s">
        <v>546</v>
      </c>
    </row>
    <row r="89" spans="1:8" x14ac:dyDescent="0.25">
      <c r="A89" s="36" t="s">
        <v>438</v>
      </c>
      <c r="B89" s="2"/>
      <c r="C89" s="2"/>
      <c r="D89" s="2"/>
      <c r="E89" s="2"/>
      <c r="F89" s="2"/>
      <c r="G89" s="36" t="s">
        <v>548</v>
      </c>
      <c r="H89" s="36" t="s">
        <v>547</v>
      </c>
    </row>
    <row r="90" spans="1:8" x14ac:dyDescent="0.25">
      <c r="A90" s="36" t="s">
        <v>424</v>
      </c>
      <c r="B90" s="2"/>
      <c r="C90" s="2"/>
      <c r="D90" s="2"/>
      <c r="E90" s="2"/>
      <c r="F90" s="2"/>
      <c r="G90" s="36" t="s">
        <v>549</v>
      </c>
      <c r="H90" s="36" t="s">
        <v>550</v>
      </c>
    </row>
    <row r="91" spans="1:8" x14ac:dyDescent="0.25">
      <c r="A91" s="36" t="s">
        <v>439</v>
      </c>
      <c r="B91" s="2"/>
      <c r="C91" s="2"/>
      <c r="D91" s="2"/>
      <c r="E91" s="2"/>
      <c r="F91" s="2"/>
      <c r="G91" s="36" t="s">
        <v>552</v>
      </c>
      <c r="H91" s="36" t="s">
        <v>553</v>
      </c>
    </row>
    <row r="92" spans="1:8" x14ac:dyDescent="0.25">
      <c r="A92" s="36" t="s">
        <v>425</v>
      </c>
      <c r="B92" s="2"/>
      <c r="C92" s="2"/>
      <c r="D92" s="2"/>
      <c r="E92" s="2"/>
      <c r="F92" s="2"/>
      <c r="G92" s="36" t="s">
        <v>554</v>
      </c>
      <c r="H92" s="36" t="s">
        <v>556</v>
      </c>
    </row>
    <row r="93" spans="1:8" x14ac:dyDescent="0.25">
      <c r="A93" s="36" t="s">
        <v>426</v>
      </c>
      <c r="B93" s="2"/>
      <c r="C93" s="2"/>
      <c r="D93" s="2"/>
      <c r="E93" s="2"/>
      <c r="F93" s="2"/>
      <c r="G93" s="36" t="s">
        <v>555</v>
      </c>
      <c r="H93" s="36" t="s">
        <v>557</v>
      </c>
    </row>
    <row r="94" spans="1:8" x14ac:dyDescent="0.25">
      <c r="A94" s="36" t="s">
        <v>440</v>
      </c>
      <c r="B94" s="2"/>
      <c r="C94" s="2"/>
      <c r="D94" s="2"/>
      <c r="E94" s="2"/>
      <c r="F94" s="2"/>
      <c r="G94" s="36" t="s">
        <v>558</v>
      </c>
      <c r="H94" s="36" t="s">
        <v>559</v>
      </c>
    </row>
    <row r="95" spans="1:8" x14ac:dyDescent="0.25">
      <c r="A95" s="36" t="s">
        <v>427</v>
      </c>
      <c r="B95" s="2"/>
      <c r="C95" s="2"/>
      <c r="D95" s="2"/>
      <c r="E95" s="2"/>
      <c r="F95" s="2"/>
      <c r="G95" s="36" t="s">
        <v>560</v>
      </c>
      <c r="H95" s="36" t="s">
        <v>561</v>
      </c>
    </row>
    <row r="96" spans="1:8" x14ac:dyDescent="0.25">
      <c r="A96" s="36" t="s">
        <v>428</v>
      </c>
      <c r="B96" s="2"/>
      <c r="C96" s="2"/>
      <c r="D96" s="2"/>
      <c r="E96" s="2"/>
      <c r="F96" s="2"/>
      <c r="G96" s="36" t="s">
        <v>562</v>
      </c>
      <c r="H96" s="36" t="s">
        <v>563</v>
      </c>
    </row>
    <row r="97" spans="1:8" x14ac:dyDescent="0.25">
      <c r="A97" s="36" t="s">
        <v>429</v>
      </c>
      <c r="B97" s="2"/>
      <c r="C97" s="2"/>
      <c r="D97" s="2"/>
      <c r="E97" s="2"/>
      <c r="F97" s="2"/>
      <c r="G97" s="36" t="s">
        <v>564</v>
      </c>
      <c r="H97" s="36" t="s">
        <v>565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566</v>
      </c>
      <c r="H98" s="36" t="s">
        <v>567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431</v>
      </c>
      <c r="B100" s="2"/>
      <c r="C100" s="2"/>
      <c r="D100" s="2"/>
      <c r="E100" s="2"/>
      <c r="F100" s="2"/>
      <c r="G100" s="35" t="s">
        <v>598</v>
      </c>
      <c r="H100" s="35" t="s">
        <v>599</v>
      </c>
    </row>
    <row r="101" spans="1:8" x14ac:dyDescent="0.25">
      <c r="A101" s="36" t="s">
        <v>432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433</v>
      </c>
      <c r="B102" s="2"/>
      <c r="C102" s="2"/>
      <c r="D102" s="2"/>
      <c r="E102" s="2"/>
      <c r="F102" s="2"/>
      <c r="G102" s="36" t="s">
        <v>600</v>
      </c>
      <c r="H102" s="36" t="s">
        <v>601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568</v>
      </c>
      <c r="H103" s="35" t="s">
        <v>569</v>
      </c>
    </row>
    <row r="104" spans="1:8" x14ac:dyDescent="0.25">
      <c r="A104" s="36" t="s">
        <v>434</v>
      </c>
      <c r="B104" s="2"/>
      <c r="C104" s="2"/>
      <c r="D104" s="2"/>
      <c r="E104" s="2"/>
      <c r="F104" s="2"/>
      <c r="G104" s="35" t="s">
        <v>596</v>
      </c>
      <c r="H104" s="35" t="s">
        <v>597</v>
      </c>
    </row>
    <row r="105" spans="1:8" x14ac:dyDescent="0.25">
      <c r="A105" s="36" t="s">
        <v>441</v>
      </c>
      <c r="B105" s="2"/>
      <c r="C105" s="2"/>
      <c r="D105" s="2"/>
      <c r="E105" s="2"/>
      <c r="F105" s="2"/>
      <c r="G105" s="36" t="s">
        <v>570</v>
      </c>
      <c r="H105" s="36" t="s">
        <v>571</v>
      </c>
    </row>
    <row r="106" spans="1:8" x14ac:dyDescent="0.25">
      <c r="A106" s="36" t="s">
        <v>447</v>
      </c>
      <c r="B106" s="2"/>
      <c r="C106" s="2"/>
      <c r="D106" s="2"/>
      <c r="E106" s="2"/>
      <c r="F106" s="2"/>
      <c r="G106" s="36" t="s">
        <v>572</v>
      </c>
      <c r="H106" s="36" t="s">
        <v>573</v>
      </c>
    </row>
    <row r="107" spans="1:8" x14ac:dyDescent="0.25">
      <c r="A107" s="36" t="s">
        <v>448</v>
      </c>
      <c r="B107" s="2"/>
      <c r="C107" s="2"/>
      <c r="D107" s="2"/>
      <c r="E107" s="2"/>
      <c r="F107" s="2"/>
      <c r="G107" s="36" t="s">
        <v>574</v>
      </c>
      <c r="H107" s="36" t="s">
        <v>575</v>
      </c>
    </row>
    <row r="108" spans="1:8" x14ac:dyDescent="0.25">
      <c r="A108" s="36" t="s">
        <v>442</v>
      </c>
      <c r="B108" s="2"/>
      <c r="C108" s="2"/>
      <c r="D108" s="2"/>
      <c r="E108" s="2"/>
      <c r="F108" s="2"/>
      <c r="G108" s="36" t="s">
        <v>576</v>
      </c>
      <c r="H108" s="36" t="s">
        <v>577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578</v>
      </c>
      <c r="H109" s="35" t="s">
        <v>579</v>
      </c>
    </row>
    <row r="110" spans="1:8" x14ac:dyDescent="0.25">
      <c r="A110" s="36" t="s">
        <v>435</v>
      </c>
      <c r="B110" s="2"/>
      <c r="C110" s="2"/>
      <c r="D110" s="2"/>
      <c r="E110" s="2"/>
      <c r="F110" s="2"/>
      <c r="G110" s="35" t="s">
        <v>594</v>
      </c>
      <c r="H110" s="35" t="s">
        <v>595</v>
      </c>
    </row>
    <row r="111" spans="1:8" x14ac:dyDescent="0.25">
      <c r="A111" s="36" t="s">
        <v>443</v>
      </c>
      <c r="B111" s="2"/>
      <c r="C111" s="2"/>
      <c r="D111" s="2"/>
      <c r="E111" s="2"/>
      <c r="F111" s="2"/>
      <c r="G111" s="36" t="s">
        <v>580</v>
      </c>
      <c r="H111" s="36" t="s">
        <v>586</v>
      </c>
    </row>
    <row r="112" spans="1:8" x14ac:dyDescent="0.25">
      <c r="A112" s="36" t="s">
        <v>444</v>
      </c>
      <c r="B112" s="2"/>
      <c r="C112" s="2"/>
      <c r="D112" s="2"/>
      <c r="E112" s="2"/>
      <c r="F112" s="2"/>
      <c r="G112" s="36" t="s">
        <v>583</v>
      </c>
      <c r="H112" s="36" t="s">
        <v>587</v>
      </c>
    </row>
    <row r="113" spans="1:8" x14ac:dyDescent="0.25">
      <c r="A113" s="36" t="s">
        <v>445</v>
      </c>
      <c r="B113" s="2"/>
      <c r="C113" s="2"/>
      <c r="D113" s="2"/>
      <c r="E113" s="2"/>
      <c r="F113" s="2"/>
      <c r="G113" s="36" t="s">
        <v>584</v>
      </c>
      <c r="H113" s="36" t="s">
        <v>588</v>
      </c>
    </row>
    <row r="114" spans="1:8" x14ac:dyDescent="0.25">
      <c r="A114" s="36" t="s">
        <v>446</v>
      </c>
      <c r="B114" s="2"/>
      <c r="C114" s="2"/>
      <c r="D114" s="2"/>
      <c r="E114" s="2"/>
      <c r="F114" s="2"/>
      <c r="G114" s="36" t="s">
        <v>585</v>
      </c>
      <c r="H114" s="36" t="s">
        <v>589</v>
      </c>
    </row>
  </sheetData>
  <phoneticPr fontId="1" type="noConversion"/>
  <dataValidations count="1">
    <dataValidation type="list" showInputMessage="1" promptTitle="Langue" prompt="Choisir une langue" sqref="J1" xr:uid="{7866BFFE-9EC1-456C-9D50-F3380C1077EE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22" zoomScale="82" zoomScaleNormal="82" workbookViewId="0">
      <selection activeCell="K57" sqref="K57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682</v>
      </c>
      <c r="Q1" s="9" t="s">
        <v>693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603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605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604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683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679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684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690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691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685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686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687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688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689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604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691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691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604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681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680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690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691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685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686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687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688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689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604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691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691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10</vt:i4>
      </vt:variant>
    </vt:vector>
  </HeadingPairs>
  <TitlesOfParts>
    <vt:vector size="18" baseType="lpstr">
      <vt:lpstr>Liste des reportings</vt:lpstr>
      <vt:lpstr>A - 2000.09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tReportingNew8___RF_Save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2021-03-15T05:41:22Z</dcterms:modified>
</cp:coreProperties>
</file>