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3EAD09BB-215D-40DC-8DD8-D06B02F7753C}" xr6:coauthVersionLast="46" xr6:coauthVersionMax="46" xr10:uidLastSave="{00000000-0000-0000-0000-000000000000}"/>
  <bookViews>
    <workbookView xWindow="-120" yWindow="-120" windowWidth="29040" windowHeight="17640" tabRatio="723" xr2:uid="{00000000-000D-0000-FFFF-FFFF00000000}"/>
  </bookViews>
  <sheets>
    <sheet name="Liste des reportings" sheetId="6" r:id="rId1"/>
    <sheet name="A - 2003.12" sheetId="12" r:id="rId2"/>
    <sheet name="A - 2000.12" sheetId="11" r:id="rId3"/>
    <sheet name="CACHE" sheetId="10" r:id="rId4"/>
    <sheet name="Planning" sheetId="4" r:id="rId5"/>
    <sheet name="History" sheetId="7" r:id="rId6"/>
    <sheet name="I18N" sheetId="2" r:id="rId7"/>
    <sheet name="JSON" sheetId="8" r:id="rId8"/>
  </sheets>
  <functionGroups builtInGroupCount="19"/>
  <definedNames>
    <definedName name="_xlnm._FilterDatabase" localSheetId="0" hidden="1">'Liste des reportings'!$C$10:$E$14</definedName>
    <definedName name="cell_JSON_Param">JSON!$I$1</definedName>
    <definedName name="cellLanguage">I18N!$J$1</definedName>
    <definedName name="lCategory">Planning!$B$3:$B$5</definedName>
    <definedName name="lCategoryVersion">Planning!$B$9</definedName>
    <definedName name="lFolders">Planning!$B$12:$B$13</definedName>
    <definedName name="tReporting52428888___RF_Save">'A - 2000.12'!$B$2</definedName>
    <definedName name="tReporting79___RF_Save">'A - 2003.12'!$B$2</definedName>
    <definedName name="tReporting84___RF_Save">#REF!</definedName>
    <definedName name="tReportingNew10___RF_Save">#REF!</definedName>
    <definedName name="tReportingNew11___RF_Save">#REF!</definedName>
    <definedName name="tReportingNew12___RF_Save">#REF!</definedName>
    <definedName name="tReportingNew13___RF_Save">#REF!</definedName>
    <definedName name="tReportingNew14___RF_Save">#REF!</definedName>
    <definedName name="tReportingNew5___RF_Save">#REF!</definedName>
    <definedName name="tReportingNew8___RF_Save">#REF!</definedName>
    <definedName name="tReportings____ROWS_">'Liste des reportings'!$H$14:$I$41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G3" i="11" l="1"/>
  <c r="CG3" i="12"/>
  <c r="F11" i="6"/>
  <c r="J55" i="4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BN4" i="11"/>
  <c r="BM4" i="11"/>
  <c r="BL4" i="11"/>
  <c r="BK4" i="11"/>
  <c r="BJ4" i="11"/>
  <c r="BI4" i="11"/>
  <c r="BH4" i="11"/>
  <c r="BG4" i="11"/>
  <c r="BF4" i="11"/>
  <c r="BE4" i="11"/>
  <c r="BD4" i="11"/>
  <c r="BC4" i="11"/>
  <c r="BB4" i="11"/>
  <c r="BA4" i="11"/>
  <c r="AZ4" i="11"/>
  <c r="AY4" i="11"/>
  <c r="AX4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C4" i="11"/>
  <c r="B4" i="11"/>
  <c r="B2" i="11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C4" i="12"/>
  <c r="B4" i="12"/>
  <c r="B2" i="12"/>
  <c r="I41" i="6"/>
  <c r="I37" i="6"/>
  <c r="I33" i="6"/>
  <c r="I29" i="6"/>
  <c r="I25" i="6"/>
  <c r="I21" i="6"/>
  <c r="I17" i="6"/>
  <c r="H21" i="6"/>
  <c r="I40" i="6"/>
  <c r="I32" i="6"/>
  <c r="I24" i="6"/>
  <c r="I16" i="6"/>
  <c r="H36" i="6"/>
  <c r="H28" i="6"/>
  <c r="H16" i="6"/>
  <c r="I31" i="6"/>
  <c r="I19" i="6"/>
  <c r="H31" i="6"/>
  <c r="H19" i="6"/>
  <c r="I30" i="6"/>
  <c r="I18" i="6"/>
  <c r="H41" i="6"/>
  <c r="H37" i="6"/>
  <c r="H33" i="6"/>
  <c r="H29" i="6"/>
  <c r="H25" i="6"/>
  <c r="H17" i="6"/>
  <c r="I36" i="6"/>
  <c r="I28" i="6"/>
  <c r="I20" i="6"/>
  <c r="H40" i="6"/>
  <c r="H32" i="6"/>
  <c r="H24" i="6"/>
  <c r="I39" i="6"/>
  <c r="I27" i="6"/>
  <c r="I15" i="6"/>
  <c r="H35" i="6"/>
  <c r="H23" i="6"/>
  <c r="I38" i="6"/>
  <c r="I22" i="6"/>
  <c r="I34" i="6"/>
  <c r="H38" i="6"/>
  <c r="H34" i="6"/>
  <c r="H30" i="6"/>
  <c r="H26" i="6"/>
  <c r="H22" i="6"/>
  <c r="H18" i="6"/>
  <c r="H20" i="6"/>
  <c r="I35" i="6"/>
  <c r="I23" i="6"/>
  <c r="H39" i="6"/>
  <c r="H27" i="6"/>
  <c r="H15" i="6"/>
  <c r="I26" i="6"/>
  <c r="I14" i="6"/>
  <c r="H14" i="6"/>
  <c r="F12" i="6"/>
  <c r="E12" i="6"/>
  <c r="D12" i="6"/>
  <c r="C12" i="6"/>
  <c r="D10" i="6"/>
  <c r="I55" i="4" l="1"/>
  <c r="H55" i="4"/>
  <c r="F55" i="4" l="1"/>
  <c r="G55" i="4"/>
  <c r="D55" i="4"/>
  <c r="B55" i="4" s="1"/>
  <c r="C55" i="4"/>
  <c r="I4" i="6" a="1"/>
  <c r="I4" i="6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<sst xmlns="http://schemas.openxmlformats.org/spreadsheetml/2006/main" count="1510" uniqueCount="688">
  <si>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</si>
  <si>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</si>
  <si>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</si>
  <si>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</si>
  <si>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</si>
  <si>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</si>
  <si>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</si>
  <si>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</si>
  <si>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</si>
  <si>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</si>
  <si>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</si>
  <si>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</si>
  <si>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</si>
  <si>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</si>
  <si>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</si>
  <si>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</si>
  <si>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</si>
  <si>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</si>
  <si>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</si>
  <si>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</si>
  <si>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</si>
  <si>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</si>
  <si>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</si>
  <si>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</si>
  <si>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</si>
  <si>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</si>
  <si>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</si>
  <si>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</si>
  <si>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</si>
  <si>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</si>
  <si>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</si>
  <si>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</si>
  <si>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</si>
  <si>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</si>
  <si>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</si>
  <si>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</si>
  <si>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</si>
  <si>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</si>
  <si>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</si>
  <si>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</si>
  <si>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</si>
  <si>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</si>
  <si>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</si>
  <si>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</si>
  <si>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</si>
  <si>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</si>
  <si>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</si>
  <si>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</si>
  <si>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</si>
  <si>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</si>
  <si>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</si>
  <si>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</si>
  <si>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</si>
  <si>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</si>
  <si>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</si>
  <si>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</si>
  <si>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</si>
  <si>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</si>
  <si>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</si>
  <si>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</si>
  <si>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</si>
  <si>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</si>
  <si>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</si>
  <si>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</si>
  <si>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</si>
  <si>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</si>
  <si>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</si>
  <si>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</si>
  <si>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</si>
  <si>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</si>
  <si>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</si>
  <si>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</si>
  <si>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</si>
  <si>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</si>
  <si>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</si>
  <si>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</si>
  <si>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</si>
  <si>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</si>
  <si>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</si>
  <si>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</si>
  <si>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</si>
  <si>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</si>
  <si>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</si>
  <si>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</si>
  <si>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</si>
  <si>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</si>
  <si>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</si>
  <si>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</si>
  <si>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</si>
  <si>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</si>
  <si>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</si>
  <si>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</si>
  <si>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</si>
  <si>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</si>
  <si>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</si>
  <si>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</si>
  <si>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</si>
  <si>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</si>
  <si>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</si>
  <si>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</si>
  <si>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</si>
  <si>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</si>
  <si>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</si>
  <si>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</si>
  <si>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</si>
  <si>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</si>
  <si>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</si>
  <si>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</si>
  <si>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</si>
  <si>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</si>
  <si>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</si>
  <si>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</si>
  <si>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</si>
  <si>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</si>
  <si>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</si>
  <si>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</si>
  <si>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</si>
  <si>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</si>
  <si>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</si>
  <si>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</si>
  <si>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</si>
  <si>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</si>
  <si>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</si>
  <si>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</si>
  <si>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</si>
  <si>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</si>
  <si>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</si>
  <si>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</si>
  <si>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</si>
  <si>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</si>
  <si>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</si>
  <si>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</si>
  <si>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</si>
  <si>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</si>
  <si>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</si>
  <si>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</si>
  <si>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</si>
  <si>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</si>
  <si>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</si>
  <si>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</si>
  <si>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</si>
  <si>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</si>
  <si>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</si>
  <si>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</si>
  <si>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</si>
  <si>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</si>
  <si>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</si>
  <si>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</si>
  <si>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</si>
  <si>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</si>
  <si>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</si>
  <si>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</si>
  <si>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</si>
  <si>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</si>
  <si>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</si>
  <si>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</si>
  <si>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</si>
  <si>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</si>
  <si>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</si>
  <si>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</si>
  <si>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</si>
  <si>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</si>
  <si>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</si>
  <si>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</si>
  <si>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</si>
  <si>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</si>
  <si>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</si>
  <si>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</si>
  <si>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</si>
  <si>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</si>
  <si>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</si>
  <si>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</si>
  <si>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</si>
  <si>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</si>
  <si>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</si>
  <si>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</si>
  <si>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</si>
  <si>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</si>
  <si>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</si>
  <si>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</si>
  <si>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</si>
  <si>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</si>
  <si>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</si>
  <si>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</si>
  <si>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</si>
  <si>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</si>
  <si>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Early publishing</t>
  </si>
  <si>
    <t>Publication anticipée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</si>
  <si>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</si>
  <si>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</si>
  <si>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</si>
  <si>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</si>
  <si>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</si>
  <si>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</si>
  <si>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</si>
  <si>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</si>
  <si>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</si>
  <si>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</si>
  <si>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</si>
  <si>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</si>
  <si>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</si>
  <si>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</si>
  <si>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</si>
  <si>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</si>
  <si>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</si>
  <si>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</si>
  <si>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</si>
  <si>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</si>
  <si>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</si>
  <si>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</si>
  <si>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</si>
  <si>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</si>
  <si>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</si>
  <si>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</si>
  <si>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</si>
  <si>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</si>
  <si>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</si>
  <si>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</si>
  <si>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</si>
  <si>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</si>
  <si>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</si>
  <si>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</si>
  <si>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</si>
  <si>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</si>
  <si>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</si>
  <si>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</si>
  <si>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</si>
  <si>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</si>
  <si>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</si>
  <si>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</si>
  <si>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</si>
  <si>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</si>
  <si>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</si>
  <si>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</si>
  <si>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</si>
  <si>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</si>
  <si>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</si>
  <si>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</si>
  <si>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</si>
  <si>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</si>
  <si>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</si>
  <si>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</si>
  <si>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</si>
  <si>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</si>
  <si>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</si>
  <si>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</si>
  <si>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</si>
  <si>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</si>
  <si>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</si>
  <si>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</si>
  <si>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</si>
  <si>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</si>
  <si>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</si>
  <si>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</si>
  <si>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</si>
  <si>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</si>
  <si>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</si>
  <si>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</si>
  <si>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</si>
  <si>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</si>
  <si>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</si>
  <si>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</si>
  <si>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</si>
  <si>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</si>
  <si>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</si>
  <si>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</si>
  <si>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</si>
  <si>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</si>
  <si>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</si>
  <si>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</si>
  <si>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</si>
  <si>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</si>
  <si>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</si>
  <si>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</si>
  <si>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</si>
  <si>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</si>
  <si>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</si>
  <si>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</si>
  <si>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</si>
  <si>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</si>
  <si>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</si>
  <si>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</si>
  <si>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</si>
  <si>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</si>
  <si>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</si>
  <si>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</si>
  <si>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</si>
  <si>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</si>
  <si>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</si>
  <si>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</si>
  <si>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</si>
  <si>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</si>
  <si>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</si>
  <si>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</si>
  <si>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</si>
  <si>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</si>
  <si>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</si>
  <si>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</si>
  <si>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</si>
  <si>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</si>
  <si>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</si>
  <si>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</si>
  <si>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</si>
  <si>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</si>
  <si>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</si>
  <si>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</si>
  <si>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</si>
  <si>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</si>
  <si>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</si>
  <si>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</si>
  <si>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</si>
  <si>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</si>
  <si>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</si>
  <si>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</si>
  <si>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</si>
  <si>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</si>
  <si>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</si>
  <si>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</si>
  <si>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</si>
  <si>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</si>
  <si>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</si>
  <si>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</si>
  <si>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</si>
  <si>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</si>
  <si>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</si>
  <si>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</si>
  <si>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</si>
  <si>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</si>
  <si>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</si>
  <si>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</si>
  <si>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</si>
  <si>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</si>
  <si>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</si>
  <si>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</si>
  <si>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</si>
  <si>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</si>
  <si>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</si>
  <si>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</si>
  <si>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</si>
  <si>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</si>
  <si>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</si>
  <si>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</si>
  <si>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</si>
  <si>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</si>
  <si>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</si>
  <si>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</si>
  <si>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</si>
  <si>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</si>
  <si>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</si>
  <si>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</si>
  <si>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</si>
  <si>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</si>
  <si>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</si>
  <si>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</si>
  <si>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</si>
  <si>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</si>
  <si>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</si>
  <si>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</si>
  <si>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</si>
  <si>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</si>
  <si>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</si>
  <si>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</si>
  <si>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</si>
  <si>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</si>
  <si>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</si>
  <si>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</si>
  <si>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</si>
  <si>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</si>
  <si>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</si>
  <si>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</si>
  <si>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Dim/Phase</t>
  </si>
  <si>
    <t>Dim/UpdPer</t>
  </si>
  <si>
    <t>Dim/FrameworkVersion</t>
  </si>
  <si>
    <t>Folder</t>
  </si>
  <si>
    <t>SetOfCtrl</t>
  </si>
  <si>
    <t>Lock</t>
  </si>
  <si>
    <t>SetOfRules</t>
  </si>
  <si>
    <t>Dim/Entity</t>
  </si>
  <si>
    <t>Dim/Currency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</si>
  <si>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</si>
  <si>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</si>
  <si>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</si>
  <si>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</si>
  <si>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</si>
  <si>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</si>
  <si>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</si>
  <si>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</si>
  <si>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</si>
  <si>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</si>
  <si>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</si>
  <si>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</si>
  <si>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</si>
  <si>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</si>
  <si>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</si>
  <si>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</si>
  <si>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</si>
  <si>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</si>
  <si>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</si>
  <si>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</si>
  <si>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</si>
  <si>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</si>
  <si>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</si>
  <si>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</si>
  <si>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</si>
  <si>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</si>
  <si>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</si>
  <si>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</si>
  <si>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</si>
  <si>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</si>
  <si>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</si>
  <si>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</si>
  <si>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</si>
  <si>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</si>
  <si>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</si>
  <si>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</si>
  <si>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</si>
  <si>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</si>
  <si>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</si>
  <si>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</si>
  <si>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</si>
  <si>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</si>
  <si>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</si>
  <si>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</si>
  <si>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</si>
  <si>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</si>
  <si>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</si>
  <si>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</si>
  <si>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</si>
  <si>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</si>
  <si>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</si>
  <si>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</si>
  <si>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</si>
  <si>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</si>
  <si>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</si>
  <si>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</si>
  <si>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</si>
  <si>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</si>
  <si>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</si>
  <si>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</si>
  <si>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</si>
  <si>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</si>
  <si>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</si>
  <si>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</si>
  <si>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</si>
  <si>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</si>
  <si>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</si>
  <si>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</si>
  <si>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</si>
  <si>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</si>
  <si>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</si>
  <si>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</si>
  <si>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</si>
  <si>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</si>
  <si>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</si>
  <si>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</si>
  <si>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</si>
  <si>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</si>
  <si>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</si>
  <si>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</si>
  <si>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</si>
  <si>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</si>
  <si>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</si>
  <si>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</si>
  <si>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</si>
  <si>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</si>
  <si>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</si>
  <si>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</si>
  <si>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</si>
  <si>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</si>
  <si>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</si>
  <si>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</si>
  <si>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</si>
  <si>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</si>
  <si>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</si>
  <si>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</si>
  <si>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</si>
  <si>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</si>
  <si>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</si>
  <si>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</si>
  <si>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</si>
  <si>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</si>
  <si>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</si>
  <si>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</si>
  <si>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</si>
  <si>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</si>
  <si>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</si>
  <si>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</si>
  <si>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</si>
  <si>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</si>
  <si>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</si>
  <si>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</si>
  <si>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</si>
  <si>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</si>
  <si>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</si>
  <si>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</si>
  <si>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</si>
  <si>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</si>
  <si>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</si>
  <si>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</si>
  <si>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</si>
  <si>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</si>
  <si>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</si>
  <si>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</si>
  <si>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</si>
  <si>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</si>
  <si>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</si>
  <si>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</si>
  <si>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</si>
  <si>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</si>
  <si>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</si>
  <si>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</si>
  <si>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</si>
  <si>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</si>
  <si>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</si>
  <si>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</si>
  <si>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</si>
  <si>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In</t>
  </si>
  <si>
    <t>52428888</t>
  </si>
  <si>
    <t>2000.12</t>
  </si>
  <si>
    <t>52428859</t>
  </si>
  <si>
    <t>2001.11</t>
  </si>
  <si>
    <t>52428858</t>
  </si>
  <si>
    <t>2001.12</t>
  </si>
  <si>
    <t>52428847</t>
  </si>
  <si>
    <t>2002.01</t>
  </si>
  <si>
    <t>52428855</t>
  </si>
  <si>
    <t>2002.02</t>
  </si>
  <si>
    <t>52428853</t>
  </si>
  <si>
    <t>2002.03</t>
  </si>
  <si>
    <t>52428851</t>
  </si>
  <si>
    <t>2002.04</t>
  </si>
  <si>
    <t>52428848</t>
  </si>
  <si>
    <t>2002.05</t>
  </si>
  <si>
    <t>52428841</t>
  </si>
  <si>
    <t>2002.06</t>
  </si>
  <si>
    <t>52428840</t>
  </si>
  <si>
    <t>2002.07</t>
  </si>
  <si>
    <t>52428838</t>
  </si>
  <si>
    <t>2002.08</t>
  </si>
  <si>
    <t>52428832</t>
  </si>
  <si>
    <t>2002.09</t>
  </si>
  <si>
    <t>52428830</t>
  </si>
  <si>
    <t>2002.10</t>
  </si>
  <si>
    <t>52428829</t>
  </si>
  <si>
    <t>2002.11</t>
  </si>
  <si>
    <t>52428827</t>
  </si>
  <si>
    <t>2002.12</t>
  </si>
  <si>
    <t>79</t>
  </si>
  <si>
    <t>2003.12</t>
  </si>
  <si>
    <t>77</t>
  </si>
  <si>
    <t>2004.12</t>
  </si>
  <si>
    <t>55</t>
  </si>
  <si>
    <t>2010.12</t>
  </si>
  <si>
    <t>67</t>
  </si>
  <si>
    <t>2011.03</t>
  </si>
  <si>
    <t>68</t>
  </si>
  <si>
    <t>2011.06</t>
  </si>
  <si>
    <t>69</t>
  </si>
  <si>
    <t>2011.09</t>
  </si>
  <si>
    <t>56</t>
  </si>
  <si>
    <t>2011.12</t>
  </si>
  <si>
    <t>52428802</t>
  </si>
  <si>
    <t>2013.01</t>
  </si>
  <si>
    <t>71</t>
  </si>
  <si>
    <t>2013.12</t>
  </si>
  <si>
    <t>73</t>
  </si>
  <si>
    <t>2014.12</t>
  </si>
  <si>
    <t>61</t>
  </si>
  <si>
    <t>2019.12</t>
  </si>
  <si>
    <t>59</t>
  </si>
  <si>
    <t>2020.12</t>
  </si>
  <si>
    <t>60</t>
  </si>
  <si>
    <t>2021.12</t>
  </si>
  <si>
    <t>Lundi 01 mars 2021</t>
  </si>
  <si>
    <t>Mardi 23 février 2021</t>
  </si>
  <si>
    <t>Jeudi 18 février 2021</t>
  </si>
  <si>
    <t>Mardi 16 février 2021</t>
  </si>
  <si>
    <t>Lundi 15 février 2021</t>
  </si>
  <si>
    <t>Vendredi 28 août 2015</t>
  </si>
  <si>
    <t>Lundi 03 mai 2010</t>
  </si>
  <si>
    <t>Jeudi 25 novembre 2010</t>
  </si>
  <si>
    <t>Lundi 29 novembre 2010</t>
  </si>
  <si>
    <t>Mardi 04 mai 2010</t>
  </si>
  <si>
    <t>Jeudi 28 janvier 2021</t>
  </si>
  <si>
    <t>Vendredi 29 mars 2013</t>
  </si>
  <si>
    <t>Lundi 07 avril 2014</t>
  </si>
  <si>
    <t>Jeudi 02 septembre 2010</t>
  </si>
  <si>
    <t>Mardi 31 août 2010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</si>
  <si>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</si>
  <si>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</si>
  <si>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</si>
  <si>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</si>
  <si>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</si>
  <si>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</si>
  <si>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</si>
  <si>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</si>
  <si>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</si>
  <si>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</si>
  <si>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</si>
  <si>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</si>
  <si>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</si>
  <si>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</si>
  <si>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</si>
  <si>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</si>
  <si>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</si>
  <si>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</si>
  <si>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</si>
  <si>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</si>
  <si>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</si>
  <si>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</si>
  <si>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</si>
  <si>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</si>
  <si>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</si>
  <si>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</si>
  <si>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</si>
  <si>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</si>
  <si>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</si>
  <si>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</si>
  <si>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</si>
  <si>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</si>
  <si>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</si>
  <si>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</si>
  <si>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</si>
  <si>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</si>
  <si>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</si>
  <si>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</si>
  <si>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</si>
  <si>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</si>
  <si>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</si>
  <si>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</si>
  <si>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</si>
  <si>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</si>
  <si>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</si>
  <si>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</si>
  <si>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</si>
  <si>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</si>
  <si>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</si>
  <si>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</si>
  <si>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</si>
  <si>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</si>
  <si>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</si>
  <si>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</si>
  <si>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</si>
  <si>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</si>
  <si>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</si>
  <si>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</si>
  <si>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</si>
  <si>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</si>
  <si>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</si>
  <si>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</si>
  <si>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</si>
  <si>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</si>
  <si>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</si>
  <si>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</si>
  <si>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</si>
  <si>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</si>
  <si>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</si>
  <si>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</si>
  <si>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</si>
  <si>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</si>
  <si>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</si>
  <si>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</si>
  <si>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</si>
  <si>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</si>
  <si>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</si>
  <si>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</si>
  <si>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</si>
  <si>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 xml:space="preserve"> 84</t>
  </si>
  <si>
    <t>tReporting52428888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</si>
  <si>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24.67Z","UpdateAuthor":-524286,"Descriptions":[{"CultureName":"fr-FR","Texts":{"SDesc":"","LDesc":"Test"}},{"CultureName":"en-US","Texts":{"SDesc":"",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- 2021.12"}}],"ID":60,"LDesc":"Réel 2021.12","Name":"A - 2021.12"}],"Messages":null}</t>
  </si>
  <si>
    <t>/Data/EntityReportings</t>
  </si>
  <si>
    <t>tReporting79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</si>
  <si>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"P-A","UseDefaultInternetFolder":true,"InternetFolder":null,"UseDefaultSetOfControls":true,"SetOfControls":"P-A","UseDefaultLevel":true,"LevelToReach":null,"Blocking":true,"UseDefaultLock":true,"LockOnPublication":2,"UseDefaultRuleSet":true,"RuleSet":null,"UseDefaultOpbal":false,"HasOpBal":false,"OpbPhase":null,"OpbUpdatePeriod":null,"OpbScope":null,"OpbVariant":null,"OpbConsCurrency":null},"DefaultRestriction":{},"DefaultOperation":{"UseDefaultPublish":false,"PackPublishingCutOffDate":"2015-09-12T12:16:14Z","AllowEarlyPublishing":true,"UseDefaultAfterPub":false,"AfterPublication":{"Standard":false,"Special":true,"Advanced":true,"Level":2},"UseDefaultAfterTran":false,"AfterTransfer":{"Standard":false,"Special":false,"Advanced":false,"Level":null}},"EntityReportings":[],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- 2003.12"}}],"ID":79,"LDesc":"Réel 2003.12","Name":"A - 2003.12"},"Messages":{"Messages":[],"UsedHints":{}}}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</si>
  <si>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24.67Z","UpdateAuthor":-524286,"Descriptions":[{"CultureName":"fr-FR","Texts":{"LDesc":"Test"}},{"CultureName":"en-US","Texts":{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24.67Z","UpdateAuthor":-524286,"Descriptions":[{"CultureName":"fr-FR","Texts":{"LDesc":"Test"}},{"CultureName":"en-US","Texts":{"LDesc":"Actual - 2000.12"}}],"ID":52428888,"LDesc":null,"Name":"A - 2000.12"},"Messages":{"Messages":[],"UsedHints":{}}}</t>
  </si>
  <si>
    <t>2021-02-24 11:02</t>
  </si>
  <si>
    <t>2021-02-27 11:02</t>
  </si>
  <si>
    <t>True</t>
  </si>
  <si>
    <t>False</t>
  </si>
  <si>
    <t>0</t>
  </si>
  <si>
    <t>2021-02-26 11:02</t>
  </si>
  <si>
    <t>2</t>
  </si>
  <si>
    <t>S001</t>
  </si>
  <si>
    <t>EUR</t>
  </si>
  <si>
    <t>0000.TOP</t>
  </si>
  <si>
    <t>2001-01-01 01:00</t>
  </si>
  <si>
    <t>S002</t>
  </si>
  <si>
    <t>S003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</si>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</sst>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0" borderId="0" xfId="0" applyNumberFormat="1"/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0" fontId="3" fillId="0" borderId="0" xfId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204"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66675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123824</xdr:colOff>
      <xdr:row>6</xdr:row>
      <xdr:rowOff>147638</xdr:rowOff>
    </xdr:from>
    <xdr:to>
      <xdr:col>12</xdr:col>
      <xdr:colOff>142874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0.91 du 08 12 20</a:t>
          </a:fld>
          <a:endParaRPr lang="en-US" sz="1100"/>
        </a:p>
      </xdr:txBody>
    </xdr:sp>
    <xdr:clientData/>
  </xdr:twoCellAnchor>
  <xdr:twoCellAnchor editAs="absolute">
    <xdr:from>
      <xdr:col>11</xdr:col>
      <xdr:colOff>504824</xdr:colOff>
      <xdr:row>6</xdr:row>
      <xdr:rowOff>156037</xdr:rowOff>
    </xdr:from>
    <xdr:to>
      <xdr:col>11</xdr:col>
      <xdr:colOff>792824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161924</xdr:colOff>
      <xdr:row>6</xdr:row>
      <xdr:rowOff>156037</xdr:rowOff>
    </xdr:from>
    <xdr:to>
      <xdr:col>11</xdr:col>
      <xdr:colOff>449924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48" name="tReportings_2">
          <a:extLst>
            <a:ext uri="{FF2B5EF4-FFF2-40B4-BE49-F238E27FC236}">
              <a16:creationId xmlns:a16="http://schemas.microsoft.com/office/drawing/2014/main" id="{C5BA16C7-AD2D-4C07-84EE-B2FB0B7AA565}"/>
            </a:ext>
          </a:extLst>
        </xdr:cNvPr>
        <xdr:cNvSpPr/>
      </xdr:nvSpPr>
      <xdr:spPr>
        <a:xfrm>
          <a:off x="24669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9EC175F-E20B-43C4-9207-330F452D39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49" name="tReportings_3">
          <a:extLst>
            <a:ext uri="{FF2B5EF4-FFF2-40B4-BE49-F238E27FC236}">
              <a16:creationId xmlns:a16="http://schemas.microsoft.com/office/drawing/2014/main" id="{829E38EE-CE61-4F81-8F6B-6F35C0B527E9}"/>
            </a:ext>
          </a:extLst>
        </xdr:cNvPr>
        <xdr:cNvSpPr/>
      </xdr:nvSpPr>
      <xdr:spPr>
        <a:xfrm>
          <a:off x="39528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60DD283-EA3C-438E-98D1-E033E16072E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50" name="tReportings_4">
          <a:extLst>
            <a:ext uri="{FF2B5EF4-FFF2-40B4-BE49-F238E27FC236}">
              <a16:creationId xmlns:a16="http://schemas.microsoft.com/office/drawing/2014/main" id="{498D98FF-4979-491E-8933-C59D58607A2F}"/>
            </a:ext>
          </a:extLst>
        </xdr:cNvPr>
        <xdr:cNvSpPr/>
      </xdr:nvSpPr>
      <xdr:spPr>
        <a:xfrm>
          <a:off x="5438775" y="2095500"/>
          <a:ext cx="180975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90489B5-021F-4BF7-AD44-45A3D32A65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de création</a:t>
          </a:fld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79_1">
          <a:extLst>
            <a:ext uri="{FF2B5EF4-FFF2-40B4-BE49-F238E27FC236}">
              <a16:creationId xmlns:a16="http://schemas.microsoft.com/office/drawing/2014/main" id="{C011DAD2-0AFA-48C5-96BB-06D23E017407}"/>
            </a:ext>
          </a:extLst>
        </xdr:cNvPr>
        <xdr:cNvSpPr/>
      </xdr:nvSpPr>
      <xdr:spPr>
        <a:xfrm>
          <a:off x="11144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A675DD4-D647-4453-A55D-A4B52F50386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2</xdr:row>
      <xdr:rowOff>63500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79_2">
          <a:extLst>
            <a:ext uri="{FF2B5EF4-FFF2-40B4-BE49-F238E27FC236}">
              <a16:creationId xmlns:a16="http://schemas.microsoft.com/office/drawing/2014/main" id="{D74A74B8-032F-4660-9A51-ABA5307CC89C}"/>
            </a:ext>
          </a:extLst>
        </xdr:cNvPr>
        <xdr:cNvSpPr/>
      </xdr:nvSpPr>
      <xdr:spPr>
        <a:xfrm>
          <a:off x="15621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A6E5BC3-A11F-495F-BE91-91B322F2B8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2</xdr:row>
      <xdr:rowOff>63500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79_3">
          <a:extLst>
            <a:ext uri="{FF2B5EF4-FFF2-40B4-BE49-F238E27FC236}">
              <a16:creationId xmlns:a16="http://schemas.microsoft.com/office/drawing/2014/main" id="{55F0F815-E2C6-4C66-B127-016FBFD11C3F}"/>
            </a:ext>
          </a:extLst>
        </xdr:cNvPr>
        <xdr:cNvSpPr/>
      </xdr:nvSpPr>
      <xdr:spPr>
        <a:xfrm>
          <a:off x="26765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4856163-3264-4055-977E-42909CE6A3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2</xdr:row>
      <xdr:rowOff>63500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79_4">
          <a:extLst>
            <a:ext uri="{FF2B5EF4-FFF2-40B4-BE49-F238E27FC236}">
              <a16:creationId xmlns:a16="http://schemas.microsoft.com/office/drawing/2014/main" id="{A8336239-B83D-4ED9-A391-233DE2A38627}"/>
            </a:ext>
          </a:extLst>
        </xdr:cNvPr>
        <xdr:cNvSpPr/>
      </xdr:nvSpPr>
      <xdr:spPr>
        <a:xfrm>
          <a:off x="37909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6D55511-A547-4250-B094-5D919974C1F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Version de référentiel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2</xdr:row>
      <xdr:rowOff>63500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79_5">
          <a:extLst>
            <a:ext uri="{FF2B5EF4-FFF2-40B4-BE49-F238E27FC236}">
              <a16:creationId xmlns:a16="http://schemas.microsoft.com/office/drawing/2014/main" id="{63EF8EF5-B103-4F2F-A70D-7534A998B07C}"/>
            </a:ext>
          </a:extLst>
        </xdr:cNvPr>
        <xdr:cNvSpPr/>
      </xdr:nvSpPr>
      <xdr:spPr>
        <a:xfrm>
          <a:off x="49053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7861F89-D1E6-42BA-B525-EC9F0A79BFB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Début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79_6">
          <a:extLst>
            <a:ext uri="{FF2B5EF4-FFF2-40B4-BE49-F238E27FC236}">
              <a16:creationId xmlns:a16="http://schemas.microsoft.com/office/drawing/2014/main" id="{5694047B-9813-4CFA-AF9D-BCA200337665}"/>
            </a:ext>
          </a:extLst>
        </xdr:cNvPr>
        <xdr:cNvSpPr/>
      </xdr:nvSpPr>
      <xdr:spPr>
        <a:xfrm>
          <a:off x="60198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5D2C47A-55FD-42CF-B616-19EFE2A511E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Fin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79_7">
          <a:extLst>
            <a:ext uri="{FF2B5EF4-FFF2-40B4-BE49-F238E27FC236}">
              <a16:creationId xmlns:a16="http://schemas.microsoft.com/office/drawing/2014/main" id="{D07D0BCC-1234-45E9-A39B-C803F94AEF15}"/>
            </a:ext>
          </a:extLst>
        </xdr:cNvPr>
        <xdr:cNvSpPr/>
      </xdr:nvSpPr>
      <xdr:spPr>
        <a:xfrm>
          <a:off x="71342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D1F7351-4908-4EA3-87DE-EEAD3BEF6FD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79_8">
          <a:extLst>
            <a:ext uri="{FF2B5EF4-FFF2-40B4-BE49-F238E27FC236}">
              <a16:creationId xmlns:a16="http://schemas.microsoft.com/office/drawing/2014/main" id="{7CD1C84A-4728-478C-BD63-A2666957FEC3}"/>
            </a:ext>
          </a:extLst>
        </xdr:cNvPr>
        <xdr:cNvSpPr/>
      </xdr:nvSpPr>
      <xdr:spPr>
        <a:xfrm>
          <a:off x="82486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93106DC-38CB-4E51-8487-FB6B8DC63F0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Windows: défaut?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2</xdr:row>
      <xdr:rowOff>63500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79_9">
          <a:extLst>
            <a:ext uri="{FF2B5EF4-FFF2-40B4-BE49-F238E27FC236}">
              <a16:creationId xmlns:a16="http://schemas.microsoft.com/office/drawing/2014/main" id="{9A5ADAE1-78CC-4CF5-8E57-C9BFD34EAE7B}"/>
            </a:ext>
          </a:extLst>
        </xdr:cNvPr>
        <xdr:cNvSpPr/>
      </xdr:nvSpPr>
      <xdr:spPr>
        <a:xfrm>
          <a:off x="93630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5F37BB8-B034-4224-9C34-C5718072B90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2</xdr:row>
      <xdr:rowOff>63500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79_10">
          <a:extLst>
            <a:ext uri="{FF2B5EF4-FFF2-40B4-BE49-F238E27FC236}">
              <a16:creationId xmlns:a16="http://schemas.microsoft.com/office/drawing/2014/main" id="{DAF9D54E-3EBB-4239-8A43-96A7E2AE8C45}"/>
            </a:ext>
          </a:extLst>
        </xdr:cNvPr>
        <xdr:cNvSpPr/>
      </xdr:nvSpPr>
      <xdr:spPr>
        <a:xfrm>
          <a:off x="104775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D46332F-75EC-4276-B8C8-DB81B3E8A0C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Internet: défaut?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2</xdr:row>
      <xdr:rowOff>63500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79_11">
          <a:extLst>
            <a:ext uri="{FF2B5EF4-FFF2-40B4-BE49-F238E27FC236}">
              <a16:creationId xmlns:a16="http://schemas.microsoft.com/office/drawing/2014/main" id="{2DD24369-1EE4-4585-9910-C53528127AE4}"/>
            </a:ext>
          </a:extLst>
        </xdr:cNvPr>
        <xdr:cNvSpPr/>
      </xdr:nvSpPr>
      <xdr:spPr>
        <a:xfrm>
          <a:off x="115919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EE18158-C08D-4704-94BF-94DA8153652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2</xdr:row>
      <xdr:rowOff>63500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79_12">
          <a:extLst>
            <a:ext uri="{FF2B5EF4-FFF2-40B4-BE49-F238E27FC236}">
              <a16:creationId xmlns:a16="http://schemas.microsoft.com/office/drawing/2014/main" id="{8E767169-B82C-444A-826E-6D26BC749B50}"/>
            </a:ext>
          </a:extLst>
        </xdr:cNvPr>
        <xdr:cNvSpPr/>
      </xdr:nvSpPr>
      <xdr:spPr>
        <a:xfrm>
          <a:off x="127063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057375C-77BB-464C-8BEA-EBFDBCAAF9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contrôles: défaut?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2</xdr:row>
      <xdr:rowOff>63500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79_13">
          <a:extLst>
            <a:ext uri="{FF2B5EF4-FFF2-40B4-BE49-F238E27FC236}">
              <a16:creationId xmlns:a16="http://schemas.microsoft.com/office/drawing/2014/main" id="{4E56CB82-FF94-4D34-9537-7D6821585B9D}"/>
            </a:ext>
          </a:extLst>
        </xdr:cNvPr>
        <xdr:cNvSpPr/>
      </xdr:nvSpPr>
      <xdr:spPr>
        <a:xfrm>
          <a:off x="138207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89EDB59-DFDF-4634-A912-4AB9E0745CE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2</xdr:row>
      <xdr:rowOff>63500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79_14">
          <a:extLst>
            <a:ext uri="{FF2B5EF4-FFF2-40B4-BE49-F238E27FC236}">
              <a16:creationId xmlns:a16="http://schemas.microsoft.com/office/drawing/2014/main" id="{FA7C23CD-5D37-4821-AD42-BF17ED33A19C}"/>
            </a:ext>
          </a:extLst>
        </xdr:cNvPr>
        <xdr:cNvSpPr/>
      </xdr:nvSpPr>
      <xdr:spPr>
        <a:xfrm>
          <a:off x="149352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9C13717-9643-4860-B5A3-CDD9D0B3B67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contrôle: défaut?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2</xdr:row>
      <xdr:rowOff>63500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79_15">
          <a:extLst>
            <a:ext uri="{FF2B5EF4-FFF2-40B4-BE49-F238E27FC236}">
              <a16:creationId xmlns:a16="http://schemas.microsoft.com/office/drawing/2014/main" id="{DE216D40-E058-4CD3-8AB3-6F2D06FEC202}"/>
            </a:ext>
          </a:extLst>
        </xdr:cNvPr>
        <xdr:cNvSpPr/>
      </xdr:nvSpPr>
      <xdr:spPr>
        <a:xfrm>
          <a:off x="160496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EA1000-04AB-461B-8338-556F86876ED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2</xdr:row>
      <xdr:rowOff>63500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79_16">
          <a:extLst>
            <a:ext uri="{FF2B5EF4-FFF2-40B4-BE49-F238E27FC236}">
              <a16:creationId xmlns:a16="http://schemas.microsoft.com/office/drawing/2014/main" id="{8FC20140-68A0-4FEF-BAE4-616990B45D74}"/>
            </a:ext>
          </a:extLst>
        </xdr:cNvPr>
        <xdr:cNvSpPr/>
      </xdr:nvSpPr>
      <xdr:spPr>
        <a:xfrm>
          <a:off x="171640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9EF5BD3-0469-4159-9F3E-8CC2C2DA421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Bloquant?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2</xdr:row>
      <xdr:rowOff>63500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79_17">
          <a:extLst>
            <a:ext uri="{FF2B5EF4-FFF2-40B4-BE49-F238E27FC236}">
              <a16:creationId xmlns:a16="http://schemas.microsoft.com/office/drawing/2014/main" id="{F4604445-1FC5-4E02-897E-739DDB8B162F}"/>
            </a:ext>
          </a:extLst>
        </xdr:cNvPr>
        <xdr:cNvSpPr/>
      </xdr:nvSpPr>
      <xdr:spPr>
        <a:xfrm>
          <a:off x="182784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414F96B-558F-4A72-A4EA-B204780FC59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RF_UseDefaultLock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2</xdr:row>
      <xdr:rowOff>63500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79_18">
          <a:extLst>
            <a:ext uri="{FF2B5EF4-FFF2-40B4-BE49-F238E27FC236}">
              <a16:creationId xmlns:a16="http://schemas.microsoft.com/office/drawing/2014/main" id="{6255A1E3-06B0-418F-95ED-2EA683329261}"/>
            </a:ext>
          </a:extLst>
        </xdr:cNvPr>
        <xdr:cNvSpPr/>
      </xdr:nvSpPr>
      <xdr:spPr>
        <a:xfrm>
          <a:off x="193929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742414A-55DE-4564-8B2B-0146B9CA4A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RF_LockOnPublication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2</xdr:row>
      <xdr:rowOff>63500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79_19">
          <a:extLst>
            <a:ext uri="{FF2B5EF4-FFF2-40B4-BE49-F238E27FC236}">
              <a16:creationId xmlns:a16="http://schemas.microsoft.com/office/drawing/2014/main" id="{DB507629-BFBC-46E9-9C31-48BB30F8C71B}"/>
            </a:ext>
          </a:extLst>
        </xdr:cNvPr>
        <xdr:cNvSpPr/>
      </xdr:nvSpPr>
      <xdr:spPr>
        <a:xfrm>
          <a:off x="205073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140DB81-7352-4981-BDA1-B5E6DA285DA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RF_UseDefaultRuleSet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2</xdr:row>
      <xdr:rowOff>63500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79_20">
          <a:extLst>
            <a:ext uri="{FF2B5EF4-FFF2-40B4-BE49-F238E27FC236}">
              <a16:creationId xmlns:a16="http://schemas.microsoft.com/office/drawing/2014/main" id="{1D6980DA-9423-442A-A86D-427594608971}"/>
            </a:ext>
          </a:extLst>
        </xdr:cNvPr>
        <xdr:cNvSpPr/>
      </xdr:nvSpPr>
      <xdr:spPr>
        <a:xfrm>
          <a:off x="216217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087BB0E-2304-4E78-8C3D-2E0933F3FA8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RF_RuleSet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2</xdr:row>
      <xdr:rowOff>63500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79_21">
          <a:extLst>
            <a:ext uri="{FF2B5EF4-FFF2-40B4-BE49-F238E27FC236}">
              <a16:creationId xmlns:a16="http://schemas.microsoft.com/office/drawing/2014/main" id="{37D5BFE7-285E-4998-90BA-83138B85D0DF}"/>
            </a:ext>
          </a:extLst>
        </xdr:cNvPr>
        <xdr:cNvSpPr/>
      </xdr:nvSpPr>
      <xdr:spPr>
        <a:xfrm>
          <a:off x="227361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53D32A4-C5D1-4CE1-A0C7-173A5760C3E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RF_UseDefaultOpbal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2</xdr:row>
      <xdr:rowOff>63500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79_22">
          <a:extLst>
            <a:ext uri="{FF2B5EF4-FFF2-40B4-BE49-F238E27FC236}">
              <a16:creationId xmlns:a16="http://schemas.microsoft.com/office/drawing/2014/main" id="{D5805873-4216-478D-AFED-B434B05E81F5}"/>
            </a:ext>
          </a:extLst>
        </xdr:cNvPr>
        <xdr:cNvSpPr/>
      </xdr:nvSpPr>
      <xdr:spPr>
        <a:xfrm>
          <a:off x="238506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9CE22CC-7B0A-499C-ABDF-B052FE5D371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RF_HasOpBal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2</xdr:row>
      <xdr:rowOff>63500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79_23">
          <a:extLst>
            <a:ext uri="{FF2B5EF4-FFF2-40B4-BE49-F238E27FC236}">
              <a16:creationId xmlns:a16="http://schemas.microsoft.com/office/drawing/2014/main" id="{BD29D0CA-CC27-4532-B839-0611CA1F7E1A}"/>
            </a:ext>
          </a:extLst>
        </xdr:cNvPr>
        <xdr:cNvSpPr/>
      </xdr:nvSpPr>
      <xdr:spPr>
        <a:xfrm>
          <a:off x="249650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0E25296-011F-4F5E-8DBE-56163929F8A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RF_OpbPhase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2</xdr:row>
      <xdr:rowOff>63500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79_24">
          <a:extLst>
            <a:ext uri="{FF2B5EF4-FFF2-40B4-BE49-F238E27FC236}">
              <a16:creationId xmlns:a16="http://schemas.microsoft.com/office/drawing/2014/main" id="{27960D5F-B02C-4379-A98C-2A626A2E80EF}"/>
            </a:ext>
          </a:extLst>
        </xdr:cNvPr>
        <xdr:cNvSpPr/>
      </xdr:nvSpPr>
      <xdr:spPr>
        <a:xfrm>
          <a:off x="260794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4BE81CC-6DC5-4538-8839-11DB9084D53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RF_OpbUpdatePeriod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2</xdr:row>
      <xdr:rowOff>63500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79_25">
          <a:extLst>
            <a:ext uri="{FF2B5EF4-FFF2-40B4-BE49-F238E27FC236}">
              <a16:creationId xmlns:a16="http://schemas.microsoft.com/office/drawing/2014/main" id="{E3B1EBE4-0F29-4856-A3F4-CF7D9F34F4D5}"/>
            </a:ext>
          </a:extLst>
        </xdr:cNvPr>
        <xdr:cNvSpPr/>
      </xdr:nvSpPr>
      <xdr:spPr>
        <a:xfrm>
          <a:off x="271938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991FFA9-5D92-4EB1-BD97-1B8D5711B0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RF_OpbScope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2</xdr:row>
      <xdr:rowOff>63500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79_26">
          <a:extLst>
            <a:ext uri="{FF2B5EF4-FFF2-40B4-BE49-F238E27FC236}">
              <a16:creationId xmlns:a16="http://schemas.microsoft.com/office/drawing/2014/main" id="{F8B7E08E-91A7-480E-818F-92BF605B568D}"/>
            </a:ext>
          </a:extLst>
        </xdr:cNvPr>
        <xdr:cNvSpPr/>
      </xdr:nvSpPr>
      <xdr:spPr>
        <a:xfrm>
          <a:off x="283083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99A295A-73AB-4E3D-ADEC-21B142D355F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RF_OpbVariant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79_27">
          <a:extLst>
            <a:ext uri="{FF2B5EF4-FFF2-40B4-BE49-F238E27FC236}">
              <a16:creationId xmlns:a16="http://schemas.microsoft.com/office/drawing/2014/main" id="{B3A92093-68A8-4101-9C92-0E4D6F39A2F5}"/>
            </a:ext>
          </a:extLst>
        </xdr:cNvPr>
        <xdr:cNvSpPr/>
      </xdr:nvSpPr>
      <xdr:spPr>
        <a:xfrm>
          <a:off x="294227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F7BF907-A426-4D1B-AC28-EFFED6DCD9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RF_OpbConsCurrency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2</xdr:row>
      <xdr:rowOff>63500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79_28">
          <a:extLst>
            <a:ext uri="{FF2B5EF4-FFF2-40B4-BE49-F238E27FC236}">
              <a16:creationId xmlns:a16="http://schemas.microsoft.com/office/drawing/2014/main" id="{B621666E-28AB-4E03-AFB7-B9F7BDB35D98}"/>
            </a:ext>
          </a:extLst>
        </xdr:cNvPr>
        <xdr:cNvSpPr/>
      </xdr:nvSpPr>
      <xdr:spPr>
        <a:xfrm>
          <a:off x="305371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9026614-D91A-4AF6-AD4C-410FE1F176F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79_29">
          <a:extLst>
            <a:ext uri="{FF2B5EF4-FFF2-40B4-BE49-F238E27FC236}">
              <a16:creationId xmlns:a16="http://schemas.microsoft.com/office/drawing/2014/main" id="{8B07AFAE-5FD3-4642-BF8C-287EB5C12869}"/>
            </a:ext>
          </a:extLst>
        </xdr:cNvPr>
        <xdr:cNvSpPr/>
      </xdr:nvSpPr>
      <xdr:spPr>
        <a:xfrm>
          <a:off x="316515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C0C6460-7B32-4732-BC05-2012240F7B8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limite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2</xdr:row>
      <xdr:rowOff>63500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79_30">
          <a:extLst>
            <a:ext uri="{FF2B5EF4-FFF2-40B4-BE49-F238E27FC236}">
              <a16:creationId xmlns:a16="http://schemas.microsoft.com/office/drawing/2014/main" id="{BBD5961F-C5F9-4194-90E6-CF62EC7FBBE8}"/>
            </a:ext>
          </a:extLst>
        </xdr:cNvPr>
        <xdr:cNvSpPr/>
      </xdr:nvSpPr>
      <xdr:spPr>
        <a:xfrm>
          <a:off x="327660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1B561E4-4B47-43EA-B12E-C392544DAAB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anticipée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79_31">
          <a:extLst>
            <a:ext uri="{FF2B5EF4-FFF2-40B4-BE49-F238E27FC236}">
              <a16:creationId xmlns:a16="http://schemas.microsoft.com/office/drawing/2014/main" id="{B273345F-0A13-4DE0-A0C7-814E401796D0}"/>
            </a:ext>
          </a:extLst>
        </xdr:cNvPr>
        <xdr:cNvSpPr/>
      </xdr:nvSpPr>
      <xdr:spPr>
        <a:xfrm>
          <a:off x="338804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497B744-2C38-4E37-BEEF-B877D9D267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79_32">
          <a:extLst>
            <a:ext uri="{FF2B5EF4-FFF2-40B4-BE49-F238E27FC236}">
              <a16:creationId xmlns:a16="http://schemas.microsoft.com/office/drawing/2014/main" id="{12491EAC-14B9-441F-97A7-3288D39295B9}"/>
            </a:ext>
          </a:extLst>
        </xdr:cNvPr>
        <xdr:cNvSpPr/>
      </xdr:nvSpPr>
      <xdr:spPr>
        <a:xfrm>
          <a:off x="349948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BE1DC49-F6B7-4803-BBC5-5714FFA7729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RF_RepOpAftPubStd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79_33">
          <a:extLst>
            <a:ext uri="{FF2B5EF4-FFF2-40B4-BE49-F238E27FC236}">
              <a16:creationId xmlns:a16="http://schemas.microsoft.com/office/drawing/2014/main" id="{9F2B11BB-AC11-4DC6-A0C7-26CEC672CA3C}"/>
            </a:ext>
          </a:extLst>
        </xdr:cNvPr>
        <xdr:cNvSpPr/>
      </xdr:nvSpPr>
      <xdr:spPr>
        <a:xfrm>
          <a:off x="361092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2ED8B5E-EC1E-465F-B358-C647BA5AC14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RF_RepOpAftPubSpe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79_34">
          <a:extLst>
            <a:ext uri="{FF2B5EF4-FFF2-40B4-BE49-F238E27FC236}">
              <a16:creationId xmlns:a16="http://schemas.microsoft.com/office/drawing/2014/main" id="{881E4998-99E3-4270-A99A-4F85DEB2AC9D}"/>
            </a:ext>
          </a:extLst>
        </xdr:cNvPr>
        <xdr:cNvSpPr/>
      </xdr:nvSpPr>
      <xdr:spPr>
        <a:xfrm>
          <a:off x="372237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886251B-AB72-4F33-AA5C-FA43265D17C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RF_RepOpAftPubAdv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79_35">
          <a:extLst>
            <a:ext uri="{FF2B5EF4-FFF2-40B4-BE49-F238E27FC236}">
              <a16:creationId xmlns:a16="http://schemas.microsoft.com/office/drawing/2014/main" id="{86391B34-3B38-4662-A191-296461A46F92}"/>
            </a:ext>
          </a:extLst>
        </xdr:cNvPr>
        <xdr:cNvSpPr/>
      </xdr:nvSpPr>
      <xdr:spPr>
        <a:xfrm>
          <a:off x="383381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3A4CB27-08BE-4CB7-8FBC-64CC634251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RF_RepOpAftPubLvl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2</xdr:row>
      <xdr:rowOff>63500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79_36">
          <a:extLst>
            <a:ext uri="{FF2B5EF4-FFF2-40B4-BE49-F238E27FC236}">
              <a16:creationId xmlns:a16="http://schemas.microsoft.com/office/drawing/2014/main" id="{41EC5356-707D-405B-B446-ECD8FAD1FACD}"/>
            </a:ext>
          </a:extLst>
        </xdr:cNvPr>
        <xdr:cNvSpPr/>
      </xdr:nvSpPr>
      <xdr:spPr>
        <a:xfrm>
          <a:off x="394525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CE5D0F1-82C5-47B4-9280-3272F9ABF15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79_37">
          <a:extLst>
            <a:ext uri="{FF2B5EF4-FFF2-40B4-BE49-F238E27FC236}">
              <a16:creationId xmlns:a16="http://schemas.microsoft.com/office/drawing/2014/main" id="{2463903B-31E9-42CC-A57A-EBF455A03849}"/>
            </a:ext>
          </a:extLst>
        </xdr:cNvPr>
        <xdr:cNvSpPr/>
      </xdr:nvSpPr>
      <xdr:spPr>
        <a:xfrm>
          <a:off x="405669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4B64CF3-7631-465A-BCCA-3CA593BBB6D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RF_RepOpAftTranStd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79_38">
          <a:extLst>
            <a:ext uri="{FF2B5EF4-FFF2-40B4-BE49-F238E27FC236}">
              <a16:creationId xmlns:a16="http://schemas.microsoft.com/office/drawing/2014/main" id="{264A917F-E6CD-4A4B-91A1-F2144A7A17B9}"/>
            </a:ext>
          </a:extLst>
        </xdr:cNvPr>
        <xdr:cNvSpPr/>
      </xdr:nvSpPr>
      <xdr:spPr>
        <a:xfrm>
          <a:off x="416814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02D7BDF-F1D6-4831-B24B-48F2F5D82C0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RF_RepOpAftTranSpe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79_39">
          <a:extLst>
            <a:ext uri="{FF2B5EF4-FFF2-40B4-BE49-F238E27FC236}">
              <a16:creationId xmlns:a16="http://schemas.microsoft.com/office/drawing/2014/main" id="{B4524BC8-DC32-4E94-A1A2-02B3800216E3}"/>
            </a:ext>
          </a:extLst>
        </xdr:cNvPr>
        <xdr:cNvSpPr/>
      </xdr:nvSpPr>
      <xdr:spPr>
        <a:xfrm>
          <a:off x="427958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3D4D44-6FC6-49AD-8979-EBA0F5E3F62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RF_RepOpAftTranAdv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79_40">
          <a:extLst>
            <a:ext uri="{FF2B5EF4-FFF2-40B4-BE49-F238E27FC236}">
              <a16:creationId xmlns:a16="http://schemas.microsoft.com/office/drawing/2014/main" id="{371300F7-4E56-4C7A-A119-6258C2DCE039}"/>
            </a:ext>
          </a:extLst>
        </xdr:cNvPr>
        <xdr:cNvSpPr/>
      </xdr:nvSpPr>
      <xdr:spPr>
        <a:xfrm>
          <a:off x="439102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1E617CD-9CA9-4158-85BA-90121582A6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RF_RepOpAftTranLvl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2</xdr:row>
      <xdr:rowOff>63500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79_41">
          <a:extLst>
            <a:ext uri="{FF2B5EF4-FFF2-40B4-BE49-F238E27FC236}">
              <a16:creationId xmlns:a16="http://schemas.microsoft.com/office/drawing/2014/main" id="{863D21BF-E211-42BC-A151-26B1D22B649C}"/>
            </a:ext>
          </a:extLst>
        </xdr:cNvPr>
        <xdr:cNvSpPr/>
      </xdr:nvSpPr>
      <xdr:spPr>
        <a:xfrm>
          <a:off x="450246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1C780103-D9CB-4766-AA67-EE371F37F5D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RF_RepDesc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79_42">
          <a:extLst>
            <a:ext uri="{FF2B5EF4-FFF2-40B4-BE49-F238E27FC236}">
              <a16:creationId xmlns:a16="http://schemas.microsoft.com/office/drawing/2014/main" id="{3D986B02-E0D4-4E6B-B522-F47E3DFC455B}"/>
            </a:ext>
          </a:extLst>
        </xdr:cNvPr>
        <xdr:cNvSpPr/>
      </xdr:nvSpPr>
      <xdr:spPr>
        <a:xfrm>
          <a:off x="461391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25C61B9-1ED2-49AF-BAF8-68CB4D49B01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Unité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79_43">
          <a:extLst>
            <a:ext uri="{FF2B5EF4-FFF2-40B4-BE49-F238E27FC236}">
              <a16:creationId xmlns:a16="http://schemas.microsoft.com/office/drawing/2014/main" id="{6D991898-962B-4A2B-A14F-6F608E94A602}"/>
            </a:ext>
          </a:extLst>
        </xdr:cNvPr>
        <xdr:cNvSpPr/>
      </xdr:nvSpPr>
      <xdr:spPr>
        <a:xfrm>
          <a:off x="465867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7B36B20-07FF-4631-AF83-2EF9A45A75A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Code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2</xdr:row>
      <xdr:rowOff>63500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79_44">
          <a:extLst>
            <a:ext uri="{FF2B5EF4-FFF2-40B4-BE49-F238E27FC236}">
              <a16:creationId xmlns:a16="http://schemas.microsoft.com/office/drawing/2014/main" id="{CDFEA239-D8C1-40D4-A519-5E0FBEEE3F0D}"/>
            </a:ext>
          </a:extLst>
        </xdr:cNvPr>
        <xdr:cNvSpPr/>
      </xdr:nvSpPr>
      <xdr:spPr>
        <a:xfrm>
          <a:off x="477012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F90B726-4E2D-4872-9BF1-03F0C8186BE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Devise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2</xdr:row>
      <xdr:rowOff>63500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79_45">
          <a:extLst>
            <a:ext uri="{FF2B5EF4-FFF2-40B4-BE49-F238E27FC236}">
              <a16:creationId xmlns:a16="http://schemas.microsoft.com/office/drawing/2014/main" id="{9337EA27-26FC-425D-8F33-125ED6153F14}"/>
            </a:ext>
          </a:extLst>
        </xdr:cNvPr>
        <xdr:cNvSpPr/>
      </xdr:nvSpPr>
      <xdr:spPr>
        <a:xfrm>
          <a:off x="488156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56998E3-C199-4568-8D01-C4D5C85AD66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RF_InputSite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2</xdr:row>
      <xdr:rowOff>63500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79_46">
          <a:extLst>
            <a:ext uri="{FF2B5EF4-FFF2-40B4-BE49-F238E27FC236}">
              <a16:creationId xmlns:a16="http://schemas.microsoft.com/office/drawing/2014/main" id="{F622EA65-C5D6-4976-B493-52ABD51E0631}"/>
            </a:ext>
          </a:extLst>
        </xdr:cNvPr>
        <xdr:cNvSpPr/>
      </xdr:nvSpPr>
      <xdr:spPr>
        <a:xfrm>
          <a:off x="499300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291A997-3FDA-45C9-BBC9-FE0AB258CC5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RF_PublicationSite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79_47">
          <a:extLst>
            <a:ext uri="{FF2B5EF4-FFF2-40B4-BE49-F238E27FC236}">
              <a16:creationId xmlns:a16="http://schemas.microsoft.com/office/drawing/2014/main" id="{D22CC15B-F92C-41A5-A4C6-0E73C0FEBA33}"/>
            </a:ext>
          </a:extLst>
        </xdr:cNvPr>
        <xdr:cNvSpPr/>
      </xdr:nvSpPr>
      <xdr:spPr>
        <a:xfrm>
          <a:off x="510444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BD66C29-1F65-4601-9FE5-EAD523458BB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RF_EntPack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2</xdr:row>
      <xdr:rowOff>63500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79_48">
          <a:extLst>
            <a:ext uri="{FF2B5EF4-FFF2-40B4-BE49-F238E27FC236}">
              <a16:creationId xmlns:a16="http://schemas.microsoft.com/office/drawing/2014/main" id="{9C32BAD8-DC47-48B4-B45E-82719C507028}"/>
            </a:ext>
          </a:extLst>
        </xdr:cNvPr>
        <xdr:cNvSpPr/>
      </xdr:nvSpPr>
      <xdr:spPr>
        <a:xfrm>
          <a:off x="521589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C16AB84-AA3A-4D31-8814-B5787E191A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RF_EntUseDefaultWindowsFolder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79_49">
          <a:extLst>
            <a:ext uri="{FF2B5EF4-FFF2-40B4-BE49-F238E27FC236}">
              <a16:creationId xmlns:a16="http://schemas.microsoft.com/office/drawing/2014/main" id="{9071E9B0-1AD7-4918-9939-AD1ABD1BAB88}"/>
            </a:ext>
          </a:extLst>
        </xdr:cNvPr>
        <xdr:cNvSpPr/>
      </xdr:nvSpPr>
      <xdr:spPr>
        <a:xfrm>
          <a:off x="532733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E899EE8-10CF-4B3B-A180-21CC7FA8E99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RF_EntWindowsFolder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79_50">
          <a:extLst>
            <a:ext uri="{FF2B5EF4-FFF2-40B4-BE49-F238E27FC236}">
              <a16:creationId xmlns:a16="http://schemas.microsoft.com/office/drawing/2014/main" id="{A51A2D37-ED85-436D-9905-500CD85E6A4D}"/>
            </a:ext>
          </a:extLst>
        </xdr:cNvPr>
        <xdr:cNvSpPr/>
      </xdr:nvSpPr>
      <xdr:spPr>
        <a:xfrm>
          <a:off x="543877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EACEDD1-C1AA-4DA1-A1B0-39ACC193A8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RF_EntUseDefaultInternetFolder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2</xdr:row>
      <xdr:rowOff>63500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79_51">
          <a:extLst>
            <a:ext uri="{FF2B5EF4-FFF2-40B4-BE49-F238E27FC236}">
              <a16:creationId xmlns:a16="http://schemas.microsoft.com/office/drawing/2014/main" id="{75912E39-58E9-425D-994D-EE6CF4F95627}"/>
            </a:ext>
          </a:extLst>
        </xdr:cNvPr>
        <xdr:cNvSpPr/>
      </xdr:nvSpPr>
      <xdr:spPr>
        <a:xfrm>
          <a:off x="555021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A2E3C81-47C7-48D1-BC04-A789E8075F3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RF_EntInternetFolder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2</xdr:row>
      <xdr:rowOff>63500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79_52">
          <a:extLst>
            <a:ext uri="{FF2B5EF4-FFF2-40B4-BE49-F238E27FC236}">
              <a16:creationId xmlns:a16="http://schemas.microsoft.com/office/drawing/2014/main" id="{A0585046-F8ED-4F22-9C0A-41117C31314B}"/>
            </a:ext>
          </a:extLst>
        </xdr:cNvPr>
        <xdr:cNvSpPr/>
      </xdr:nvSpPr>
      <xdr:spPr>
        <a:xfrm>
          <a:off x="566166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BAF757C-5BDA-4EC7-96D0-35DC8D69EDA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RF_EntUseDefaultSetOfControls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2</xdr:row>
      <xdr:rowOff>63500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79_53">
          <a:extLst>
            <a:ext uri="{FF2B5EF4-FFF2-40B4-BE49-F238E27FC236}">
              <a16:creationId xmlns:a16="http://schemas.microsoft.com/office/drawing/2014/main" id="{EDB587D8-B7AB-43A0-B892-029A929820F2}"/>
            </a:ext>
          </a:extLst>
        </xdr:cNvPr>
        <xdr:cNvSpPr/>
      </xdr:nvSpPr>
      <xdr:spPr>
        <a:xfrm>
          <a:off x="577310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D8A0330-866E-4A67-8F11-B2F78D3190F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RF_EntSetOfControls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2</xdr:row>
      <xdr:rowOff>63500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79_54">
          <a:extLst>
            <a:ext uri="{FF2B5EF4-FFF2-40B4-BE49-F238E27FC236}">
              <a16:creationId xmlns:a16="http://schemas.microsoft.com/office/drawing/2014/main" id="{9346BF95-D5BE-4D8F-8ACF-10AA1EC6B27D}"/>
            </a:ext>
          </a:extLst>
        </xdr:cNvPr>
        <xdr:cNvSpPr/>
      </xdr:nvSpPr>
      <xdr:spPr>
        <a:xfrm>
          <a:off x="588454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C16B338-324F-4FAF-8FC9-E9DCE28EBCF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RF_EntUseDefaultLevel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2</xdr:row>
      <xdr:rowOff>63500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79_55">
          <a:extLst>
            <a:ext uri="{FF2B5EF4-FFF2-40B4-BE49-F238E27FC236}">
              <a16:creationId xmlns:a16="http://schemas.microsoft.com/office/drawing/2014/main" id="{FCD12913-6BC0-477C-BA46-DC3258CA1B9A}"/>
            </a:ext>
          </a:extLst>
        </xdr:cNvPr>
        <xdr:cNvSpPr/>
      </xdr:nvSpPr>
      <xdr:spPr>
        <a:xfrm>
          <a:off x="599598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BF214C1-01D2-4066-951E-C082507452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RF_EntLevelToReach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2</xdr:row>
      <xdr:rowOff>63500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79_56">
          <a:extLst>
            <a:ext uri="{FF2B5EF4-FFF2-40B4-BE49-F238E27FC236}">
              <a16:creationId xmlns:a16="http://schemas.microsoft.com/office/drawing/2014/main" id="{AC503BC6-99F4-4CDF-94BD-8696893B8928}"/>
            </a:ext>
          </a:extLst>
        </xdr:cNvPr>
        <xdr:cNvSpPr/>
      </xdr:nvSpPr>
      <xdr:spPr>
        <a:xfrm>
          <a:off x="610743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ECCBD25-FF68-409E-892D-BB183A5E403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RF_EntBlocking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2</xdr:row>
      <xdr:rowOff>63500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79_57">
          <a:extLst>
            <a:ext uri="{FF2B5EF4-FFF2-40B4-BE49-F238E27FC236}">
              <a16:creationId xmlns:a16="http://schemas.microsoft.com/office/drawing/2014/main" id="{E68C9EAA-07E2-4323-B41A-92D3A59275D7}"/>
            </a:ext>
          </a:extLst>
        </xdr:cNvPr>
        <xdr:cNvSpPr/>
      </xdr:nvSpPr>
      <xdr:spPr>
        <a:xfrm>
          <a:off x="621887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50A5AA0-353D-4681-AEFB-C1B2DB9382D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RF_EntUseDefaultLock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2</xdr:row>
      <xdr:rowOff>63500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79_58">
          <a:extLst>
            <a:ext uri="{FF2B5EF4-FFF2-40B4-BE49-F238E27FC236}">
              <a16:creationId xmlns:a16="http://schemas.microsoft.com/office/drawing/2014/main" id="{20531DFD-004E-4DFC-902F-38D32907CD4D}"/>
            </a:ext>
          </a:extLst>
        </xdr:cNvPr>
        <xdr:cNvSpPr/>
      </xdr:nvSpPr>
      <xdr:spPr>
        <a:xfrm>
          <a:off x="633031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C4A38A2-73E1-4C0C-9DF9-70B850CE860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RF_EntLockOnPublication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2</xdr:row>
      <xdr:rowOff>63500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79_59">
          <a:extLst>
            <a:ext uri="{FF2B5EF4-FFF2-40B4-BE49-F238E27FC236}">
              <a16:creationId xmlns:a16="http://schemas.microsoft.com/office/drawing/2014/main" id="{B4C9CCD4-14AC-4092-A041-AD9D289A57DB}"/>
            </a:ext>
          </a:extLst>
        </xdr:cNvPr>
        <xdr:cNvSpPr/>
      </xdr:nvSpPr>
      <xdr:spPr>
        <a:xfrm>
          <a:off x="644175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EF684B-4F3F-4E27-AA09-86189162B92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RF_EntUseDefaultRuleSet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2</xdr:row>
      <xdr:rowOff>63500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79_60">
          <a:extLst>
            <a:ext uri="{FF2B5EF4-FFF2-40B4-BE49-F238E27FC236}">
              <a16:creationId xmlns:a16="http://schemas.microsoft.com/office/drawing/2014/main" id="{CA6EF96C-3BD5-4601-9362-9D60A7F4648E}"/>
            </a:ext>
          </a:extLst>
        </xdr:cNvPr>
        <xdr:cNvSpPr/>
      </xdr:nvSpPr>
      <xdr:spPr>
        <a:xfrm>
          <a:off x="655320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2D7F20A-5592-472B-BD51-67FE61540F0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RF_EntRuleSet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2</xdr:row>
      <xdr:rowOff>63500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79_61">
          <a:extLst>
            <a:ext uri="{FF2B5EF4-FFF2-40B4-BE49-F238E27FC236}">
              <a16:creationId xmlns:a16="http://schemas.microsoft.com/office/drawing/2014/main" id="{D1C82717-E551-4016-A21C-0DFB145FE824}"/>
            </a:ext>
          </a:extLst>
        </xdr:cNvPr>
        <xdr:cNvSpPr/>
      </xdr:nvSpPr>
      <xdr:spPr>
        <a:xfrm>
          <a:off x="666464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3C2FD2-5FB7-4020-8947-87E28D6C04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RF_EntUseDefaultOpbal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2</xdr:row>
      <xdr:rowOff>63500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79_62">
          <a:extLst>
            <a:ext uri="{FF2B5EF4-FFF2-40B4-BE49-F238E27FC236}">
              <a16:creationId xmlns:a16="http://schemas.microsoft.com/office/drawing/2014/main" id="{A4340F71-54C0-4143-963B-AC6D3CAD2686}"/>
            </a:ext>
          </a:extLst>
        </xdr:cNvPr>
        <xdr:cNvSpPr/>
      </xdr:nvSpPr>
      <xdr:spPr>
        <a:xfrm>
          <a:off x="677608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CC19CA-EC6E-42C8-BB3A-45C18C01C68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RF_EntHasOpBal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2</xdr:row>
      <xdr:rowOff>63500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79_63">
          <a:extLst>
            <a:ext uri="{FF2B5EF4-FFF2-40B4-BE49-F238E27FC236}">
              <a16:creationId xmlns:a16="http://schemas.microsoft.com/office/drawing/2014/main" id="{30957F71-B82D-4C55-A3C6-F091D17FB649}"/>
            </a:ext>
          </a:extLst>
        </xdr:cNvPr>
        <xdr:cNvSpPr/>
      </xdr:nvSpPr>
      <xdr:spPr>
        <a:xfrm>
          <a:off x="688752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B34E74E-3054-4681-92DA-8222F195471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RF_EntOpbPhase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2</xdr:row>
      <xdr:rowOff>63500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79_64">
          <a:extLst>
            <a:ext uri="{FF2B5EF4-FFF2-40B4-BE49-F238E27FC236}">
              <a16:creationId xmlns:a16="http://schemas.microsoft.com/office/drawing/2014/main" id="{C199CB9E-2335-4A44-BFB4-174A02A42E86}"/>
            </a:ext>
          </a:extLst>
        </xdr:cNvPr>
        <xdr:cNvSpPr/>
      </xdr:nvSpPr>
      <xdr:spPr>
        <a:xfrm>
          <a:off x="699897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9CDEA15-BFF0-4CC9-BB65-8F17B373131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RF_EntOpbUpdatePeriod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2</xdr:row>
      <xdr:rowOff>63500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79_65">
          <a:extLst>
            <a:ext uri="{FF2B5EF4-FFF2-40B4-BE49-F238E27FC236}">
              <a16:creationId xmlns:a16="http://schemas.microsoft.com/office/drawing/2014/main" id="{3F662971-E941-4214-9286-161D0DE9D0EF}"/>
            </a:ext>
          </a:extLst>
        </xdr:cNvPr>
        <xdr:cNvSpPr/>
      </xdr:nvSpPr>
      <xdr:spPr>
        <a:xfrm>
          <a:off x="711041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7C228A2-5381-41CE-8C87-35CC10C1658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RF_EntOpbScope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2</xdr:row>
      <xdr:rowOff>63500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79_66">
          <a:extLst>
            <a:ext uri="{FF2B5EF4-FFF2-40B4-BE49-F238E27FC236}">
              <a16:creationId xmlns:a16="http://schemas.microsoft.com/office/drawing/2014/main" id="{C4CF9B04-8F45-480D-B7AB-C20873F7C345}"/>
            </a:ext>
          </a:extLst>
        </xdr:cNvPr>
        <xdr:cNvSpPr/>
      </xdr:nvSpPr>
      <xdr:spPr>
        <a:xfrm>
          <a:off x="722185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4475EDF-990D-4E11-BEA6-63166071FF5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RF_EntOpbVariant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2</xdr:row>
      <xdr:rowOff>63500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79_67">
          <a:extLst>
            <a:ext uri="{FF2B5EF4-FFF2-40B4-BE49-F238E27FC236}">
              <a16:creationId xmlns:a16="http://schemas.microsoft.com/office/drawing/2014/main" id="{53194E59-5A4B-438F-B7ED-5AA02F722BF8}"/>
            </a:ext>
          </a:extLst>
        </xdr:cNvPr>
        <xdr:cNvSpPr/>
      </xdr:nvSpPr>
      <xdr:spPr>
        <a:xfrm>
          <a:off x="733329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833FE83-57D1-4186-B19C-412CFC21AAC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RF_EntOpbConsCurrency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79_68">
          <a:extLst>
            <a:ext uri="{FF2B5EF4-FFF2-40B4-BE49-F238E27FC236}">
              <a16:creationId xmlns:a16="http://schemas.microsoft.com/office/drawing/2014/main" id="{564E9C45-D28D-4A2A-9739-0C318752134E}"/>
            </a:ext>
          </a:extLst>
        </xdr:cNvPr>
        <xdr:cNvSpPr/>
      </xdr:nvSpPr>
      <xdr:spPr>
        <a:xfrm>
          <a:off x="744474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2823EEC-CB04-4846-A299-7A22188204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2</xdr:row>
      <xdr:rowOff>63500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79_69">
          <a:extLst>
            <a:ext uri="{FF2B5EF4-FFF2-40B4-BE49-F238E27FC236}">
              <a16:creationId xmlns:a16="http://schemas.microsoft.com/office/drawing/2014/main" id="{6880D97D-37D8-4D9F-B813-E77CEEB30DCC}"/>
            </a:ext>
          </a:extLst>
        </xdr:cNvPr>
        <xdr:cNvSpPr/>
      </xdr:nvSpPr>
      <xdr:spPr>
        <a:xfrm>
          <a:off x="755618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647C671-7D2C-4178-85F1-C7D7D2670A3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RF_EntUseDefaultPublish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2</xdr:row>
      <xdr:rowOff>63500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79_70">
          <a:extLst>
            <a:ext uri="{FF2B5EF4-FFF2-40B4-BE49-F238E27FC236}">
              <a16:creationId xmlns:a16="http://schemas.microsoft.com/office/drawing/2014/main" id="{C1610C51-6F95-4E32-8B5C-41B350B249F3}"/>
            </a:ext>
          </a:extLst>
        </xdr:cNvPr>
        <xdr:cNvSpPr/>
      </xdr:nvSpPr>
      <xdr:spPr>
        <a:xfrm>
          <a:off x="766762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4E9CFB2-301E-4089-9D14-32317EFE854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RF_EntPackPublishingCutOffDate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79_71">
          <a:extLst>
            <a:ext uri="{FF2B5EF4-FFF2-40B4-BE49-F238E27FC236}">
              <a16:creationId xmlns:a16="http://schemas.microsoft.com/office/drawing/2014/main" id="{76B27A1D-7F0A-4279-86DF-CDA8C9D73E21}"/>
            </a:ext>
          </a:extLst>
        </xdr:cNvPr>
        <xdr:cNvSpPr/>
      </xdr:nvSpPr>
      <xdr:spPr>
        <a:xfrm>
          <a:off x="777906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A05AFCE-2E04-49D9-B3E0-AD392436C8D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RF_EntAllowEarlyPublishing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79_72">
          <a:extLst>
            <a:ext uri="{FF2B5EF4-FFF2-40B4-BE49-F238E27FC236}">
              <a16:creationId xmlns:a16="http://schemas.microsoft.com/office/drawing/2014/main" id="{3CF8562A-6E84-4A96-9548-A081FFCC6D5F}"/>
            </a:ext>
          </a:extLst>
        </xdr:cNvPr>
        <xdr:cNvSpPr/>
      </xdr:nvSpPr>
      <xdr:spPr>
        <a:xfrm>
          <a:off x="789051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1A86B89-6C8F-4573-B8D3-477217A5723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RF_EntOpAftPub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79_73">
          <a:extLst>
            <a:ext uri="{FF2B5EF4-FFF2-40B4-BE49-F238E27FC236}">
              <a16:creationId xmlns:a16="http://schemas.microsoft.com/office/drawing/2014/main" id="{48BF5E76-0AAD-47F9-9024-42C4952EAFF7}"/>
            </a:ext>
          </a:extLst>
        </xdr:cNvPr>
        <xdr:cNvSpPr/>
      </xdr:nvSpPr>
      <xdr:spPr>
        <a:xfrm>
          <a:off x="800195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3C13796-C87C-424B-91FF-77F97321C56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RF_EntUseDefaultAfterPub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79_74">
          <a:extLst>
            <a:ext uri="{FF2B5EF4-FFF2-40B4-BE49-F238E27FC236}">
              <a16:creationId xmlns:a16="http://schemas.microsoft.com/office/drawing/2014/main" id="{F14014DC-455C-4007-A859-4357D5CFCDB4}"/>
            </a:ext>
          </a:extLst>
        </xdr:cNvPr>
        <xdr:cNvSpPr/>
      </xdr:nvSpPr>
      <xdr:spPr>
        <a:xfrm>
          <a:off x="811339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E12CDA9-520F-490B-844F-B6D55A3200C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RF_EntAftPubStandard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79_75">
          <a:extLst>
            <a:ext uri="{FF2B5EF4-FFF2-40B4-BE49-F238E27FC236}">
              <a16:creationId xmlns:a16="http://schemas.microsoft.com/office/drawing/2014/main" id="{5E7D8916-5293-4584-B09B-B17B01F0A660}"/>
            </a:ext>
          </a:extLst>
        </xdr:cNvPr>
        <xdr:cNvSpPr/>
      </xdr:nvSpPr>
      <xdr:spPr>
        <a:xfrm>
          <a:off x="822483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C3FA2CC-4959-4785-9A9A-F1BB762150C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RF_EntAftPubSpecial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79_76">
          <a:extLst>
            <a:ext uri="{FF2B5EF4-FFF2-40B4-BE49-F238E27FC236}">
              <a16:creationId xmlns:a16="http://schemas.microsoft.com/office/drawing/2014/main" id="{75F8BCAB-066C-4128-888B-394FD6CC4624}"/>
            </a:ext>
          </a:extLst>
        </xdr:cNvPr>
        <xdr:cNvSpPr/>
      </xdr:nvSpPr>
      <xdr:spPr>
        <a:xfrm>
          <a:off x="833628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72EA742-4103-4A9E-9E49-7B15B586344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RF_EntAftPubAdvanced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79_77">
          <a:extLst>
            <a:ext uri="{FF2B5EF4-FFF2-40B4-BE49-F238E27FC236}">
              <a16:creationId xmlns:a16="http://schemas.microsoft.com/office/drawing/2014/main" id="{55C4C16D-664F-41E1-A86B-433686F9B3D2}"/>
            </a:ext>
          </a:extLst>
        </xdr:cNvPr>
        <xdr:cNvSpPr/>
      </xdr:nvSpPr>
      <xdr:spPr>
        <a:xfrm>
          <a:off x="844772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2D55045-E333-4412-B360-D9F2FBA94B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RF_EntAftPubLevel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79_78">
          <a:extLst>
            <a:ext uri="{FF2B5EF4-FFF2-40B4-BE49-F238E27FC236}">
              <a16:creationId xmlns:a16="http://schemas.microsoft.com/office/drawing/2014/main" id="{2C7FEF1A-C8C5-44EE-B0C9-680DC5930771}"/>
            </a:ext>
          </a:extLst>
        </xdr:cNvPr>
        <xdr:cNvSpPr/>
      </xdr:nvSpPr>
      <xdr:spPr>
        <a:xfrm>
          <a:off x="855916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097210C-5976-488D-91FA-DA6E8B2584B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RF_EntOpAftTran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79_79">
          <a:extLst>
            <a:ext uri="{FF2B5EF4-FFF2-40B4-BE49-F238E27FC236}">
              <a16:creationId xmlns:a16="http://schemas.microsoft.com/office/drawing/2014/main" id="{2C29DDCB-5205-442B-AC5C-A391CEC703E1}"/>
            </a:ext>
          </a:extLst>
        </xdr:cNvPr>
        <xdr:cNvSpPr/>
      </xdr:nvSpPr>
      <xdr:spPr>
        <a:xfrm>
          <a:off x="867060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D4617BB-5685-4092-8AA4-9DC15BC363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RF_EntUseDefaultAfterTran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79_80">
          <a:extLst>
            <a:ext uri="{FF2B5EF4-FFF2-40B4-BE49-F238E27FC236}">
              <a16:creationId xmlns:a16="http://schemas.microsoft.com/office/drawing/2014/main" id="{46F1BB91-429D-43FF-8AAC-D9BF1C67BC89}"/>
            </a:ext>
          </a:extLst>
        </xdr:cNvPr>
        <xdr:cNvSpPr/>
      </xdr:nvSpPr>
      <xdr:spPr>
        <a:xfrm>
          <a:off x="878205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7005037-443A-4CAE-A0A0-028967FB550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RF_EntAftTranStandard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79_81">
          <a:extLst>
            <a:ext uri="{FF2B5EF4-FFF2-40B4-BE49-F238E27FC236}">
              <a16:creationId xmlns:a16="http://schemas.microsoft.com/office/drawing/2014/main" id="{860861E1-BA71-463B-B6CA-BEE4A654C353}"/>
            </a:ext>
          </a:extLst>
        </xdr:cNvPr>
        <xdr:cNvSpPr/>
      </xdr:nvSpPr>
      <xdr:spPr>
        <a:xfrm>
          <a:off x="889349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A29F51E-248E-4ACC-8407-604B8F40D3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RF_EntAftTranSpecial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79_82">
          <a:extLst>
            <a:ext uri="{FF2B5EF4-FFF2-40B4-BE49-F238E27FC236}">
              <a16:creationId xmlns:a16="http://schemas.microsoft.com/office/drawing/2014/main" id="{50CD36EC-FE43-4139-B2E3-E20C90261C77}"/>
            </a:ext>
          </a:extLst>
        </xdr:cNvPr>
        <xdr:cNvSpPr/>
      </xdr:nvSpPr>
      <xdr:spPr>
        <a:xfrm>
          <a:off x="900493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181083D-41D1-407D-A8C2-D5B35202F36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RF_EntAftTranAdvanced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79_83">
          <a:extLst>
            <a:ext uri="{FF2B5EF4-FFF2-40B4-BE49-F238E27FC236}">
              <a16:creationId xmlns:a16="http://schemas.microsoft.com/office/drawing/2014/main" id="{916F6FE8-99C5-4C41-9BD5-DA70A0D5EAB2}"/>
            </a:ext>
          </a:extLst>
        </xdr:cNvPr>
        <xdr:cNvSpPr/>
      </xdr:nvSpPr>
      <xdr:spPr>
        <a:xfrm>
          <a:off x="911637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B8C1E40-F1D7-45E3-9778-44EB9C1476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RF_EntAftTranLevel</a:t>
          </a:fld>
          <a:endParaRPr lang="fr-FR" sz="1100"/>
        </a:p>
      </xdr:txBody>
    </xdr:sp>
    <xdr:clientData/>
  </xdr:twoCellAnchor>
  <xdr:twoCellAnchor>
    <xdr:from>
      <xdr:col>84</xdr:col>
      <xdr:colOff>0</xdr:colOff>
      <xdr:row>2</xdr:row>
      <xdr:rowOff>63500</xdr:rowOff>
    </xdr:from>
    <xdr:to>
      <xdr:col>85</xdr:col>
      <xdr:colOff>0</xdr:colOff>
      <xdr:row>5</xdr:row>
      <xdr:rowOff>0</xdr:rowOff>
    </xdr:to>
    <xdr:sp macro="JSON_TableHeaderClick" textlink="$CG$4">
      <xdr:nvSpPr>
        <xdr:cNvPr id="85" name="tReporting79_84">
          <a:extLst>
            <a:ext uri="{FF2B5EF4-FFF2-40B4-BE49-F238E27FC236}">
              <a16:creationId xmlns:a16="http://schemas.microsoft.com/office/drawing/2014/main" id="{EA5BACD1-C5FD-4727-9624-A54AE707DBED}"/>
            </a:ext>
          </a:extLst>
        </xdr:cNvPr>
        <xdr:cNvSpPr/>
      </xdr:nvSpPr>
      <xdr:spPr>
        <a:xfrm>
          <a:off x="922782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1C6024A-D287-452F-A3C6-464BF1B6D27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RF_DescFr</a:t>
          </a:fld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338" name="tReporting52428888_1">
          <a:extLst>
            <a:ext uri="{FF2B5EF4-FFF2-40B4-BE49-F238E27FC236}">
              <a16:creationId xmlns:a16="http://schemas.microsoft.com/office/drawing/2014/main" id="{58C050BB-A6D5-4D62-BF08-7C3840186693}"/>
            </a:ext>
          </a:extLst>
        </xdr:cNvPr>
        <xdr:cNvSpPr/>
      </xdr:nvSpPr>
      <xdr:spPr>
        <a:xfrm>
          <a:off x="11144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0327E6F-E626-4B9F-B91C-897CFBD598C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2</xdr:row>
      <xdr:rowOff>63500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39" name="tReporting52428888_2">
          <a:extLst>
            <a:ext uri="{FF2B5EF4-FFF2-40B4-BE49-F238E27FC236}">
              <a16:creationId xmlns:a16="http://schemas.microsoft.com/office/drawing/2014/main" id="{98D96FBE-17B0-4D8E-A3E2-DAB530E74A0B}"/>
            </a:ext>
          </a:extLst>
        </xdr:cNvPr>
        <xdr:cNvSpPr/>
      </xdr:nvSpPr>
      <xdr:spPr>
        <a:xfrm>
          <a:off x="15621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0EA14A0-4CFD-4F22-B432-CC14B6A8560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2</xdr:row>
      <xdr:rowOff>63500</xdr:rowOff>
    </xdr:from>
    <xdr:to>
      <xdr:col>4</xdr:col>
      <xdr:colOff>0</xdr:colOff>
      <xdr:row>5</xdr:row>
      <xdr:rowOff>0</xdr:rowOff>
    </xdr:to>
    <xdr:sp macro="JSON_TableHeaderClick" textlink="$D$4">
      <xdr:nvSpPr>
        <xdr:cNvPr id="340" name="tReporting52428888_3">
          <a:extLst>
            <a:ext uri="{FF2B5EF4-FFF2-40B4-BE49-F238E27FC236}">
              <a16:creationId xmlns:a16="http://schemas.microsoft.com/office/drawing/2014/main" id="{371A2B01-2E6A-476E-9DFB-5300D8BC23BA}"/>
            </a:ext>
          </a:extLst>
        </xdr:cNvPr>
        <xdr:cNvSpPr/>
      </xdr:nvSpPr>
      <xdr:spPr>
        <a:xfrm>
          <a:off x="26765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2A1E51F-C9CC-40E2-A792-06D83FA88D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2</xdr:row>
      <xdr:rowOff>63500</xdr:rowOff>
    </xdr:from>
    <xdr:to>
      <xdr:col>5</xdr:col>
      <xdr:colOff>0</xdr:colOff>
      <xdr:row>5</xdr:row>
      <xdr:rowOff>0</xdr:rowOff>
    </xdr:to>
    <xdr:sp macro="JSON_TableHeaderClick" textlink="$E$4">
      <xdr:nvSpPr>
        <xdr:cNvPr id="341" name="tReporting52428888_4">
          <a:extLst>
            <a:ext uri="{FF2B5EF4-FFF2-40B4-BE49-F238E27FC236}">
              <a16:creationId xmlns:a16="http://schemas.microsoft.com/office/drawing/2014/main" id="{8CF23B35-D9B7-4BD4-ADAE-2CF9CDE09C65}"/>
            </a:ext>
          </a:extLst>
        </xdr:cNvPr>
        <xdr:cNvSpPr/>
      </xdr:nvSpPr>
      <xdr:spPr>
        <a:xfrm>
          <a:off x="37909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ABFE294-EFC8-45FA-86C7-C6403EFF8AD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Version de référentiel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2</xdr:row>
      <xdr:rowOff>63500</xdr:rowOff>
    </xdr:from>
    <xdr:to>
      <xdr:col>6</xdr:col>
      <xdr:colOff>0</xdr:colOff>
      <xdr:row>5</xdr:row>
      <xdr:rowOff>0</xdr:rowOff>
    </xdr:to>
    <xdr:sp macro="JSON_TableHeaderClick" textlink="$F$4">
      <xdr:nvSpPr>
        <xdr:cNvPr id="342" name="tReporting52428888_5">
          <a:extLst>
            <a:ext uri="{FF2B5EF4-FFF2-40B4-BE49-F238E27FC236}">
              <a16:creationId xmlns:a16="http://schemas.microsoft.com/office/drawing/2014/main" id="{E79EEC3E-1EAB-4B8B-9A60-49642233AD9A}"/>
            </a:ext>
          </a:extLst>
        </xdr:cNvPr>
        <xdr:cNvSpPr/>
      </xdr:nvSpPr>
      <xdr:spPr>
        <a:xfrm>
          <a:off x="49053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9D8345C-7FAB-40D4-9B96-2B65968542A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Début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5</xdr:row>
      <xdr:rowOff>0</xdr:rowOff>
    </xdr:to>
    <xdr:sp macro="JSON_TableHeaderClick" textlink="$G$4">
      <xdr:nvSpPr>
        <xdr:cNvPr id="343" name="tReporting52428888_6">
          <a:extLst>
            <a:ext uri="{FF2B5EF4-FFF2-40B4-BE49-F238E27FC236}">
              <a16:creationId xmlns:a16="http://schemas.microsoft.com/office/drawing/2014/main" id="{7D569B6A-1C8B-426B-B5B0-07A93BF0C2BE}"/>
            </a:ext>
          </a:extLst>
        </xdr:cNvPr>
        <xdr:cNvSpPr/>
      </xdr:nvSpPr>
      <xdr:spPr>
        <a:xfrm>
          <a:off x="60198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10DDEE3-4A2F-465F-AA3A-3C0ACCEA063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Fin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344" name="tReporting52428888_7">
          <a:extLst>
            <a:ext uri="{FF2B5EF4-FFF2-40B4-BE49-F238E27FC236}">
              <a16:creationId xmlns:a16="http://schemas.microsoft.com/office/drawing/2014/main" id="{1DB53409-CDC8-4B7C-A6FF-FEDC3AA586BB}"/>
            </a:ext>
          </a:extLst>
        </xdr:cNvPr>
        <xdr:cNvSpPr/>
      </xdr:nvSpPr>
      <xdr:spPr>
        <a:xfrm>
          <a:off x="71342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C14F4A9-88B8-4C10-87C4-4B0CBD25B31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345" name="tReporting52428888_8">
          <a:extLst>
            <a:ext uri="{FF2B5EF4-FFF2-40B4-BE49-F238E27FC236}">
              <a16:creationId xmlns:a16="http://schemas.microsoft.com/office/drawing/2014/main" id="{CB00F431-3587-47F7-B956-76FEF94B9631}"/>
            </a:ext>
          </a:extLst>
        </xdr:cNvPr>
        <xdr:cNvSpPr/>
      </xdr:nvSpPr>
      <xdr:spPr>
        <a:xfrm>
          <a:off x="82486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6D86F16-F927-4F2A-AB80-05F210DBCF0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Windows: défaut?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2</xdr:row>
      <xdr:rowOff>63500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346" name="tReporting52428888_9">
          <a:extLst>
            <a:ext uri="{FF2B5EF4-FFF2-40B4-BE49-F238E27FC236}">
              <a16:creationId xmlns:a16="http://schemas.microsoft.com/office/drawing/2014/main" id="{C0CC5706-432A-4125-9472-89249F430C35}"/>
            </a:ext>
          </a:extLst>
        </xdr:cNvPr>
        <xdr:cNvSpPr/>
      </xdr:nvSpPr>
      <xdr:spPr>
        <a:xfrm>
          <a:off x="93630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5C96108-3AEA-4ED2-B852-967958EB96A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2</xdr:row>
      <xdr:rowOff>63500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347" name="tReporting52428888_10">
          <a:extLst>
            <a:ext uri="{FF2B5EF4-FFF2-40B4-BE49-F238E27FC236}">
              <a16:creationId xmlns:a16="http://schemas.microsoft.com/office/drawing/2014/main" id="{81D23250-1C1E-4595-987C-66D5DDB0C12B}"/>
            </a:ext>
          </a:extLst>
        </xdr:cNvPr>
        <xdr:cNvSpPr/>
      </xdr:nvSpPr>
      <xdr:spPr>
        <a:xfrm>
          <a:off x="104775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83CE5C8-8CA6-42D5-9527-7FC8A388516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Internet: défaut?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2</xdr:row>
      <xdr:rowOff>63500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348" name="tReporting52428888_11">
          <a:extLst>
            <a:ext uri="{FF2B5EF4-FFF2-40B4-BE49-F238E27FC236}">
              <a16:creationId xmlns:a16="http://schemas.microsoft.com/office/drawing/2014/main" id="{04B1A3ED-AB59-4B52-8EAD-3D48ED5EFB43}"/>
            </a:ext>
          </a:extLst>
        </xdr:cNvPr>
        <xdr:cNvSpPr/>
      </xdr:nvSpPr>
      <xdr:spPr>
        <a:xfrm>
          <a:off x="115919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D621971-9299-4189-A5A4-94EF87E1E3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2</xdr:row>
      <xdr:rowOff>63500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349" name="tReporting52428888_12">
          <a:extLst>
            <a:ext uri="{FF2B5EF4-FFF2-40B4-BE49-F238E27FC236}">
              <a16:creationId xmlns:a16="http://schemas.microsoft.com/office/drawing/2014/main" id="{A5496A12-C721-4D8F-AD21-05158C18009A}"/>
            </a:ext>
          </a:extLst>
        </xdr:cNvPr>
        <xdr:cNvSpPr/>
      </xdr:nvSpPr>
      <xdr:spPr>
        <a:xfrm>
          <a:off x="127063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E716C5F-091D-4509-8261-562BCCDF28B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contrôles: défaut?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2</xdr:row>
      <xdr:rowOff>63500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350" name="tReporting52428888_13">
          <a:extLst>
            <a:ext uri="{FF2B5EF4-FFF2-40B4-BE49-F238E27FC236}">
              <a16:creationId xmlns:a16="http://schemas.microsoft.com/office/drawing/2014/main" id="{E9AEEFA2-1AD6-48ED-AFB3-B0F6B38A5607}"/>
            </a:ext>
          </a:extLst>
        </xdr:cNvPr>
        <xdr:cNvSpPr/>
      </xdr:nvSpPr>
      <xdr:spPr>
        <a:xfrm>
          <a:off x="138207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C05D8AD-133A-45C7-BCA7-C3263BB23B5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2</xdr:row>
      <xdr:rowOff>63500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351" name="tReporting52428888_14">
          <a:extLst>
            <a:ext uri="{FF2B5EF4-FFF2-40B4-BE49-F238E27FC236}">
              <a16:creationId xmlns:a16="http://schemas.microsoft.com/office/drawing/2014/main" id="{5E957BA1-119D-4BC1-90F1-EC6FF30FE6D3}"/>
            </a:ext>
          </a:extLst>
        </xdr:cNvPr>
        <xdr:cNvSpPr/>
      </xdr:nvSpPr>
      <xdr:spPr>
        <a:xfrm>
          <a:off x="149352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A3AAC13-93D6-493F-AF41-EC4DF430AE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contrôle: défaut?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2</xdr:row>
      <xdr:rowOff>63500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352" name="tReporting52428888_15">
          <a:extLst>
            <a:ext uri="{FF2B5EF4-FFF2-40B4-BE49-F238E27FC236}">
              <a16:creationId xmlns:a16="http://schemas.microsoft.com/office/drawing/2014/main" id="{7AA6FEFA-E3E0-4DA0-8173-9A85417D5F24}"/>
            </a:ext>
          </a:extLst>
        </xdr:cNvPr>
        <xdr:cNvSpPr/>
      </xdr:nvSpPr>
      <xdr:spPr>
        <a:xfrm>
          <a:off x="160496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A872066-497A-408E-A271-763A6A409AD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2</xdr:row>
      <xdr:rowOff>63500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353" name="tReporting52428888_16">
          <a:extLst>
            <a:ext uri="{FF2B5EF4-FFF2-40B4-BE49-F238E27FC236}">
              <a16:creationId xmlns:a16="http://schemas.microsoft.com/office/drawing/2014/main" id="{7FDF2A36-CE07-43D8-AAA0-AEB2FC4DBC7A}"/>
            </a:ext>
          </a:extLst>
        </xdr:cNvPr>
        <xdr:cNvSpPr/>
      </xdr:nvSpPr>
      <xdr:spPr>
        <a:xfrm>
          <a:off x="171640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2DCC469-26EF-43A3-9104-9F626073E58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Bloquant?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2</xdr:row>
      <xdr:rowOff>63500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354" name="tReporting52428888_17">
          <a:extLst>
            <a:ext uri="{FF2B5EF4-FFF2-40B4-BE49-F238E27FC236}">
              <a16:creationId xmlns:a16="http://schemas.microsoft.com/office/drawing/2014/main" id="{5D4D0EF1-1F75-40CA-89D6-BAF7DE3A18E5}"/>
            </a:ext>
          </a:extLst>
        </xdr:cNvPr>
        <xdr:cNvSpPr/>
      </xdr:nvSpPr>
      <xdr:spPr>
        <a:xfrm>
          <a:off x="182784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079FC59-0283-4F9C-82FE-128AE249D7A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RF_UseDefaultLock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2</xdr:row>
      <xdr:rowOff>63500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355" name="tReporting52428888_18">
          <a:extLst>
            <a:ext uri="{FF2B5EF4-FFF2-40B4-BE49-F238E27FC236}">
              <a16:creationId xmlns:a16="http://schemas.microsoft.com/office/drawing/2014/main" id="{A6325EAA-57FD-490E-93E0-4295D97ECF47}"/>
            </a:ext>
          </a:extLst>
        </xdr:cNvPr>
        <xdr:cNvSpPr/>
      </xdr:nvSpPr>
      <xdr:spPr>
        <a:xfrm>
          <a:off x="193929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44296D1-27A3-43AA-AA7E-E15DDD7A60D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RF_LockOnPublication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2</xdr:row>
      <xdr:rowOff>63500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356" name="tReporting52428888_19">
          <a:extLst>
            <a:ext uri="{FF2B5EF4-FFF2-40B4-BE49-F238E27FC236}">
              <a16:creationId xmlns:a16="http://schemas.microsoft.com/office/drawing/2014/main" id="{6D2E8BA8-E2C9-4A96-993E-DCB8E57E84DE}"/>
            </a:ext>
          </a:extLst>
        </xdr:cNvPr>
        <xdr:cNvSpPr/>
      </xdr:nvSpPr>
      <xdr:spPr>
        <a:xfrm>
          <a:off x="205073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1238EAA-68D5-4543-994B-E086DC305D6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RF_UseDefaultRuleSet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2</xdr:row>
      <xdr:rowOff>63500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357" name="tReporting52428888_20">
          <a:extLst>
            <a:ext uri="{FF2B5EF4-FFF2-40B4-BE49-F238E27FC236}">
              <a16:creationId xmlns:a16="http://schemas.microsoft.com/office/drawing/2014/main" id="{CC5AF968-6733-4E29-816D-E37F9E08265E}"/>
            </a:ext>
          </a:extLst>
        </xdr:cNvPr>
        <xdr:cNvSpPr/>
      </xdr:nvSpPr>
      <xdr:spPr>
        <a:xfrm>
          <a:off x="216217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4775B72-7674-41F3-BF89-36DBC7A724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RF_RuleSet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2</xdr:row>
      <xdr:rowOff>63500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358" name="tReporting52428888_21">
          <a:extLst>
            <a:ext uri="{FF2B5EF4-FFF2-40B4-BE49-F238E27FC236}">
              <a16:creationId xmlns:a16="http://schemas.microsoft.com/office/drawing/2014/main" id="{99E63069-31A6-48E0-AA93-4A70EC5D39F9}"/>
            </a:ext>
          </a:extLst>
        </xdr:cNvPr>
        <xdr:cNvSpPr/>
      </xdr:nvSpPr>
      <xdr:spPr>
        <a:xfrm>
          <a:off x="227361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7543F29-3F16-4831-84AC-8D4F6FF01A5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RF_UseDefaultOpbal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2</xdr:row>
      <xdr:rowOff>63500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359" name="tReporting52428888_22">
          <a:extLst>
            <a:ext uri="{FF2B5EF4-FFF2-40B4-BE49-F238E27FC236}">
              <a16:creationId xmlns:a16="http://schemas.microsoft.com/office/drawing/2014/main" id="{F8D576E6-1FFE-42D6-8DAD-7BCE68DE0C14}"/>
            </a:ext>
          </a:extLst>
        </xdr:cNvPr>
        <xdr:cNvSpPr/>
      </xdr:nvSpPr>
      <xdr:spPr>
        <a:xfrm>
          <a:off x="238506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757BD91-DBC0-4478-B6AC-C2011A850DE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RF_HasOpBal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2</xdr:row>
      <xdr:rowOff>63500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360" name="tReporting52428888_23">
          <a:extLst>
            <a:ext uri="{FF2B5EF4-FFF2-40B4-BE49-F238E27FC236}">
              <a16:creationId xmlns:a16="http://schemas.microsoft.com/office/drawing/2014/main" id="{28C48CEA-FF2E-483C-B1FA-DEBDA2518BA6}"/>
            </a:ext>
          </a:extLst>
        </xdr:cNvPr>
        <xdr:cNvSpPr/>
      </xdr:nvSpPr>
      <xdr:spPr>
        <a:xfrm>
          <a:off x="249650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A6A39A8-034F-4862-874C-2F01EDC154B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RF_OpbPhase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2</xdr:row>
      <xdr:rowOff>63500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361" name="tReporting52428888_24">
          <a:extLst>
            <a:ext uri="{FF2B5EF4-FFF2-40B4-BE49-F238E27FC236}">
              <a16:creationId xmlns:a16="http://schemas.microsoft.com/office/drawing/2014/main" id="{31BAA4AE-4B42-47B2-AF21-F16434E1907C}"/>
            </a:ext>
          </a:extLst>
        </xdr:cNvPr>
        <xdr:cNvSpPr/>
      </xdr:nvSpPr>
      <xdr:spPr>
        <a:xfrm>
          <a:off x="260794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211FD5A-BEB8-4028-B8B7-AC155E489F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RF_OpbUpdatePeriod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2</xdr:row>
      <xdr:rowOff>63500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362" name="tReporting52428888_25">
          <a:extLst>
            <a:ext uri="{FF2B5EF4-FFF2-40B4-BE49-F238E27FC236}">
              <a16:creationId xmlns:a16="http://schemas.microsoft.com/office/drawing/2014/main" id="{39A37B6E-B092-4B6A-9E50-B1B5DA4D9FA6}"/>
            </a:ext>
          </a:extLst>
        </xdr:cNvPr>
        <xdr:cNvSpPr/>
      </xdr:nvSpPr>
      <xdr:spPr>
        <a:xfrm>
          <a:off x="271938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5296A36-C3ED-47FE-98BF-CC3079987BF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RF_OpbScope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2</xdr:row>
      <xdr:rowOff>63500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363" name="tReporting52428888_26">
          <a:extLst>
            <a:ext uri="{FF2B5EF4-FFF2-40B4-BE49-F238E27FC236}">
              <a16:creationId xmlns:a16="http://schemas.microsoft.com/office/drawing/2014/main" id="{65AB46DB-277D-4BF2-B883-BE63B260EEB3}"/>
            </a:ext>
          </a:extLst>
        </xdr:cNvPr>
        <xdr:cNvSpPr/>
      </xdr:nvSpPr>
      <xdr:spPr>
        <a:xfrm>
          <a:off x="283083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63D296-F396-4B1C-90BF-769DDD89CF1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RF_OpbVariant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364" name="tReporting52428888_27">
          <a:extLst>
            <a:ext uri="{FF2B5EF4-FFF2-40B4-BE49-F238E27FC236}">
              <a16:creationId xmlns:a16="http://schemas.microsoft.com/office/drawing/2014/main" id="{F367E04D-077C-4B6B-803B-70F3D7E8B8B2}"/>
            </a:ext>
          </a:extLst>
        </xdr:cNvPr>
        <xdr:cNvSpPr/>
      </xdr:nvSpPr>
      <xdr:spPr>
        <a:xfrm>
          <a:off x="294227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9C0ABC0-7B17-4F83-B8C8-768AB092C97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RF_OpbConsCurrency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2</xdr:row>
      <xdr:rowOff>63500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365" name="tReporting52428888_28">
          <a:extLst>
            <a:ext uri="{FF2B5EF4-FFF2-40B4-BE49-F238E27FC236}">
              <a16:creationId xmlns:a16="http://schemas.microsoft.com/office/drawing/2014/main" id="{6554155A-3F99-4454-9F58-1A91B06DED0E}"/>
            </a:ext>
          </a:extLst>
        </xdr:cNvPr>
        <xdr:cNvSpPr/>
      </xdr:nvSpPr>
      <xdr:spPr>
        <a:xfrm>
          <a:off x="305371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E8844BC-5848-4DEE-AD70-D91C97DC121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66" name="tReporting52428888_29">
          <a:extLst>
            <a:ext uri="{FF2B5EF4-FFF2-40B4-BE49-F238E27FC236}">
              <a16:creationId xmlns:a16="http://schemas.microsoft.com/office/drawing/2014/main" id="{722B749C-8579-47EE-A83F-E6F76F91C383}"/>
            </a:ext>
          </a:extLst>
        </xdr:cNvPr>
        <xdr:cNvSpPr/>
      </xdr:nvSpPr>
      <xdr:spPr>
        <a:xfrm>
          <a:off x="316515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52088B-1B2D-488D-B9F2-2248A4359E1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limite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2</xdr:row>
      <xdr:rowOff>63500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67" name="tReporting52428888_30">
          <a:extLst>
            <a:ext uri="{FF2B5EF4-FFF2-40B4-BE49-F238E27FC236}">
              <a16:creationId xmlns:a16="http://schemas.microsoft.com/office/drawing/2014/main" id="{FD70EB39-C2A0-4CE7-B041-E068F6FB3AE4}"/>
            </a:ext>
          </a:extLst>
        </xdr:cNvPr>
        <xdr:cNvSpPr/>
      </xdr:nvSpPr>
      <xdr:spPr>
        <a:xfrm>
          <a:off x="327660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E7FE7D8-0105-450C-B709-6F7CFF8F70C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anticipée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68" name="tReporting52428888_31">
          <a:extLst>
            <a:ext uri="{FF2B5EF4-FFF2-40B4-BE49-F238E27FC236}">
              <a16:creationId xmlns:a16="http://schemas.microsoft.com/office/drawing/2014/main" id="{6CBA4BC3-7D0D-4CE3-A379-7ED3A10A881D}"/>
            </a:ext>
          </a:extLst>
        </xdr:cNvPr>
        <xdr:cNvSpPr/>
      </xdr:nvSpPr>
      <xdr:spPr>
        <a:xfrm>
          <a:off x="338804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BB3C1A4-0084-4948-A123-73DCA609BB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69" name="tReporting52428888_32">
          <a:extLst>
            <a:ext uri="{FF2B5EF4-FFF2-40B4-BE49-F238E27FC236}">
              <a16:creationId xmlns:a16="http://schemas.microsoft.com/office/drawing/2014/main" id="{8E928521-5BB8-42F0-86FF-69E040C43E32}"/>
            </a:ext>
          </a:extLst>
        </xdr:cNvPr>
        <xdr:cNvSpPr/>
      </xdr:nvSpPr>
      <xdr:spPr>
        <a:xfrm>
          <a:off x="349948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85D6939-B277-4000-8591-6674013584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RF_RepOpAftPubStd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70" name="tReporting52428888_33">
          <a:extLst>
            <a:ext uri="{FF2B5EF4-FFF2-40B4-BE49-F238E27FC236}">
              <a16:creationId xmlns:a16="http://schemas.microsoft.com/office/drawing/2014/main" id="{C4FE7E49-4F72-4DEA-AD5C-507D28E8EB3D}"/>
            </a:ext>
          </a:extLst>
        </xdr:cNvPr>
        <xdr:cNvSpPr/>
      </xdr:nvSpPr>
      <xdr:spPr>
        <a:xfrm>
          <a:off x="361092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E7880E2-E0D8-4831-80AA-5718823001A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RF_RepOpAftPubSpe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71" name="tReporting52428888_34">
          <a:extLst>
            <a:ext uri="{FF2B5EF4-FFF2-40B4-BE49-F238E27FC236}">
              <a16:creationId xmlns:a16="http://schemas.microsoft.com/office/drawing/2014/main" id="{F80537C0-F47D-4221-895E-BBE1FF54AF3B}"/>
            </a:ext>
          </a:extLst>
        </xdr:cNvPr>
        <xdr:cNvSpPr/>
      </xdr:nvSpPr>
      <xdr:spPr>
        <a:xfrm>
          <a:off x="372237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F5C2113-04CE-441A-B99D-D9EB403A26F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RF_RepOpAftPubAdv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72" name="tReporting52428888_35">
          <a:extLst>
            <a:ext uri="{FF2B5EF4-FFF2-40B4-BE49-F238E27FC236}">
              <a16:creationId xmlns:a16="http://schemas.microsoft.com/office/drawing/2014/main" id="{98A2C016-D15E-41FB-BCA8-8D45F6853F9B}"/>
            </a:ext>
          </a:extLst>
        </xdr:cNvPr>
        <xdr:cNvSpPr/>
      </xdr:nvSpPr>
      <xdr:spPr>
        <a:xfrm>
          <a:off x="383381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56C3076-9585-4E05-9360-D1CBCE1D85F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RF_RepOpAftPubLvl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2</xdr:row>
      <xdr:rowOff>63500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3" name="tReporting52428888_36">
          <a:extLst>
            <a:ext uri="{FF2B5EF4-FFF2-40B4-BE49-F238E27FC236}">
              <a16:creationId xmlns:a16="http://schemas.microsoft.com/office/drawing/2014/main" id="{0241EE08-5D49-45B7-A91B-9A961EFF2B54}"/>
            </a:ext>
          </a:extLst>
        </xdr:cNvPr>
        <xdr:cNvSpPr/>
      </xdr:nvSpPr>
      <xdr:spPr>
        <a:xfrm>
          <a:off x="394525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FA7B9ED-7330-411A-808A-EA1C4BA949A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3</xdr:row>
      <xdr:rowOff>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74" name="tReporting52428888_37">
          <a:extLst>
            <a:ext uri="{FF2B5EF4-FFF2-40B4-BE49-F238E27FC236}">
              <a16:creationId xmlns:a16="http://schemas.microsoft.com/office/drawing/2014/main" id="{74F75FE8-DA56-4698-ACCE-F4FD2CA41C70}"/>
            </a:ext>
          </a:extLst>
        </xdr:cNvPr>
        <xdr:cNvSpPr/>
      </xdr:nvSpPr>
      <xdr:spPr>
        <a:xfrm>
          <a:off x="405669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709C917-D606-46FE-AAA0-EDE48A96342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RF_RepOpAftTranStd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75" name="tReporting52428888_38">
          <a:extLst>
            <a:ext uri="{FF2B5EF4-FFF2-40B4-BE49-F238E27FC236}">
              <a16:creationId xmlns:a16="http://schemas.microsoft.com/office/drawing/2014/main" id="{C7778033-47E7-40F5-BFBA-9F5C4F0A6796}"/>
            </a:ext>
          </a:extLst>
        </xdr:cNvPr>
        <xdr:cNvSpPr/>
      </xdr:nvSpPr>
      <xdr:spPr>
        <a:xfrm>
          <a:off x="416814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A87D6B1-558A-421F-ABBD-5B486BE515F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RF_RepOpAftTranSpe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376" name="tReporting52428888_39">
          <a:extLst>
            <a:ext uri="{FF2B5EF4-FFF2-40B4-BE49-F238E27FC236}">
              <a16:creationId xmlns:a16="http://schemas.microsoft.com/office/drawing/2014/main" id="{7D9D0306-AC8A-46F2-BBD1-792D5B901F2B}"/>
            </a:ext>
          </a:extLst>
        </xdr:cNvPr>
        <xdr:cNvSpPr/>
      </xdr:nvSpPr>
      <xdr:spPr>
        <a:xfrm>
          <a:off x="427958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5F18640-D445-4278-8F20-61AAC88BE0E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RF_RepOpAftTranAdv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377" name="tReporting52428888_40">
          <a:extLst>
            <a:ext uri="{FF2B5EF4-FFF2-40B4-BE49-F238E27FC236}">
              <a16:creationId xmlns:a16="http://schemas.microsoft.com/office/drawing/2014/main" id="{2D27D33C-B1CF-4FFF-827F-C91837539B48}"/>
            </a:ext>
          </a:extLst>
        </xdr:cNvPr>
        <xdr:cNvSpPr/>
      </xdr:nvSpPr>
      <xdr:spPr>
        <a:xfrm>
          <a:off x="439102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E134D27-7CD1-45B8-B1F1-C1AA714B9C8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RF_RepOpAftTranLvl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2</xdr:row>
      <xdr:rowOff>63500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378" name="tReporting52428888_41">
          <a:extLst>
            <a:ext uri="{FF2B5EF4-FFF2-40B4-BE49-F238E27FC236}">
              <a16:creationId xmlns:a16="http://schemas.microsoft.com/office/drawing/2014/main" id="{C87102FD-369A-445E-9502-1FEAD7AD56A0}"/>
            </a:ext>
          </a:extLst>
        </xdr:cNvPr>
        <xdr:cNvSpPr/>
      </xdr:nvSpPr>
      <xdr:spPr>
        <a:xfrm>
          <a:off x="450246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E45543D-56CB-4B2E-87AC-1EC60D0DABF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RF_RepDesc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379" name="tReporting52428888_42">
          <a:extLst>
            <a:ext uri="{FF2B5EF4-FFF2-40B4-BE49-F238E27FC236}">
              <a16:creationId xmlns:a16="http://schemas.microsoft.com/office/drawing/2014/main" id="{86B0288E-7E7F-4447-94C9-A5EB67CF0CD2}"/>
            </a:ext>
          </a:extLst>
        </xdr:cNvPr>
        <xdr:cNvSpPr/>
      </xdr:nvSpPr>
      <xdr:spPr>
        <a:xfrm>
          <a:off x="4613910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ED80D0F-5EB2-4211-861F-CB7201506AE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Unité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380" name="tReporting52428888_43">
          <a:extLst>
            <a:ext uri="{FF2B5EF4-FFF2-40B4-BE49-F238E27FC236}">
              <a16:creationId xmlns:a16="http://schemas.microsoft.com/office/drawing/2014/main" id="{E37B70AD-6D6E-46EE-A098-F5C710FF0177}"/>
            </a:ext>
          </a:extLst>
        </xdr:cNvPr>
        <xdr:cNvSpPr/>
      </xdr:nvSpPr>
      <xdr:spPr>
        <a:xfrm>
          <a:off x="465867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3A49181-FB69-4908-9539-314116B6893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Code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2</xdr:row>
      <xdr:rowOff>63500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381" name="tReporting52428888_44">
          <a:extLst>
            <a:ext uri="{FF2B5EF4-FFF2-40B4-BE49-F238E27FC236}">
              <a16:creationId xmlns:a16="http://schemas.microsoft.com/office/drawing/2014/main" id="{E8602AD3-36AD-4DC8-8434-1718EB2B4D0D}"/>
            </a:ext>
          </a:extLst>
        </xdr:cNvPr>
        <xdr:cNvSpPr/>
      </xdr:nvSpPr>
      <xdr:spPr>
        <a:xfrm>
          <a:off x="477012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ACF5DCB-17FB-4F8E-90AB-6381F8904A0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Devise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2</xdr:row>
      <xdr:rowOff>63500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382" name="tReporting52428888_45">
          <a:extLst>
            <a:ext uri="{FF2B5EF4-FFF2-40B4-BE49-F238E27FC236}">
              <a16:creationId xmlns:a16="http://schemas.microsoft.com/office/drawing/2014/main" id="{751FD3A9-792B-419C-B8F3-ADB79ECCB5F2}"/>
            </a:ext>
          </a:extLst>
        </xdr:cNvPr>
        <xdr:cNvSpPr/>
      </xdr:nvSpPr>
      <xdr:spPr>
        <a:xfrm>
          <a:off x="488156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F0744A1-928D-4CE0-886B-CD5CFE2C424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RF_InputSite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2</xdr:row>
      <xdr:rowOff>63500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383" name="tReporting52428888_46">
          <a:extLst>
            <a:ext uri="{FF2B5EF4-FFF2-40B4-BE49-F238E27FC236}">
              <a16:creationId xmlns:a16="http://schemas.microsoft.com/office/drawing/2014/main" id="{6CABBEE3-0F47-48AF-BEF9-4657630778DC}"/>
            </a:ext>
          </a:extLst>
        </xdr:cNvPr>
        <xdr:cNvSpPr/>
      </xdr:nvSpPr>
      <xdr:spPr>
        <a:xfrm>
          <a:off x="499300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60E1EB7-FB61-48F2-B2C9-4C448455A84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RF_PublicationSite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384" name="tReporting52428888_47">
          <a:extLst>
            <a:ext uri="{FF2B5EF4-FFF2-40B4-BE49-F238E27FC236}">
              <a16:creationId xmlns:a16="http://schemas.microsoft.com/office/drawing/2014/main" id="{A9C03D7F-5AB5-449E-B8ED-525EF23BFF76}"/>
            </a:ext>
          </a:extLst>
        </xdr:cNvPr>
        <xdr:cNvSpPr/>
      </xdr:nvSpPr>
      <xdr:spPr>
        <a:xfrm>
          <a:off x="510444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529C4DB-75DF-4909-9A65-DCBADE4ED94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RF_EntPack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2</xdr:row>
      <xdr:rowOff>63500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385" name="tReporting52428888_48">
          <a:extLst>
            <a:ext uri="{FF2B5EF4-FFF2-40B4-BE49-F238E27FC236}">
              <a16:creationId xmlns:a16="http://schemas.microsoft.com/office/drawing/2014/main" id="{D5C46884-6299-4E86-B3E0-CCCAE1C30138}"/>
            </a:ext>
          </a:extLst>
        </xdr:cNvPr>
        <xdr:cNvSpPr/>
      </xdr:nvSpPr>
      <xdr:spPr>
        <a:xfrm>
          <a:off x="521589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1883D58-FD39-4B80-8B2A-86B13B8FB03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RF_EntUseDefaultWindowsFolder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386" name="tReporting52428888_49">
          <a:extLst>
            <a:ext uri="{FF2B5EF4-FFF2-40B4-BE49-F238E27FC236}">
              <a16:creationId xmlns:a16="http://schemas.microsoft.com/office/drawing/2014/main" id="{FB800110-9C4D-46CB-8E35-FE0B564F61EB}"/>
            </a:ext>
          </a:extLst>
        </xdr:cNvPr>
        <xdr:cNvSpPr/>
      </xdr:nvSpPr>
      <xdr:spPr>
        <a:xfrm>
          <a:off x="532733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6B90EF0-65F9-486E-BA2E-6E9CF611F59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RF_EntWindowsFolder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387" name="tReporting52428888_50">
          <a:extLst>
            <a:ext uri="{FF2B5EF4-FFF2-40B4-BE49-F238E27FC236}">
              <a16:creationId xmlns:a16="http://schemas.microsoft.com/office/drawing/2014/main" id="{5DEEA588-B2F3-4FC7-96C9-A3EF9537EAA4}"/>
            </a:ext>
          </a:extLst>
        </xdr:cNvPr>
        <xdr:cNvSpPr/>
      </xdr:nvSpPr>
      <xdr:spPr>
        <a:xfrm>
          <a:off x="543877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3E9B6C5-722F-4BE1-8AD3-B92B339F8B2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RF_EntUseDefaultInternetFolder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2</xdr:row>
      <xdr:rowOff>63500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388" name="tReporting52428888_51">
          <a:extLst>
            <a:ext uri="{FF2B5EF4-FFF2-40B4-BE49-F238E27FC236}">
              <a16:creationId xmlns:a16="http://schemas.microsoft.com/office/drawing/2014/main" id="{A92B99CB-05BA-4823-A449-26D068B4D60F}"/>
            </a:ext>
          </a:extLst>
        </xdr:cNvPr>
        <xdr:cNvSpPr/>
      </xdr:nvSpPr>
      <xdr:spPr>
        <a:xfrm>
          <a:off x="555021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800E8E7-6A7E-498B-8762-5AFF31B07E2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RF_EntInternetFolder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2</xdr:row>
      <xdr:rowOff>63500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389" name="tReporting52428888_52">
          <a:extLst>
            <a:ext uri="{FF2B5EF4-FFF2-40B4-BE49-F238E27FC236}">
              <a16:creationId xmlns:a16="http://schemas.microsoft.com/office/drawing/2014/main" id="{F0220FD1-04D1-4FD3-9978-3A7E93A0381E}"/>
            </a:ext>
          </a:extLst>
        </xdr:cNvPr>
        <xdr:cNvSpPr/>
      </xdr:nvSpPr>
      <xdr:spPr>
        <a:xfrm>
          <a:off x="566166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F6C101F-47B4-4986-BA1E-7C8BAE520C1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RF_EntUseDefaultSetOfControls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2</xdr:row>
      <xdr:rowOff>63500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390" name="tReporting52428888_53">
          <a:extLst>
            <a:ext uri="{FF2B5EF4-FFF2-40B4-BE49-F238E27FC236}">
              <a16:creationId xmlns:a16="http://schemas.microsoft.com/office/drawing/2014/main" id="{39D18A3F-505C-4119-AA97-DFC236360508}"/>
            </a:ext>
          </a:extLst>
        </xdr:cNvPr>
        <xdr:cNvSpPr/>
      </xdr:nvSpPr>
      <xdr:spPr>
        <a:xfrm>
          <a:off x="577310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256C598-CF49-4FF6-86FA-E355EE013F1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RF_EntSetOfControls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2</xdr:row>
      <xdr:rowOff>63500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391" name="tReporting52428888_54">
          <a:extLst>
            <a:ext uri="{FF2B5EF4-FFF2-40B4-BE49-F238E27FC236}">
              <a16:creationId xmlns:a16="http://schemas.microsoft.com/office/drawing/2014/main" id="{E31765A0-187B-41EF-87BD-B7E2BE28C6EF}"/>
            </a:ext>
          </a:extLst>
        </xdr:cNvPr>
        <xdr:cNvSpPr/>
      </xdr:nvSpPr>
      <xdr:spPr>
        <a:xfrm>
          <a:off x="588454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825C931-5E1F-44F1-8444-FC1A4FCDA7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RF_EntUseDefaultLevel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2</xdr:row>
      <xdr:rowOff>63500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392" name="tReporting52428888_55">
          <a:extLst>
            <a:ext uri="{FF2B5EF4-FFF2-40B4-BE49-F238E27FC236}">
              <a16:creationId xmlns:a16="http://schemas.microsoft.com/office/drawing/2014/main" id="{D7D39905-E9BF-4F9F-8525-9ACF83835DDD}"/>
            </a:ext>
          </a:extLst>
        </xdr:cNvPr>
        <xdr:cNvSpPr/>
      </xdr:nvSpPr>
      <xdr:spPr>
        <a:xfrm>
          <a:off x="599598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EBF3F67-8FC7-4CDE-AC4F-C01DF955F8D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RF_EntLevelToReach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2</xdr:row>
      <xdr:rowOff>63500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393" name="tReporting52428888_56">
          <a:extLst>
            <a:ext uri="{FF2B5EF4-FFF2-40B4-BE49-F238E27FC236}">
              <a16:creationId xmlns:a16="http://schemas.microsoft.com/office/drawing/2014/main" id="{26069096-31C5-498C-8AD5-B4F2B603321D}"/>
            </a:ext>
          </a:extLst>
        </xdr:cNvPr>
        <xdr:cNvSpPr/>
      </xdr:nvSpPr>
      <xdr:spPr>
        <a:xfrm>
          <a:off x="610743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CD3BB52-8816-482F-8F8A-BBDBC70F010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RF_EntBlocking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2</xdr:row>
      <xdr:rowOff>63500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394" name="tReporting52428888_57">
          <a:extLst>
            <a:ext uri="{FF2B5EF4-FFF2-40B4-BE49-F238E27FC236}">
              <a16:creationId xmlns:a16="http://schemas.microsoft.com/office/drawing/2014/main" id="{90A55233-8F57-476B-A755-97028234B3D7}"/>
            </a:ext>
          </a:extLst>
        </xdr:cNvPr>
        <xdr:cNvSpPr/>
      </xdr:nvSpPr>
      <xdr:spPr>
        <a:xfrm>
          <a:off x="621887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CF3FD2A-44CD-4E16-9806-E626F577E2D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RF_EntUseDefaultLock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2</xdr:row>
      <xdr:rowOff>63500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395" name="tReporting52428888_58">
          <a:extLst>
            <a:ext uri="{FF2B5EF4-FFF2-40B4-BE49-F238E27FC236}">
              <a16:creationId xmlns:a16="http://schemas.microsoft.com/office/drawing/2014/main" id="{E1501CEC-1C29-4B99-BD7C-EF2B8A78ACD0}"/>
            </a:ext>
          </a:extLst>
        </xdr:cNvPr>
        <xdr:cNvSpPr/>
      </xdr:nvSpPr>
      <xdr:spPr>
        <a:xfrm>
          <a:off x="633031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4B3FBCC-ABEC-458A-BBF1-55521786A4D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RF_EntLockOnPublication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2</xdr:row>
      <xdr:rowOff>63500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396" name="tReporting52428888_59">
          <a:extLst>
            <a:ext uri="{FF2B5EF4-FFF2-40B4-BE49-F238E27FC236}">
              <a16:creationId xmlns:a16="http://schemas.microsoft.com/office/drawing/2014/main" id="{9B22F395-9F09-4ABD-A17E-FFC16A2150C3}"/>
            </a:ext>
          </a:extLst>
        </xdr:cNvPr>
        <xdr:cNvSpPr/>
      </xdr:nvSpPr>
      <xdr:spPr>
        <a:xfrm>
          <a:off x="644175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4F02FA3-21E1-43E6-BD2D-1E8C7D9F34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RF_EntUseDefaultRuleSet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2</xdr:row>
      <xdr:rowOff>63500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397" name="tReporting52428888_60">
          <a:extLst>
            <a:ext uri="{FF2B5EF4-FFF2-40B4-BE49-F238E27FC236}">
              <a16:creationId xmlns:a16="http://schemas.microsoft.com/office/drawing/2014/main" id="{CF8E3321-D8B2-4D98-8E62-72CD50B78E88}"/>
            </a:ext>
          </a:extLst>
        </xdr:cNvPr>
        <xdr:cNvSpPr/>
      </xdr:nvSpPr>
      <xdr:spPr>
        <a:xfrm>
          <a:off x="655320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EF187E5-3520-4443-A88B-94F8BB814CB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RF_EntRuleSet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2</xdr:row>
      <xdr:rowOff>63500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398" name="tReporting52428888_61">
          <a:extLst>
            <a:ext uri="{FF2B5EF4-FFF2-40B4-BE49-F238E27FC236}">
              <a16:creationId xmlns:a16="http://schemas.microsoft.com/office/drawing/2014/main" id="{4FAF29FF-268D-47EF-B964-A9E14BF0CA5F}"/>
            </a:ext>
          </a:extLst>
        </xdr:cNvPr>
        <xdr:cNvSpPr/>
      </xdr:nvSpPr>
      <xdr:spPr>
        <a:xfrm>
          <a:off x="666464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5CCBCD0-B9C3-482E-8B5B-B2BD71C8757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RF_EntUseDefaultOpbal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2</xdr:row>
      <xdr:rowOff>63500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399" name="tReporting52428888_62">
          <a:extLst>
            <a:ext uri="{FF2B5EF4-FFF2-40B4-BE49-F238E27FC236}">
              <a16:creationId xmlns:a16="http://schemas.microsoft.com/office/drawing/2014/main" id="{93DA6256-D12A-4ECA-8D15-8900572A6968}"/>
            </a:ext>
          </a:extLst>
        </xdr:cNvPr>
        <xdr:cNvSpPr/>
      </xdr:nvSpPr>
      <xdr:spPr>
        <a:xfrm>
          <a:off x="677608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250E517-C0F8-48EC-AD1C-35A94C0CA42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RF_EntHasOpBal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2</xdr:row>
      <xdr:rowOff>63500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400" name="tReporting52428888_63">
          <a:extLst>
            <a:ext uri="{FF2B5EF4-FFF2-40B4-BE49-F238E27FC236}">
              <a16:creationId xmlns:a16="http://schemas.microsoft.com/office/drawing/2014/main" id="{FDE3391F-1B71-48F4-B005-5C599316D3F6}"/>
            </a:ext>
          </a:extLst>
        </xdr:cNvPr>
        <xdr:cNvSpPr/>
      </xdr:nvSpPr>
      <xdr:spPr>
        <a:xfrm>
          <a:off x="688752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F45E02-DF8F-4FB8-AE4F-18E1BEE0976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RF_EntOpbPhase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2</xdr:row>
      <xdr:rowOff>63500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401" name="tReporting52428888_64">
          <a:extLst>
            <a:ext uri="{FF2B5EF4-FFF2-40B4-BE49-F238E27FC236}">
              <a16:creationId xmlns:a16="http://schemas.microsoft.com/office/drawing/2014/main" id="{72976A36-FD78-4A31-BC3B-DA98B3F89556}"/>
            </a:ext>
          </a:extLst>
        </xdr:cNvPr>
        <xdr:cNvSpPr/>
      </xdr:nvSpPr>
      <xdr:spPr>
        <a:xfrm>
          <a:off x="699897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A61F58A-2D1C-4D2F-8095-6B3D231B9A3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RF_EntOpbUpdatePeriod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2</xdr:row>
      <xdr:rowOff>63500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402" name="tReporting52428888_65">
          <a:extLst>
            <a:ext uri="{FF2B5EF4-FFF2-40B4-BE49-F238E27FC236}">
              <a16:creationId xmlns:a16="http://schemas.microsoft.com/office/drawing/2014/main" id="{2DFC58A7-4851-45AA-97FD-704DB2F4AFB9}"/>
            </a:ext>
          </a:extLst>
        </xdr:cNvPr>
        <xdr:cNvSpPr/>
      </xdr:nvSpPr>
      <xdr:spPr>
        <a:xfrm>
          <a:off x="711041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E89AC2C-6124-4BC4-851C-E030474DDBD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RF_EntOpbScope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2</xdr:row>
      <xdr:rowOff>63500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403" name="tReporting52428888_66">
          <a:extLst>
            <a:ext uri="{FF2B5EF4-FFF2-40B4-BE49-F238E27FC236}">
              <a16:creationId xmlns:a16="http://schemas.microsoft.com/office/drawing/2014/main" id="{A7BD0DBF-7DC7-452B-8957-947627F324B9}"/>
            </a:ext>
          </a:extLst>
        </xdr:cNvPr>
        <xdr:cNvSpPr/>
      </xdr:nvSpPr>
      <xdr:spPr>
        <a:xfrm>
          <a:off x="722185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327DDDF-4FAE-456F-A1E5-215063CCE9F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RF_EntOpbVariant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2</xdr:row>
      <xdr:rowOff>63500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404" name="tReporting52428888_67">
          <a:extLst>
            <a:ext uri="{FF2B5EF4-FFF2-40B4-BE49-F238E27FC236}">
              <a16:creationId xmlns:a16="http://schemas.microsoft.com/office/drawing/2014/main" id="{2048BC5E-D5F1-42F2-BC41-E10A65841A8C}"/>
            </a:ext>
          </a:extLst>
        </xdr:cNvPr>
        <xdr:cNvSpPr/>
      </xdr:nvSpPr>
      <xdr:spPr>
        <a:xfrm>
          <a:off x="733329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C46E1B7-EFDA-4AF4-A6E7-0E26DDFAED5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RF_EntOpbConsCurrency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405" name="tReporting52428888_68">
          <a:extLst>
            <a:ext uri="{FF2B5EF4-FFF2-40B4-BE49-F238E27FC236}">
              <a16:creationId xmlns:a16="http://schemas.microsoft.com/office/drawing/2014/main" id="{D316474B-C716-43BA-8320-715FE567A672}"/>
            </a:ext>
          </a:extLst>
        </xdr:cNvPr>
        <xdr:cNvSpPr/>
      </xdr:nvSpPr>
      <xdr:spPr>
        <a:xfrm>
          <a:off x="744474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D1A27CD-B644-4E3C-B734-E8E8853E2F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2</xdr:row>
      <xdr:rowOff>63500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406" name="tReporting52428888_69">
          <a:extLst>
            <a:ext uri="{FF2B5EF4-FFF2-40B4-BE49-F238E27FC236}">
              <a16:creationId xmlns:a16="http://schemas.microsoft.com/office/drawing/2014/main" id="{41AE5766-8C54-4666-9D67-ECEF121CC907}"/>
            </a:ext>
          </a:extLst>
        </xdr:cNvPr>
        <xdr:cNvSpPr/>
      </xdr:nvSpPr>
      <xdr:spPr>
        <a:xfrm>
          <a:off x="755618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5888A10-0AD1-4144-AEB5-91D93EE9924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RF_EntUseDefaultPublish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2</xdr:row>
      <xdr:rowOff>63500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407" name="tReporting52428888_70">
          <a:extLst>
            <a:ext uri="{FF2B5EF4-FFF2-40B4-BE49-F238E27FC236}">
              <a16:creationId xmlns:a16="http://schemas.microsoft.com/office/drawing/2014/main" id="{64DC7D7E-62D5-4B1A-B58B-FC0DE825CAC4}"/>
            </a:ext>
          </a:extLst>
        </xdr:cNvPr>
        <xdr:cNvSpPr/>
      </xdr:nvSpPr>
      <xdr:spPr>
        <a:xfrm>
          <a:off x="766762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11F5A5F-D8ED-459C-BA7F-DB435DB326B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RF_EntPackPublishingCutOffDate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408" name="tReporting52428888_71">
          <a:extLst>
            <a:ext uri="{FF2B5EF4-FFF2-40B4-BE49-F238E27FC236}">
              <a16:creationId xmlns:a16="http://schemas.microsoft.com/office/drawing/2014/main" id="{C14254F6-A218-4FD9-A3F3-17FD024E30BB}"/>
            </a:ext>
          </a:extLst>
        </xdr:cNvPr>
        <xdr:cNvSpPr/>
      </xdr:nvSpPr>
      <xdr:spPr>
        <a:xfrm>
          <a:off x="7779067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79A7E8F-DA71-4B56-B48A-452CEC5D3EC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RF_EntAllowEarlyPublishing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409" name="tReporting52428888_72">
          <a:extLst>
            <a:ext uri="{FF2B5EF4-FFF2-40B4-BE49-F238E27FC236}">
              <a16:creationId xmlns:a16="http://schemas.microsoft.com/office/drawing/2014/main" id="{0AC6AFDF-25E8-4EF7-A0BC-BBA97E5FA1E3}"/>
            </a:ext>
          </a:extLst>
        </xdr:cNvPr>
        <xdr:cNvSpPr/>
      </xdr:nvSpPr>
      <xdr:spPr>
        <a:xfrm>
          <a:off x="789051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563AD7E-B7E1-4868-AD63-3735AF88B1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RF_EntOpAftPub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410" name="tReporting52428888_73">
          <a:extLst>
            <a:ext uri="{FF2B5EF4-FFF2-40B4-BE49-F238E27FC236}">
              <a16:creationId xmlns:a16="http://schemas.microsoft.com/office/drawing/2014/main" id="{A97CDC4B-9516-4DF3-973A-0F4EF337A80C}"/>
            </a:ext>
          </a:extLst>
        </xdr:cNvPr>
        <xdr:cNvSpPr/>
      </xdr:nvSpPr>
      <xdr:spPr>
        <a:xfrm>
          <a:off x="800195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4B1280E-54F7-413F-AE02-126FF59FBFF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RF_EntUseDefaultAfterPub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411" name="tReporting52428888_74">
          <a:extLst>
            <a:ext uri="{FF2B5EF4-FFF2-40B4-BE49-F238E27FC236}">
              <a16:creationId xmlns:a16="http://schemas.microsoft.com/office/drawing/2014/main" id="{9FFF3FD2-C623-456B-BAD5-88225DEFF17C}"/>
            </a:ext>
          </a:extLst>
        </xdr:cNvPr>
        <xdr:cNvSpPr/>
      </xdr:nvSpPr>
      <xdr:spPr>
        <a:xfrm>
          <a:off x="811339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6EB0100-5F07-40CE-809E-94F5FBAF5D9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RF_EntAftPubStandard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412" name="tReporting52428888_75">
          <a:extLst>
            <a:ext uri="{FF2B5EF4-FFF2-40B4-BE49-F238E27FC236}">
              <a16:creationId xmlns:a16="http://schemas.microsoft.com/office/drawing/2014/main" id="{A5FE5121-0D5D-426F-B66D-09F4B5F69E53}"/>
            </a:ext>
          </a:extLst>
        </xdr:cNvPr>
        <xdr:cNvSpPr/>
      </xdr:nvSpPr>
      <xdr:spPr>
        <a:xfrm>
          <a:off x="822483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8CE6BCC-A5D4-4124-A245-79DA9189B2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RF_EntAftPubSpecial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413" name="tReporting52428888_76">
          <a:extLst>
            <a:ext uri="{FF2B5EF4-FFF2-40B4-BE49-F238E27FC236}">
              <a16:creationId xmlns:a16="http://schemas.microsoft.com/office/drawing/2014/main" id="{505F426E-0B94-4261-9D69-448C9B021A2B}"/>
            </a:ext>
          </a:extLst>
        </xdr:cNvPr>
        <xdr:cNvSpPr/>
      </xdr:nvSpPr>
      <xdr:spPr>
        <a:xfrm>
          <a:off x="833628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E71330-1D24-434D-9F19-73CE8DB3AD2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RF_EntAftPubAdvanced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414" name="tReporting52428888_77">
          <a:extLst>
            <a:ext uri="{FF2B5EF4-FFF2-40B4-BE49-F238E27FC236}">
              <a16:creationId xmlns:a16="http://schemas.microsoft.com/office/drawing/2014/main" id="{6F87A2FB-5BBD-42CC-8FBE-0F6DD2CA1431}"/>
            </a:ext>
          </a:extLst>
        </xdr:cNvPr>
        <xdr:cNvSpPr/>
      </xdr:nvSpPr>
      <xdr:spPr>
        <a:xfrm>
          <a:off x="844772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69D2B71-D8C9-4E68-A167-D2DEB2210D8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RF_EntAftPubLevel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415" name="tReporting52428888_78">
          <a:extLst>
            <a:ext uri="{FF2B5EF4-FFF2-40B4-BE49-F238E27FC236}">
              <a16:creationId xmlns:a16="http://schemas.microsoft.com/office/drawing/2014/main" id="{0D4EEE7E-8296-414F-BC30-3F71B2925608}"/>
            </a:ext>
          </a:extLst>
        </xdr:cNvPr>
        <xdr:cNvSpPr/>
      </xdr:nvSpPr>
      <xdr:spPr>
        <a:xfrm>
          <a:off x="855916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5D6CACA-0ECB-4849-9972-932CBC28DE1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RF_EntOpAftTran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416" name="tReporting52428888_79">
          <a:extLst>
            <a:ext uri="{FF2B5EF4-FFF2-40B4-BE49-F238E27FC236}">
              <a16:creationId xmlns:a16="http://schemas.microsoft.com/office/drawing/2014/main" id="{D2B05C86-841E-4853-ADB0-EE02ECA20285}"/>
            </a:ext>
          </a:extLst>
        </xdr:cNvPr>
        <xdr:cNvSpPr/>
      </xdr:nvSpPr>
      <xdr:spPr>
        <a:xfrm>
          <a:off x="867060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9D5DB63-F46F-4504-925A-2391B6B02E7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RF_EntUseDefaultAfterTran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417" name="tReporting52428888_80">
          <a:extLst>
            <a:ext uri="{FF2B5EF4-FFF2-40B4-BE49-F238E27FC236}">
              <a16:creationId xmlns:a16="http://schemas.microsoft.com/office/drawing/2014/main" id="{8E685E5D-6616-4C62-A4DD-61E493C821FD}"/>
            </a:ext>
          </a:extLst>
        </xdr:cNvPr>
        <xdr:cNvSpPr/>
      </xdr:nvSpPr>
      <xdr:spPr>
        <a:xfrm>
          <a:off x="878205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F7D3B17-0B63-468C-B810-BE82A82AC0F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RF_EntAftTranStandard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418" name="tReporting52428888_81">
          <a:extLst>
            <a:ext uri="{FF2B5EF4-FFF2-40B4-BE49-F238E27FC236}">
              <a16:creationId xmlns:a16="http://schemas.microsoft.com/office/drawing/2014/main" id="{88362A0F-D241-4B02-9DFD-F36437363180}"/>
            </a:ext>
          </a:extLst>
        </xdr:cNvPr>
        <xdr:cNvSpPr/>
      </xdr:nvSpPr>
      <xdr:spPr>
        <a:xfrm>
          <a:off x="889349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7D610DE-EE4C-4CD0-9E9A-B5A0CF1034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RF_EntAftTranSpecial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419" name="tReporting52428888_82">
          <a:extLst>
            <a:ext uri="{FF2B5EF4-FFF2-40B4-BE49-F238E27FC236}">
              <a16:creationId xmlns:a16="http://schemas.microsoft.com/office/drawing/2014/main" id="{F7A94124-B0FA-4604-A892-B5A4D724C1F2}"/>
            </a:ext>
          </a:extLst>
        </xdr:cNvPr>
        <xdr:cNvSpPr/>
      </xdr:nvSpPr>
      <xdr:spPr>
        <a:xfrm>
          <a:off x="900493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D7539CA-8137-4A62-B255-035A272ABB1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RF_EntAftTranAdvanced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420" name="tReporting52428888_83">
          <a:extLst>
            <a:ext uri="{FF2B5EF4-FFF2-40B4-BE49-F238E27FC236}">
              <a16:creationId xmlns:a16="http://schemas.microsoft.com/office/drawing/2014/main" id="{F9B047B6-4A3E-493D-8742-30FEF2BE8CF5}"/>
            </a:ext>
          </a:extLst>
        </xdr:cNvPr>
        <xdr:cNvSpPr/>
      </xdr:nvSpPr>
      <xdr:spPr>
        <a:xfrm>
          <a:off x="911637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17FB674-9A86-45F3-AD0A-FBD0BD7752E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RF_EntAftTranLevel</a:t>
          </a:fld>
          <a:endParaRPr lang="fr-FR" sz="1100"/>
        </a:p>
      </xdr:txBody>
    </xdr:sp>
    <xdr:clientData/>
  </xdr:twoCellAnchor>
  <xdr:twoCellAnchor>
    <xdr:from>
      <xdr:col>84</xdr:col>
      <xdr:colOff>0</xdr:colOff>
      <xdr:row>2</xdr:row>
      <xdr:rowOff>63500</xdr:rowOff>
    </xdr:from>
    <xdr:to>
      <xdr:col>85</xdr:col>
      <xdr:colOff>0</xdr:colOff>
      <xdr:row>5</xdr:row>
      <xdr:rowOff>0</xdr:rowOff>
    </xdr:to>
    <xdr:sp macro="JSON_TableHeaderClick" textlink="$CG$4">
      <xdr:nvSpPr>
        <xdr:cNvPr id="421" name="tReporting52428888_84">
          <a:extLst>
            <a:ext uri="{FF2B5EF4-FFF2-40B4-BE49-F238E27FC236}">
              <a16:creationId xmlns:a16="http://schemas.microsoft.com/office/drawing/2014/main" id="{1059079F-0ACD-4CB5-98B9-B21AAE610E85}"/>
            </a:ext>
          </a:extLst>
        </xdr:cNvPr>
        <xdr:cNvSpPr/>
      </xdr:nvSpPr>
      <xdr:spPr>
        <a:xfrm>
          <a:off x="922782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646CFD6-4F95-441B-BB79-9F1C5669E4D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RF_DescFr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6DA7518-752A-47F4-9CDB-C150CCE3A9D7}" name="tReportings" displayName="tReportings" ref="C13:F41" totalsRowShown="0" headerRowDxfId="177">
  <autoFilter ref="C13:F41" xr:uid="{85CCF016-1549-46C5-8AE3-389FDA6EA288}"/>
  <tableColumns count="4">
    <tableColumn id="1" xr3:uid="{6F239162-50E1-4323-B52E-08369F516875}" name=" 1" dataDxfId="176"/>
    <tableColumn id="2" xr3:uid="{5584CE7D-9028-4E5C-81D9-50E247DFE592}" name=" 2" dataDxfId="175"/>
    <tableColumn id="3" xr3:uid="{2930ED9A-6841-4919-96CD-7F768363C388}" name=" 3" dataDxfId="174"/>
    <tableColumn id="4" xr3:uid="{8C3B855B-ACBD-4CD1-8274-E951731EAA8D}" name=" 4" dataDxfId="1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F223B37-C1E7-4805-B9E1-FB10D4E504E7}" name="tReporting79" displayName="tReporting79" ref="B5:CG6" totalsRowShown="0" headerRowDxfId="87" dataDxfId="88">
  <autoFilter ref="B5:CG6" xr:uid="{C0609D40-9DAF-4618-B031-ED28A0220CCF}"/>
  <tableColumns count="84">
    <tableColumn id="1" xr3:uid="{16928B73-C089-4666-B864-A81AEB17BA0B}" name=" 1" dataDxfId="172"/>
    <tableColumn id="2" xr3:uid="{AD359C97-8736-46FB-BA4B-E579EFE4552D}" name=" 2" dataDxfId="171"/>
    <tableColumn id="3" xr3:uid="{815511E1-EE40-4F98-BEE4-8934418542A9}" name=" 3" dataDxfId="170"/>
    <tableColumn id="4" xr3:uid="{1047904D-03B9-484C-94A1-D45918CA8375}" name=" 4" dataDxfId="169"/>
    <tableColumn id="5" xr3:uid="{8CB2BA7D-7F9E-4840-93F5-60528605B0B8}" name=" 5" dataDxfId="168"/>
    <tableColumn id="6" xr3:uid="{DE51B78D-382B-4613-A56D-41A7EF6ACC94}" name=" 6" dataDxfId="167"/>
    <tableColumn id="7" xr3:uid="{C99A0868-C305-4741-9F61-22D1F865C012}" name=" 7" dataDxfId="166"/>
    <tableColumn id="8" xr3:uid="{378FAB50-9E68-4B06-BA57-6CEF5DC2B860}" name=" 8" dataDxfId="165"/>
    <tableColumn id="9" xr3:uid="{1D2E5A75-5A61-4442-9960-A416923571FE}" name=" 9" dataDxfId="164"/>
    <tableColumn id="10" xr3:uid="{3E5ED064-B66A-43E1-82F7-7FCAA2A448B1}" name=" 10" dataDxfId="163"/>
    <tableColumn id="11" xr3:uid="{1E2A5785-77F4-465C-B690-41257CBD4058}" name=" 11" dataDxfId="162"/>
    <tableColumn id="12" xr3:uid="{6BFF031F-E14C-46AD-86EA-DC64E2B5318A}" name=" 12" dataDxfId="161"/>
    <tableColumn id="13" xr3:uid="{13F4CF1A-7E1A-4724-BBD4-1577EC2A7D61}" name=" 13" dataDxfId="160"/>
    <tableColumn id="14" xr3:uid="{0F629A08-1E45-4CA5-8706-A1EC19DDBD66}" name=" 14" dataDxfId="159"/>
    <tableColumn id="15" xr3:uid="{162D2691-62F8-4846-9B48-5658213F5B23}" name=" 15" dataDxfId="158"/>
    <tableColumn id="16" xr3:uid="{E45F0008-2CDB-49BA-A7AE-2C83F77C3417}" name=" 16" dataDxfId="157"/>
    <tableColumn id="17" xr3:uid="{1755F83A-B2D1-413E-89A4-6A4ABE3850FB}" name=" 17" dataDxfId="156"/>
    <tableColumn id="18" xr3:uid="{0557E6F9-2035-421F-973C-D2543EC64840}" name=" 18" dataDxfId="155"/>
    <tableColumn id="19" xr3:uid="{F7F7AF50-055F-49B2-8FC2-24C764F46D6A}" name=" 19" dataDxfId="154"/>
    <tableColumn id="20" xr3:uid="{0C9E2B69-DED1-486A-A267-5A996B4298EE}" name=" 20" dataDxfId="153"/>
    <tableColumn id="21" xr3:uid="{E8543D3C-5DB2-4C52-BB2E-52F6D68ED17F}" name=" 21" dataDxfId="152"/>
    <tableColumn id="22" xr3:uid="{4A81186E-F332-48D4-A2AE-01B333E0B802}" name=" 22" dataDxfId="151"/>
    <tableColumn id="23" xr3:uid="{67C6FCA1-0391-43AC-8AF4-87D07388A997}" name=" 23" dataDxfId="150"/>
    <tableColumn id="24" xr3:uid="{6CCFA071-5197-4535-80FE-D848085C1323}" name=" 24" dataDxfId="149"/>
    <tableColumn id="25" xr3:uid="{2D442609-B11A-49D5-9B3B-92E406AB349D}" name=" 25" dataDxfId="148"/>
    <tableColumn id="26" xr3:uid="{2A7C1014-01D7-4557-89C8-853DC34D01C8}" name=" 26" dataDxfId="147"/>
    <tableColumn id="27" xr3:uid="{F5F01CAC-B4DE-43A2-8842-BD0AA6759CB7}" name=" 27" dataDxfId="146"/>
    <tableColumn id="28" xr3:uid="{96AD93C3-EB6D-4942-ADD2-22EE592A09FC}" name=" 28" dataDxfId="145"/>
    <tableColumn id="29" xr3:uid="{296B520E-BF35-440E-87DF-54C1DDDA1ADA}" name=" 29" dataDxfId="144"/>
    <tableColumn id="30" xr3:uid="{5AAB6598-783F-480A-8C27-EA0FDDAB54DE}" name=" 30" dataDxfId="143"/>
    <tableColumn id="31" xr3:uid="{1DEAE8D1-135A-4462-BA23-543988DCCC03}" name=" 31" dataDxfId="142"/>
    <tableColumn id="32" xr3:uid="{F13FB3D2-9631-4656-86BC-110EDB9F1BC2}" name=" 32" dataDxfId="141"/>
    <tableColumn id="33" xr3:uid="{428D2F33-2AA6-4DFA-B1A2-08C7284B117C}" name=" 33" dataDxfId="140"/>
    <tableColumn id="34" xr3:uid="{3E2AD3C5-9B5A-4C7F-937B-18EC670BDA63}" name=" 34" dataDxfId="139"/>
    <tableColumn id="35" xr3:uid="{0A8C900A-51F0-477A-A0B9-972DA4D58F0B}" name=" 35" dataDxfId="138"/>
    <tableColumn id="36" xr3:uid="{6A09E302-4532-429B-9BEA-8140D7725EC5}" name=" 36" dataDxfId="137"/>
    <tableColumn id="37" xr3:uid="{3045C4AB-ADC3-4F39-AB11-FB6B1713CB18}" name=" 37" dataDxfId="136"/>
    <tableColumn id="38" xr3:uid="{7EDC9BD1-9E0D-499A-9E42-A2CFC2343CFD}" name=" 38" dataDxfId="135"/>
    <tableColumn id="39" xr3:uid="{0577D351-C1A0-4880-8748-BC5F2F8B0210}" name=" 39" dataDxfId="134"/>
    <tableColumn id="40" xr3:uid="{57C13DF5-274E-4646-A2ED-C1B28EE15B08}" name=" 40" dataDxfId="133"/>
    <tableColumn id="41" xr3:uid="{148F6CD1-A334-4EAC-B9DD-7E81CE63E53B}" name=" 41" dataDxfId="132"/>
    <tableColumn id="42" xr3:uid="{FFEAE417-8C55-4030-8AAC-36568645FA11}" name=" 42" dataDxfId="131"/>
    <tableColumn id="43" xr3:uid="{264F0EE0-1CB0-44D7-BFE0-807565A32005}" name=" 43" dataDxfId="130"/>
    <tableColumn id="44" xr3:uid="{E60175F6-B9D6-4ADA-8F84-AF72DE7FE6EF}" name=" 44" dataDxfId="129"/>
    <tableColumn id="45" xr3:uid="{DDF22179-0DBE-4DF3-87F0-7C2D8B2FDBD7}" name=" 45" dataDxfId="128"/>
    <tableColumn id="46" xr3:uid="{0D38187E-BCA3-41AD-B5C9-0B67B9019C6A}" name=" 46" dataDxfId="127"/>
    <tableColumn id="47" xr3:uid="{AD63713B-9ACA-4629-B23D-1AE9737B878F}" name=" 47" dataDxfId="126"/>
    <tableColumn id="48" xr3:uid="{DE9FA0DA-38BB-4CC5-BC7F-3B3E9F63A64E}" name=" 48" dataDxfId="125"/>
    <tableColumn id="49" xr3:uid="{39A511DB-BCEE-4D25-A7BF-FF7331760313}" name=" 49" dataDxfId="124"/>
    <tableColumn id="50" xr3:uid="{18B5A624-2EA3-4080-86AD-F0D6A9194AD9}" name=" 50" dataDxfId="123"/>
    <tableColumn id="51" xr3:uid="{D1AA8688-7929-417C-AD47-C5081290D3A4}" name=" 51" dataDxfId="122"/>
    <tableColumn id="52" xr3:uid="{57390569-6916-4A1A-A69E-421B2C004158}" name=" 52" dataDxfId="121"/>
    <tableColumn id="53" xr3:uid="{0BB8551C-DFC1-43B3-AC5A-569C1E5FA104}" name=" 53" dataDxfId="120"/>
    <tableColumn id="54" xr3:uid="{DAB396C8-E2F5-4249-A473-3B111095B151}" name=" 54" dataDxfId="119"/>
    <tableColumn id="55" xr3:uid="{A5EB68C0-F182-4348-9700-CFD8DE222DC4}" name=" 55" dataDxfId="118"/>
    <tableColumn id="56" xr3:uid="{66C3FE36-0DEA-4C4E-AAA2-7FD783DE7987}" name=" 56" dataDxfId="117"/>
    <tableColumn id="57" xr3:uid="{80171F6B-9D96-4731-B1F4-1A92051A0E62}" name=" 57" dataDxfId="116"/>
    <tableColumn id="58" xr3:uid="{A365FFB2-92CB-448F-B184-09F75EAA3B44}" name=" 58" dataDxfId="115"/>
    <tableColumn id="59" xr3:uid="{6F6BF4D9-87F5-4BF4-B476-ABD1C34C9657}" name=" 59" dataDxfId="114"/>
    <tableColumn id="60" xr3:uid="{D23C7EF9-5BF5-407C-BD0F-007FE8FC11D0}" name=" 60" dataDxfId="113"/>
    <tableColumn id="61" xr3:uid="{68E2BA3E-ACAB-45E9-88D7-023D416E0D0B}" name=" 61" dataDxfId="112"/>
    <tableColumn id="62" xr3:uid="{7151CB24-2977-41DE-A4D4-9735B2012C83}" name=" 62" dataDxfId="111"/>
    <tableColumn id="63" xr3:uid="{2147B1AC-790D-418D-BD04-D9DB56EC1EA1}" name=" 63" dataDxfId="110"/>
    <tableColumn id="64" xr3:uid="{3E48157C-5112-44C4-9584-D13336FD1DD3}" name=" 64" dataDxfId="109"/>
    <tableColumn id="65" xr3:uid="{399FE657-6B04-4F76-BAA0-09F9B1A72F6B}" name=" 65" dataDxfId="108"/>
    <tableColumn id="66" xr3:uid="{F35DB8BA-7CCD-4023-9DFA-19F7077A434B}" name=" 66" dataDxfId="107"/>
    <tableColumn id="67" xr3:uid="{DFD4D392-1AA7-40E1-94D3-2CA57C952D91}" name=" 67" dataDxfId="106"/>
    <tableColumn id="68" xr3:uid="{38C5081B-F50B-4131-B0F5-08D31D1B5D56}" name=" 68" dataDxfId="105"/>
    <tableColumn id="69" xr3:uid="{982138B6-0F9C-4406-8154-A2FC13FC6C7B}" name=" 69" dataDxfId="104"/>
    <tableColumn id="70" xr3:uid="{A387EB24-DFBC-4B97-A278-B0421BADF76D}" name=" 70" dataDxfId="103"/>
    <tableColumn id="71" xr3:uid="{32EAC038-F96C-49A5-84ED-C15C6E1AFB48}" name=" 71" dataDxfId="102"/>
    <tableColumn id="72" xr3:uid="{627FFC14-04EA-4212-B6DF-459E1E658A89}" name=" 72" dataDxfId="101"/>
    <tableColumn id="73" xr3:uid="{A4C2020E-1C14-4D6F-9EA8-115A66F2D041}" name=" 73" dataDxfId="100"/>
    <tableColumn id="74" xr3:uid="{81B8AD27-569D-4937-A8A3-9F725C6077F5}" name=" 74" dataDxfId="99"/>
    <tableColumn id="75" xr3:uid="{4FDD6D38-BDEB-404B-B6ED-3ECD2DF25CDD}" name=" 75" dataDxfId="98"/>
    <tableColumn id="76" xr3:uid="{0A981A93-731C-42BA-9CF2-F45B5DA25222}" name=" 76" dataDxfId="97"/>
    <tableColumn id="77" xr3:uid="{5C11A39F-F0DC-451F-B3E6-3028F96567D0}" name=" 77" dataDxfId="96"/>
    <tableColumn id="78" xr3:uid="{9A417D49-4D34-4189-8C03-67BE500ED925}" name=" 78" dataDxfId="95"/>
    <tableColumn id="79" xr3:uid="{AAA8C6CB-6E96-4B9B-A07C-643213644CBA}" name=" 79" dataDxfId="94"/>
    <tableColumn id="80" xr3:uid="{A06DCCCC-2FC0-490D-8C22-086972067EB9}" name=" 80" dataDxfId="93"/>
    <tableColumn id="81" xr3:uid="{81FFA4B9-B238-4ABE-B2BD-75F49E2546C6}" name=" 81" dataDxfId="92"/>
    <tableColumn id="82" xr3:uid="{16800AC4-6F78-4778-8484-82DD277ED12A}" name=" 82" dataDxfId="91"/>
    <tableColumn id="83" xr3:uid="{CE426579-3582-4D9E-BFA4-A0982DF0B370}" name=" 83" dataDxfId="90"/>
    <tableColumn id="84" xr3:uid="{59E78CA7-CCB8-44FF-AE49-D4DA5488309A}" name=" 84" dataDxfId="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4075D79-7811-4EDD-9174-5776B9A29DD2}" name="tReporting52428888" displayName="tReporting52428888" ref="B5:CG8" totalsRowShown="0" headerRowDxfId="85" dataDxfId="0" tableBorderDxfId="86">
  <autoFilter ref="B5:CG8" xr:uid="{EC39C50B-F409-460E-8C07-BE2A007FB0F9}"/>
  <tableColumns count="84">
    <tableColumn id="1" xr3:uid="{D0F7ADB2-15B1-49E5-AC5A-6581B474AE98}" name=" 1" dataDxfId="84"/>
    <tableColumn id="2" xr3:uid="{FEB00282-4EA4-49DD-A5E6-9AF00B39194D}" name=" 2" dataDxfId="83"/>
    <tableColumn id="3" xr3:uid="{FDC093FB-B666-41B7-AE0F-0812A98B0197}" name=" 3" dataDxfId="82"/>
    <tableColumn id="4" xr3:uid="{310824B2-6080-451B-A800-EFCEBB2AECBA}" name=" 4" dataDxfId="81"/>
    <tableColumn id="5" xr3:uid="{3A1DCBB2-0EEA-4A3B-BC12-32C2899926AE}" name=" 5" dataDxfId="80"/>
    <tableColumn id="6" xr3:uid="{68DCDD1F-287D-4A5B-8FFB-5289EC0E60C8}" name=" 6" dataDxfId="79"/>
    <tableColumn id="7" xr3:uid="{AC7E35F9-4A90-4F2C-97AF-CEE3D0DD0C99}" name=" 7" dataDxfId="78"/>
    <tableColumn id="8" xr3:uid="{90E8C3FF-B334-4F2D-A922-8230BFB83DDF}" name=" 8" dataDxfId="77"/>
    <tableColumn id="9" xr3:uid="{995EA90B-0040-4F4C-8B52-814DAE03E8B4}" name=" 9" dataDxfId="76"/>
    <tableColumn id="10" xr3:uid="{800863F9-C01C-4CFB-AD02-D3F845CD07E3}" name=" 10" dataDxfId="75"/>
    <tableColumn id="11" xr3:uid="{E2026B85-4850-4C51-A8CD-7336F89036D0}" name=" 11" dataDxfId="74"/>
    <tableColumn id="12" xr3:uid="{C52A6416-2C0B-4774-ABA5-F703A6955B8E}" name=" 12" dataDxfId="73"/>
    <tableColumn id="13" xr3:uid="{ADC77138-845E-4D55-A396-5133A94ADEE2}" name=" 13" dataDxfId="72"/>
    <tableColumn id="14" xr3:uid="{EE3D3BD9-9490-4179-8F8E-A8D8BB548544}" name=" 14" dataDxfId="71"/>
    <tableColumn id="15" xr3:uid="{B9710B26-76BC-42D8-8A06-CBE9138F1AFF}" name=" 15" dataDxfId="70"/>
    <tableColumn id="16" xr3:uid="{E3A4D343-9C40-4867-BBF1-687AA743CCAD}" name=" 16" dataDxfId="69"/>
    <tableColumn id="17" xr3:uid="{031D98B6-E548-4D76-BE70-9EE5BAF68EE8}" name=" 17" dataDxfId="68"/>
    <tableColumn id="18" xr3:uid="{BB66B780-6B4E-4449-B820-7292D9D6B568}" name=" 18" dataDxfId="67"/>
    <tableColumn id="19" xr3:uid="{AE725128-3CA5-4E0F-8BAC-22634993F52A}" name=" 19" dataDxfId="66"/>
    <tableColumn id="20" xr3:uid="{9E3870AB-9F10-4D3B-A5E8-07A0B594E486}" name=" 20" dataDxfId="65"/>
    <tableColumn id="21" xr3:uid="{77E90DEA-51DC-4BE0-8B9C-B5B657B03F00}" name=" 21" dataDxfId="64"/>
    <tableColumn id="22" xr3:uid="{0DD32C67-8C7B-4D52-AE98-2B72351F6CE9}" name=" 22" dataDxfId="63"/>
    <tableColumn id="23" xr3:uid="{6C55A231-7D5A-4432-A9D6-6A26EB90ACB6}" name=" 23" dataDxfId="62"/>
    <tableColumn id="24" xr3:uid="{A7FE706C-A09D-44DD-8945-A95F1C9481CE}" name=" 24" dataDxfId="61"/>
    <tableColumn id="25" xr3:uid="{E2BF8847-8A76-4B34-A0DB-BD1BE31E8AEE}" name=" 25" dataDxfId="60"/>
    <tableColumn id="26" xr3:uid="{4D43A4E9-7BFA-477C-A593-F2FD8454173E}" name=" 26" dataDxfId="59"/>
    <tableColumn id="27" xr3:uid="{BCDEEB1C-D514-49B1-8074-38F90DE519E9}" name=" 27" dataDxfId="58"/>
    <tableColumn id="28" xr3:uid="{2941E957-8A7A-44D8-9763-FCD0FB1236CF}" name=" 28" dataDxfId="57"/>
    <tableColumn id="29" xr3:uid="{69172085-4FEB-433E-8F84-79C42800258E}" name=" 29" dataDxfId="56"/>
    <tableColumn id="30" xr3:uid="{10C876C5-960F-4FCF-8022-1B62D231D653}" name=" 30" dataDxfId="55"/>
    <tableColumn id="31" xr3:uid="{E77C9138-562A-48E6-BDF3-8121281FB0D2}" name=" 31" dataDxfId="54"/>
    <tableColumn id="32" xr3:uid="{00E14FF4-E482-48F4-85A6-DFA2B91F9C62}" name=" 32" dataDxfId="53"/>
    <tableColumn id="33" xr3:uid="{FC4FF18B-410C-431A-9657-5988E01B3E1C}" name=" 33" dataDxfId="52"/>
    <tableColumn id="34" xr3:uid="{B2DA3407-6743-4C5E-9212-1491F60706DA}" name=" 34" dataDxfId="51"/>
    <tableColumn id="35" xr3:uid="{F11D74E1-5031-4929-B168-63B53003A60A}" name=" 35" dataDxfId="50"/>
    <tableColumn id="36" xr3:uid="{FED8A500-8D76-4DAB-9A05-7CA7A67A3153}" name=" 36" dataDxfId="49"/>
    <tableColumn id="37" xr3:uid="{33C27E84-656A-4AC8-A3EF-F7ACF5F4379F}" name=" 37" dataDxfId="48"/>
    <tableColumn id="38" xr3:uid="{C3DB99D7-D532-49C1-A594-86BF30569F37}" name=" 38" dataDxfId="47"/>
    <tableColumn id="39" xr3:uid="{4EBB17BC-C830-40FA-AF22-0B9C4E43747C}" name=" 39" dataDxfId="46"/>
    <tableColumn id="40" xr3:uid="{2F9E3FA6-2013-4594-93EA-A08F9F7A6F7D}" name=" 40" dataDxfId="45"/>
    <tableColumn id="41" xr3:uid="{D231F1C1-5D08-4EE4-BB1E-EF22D2F09E00}" name=" 41" dataDxfId="44"/>
    <tableColumn id="42" xr3:uid="{88D41A29-BB37-4D0F-8D01-7A45D7B3C20E}" name=" 42" dataDxfId="43"/>
    <tableColumn id="43" xr3:uid="{C8DF023F-B8A2-49B4-9B48-F3B7720D0DED}" name=" 43" dataDxfId="42"/>
    <tableColumn id="44" xr3:uid="{1EEF0F89-DBBF-41C7-8A38-6D406B59BCE5}" name=" 44" dataDxfId="41"/>
    <tableColumn id="45" xr3:uid="{4A88D368-38A5-490A-8C7A-CBAAE05B5C47}" name=" 45" dataDxfId="40"/>
    <tableColumn id="46" xr3:uid="{F033CFFD-0D85-416C-A43B-8B7B5A033AE7}" name=" 46" dataDxfId="39"/>
    <tableColumn id="47" xr3:uid="{9D20AF9B-D034-4490-A517-470E2EC6B6CD}" name=" 47" dataDxfId="38"/>
    <tableColumn id="48" xr3:uid="{628F211A-882B-4D1E-82AE-492D917A4695}" name=" 48" dataDxfId="37"/>
    <tableColumn id="49" xr3:uid="{42A4C0C4-61A0-4AEF-97FF-64C343254F99}" name=" 49" dataDxfId="36"/>
    <tableColumn id="50" xr3:uid="{D7C1EC11-A399-4745-BCFB-1766936C39AD}" name=" 50" dataDxfId="35"/>
    <tableColumn id="51" xr3:uid="{F75191C8-E666-4C53-8ED4-68C838AC2B1B}" name=" 51" dataDxfId="34"/>
    <tableColumn id="52" xr3:uid="{4968199C-2CCB-456E-B2C6-D566AF897B7E}" name=" 52" dataDxfId="33"/>
    <tableColumn id="53" xr3:uid="{B6EA02B9-4192-45B4-8499-22F0702AC115}" name=" 53" dataDxfId="32"/>
    <tableColumn id="54" xr3:uid="{D4DD09C2-561C-41DB-B3FF-8C3C6E63B1A4}" name=" 54" dataDxfId="31"/>
    <tableColumn id="55" xr3:uid="{DB286C3A-2972-4835-A8B9-D6ECFC05699A}" name=" 55" dataDxfId="30"/>
    <tableColumn id="56" xr3:uid="{2EB53087-B1F4-4DFC-9843-8B4344119D16}" name=" 56" dataDxfId="29"/>
    <tableColumn id="57" xr3:uid="{5BDEAFF6-829C-4198-9B47-0D7F73290C3A}" name=" 57" dataDxfId="28"/>
    <tableColumn id="58" xr3:uid="{508A4C36-2873-490F-AFE6-0CB260B99A1F}" name=" 58" dataDxfId="27"/>
    <tableColumn id="59" xr3:uid="{1D78A8D8-E9D7-4E02-9B7B-EE57145B4A87}" name=" 59" dataDxfId="26"/>
    <tableColumn id="60" xr3:uid="{217C1598-CEB2-43A1-AE6D-985B993C81C6}" name=" 60" dataDxfId="25"/>
    <tableColumn id="61" xr3:uid="{7DA628BB-A3C7-454B-9A6B-E1F5A061E858}" name=" 61" dataDxfId="24"/>
    <tableColumn id="62" xr3:uid="{EC5E1F52-3E28-4481-904E-ACFE8166081F}" name=" 62" dataDxfId="23"/>
    <tableColumn id="63" xr3:uid="{EB2900C8-AFFA-40C7-856E-70EC17AA6C45}" name=" 63" dataDxfId="22"/>
    <tableColumn id="64" xr3:uid="{910B30C3-3896-4E51-B4F0-95C0416B4DD1}" name=" 64" dataDxfId="21"/>
    <tableColumn id="65" xr3:uid="{8EDB0B17-6B6D-4219-93CB-AAA2EF90CFF5}" name=" 65" dataDxfId="20"/>
    <tableColumn id="66" xr3:uid="{176F8EC3-4006-4956-ADBD-8B09DD7FF980}" name=" 66" dataDxfId="19"/>
    <tableColumn id="67" xr3:uid="{BA79F02E-3272-48FD-A774-ABD6CFB158E8}" name=" 67" dataDxfId="18"/>
    <tableColumn id="68" xr3:uid="{42639C41-FC37-4E5A-A2C2-D829CB992429}" name=" 68" dataDxfId="17"/>
    <tableColumn id="69" xr3:uid="{31765712-58BF-4850-8A5D-B519358C832B}" name=" 69" dataDxfId="16"/>
    <tableColumn id="70" xr3:uid="{B244E958-89DF-4D5B-B60F-D30F5F20E352}" name=" 70" dataDxfId="15"/>
    <tableColumn id="71" xr3:uid="{59508BFD-BFDB-45F9-9147-0488AE1A8B2F}" name=" 71" dataDxfId="14"/>
    <tableColumn id="72" xr3:uid="{19839191-6011-43E4-A206-42BC10D9BD5E}" name=" 72" dataDxfId="13"/>
    <tableColumn id="73" xr3:uid="{AA81D52C-19AC-4939-9D90-635BD683FE75}" name=" 73" dataDxfId="12"/>
    <tableColumn id="74" xr3:uid="{86CC26F3-1E8B-4F01-9543-F9D09BDCB135}" name=" 74" dataDxfId="11"/>
    <tableColumn id="75" xr3:uid="{A6EE0D9A-75E6-474F-8268-4E1EE9E1107E}" name=" 75" dataDxfId="10"/>
    <tableColumn id="76" xr3:uid="{A78EAFC7-09A1-4A17-ABC1-0B4E3DA0E1D3}" name=" 76" dataDxfId="9"/>
    <tableColumn id="77" xr3:uid="{6E64A81E-259F-42A5-9888-7A0AA85EDDE2}" name=" 77" dataDxfId="8"/>
    <tableColumn id="78" xr3:uid="{652D6F46-05D2-4872-84A6-9B5399379138}" name=" 78" dataDxfId="7"/>
    <tableColumn id="79" xr3:uid="{467EDEB9-AA66-49D3-98E3-6E27B584A80F}" name=" 79" dataDxfId="6"/>
    <tableColumn id="80" xr3:uid="{73A3B83A-CC2D-40A5-ABC2-FE21991A6331}" name=" 80" dataDxfId="5"/>
    <tableColumn id="81" xr3:uid="{1ABD2EBC-469F-4895-85BA-4E9FEB5F36AC}" name=" 81" dataDxfId="4"/>
    <tableColumn id="82" xr3:uid="{A7E425CD-2DBB-4107-AE1E-FA51C584732D}" name=" 82" dataDxfId="3"/>
    <tableColumn id="83" xr3:uid="{B4444069-9CE4-4F35-BC6C-9B52E8C60A68}" name=" 83" dataDxfId="2"/>
    <tableColumn id="84" xr3:uid="{F06D6216-8B0F-4716-AEDF-F33057A761FB}" name=" 84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178">
  <autoFilter ref="A3:H114" xr:uid="{20495ABC-A0D8-40BE-8188-61D0FEE75739}"/>
  <tableColumns count="8">
    <tableColumn id="1" xr3:uid="{73903A16-45BE-4CB3-B71C-3468798E69E6}" name="ID" dataDxfId="186"/>
    <tableColumn id="3" xr3:uid="{02ADB156-C3E9-44A8-BC1B-FB2018DC836B}" name="Param1" dataDxfId="185"/>
    <tableColumn id="4" xr3:uid="{CF8C7CB6-4B86-4085-ACCC-19CBFD4C59FE}" name="Param2" dataDxfId="184"/>
    <tableColumn id="5" xr3:uid="{1227E0CB-DF13-4AEB-9B7C-A5B66DBC0C3F}" name="Param3" dataDxfId="183"/>
    <tableColumn id="6" xr3:uid="{2E60890B-30E9-4D21-92C9-7B06D14BAF00}" name="Param4" dataDxfId="182"/>
    <tableColumn id="7" xr3:uid="{03AC2232-F9FA-428A-BCAB-A8039123FBB5}" name="Param5" dataDxfId="181"/>
    <tableColumn id="9" xr3:uid="{5D6B89C0-1432-4927-AC0D-CC962FDD7705}" name="en_US" dataDxfId="180"/>
    <tableColumn id="8" xr3:uid="{8F5786B6-467E-46BD-A85E-B24EA01C31DC}" name="fr_FR" dataDxfId="17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Q91" totalsRowShown="0" dataDxfId="203">
  <autoFilter ref="B3:Q91" xr:uid="{D9E8808B-D9E1-4272-8694-E8D5F2C45F29}"/>
  <tableColumns count="16">
    <tableColumn id="1" xr3:uid="{3A646773-BE89-4522-98D7-B786E44BE0DC}" name="Query" dataDxfId="202"/>
    <tableColumn id="9" xr3:uid="{C4EB6F9D-3EAD-42F0-84FF-9BBD170B0DE5}" name="Table" dataDxfId="201"/>
    <tableColumn id="8" xr3:uid="{70E4004F-52ED-4A60-A759-27AFE028F894}" name="I18N" dataDxfId="200"/>
    <tableColumn id="13" xr3:uid="{A78438C4-24D6-4E6E-A29B-E72CABDED5AB}" name="JSON Row Array" dataDxfId="199"/>
    <tableColumn id="2" xr3:uid="{DFC5B263-91CC-4653-8ADC-74A0368CD202}" name="JSON Column" dataDxfId="198"/>
    <tableColumn id="3" xr3:uid="{D5540814-CF2F-4ACB-B92D-22093C535E0C}" name="JSON Type" dataDxfId="197"/>
    <tableColumn id="11" xr3:uid="{EDC8EA7C-C33C-4E55-9909-B09F730AE94B}" name="Required" dataDxfId="196"/>
    <tableColumn id="4" xr3:uid="{8D0A36EB-752B-47BA-B4F5-009678ACFDD0}" name="Title" dataDxfId="195"/>
    <tableColumn id="12" xr3:uid="{B7222461-457D-4B90-9925-68BAF8D1E421}" name="Editor" dataDxfId="194"/>
    <tableColumn id="14" xr3:uid="{C8DD975C-C222-4560-AD83-9B3E4EF275CD}" name="Format" dataDxfId="193"/>
    <tableColumn id="15" xr3:uid="{30CC9560-5D67-406A-B687-D2883B19A560}" name="Level" dataDxfId="192"/>
    <tableColumn id="5" xr3:uid="{3613A1E0-361B-4D77-AB85-A190D3D733FC}" name="Hidden" dataDxfId="191"/>
    <tableColumn id="6" xr3:uid="{4FC768DF-246E-41E4-8A37-38EE7A822849}" name="Command" dataDxfId="190"/>
    <tableColumn id="10" xr3:uid="{08F0F3AA-70C9-46BE-9E8F-F9089FF43A15}" name="Params" dataDxfId="189"/>
    <tableColumn id="7" xr3:uid="{C3148FB9-B4AC-439B-977D-F7DC6FE2F875}" name="Position" dataDxfId="188"/>
    <tableColumn id="17" xr3:uid="{AAA7A96E-0AF3-43EB-9CAA-11C66E543F5D}" name="ReturnCol" dataDxfId="18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41"/>
  <sheetViews>
    <sheetView showGridLines="0" tabSelected="1" topLeftCell="A3" zoomScaleNormal="100" workbookViewId="0">
      <selection activeCell="C3" sqref="C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26.28515625" style="4" hidden="1" customWidth="1" outlineLevel="1"/>
    <col min="4" max="4" width="22.28515625" style="4" customWidth="1" collapsed="1"/>
    <col min="5" max="5" width="22.28515625" style="4" customWidth="1"/>
    <col min="6" max="6" width="27.140625" style="4" bestFit="1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7"/>
    </row>
    <row r="4" spans="2:12" x14ac:dyDescent="0.25">
      <c r="B4" s="4" t="str" cm="1">
        <f t="array" ref="B4">I18N_T(cellLanguage, "RF_Title")</f>
        <v>Génération des reportings</v>
      </c>
      <c r="F4" s="12"/>
      <c r="I4" s="5" t="str" cm="1">
        <f t="array" ref="I4">I18N_Version(cellLanguage)</f>
        <v>Version 0.91 du 08 12 20</v>
      </c>
    </row>
    <row r="5" spans="2:12" x14ac:dyDescent="0.25">
      <c r="C5" s="20"/>
      <c r="D5" s="21"/>
      <c r="E5" s="22"/>
      <c r="F5" s="23"/>
    </row>
    <row r="6" spans="2:12" x14ac:dyDescent="0.25">
      <c r="C6" s="24"/>
      <c r="D6" s="24"/>
      <c r="E6" s="24"/>
      <c r="F6" s="24"/>
    </row>
    <row r="7" spans="2:12" x14ac:dyDescent="0.25">
      <c r="C7"/>
      <c r="D7"/>
      <c r="E7"/>
      <c r="F7"/>
    </row>
    <row r="10" spans="2:12" x14ac:dyDescent="0.25">
      <c r="C10"/>
      <c r="D10" s="11" t="str">
        <f>I18N_T(cellLanguage, "RF_Refresh")</f>
        <v>Mettre à jour la liste</v>
      </c>
      <c r="E10"/>
      <c r="F10"/>
      <c r="G10"/>
      <c r="I10" s="7"/>
      <c r="J10" s="7"/>
      <c r="L10" s="6"/>
    </row>
    <row r="11" spans="2:12" x14ac:dyDescent="0.25">
      <c r="C11"/>
      <c r="D11"/>
      <c r="E11"/>
      <c r="F11" s="25" t="str">
        <f>SUBTOTAL(103, $D$14:$D$41) &amp; "/28"</f>
        <v>28/28</v>
      </c>
      <c r="G11"/>
      <c r="H11" s="17"/>
      <c r="I11" s="13"/>
      <c r="J11" s="13"/>
    </row>
    <row r="12" spans="2:12" hidden="1" x14ac:dyDescent="0.25">
      <c r="C12" s="9" t="str">
        <f>I18N_T(cellLanguage, "RF_ID")</f>
        <v>ID</v>
      </c>
      <c r="D12" s="22" t="str">
        <f>I18N_T(cellLanguage, "RF_Phase")</f>
        <v>Phase</v>
      </c>
      <c r="E12" s="22" t="str">
        <f>I18N_T(cellLanguage, "RF_UpdatePeriod")</f>
        <v>Exercice</v>
      </c>
      <c r="F12" s="23" t="str">
        <f>I18N_T(cellLanguage, "RF_CreationDate")</f>
        <v>Date de création</v>
      </c>
      <c r="G12"/>
      <c r="H12" s="17"/>
      <c r="I12" s="13"/>
      <c r="J12" s="13"/>
    </row>
    <row r="13" spans="2:12" ht="15" customHeight="1" x14ac:dyDescent="0.25">
      <c r="C13" s="24" t="s">
        <v>206</v>
      </c>
      <c r="D13" s="24" t="s">
        <v>207</v>
      </c>
      <c r="E13" s="24" t="s">
        <v>208</v>
      </c>
      <c r="F13" s="24" t="s">
        <v>209</v>
      </c>
      <c r="H13" s="17"/>
      <c r="I13" s="13"/>
      <c r="J13" s="13"/>
    </row>
    <row r="14" spans="2:12" x14ac:dyDescent="0.25">
      <c r="C14" s="24" t="s">
        <v>517</v>
      </c>
      <c r="D14" s="24" t="s">
        <v>21</v>
      </c>
      <c r="E14" s="24" t="s">
        <v>518</v>
      </c>
      <c r="F14" s="24" t="s">
        <v>573</v>
      </c>
      <c r="H14" s="11" t="str">
        <f>I18N_T(cellLanguage, "RF_Modify")</f>
        <v>Modifier</v>
      </c>
      <c r="I14" s="11" t="str">
        <f>I18N_T(cellLanguage, "RF_Duplicate")</f>
        <v>Dupliquer</v>
      </c>
      <c r="J14" s="13"/>
      <c r="L14" s="8"/>
    </row>
    <row r="15" spans="2:12" x14ac:dyDescent="0.25">
      <c r="C15" s="24" t="s">
        <v>519</v>
      </c>
      <c r="D15" s="24" t="s">
        <v>21</v>
      </c>
      <c r="E15" s="24" t="s">
        <v>520</v>
      </c>
      <c r="F15" s="24" t="s">
        <v>574</v>
      </c>
      <c r="H15" s="11" t="str">
        <f>I18N_T(cellLanguage, "RF_Modify")</f>
        <v>Modifier</v>
      </c>
      <c r="I15" s="11" t="str">
        <f>I18N_T(cellLanguage, "RF_Duplicate")</f>
        <v>Dupliquer</v>
      </c>
      <c r="J15" s="13"/>
    </row>
    <row r="16" spans="2:12" x14ac:dyDescent="0.25">
      <c r="C16" s="24" t="s">
        <v>521</v>
      </c>
      <c r="D16" s="24" t="s">
        <v>21</v>
      </c>
      <c r="E16" s="24" t="s">
        <v>522</v>
      </c>
      <c r="F16" s="24" t="s">
        <v>574</v>
      </c>
      <c r="H16" s="11" t="str">
        <f>I18N_T(cellLanguage, "RF_Modify")</f>
        <v>Modifier</v>
      </c>
      <c r="I16" s="11" t="str">
        <f>I18N_T(cellLanguage, "RF_Duplicate")</f>
        <v>Dupliquer</v>
      </c>
      <c r="J16" s="13"/>
    </row>
    <row r="17" spans="3:10" x14ac:dyDescent="0.25">
      <c r="C17" s="24" t="s">
        <v>523</v>
      </c>
      <c r="D17" s="24" t="s">
        <v>21</v>
      </c>
      <c r="E17" s="24" t="s">
        <v>524</v>
      </c>
      <c r="F17" s="24" t="s">
        <v>575</v>
      </c>
      <c r="H17" s="11" t="str">
        <f>I18N_T(cellLanguage, "RF_Modify")</f>
        <v>Modifier</v>
      </c>
      <c r="I17" s="11" t="str">
        <f>I18N_T(cellLanguage, "RF_Duplicate")</f>
        <v>Dupliquer</v>
      </c>
      <c r="J17" s="13"/>
    </row>
    <row r="18" spans="3:10" x14ac:dyDescent="0.25">
      <c r="C18" s="24" t="s">
        <v>525</v>
      </c>
      <c r="D18" s="24" t="s">
        <v>21</v>
      </c>
      <c r="E18" s="24" t="s">
        <v>526</v>
      </c>
      <c r="F18" s="24" t="s">
        <v>574</v>
      </c>
      <c r="H18" s="11" t="str">
        <f>I18N_T(cellLanguage, "RF_Modify")</f>
        <v>Modifier</v>
      </c>
      <c r="I18" s="11" t="str">
        <f>I18N_T(cellLanguage, "RF_Duplicate")</f>
        <v>Dupliquer</v>
      </c>
      <c r="J18" s="13"/>
    </row>
    <row r="19" spans="3:10" x14ac:dyDescent="0.25">
      <c r="C19" s="24" t="s">
        <v>527</v>
      </c>
      <c r="D19" s="24" t="s">
        <v>21</v>
      </c>
      <c r="E19" s="24" t="s">
        <v>528</v>
      </c>
      <c r="F19" s="24" t="s">
        <v>574</v>
      </c>
      <c r="H19" s="11" t="str">
        <f>I18N_T(cellLanguage, "RF_Modify")</f>
        <v>Modifier</v>
      </c>
      <c r="I19" s="11" t="str">
        <f>I18N_T(cellLanguage, "RF_Duplicate")</f>
        <v>Dupliquer</v>
      </c>
      <c r="J19" s="13"/>
    </row>
    <row r="20" spans="3:10" x14ac:dyDescent="0.25">
      <c r="C20" s="24" t="s">
        <v>529</v>
      </c>
      <c r="D20" s="24" t="s">
        <v>21</v>
      </c>
      <c r="E20" s="24" t="s">
        <v>530</v>
      </c>
      <c r="F20" s="24" t="s">
        <v>574</v>
      </c>
      <c r="H20" s="11" t="str">
        <f>I18N_T(cellLanguage, "RF_Modify")</f>
        <v>Modifier</v>
      </c>
      <c r="I20" s="11" t="str">
        <f>I18N_T(cellLanguage, "RF_Duplicate")</f>
        <v>Dupliquer</v>
      </c>
      <c r="J20" s="13"/>
    </row>
    <row r="21" spans="3:10" x14ac:dyDescent="0.25">
      <c r="C21" s="24" t="s">
        <v>531</v>
      </c>
      <c r="D21" s="24" t="s">
        <v>21</v>
      </c>
      <c r="E21" s="24" t="s">
        <v>532</v>
      </c>
      <c r="F21" s="24" t="s">
        <v>574</v>
      </c>
      <c r="H21" s="11" t="str">
        <f>I18N_T(cellLanguage, "RF_Modify")</f>
        <v>Modifier</v>
      </c>
      <c r="I21" s="11" t="str">
        <f>I18N_T(cellLanguage, "RF_Duplicate")</f>
        <v>Dupliquer</v>
      </c>
      <c r="J21" s="13"/>
    </row>
    <row r="22" spans="3:10" x14ac:dyDescent="0.25">
      <c r="C22" s="24" t="s">
        <v>533</v>
      </c>
      <c r="D22" s="24" t="s">
        <v>21</v>
      </c>
      <c r="E22" s="24" t="s">
        <v>534</v>
      </c>
      <c r="F22" s="24" t="s">
        <v>576</v>
      </c>
      <c r="H22" s="11" t="str">
        <f>I18N_T(cellLanguage, "RF_Modify")</f>
        <v>Modifier</v>
      </c>
      <c r="I22" s="11" t="str">
        <f>I18N_T(cellLanguage, "RF_Duplicate")</f>
        <v>Dupliquer</v>
      </c>
      <c r="J22" s="13"/>
    </row>
    <row r="23" spans="3:10" x14ac:dyDescent="0.25">
      <c r="C23" s="24" t="s">
        <v>535</v>
      </c>
      <c r="D23" s="24" t="s">
        <v>21</v>
      </c>
      <c r="E23" s="24" t="s">
        <v>536</v>
      </c>
      <c r="F23" s="24" t="s">
        <v>576</v>
      </c>
      <c r="H23" s="11" t="str">
        <f>I18N_T(cellLanguage, "RF_Modify")</f>
        <v>Modifier</v>
      </c>
      <c r="I23" s="11" t="str">
        <f>I18N_T(cellLanguage, "RF_Duplicate")</f>
        <v>Dupliquer</v>
      </c>
      <c r="J23" s="13"/>
    </row>
    <row r="24" spans="3:10" x14ac:dyDescent="0.25">
      <c r="C24" s="24" t="s">
        <v>537</v>
      </c>
      <c r="D24" s="24" t="s">
        <v>21</v>
      </c>
      <c r="E24" s="24" t="s">
        <v>538</v>
      </c>
      <c r="F24" s="24" t="s">
        <v>576</v>
      </c>
      <c r="H24" s="11" t="str">
        <f>I18N_T(cellLanguage, "RF_Modify")</f>
        <v>Modifier</v>
      </c>
      <c r="I24" s="11" t="str">
        <f>I18N_T(cellLanguage, "RF_Duplicate")</f>
        <v>Dupliquer</v>
      </c>
      <c r="J24" s="13"/>
    </row>
    <row r="25" spans="3:10" x14ac:dyDescent="0.25">
      <c r="C25" s="24" t="s">
        <v>539</v>
      </c>
      <c r="D25" s="24" t="s">
        <v>21</v>
      </c>
      <c r="E25" s="24" t="s">
        <v>540</v>
      </c>
      <c r="F25" s="24" t="s">
        <v>576</v>
      </c>
      <c r="H25" s="11" t="str">
        <f>I18N_T(cellLanguage, "RF_Modify")</f>
        <v>Modifier</v>
      </c>
      <c r="I25" s="11" t="str">
        <f>I18N_T(cellLanguage, "RF_Duplicate")</f>
        <v>Dupliquer</v>
      </c>
      <c r="J25" s="13"/>
    </row>
    <row r="26" spans="3:10" x14ac:dyDescent="0.25">
      <c r="C26" s="24" t="s">
        <v>541</v>
      </c>
      <c r="D26" s="24" t="s">
        <v>21</v>
      </c>
      <c r="E26" s="24" t="s">
        <v>542</v>
      </c>
      <c r="F26" s="24" t="s">
        <v>576</v>
      </c>
      <c r="H26" s="11" t="str">
        <f>I18N_T(cellLanguage, "RF_Modify")</f>
        <v>Modifier</v>
      </c>
      <c r="I26" s="11" t="str">
        <f>I18N_T(cellLanguage, "RF_Duplicate")</f>
        <v>Dupliquer</v>
      </c>
      <c r="J26" s="13"/>
    </row>
    <row r="27" spans="3:10" x14ac:dyDescent="0.25">
      <c r="C27" s="24" t="s">
        <v>543</v>
      </c>
      <c r="D27" s="24" t="s">
        <v>21</v>
      </c>
      <c r="E27" s="24" t="s">
        <v>544</v>
      </c>
      <c r="F27" s="24" t="s">
        <v>576</v>
      </c>
      <c r="H27" s="11" t="str">
        <f>I18N_T(cellLanguage, "RF_Modify")</f>
        <v>Modifier</v>
      </c>
      <c r="I27" s="11" t="str">
        <f>I18N_T(cellLanguage, "RF_Duplicate")</f>
        <v>Dupliquer</v>
      </c>
      <c r="J27" s="13"/>
    </row>
    <row r="28" spans="3:10" x14ac:dyDescent="0.25">
      <c r="C28" s="24" t="s">
        <v>545</v>
      </c>
      <c r="D28" s="24" t="s">
        <v>21</v>
      </c>
      <c r="E28" s="24" t="s">
        <v>546</v>
      </c>
      <c r="F28" s="24" t="s">
        <v>577</v>
      </c>
      <c r="H28" s="11" t="str">
        <f>I18N_T(cellLanguage, "RF_Modify")</f>
        <v>Modifier</v>
      </c>
      <c r="I28" s="11" t="str">
        <f>I18N_T(cellLanguage, "RF_Duplicate")</f>
        <v>Dupliquer</v>
      </c>
      <c r="J28" s="13"/>
    </row>
    <row r="29" spans="3:10" x14ac:dyDescent="0.25">
      <c r="C29" s="24" t="s">
        <v>547</v>
      </c>
      <c r="D29" s="24" t="s">
        <v>21</v>
      </c>
      <c r="E29" s="24" t="s">
        <v>548</v>
      </c>
      <c r="F29" s="24" t="s">
        <v>578</v>
      </c>
      <c r="H29" s="11" t="str">
        <f>I18N_T(cellLanguage, "RF_Modify")</f>
        <v>Modifier</v>
      </c>
      <c r="I29" s="11" t="str">
        <f>I18N_T(cellLanguage, "RF_Duplicate")</f>
        <v>Dupliquer</v>
      </c>
      <c r="J29" s="13"/>
    </row>
    <row r="30" spans="3:10" x14ac:dyDescent="0.25">
      <c r="C30" s="24" t="s">
        <v>549</v>
      </c>
      <c r="D30" s="24" t="s">
        <v>21</v>
      </c>
      <c r="E30" s="24" t="s">
        <v>550</v>
      </c>
      <c r="F30" s="24" t="s">
        <v>578</v>
      </c>
      <c r="H30" s="11" t="str">
        <f>I18N_T(cellLanguage, "RF_Modify")</f>
        <v>Modifier</v>
      </c>
      <c r="I30" s="11" t="str">
        <f>I18N_T(cellLanguage, "RF_Duplicate")</f>
        <v>Dupliquer</v>
      </c>
      <c r="J30" s="13"/>
    </row>
    <row r="31" spans="3:10" x14ac:dyDescent="0.25">
      <c r="C31" s="24" t="s">
        <v>551</v>
      </c>
      <c r="D31" s="24" t="s">
        <v>21</v>
      </c>
      <c r="E31" s="24" t="s">
        <v>552</v>
      </c>
      <c r="F31" s="24" t="s">
        <v>579</v>
      </c>
      <c r="H31" s="11" t="str">
        <f>I18N_T(cellLanguage, "RF_Modify")</f>
        <v>Modifier</v>
      </c>
      <c r="I31" s="11" t="str">
        <f>I18N_T(cellLanguage, "RF_Duplicate")</f>
        <v>Dupliquer</v>
      </c>
      <c r="J31" s="13"/>
    </row>
    <row r="32" spans="3:10" x14ac:dyDescent="0.25">
      <c r="C32" s="24" t="s">
        <v>553</v>
      </c>
      <c r="D32" s="24" t="s">
        <v>21</v>
      </c>
      <c r="E32" s="24" t="s">
        <v>554</v>
      </c>
      <c r="F32" s="24" t="s">
        <v>580</v>
      </c>
      <c r="H32" s="11" t="str">
        <f>I18N_T(cellLanguage, "RF_Modify")</f>
        <v>Modifier</v>
      </c>
      <c r="I32" s="11" t="str">
        <f>I18N_T(cellLanguage, "RF_Duplicate")</f>
        <v>Dupliquer</v>
      </c>
      <c r="J32" s="13"/>
    </row>
    <row r="33" spans="3:10" x14ac:dyDescent="0.25">
      <c r="C33" s="24" t="s">
        <v>555</v>
      </c>
      <c r="D33" s="24" t="s">
        <v>21</v>
      </c>
      <c r="E33" s="24" t="s">
        <v>556</v>
      </c>
      <c r="F33" s="24" t="s">
        <v>581</v>
      </c>
      <c r="H33" s="11" t="str">
        <f>I18N_T(cellLanguage, "RF_Modify")</f>
        <v>Modifier</v>
      </c>
      <c r="I33" s="11" t="str">
        <f>I18N_T(cellLanguage, "RF_Duplicate")</f>
        <v>Dupliquer</v>
      </c>
      <c r="J33" s="13"/>
    </row>
    <row r="34" spans="3:10" x14ac:dyDescent="0.25">
      <c r="C34" s="24" t="s">
        <v>557</v>
      </c>
      <c r="D34" s="24" t="s">
        <v>21</v>
      </c>
      <c r="E34" s="24" t="s">
        <v>558</v>
      </c>
      <c r="F34" s="24" t="s">
        <v>581</v>
      </c>
      <c r="H34" s="11" t="str">
        <f>I18N_T(cellLanguage, "RF_Modify")</f>
        <v>Modifier</v>
      </c>
      <c r="I34" s="11" t="str">
        <f>I18N_T(cellLanguage, "RF_Duplicate")</f>
        <v>Dupliquer</v>
      </c>
      <c r="J34" s="13"/>
    </row>
    <row r="35" spans="3:10" x14ac:dyDescent="0.25">
      <c r="C35" s="24" t="s">
        <v>559</v>
      </c>
      <c r="D35" s="24" t="s">
        <v>21</v>
      </c>
      <c r="E35" s="24" t="s">
        <v>560</v>
      </c>
      <c r="F35" s="24" t="s">
        <v>582</v>
      </c>
      <c r="H35" s="11" t="str">
        <f>I18N_T(cellLanguage, "RF_Modify")</f>
        <v>Modifier</v>
      </c>
      <c r="I35" s="11" t="str">
        <f>I18N_T(cellLanguage, "RF_Duplicate")</f>
        <v>Dupliquer</v>
      </c>
      <c r="J35" s="13"/>
    </row>
    <row r="36" spans="3:10" x14ac:dyDescent="0.25">
      <c r="C36" s="24" t="s">
        <v>561</v>
      </c>
      <c r="D36" s="24" t="s">
        <v>21</v>
      </c>
      <c r="E36" s="24" t="s">
        <v>562</v>
      </c>
      <c r="F36" s="24" t="s">
        <v>583</v>
      </c>
      <c r="H36" s="11" t="str">
        <f>I18N_T(cellLanguage, "RF_Modify")</f>
        <v>Modifier</v>
      </c>
      <c r="I36" s="11" t="str">
        <f>I18N_T(cellLanguage, "RF_Duplicate")</f>
        <v>Dupliquer</v>
      </c>
      <c r="J36" s="13"/>
    </row>
    <row r="37" spans="3:10" x14ac:dyDescent="0.25">
      <c r="C37" s="24" t="s">
        <v>563</v>
      </c>
      <c r="D37" s="24" t="s">
        <v>21</v>
      </c>
      <c r="E37" s="24" t="s">
        <v>564</v>
      </c>
      <c r="F37" s="24" t="s">
        <v>584</v>
      </c>
      <c r="H37" s="11" t="str">
        <f>I18N_T(cellLanguage, "RF_Modify")</f>
        <v>Modifier</v>
      </c>
      <c r="I37" s="11" t="str">
        <f>I18N_T(cellLanguage, "RF_Duplicate")</f>
        <v>Dupliquer</v>
      </c>
      <c r="J37" s="13"/>
    </row>
    <row r="38" spans="3:10" x14ac:dyDescent="0.25">
      <c r="C38" s="24" t="s">
        <v>565</v>
      </c>
      <c r="D38" s="24" t="s">
        <v>21</v>
      </c>
      <c r="E38" s="24" t="s">
        <v>566</v>
      </c>
      <c r="F38" s="24" t="s">
        <v>585</v>
      </c>
      <c r="H38" s="11" t="str">
        <f>I18N_T(cellLanguage, "RF_Modify")</f>
        <v>Modifier</v>
      </c>
      <c r="I38" s="11" t="str">
        <f>I18N_T(cellLanguage, "RF_Duplicate")</f>
        <v>Dupliquer</v>
      </c>
      <c r="J38" s="13"/>
    </row>
    <row r="39" spans="3:10" x14ac:dyDescent="0.25">
      <c r="C39" s="24" t="s">
        <v>567</v>
      </c>
      <c r="D39" s="24" t="s">
        <v>21</v>
      </c>
      <c r="E39" s="24" t="s">
        <v>568</v>
      </c>
      <c r="F39" s="24" t="s">
        <v>586</v>
      </c>
      <c r="H39" s="11" t="str">
        <f>I18N_T(cellLanguage, "RF_Modify")</f>
        <v>Modifier</v>
      </c>
      <c r="I39" s="11" t="str">
        <f>I18N_T(cellLanguage, "RF_Duplicate")</f>
        <v>Dupliquer</v>
      </c>
      <c r="J39" s="13"/>
    </row>
    <row r="40" spans="3:10" x14ac:dyDescent="0.25">
      <c r="C40" s="24" t="s">
        <v>569</v>
      </c>
      <c r="D40" s="24" t="s">
        <v>21</v>
      </c>
      <c r="E40" s="24" t="s">
        <v>570</v>
      </c>
      <c r="F40" s="24" t="s">
        <v>587</v>
      </c>
      <c r="H40" s="11" t="str">
        <f>I18N_T(cellLanguage, "RF_Modify")</f>
        <v>Modifier</v>
      </c>
      <c r="I40" s="11" t="str">
        <f>I18N_T(cellLanguage, "RF_Duplicate")</f>
        <v>Dupliquer</v>
      </c>
      <c r="J40" s="13"/>
    </row>
    <row r="41" spans="3:10" x14ac:dyDescent="0.25">
      <c r="C41" s="24" t="s">
        <v>571</v>
      </c>
      <c r="D41" s="24" t="s">
        <v>21</v>
      </c>
      <c r="E41" s="24" t="s">
        <v>572</v>
      </c>
      <c r="F41" s="24" t="s">
        <v>587</v>
      </c>
      <c r="H41" s="11" t="str">
        <f>I18N_T(cellLanguage, "RF_Modify")</f>
        <v>Modifier</v>
      </c>
      <c r="I41" s="11" t="str">
        <f>I18N_T(cellLanguage, "RF_Duplicate")</f>
        <v>Dupliquer</v>
      </c>
      <c r="J41" s="13"/>
    </row>
  </sheetData>
  <sheetProtection sheet="1" objects="1" scenarios="1" formatCells="0" formatColumns="0" formatRows="0" sort="0" autoFilter="0"/>
  <hyperlinks>
    <hyperlink ref="D10" location="C3" tooltip=" " display="C3" xr:uid="{B954D78D-99EB-406A-9D19-2B90067D9F96}"/>
    <hyperlink ref="H14" location="C3" tooltip=" " display="C3" xr:uid="{8FEA4C87-AD06-4BC0-9FB7-E3A78CF0BDC2}"/>
    <hyperlink ref="I14" location="C3" tooltip=" " display="C3" xr:uid="{3B3068E0-5134-4D66-AC87-06B1FDA97B4F}"/>
    <hyperlink ref="H15" location="C3" tooltip=" " display="C3" xr:uid="{47168EF6-27D1-4FAF-8AC2-BD2B248E80A9}"/>
    <hyperlink ref="H16" location="C3" tooltip=" " display="C3" xr:uid="{82708888-841B-4898-B56D-1E96CDF870D7}"/>
    <hyperlink ref="H17" location="C3" tooltip=" " display="C3" xr:uid="{7DF79B40-BD98-4D92-BFE8-1545DC1496DA}"/>
    <hyperlink ref="H18" location="C3" tooltip=" " display="C3" xr:uid="{B4F74257-41FB-47A4-A427-67D6B28A974F}"/>
    <hyperlink ref="H19" location="C3" tooltip=" " display="C3" xr:uid="{B7D54307-F122-472D-87DB-953C387099A5}"/>
    <hyperlink ref="H20" location="C3" tooltip=" " display="C3" xr:uid="{B8EEF55F-DD4D-46FE-8F81-340298D003A3}"/>
    <hyperlink ref="H21" location="C3" tooltip=" " display="C3" xr:uid="{5B4A0A52-20CA-45A3-888E-37EEAA64BABE}"/>
    <hyperlink ref="H22" location="C3" tooltip=" " display="C3" xr:uid="{9DDDDDD0-E783-4F33-B266-CD744A0D50C0}"/>
    <hyperlink ref="H23" location="C3" tooltip=" " display="C3" xr:uid="{121E4339-B8D4-46AF-AEEA-50F5A09F12A6}"/>
    <hyperlink ref="H24" location="C3" tooltip=" " display="C3" xr:uid="{569FE4D7-E900-43F2-A1C1-FBF659F09A1D}"/>
    <hyperlink ref="H25" location="C3" tooltip=" " display="C3" xr:uid="{8D637AB9-D576-4A1D-838D-3A611FA53433}"/>
    <hyperlink ref="H26" location="C3" tooltip=" " display="C3" xr:uid="{AD119D90-EB68-4D29-9201-DB2E6268B230}"/>
    <hyperlink ref="H27" location="C3" tooltip=" " display="C3" xr:uid="{297DFD30-3F0B-42FC-99FB-A3CD53107903}"/>
    <hyperlink ref="H28" location="C3" tooltip=" " display="C3" xr:uid="{91055837-9E0D-482C-ACBD-8BC1A6C84C7F}"/>
    <hyperlink ref="H29" location="C3" tooltip=" " display="C3" xr:uid="{37C0064A-243B-4AD6-B1F8-66F5D78DE2DC}"/>
    <hyperlink ref="H30" location="C3" tooltip=" " display="C3" xr:uid="{44B0AB5D-C2DC-483B-A8C3-B07C154B61AE}"/>
    <hyperlink ref="H31" location="C3" tooltip=" " display="C3" xr:uid="{71C593BD-F630-4F64-9AC2-30A8453ED615}"/>
    <hyperlink ref="H32" location="C3" tooltip=" " display="C3" xr:uid="{ACF8451D-EE4A-4C4E-A3C9-44C999969C4F}"/>
    <hyperlink ref="H33" location="C3" tooltip=" " display="C3" xr:uid="{7EE8D8FB-A99D-4109-B273-4332BF734700}"/>
    <hyperlink ref="H34" location="C3" tooltip=" " display="C3" xr:uid="{05F91B94-B756-4418-A7F5-AFEDDC19E346}"/>
    <hyperlink ref="H35" location="C3" tooltip=" " display="C3" xr:uid="{0BEB1E33-99A7-4F7F-B3EB-CC3A5892EA0A}"/>
    <hyperlink ref="H36" location="C3" tooltip=" " display="C3" xr:uid="{5E48BC90-C8F8-4DD0-B1AE-4DC1F065146F}"/>
    <hyperlink ref="H37" location="C3" tooltip=" " display="C3" xr:uid="{1D4F9E98-8861-4208-AE96-7E8BA7DD802B}"/>
    <hyperlink ref="H38" location="C3" tooltip=" " display="C3" xr:uid="{E93F2D20-71C7-44DF-B8B4-6CD137EE0C28}"/>
    <hyperlink ref="H39" location="C3" tooltip=" " display="C3" xr:uid="{26F1A277-8EDB-4F55-88C3-B4B3815F5FD4}"/>
    <hyperlink ref="H40" location="C3" tooltip=" " display="C3" xr:uid="{FD284969-4D4B-4513-9C03-E8DDAFE40D2C}"/>
    <hyperlink ref="H41" location="C3" tooltip=" " display="C3" xr:uid="{C3104E7E-AC9E-4885-80DE-393E4AB75E99}"/>
    <hyperlink ref="I15" location="C3" tooltip=" " display="C3" xr:uid="{569CEB8D-7F8B-4EE3-89F2-E9E7766E15BB}"/>
    <hyperlink ref="I16" location="C3" tooltip=" " display="C3" xr:uid="{236CFC57-8D2E-4FB2-A339-884AA3C95342}"/>
    <hyperlink ref="I17" location="C3" tooltip=" " display="C3" xr:uid="{08334478-9BCA-4DAE-BA4F-E9AF4145E87A}"/>
    <hyperlink ref="I18" location="C3" tooltip=" " display="C3" xr:uid="{A3F4B893-9DCC-4126-BE5B-D2E313A69DF4}"/>
    <hyperlink ref="I19" location="C3" tooltip=" " display="C3" xr:uid="{69FE4996-ECDD-4D4A-BD1B-78D6640BBFE5}"/>
    <hyperlink ref="I20" location="C3" tooltip=" " display="C3" xr:uid="{9406F708-70F1-41F7-BA03-95F1B3278DD6}"/>
    <hyperlink ref="I21" location="C3" tooltip=" " display="C3" xr:uid="{F3EE918A-D8F3-4A3E-9476-30C21753588F}"/>
    <hyperlink ref="I22" location="C3" tooltip=" " display="C3" xr:uid="{F6F9AE46-B465-420F-9656-2D20C9ED9181}"/>
    <hyperlink ref="I23" location="C3" tooltip=" " display="C3" xr:uid="{9102D9DB-140A-47DD-A7D3-7D201F5B1150}"/>
    <hyperlink ref="I24" location="C3" tooltip=" " display="C3" xr:uid="{6128AEF4-8BC6-44FC-AA73-CDBAD98F0036}"/>
    <hyperlink ref="I25" location="C3" tooltip=" " display="C3" xr:uid="{05D21EC7-4092-4E12-B20A-6773C0F410B8}"/>
    <hyperlink ref="I26" location="C3" tooltip=" " display="C3" xr:uid="{A85F744B-57B5-463E-961D-0F7B9791D9DC}"/>
    <hyperlink ref="I27" location="C3" tooltip=" " display="C3" xr:uid="{8D4476C8-8BEC-47BB-91D5-BB431E14D5DE}"/>
    <hyperlink ref="I28" location="C3" tooltip=" " display="C3" xr:uid="{E70C9590-0D59-451D-8BB4-793F6252B85D}"/>
    <hyperlink ref="I29" location="C3" tooltip=" " display="C3" xr:uid="{B64D5B50-E339-4E85-8CF9-BDB7FB47AD7D}"/>
    <hyperlink ref="I30" location="C3" tooltip=" " display="C3" xr:uid="{72C8E699-0785-40EE-AEA1-EF7A2036C91B}"/>
    <hyperlink ref="I31" location="C3" tooltip=" " display="C3" xr:uid="{569E89AC-01FF-4300-B966-24F5BC54D2D5}"/>
    <hyperlink ref="I32" location="C3" tooltip=" " display="C3" xr:uid="{4946A105-9569-446A-A20C-EB3F321197E4}"/>
    <hyperlink ref="I33" location="C3" tooltip=" " display="C3" xr:uid="{2B92C0B1-9DB5-4D49-A5F7-54BB29AD739D}"/>
    <hyperlink ref="I34" location="C3" tooltip=" " display="C3" xr:uid="{9F98197B-4537-4756-8622-9174D605E168}"/>
    <hyperlink ref="I35" location="C3" tooltip=" " display="C3" xr:uid="{C82C775C-82DD-4CC7-8987-4510405FD009}"/>
    <hyperlink ref="I36" location="C3" tooltip=" " display="C3" xr:uid="{264F0844-1C25-4D24-AE52-ED33C22B0BCF}"/>
    <hyperlink ref="I37" location="C3" tooltip=" " display="C3" xr:uid="{8EC05506-55B9-4C9D-9720-5D1D91BA01EE}"/>
    <hyperlink ref="I38" location="C3" tooltip=" " display="C3" xr:uid="{F1B3B7CD-7C65-4C52-96A3-7ADE3238CC83}"/>
    <hyperlink ref="I39" location="C3" tooltip=" " display="C3" xr:uid="{9660F0CB-08B1-49AB-A0F4-3715DF6DF291}"/>
    <hyperlink ref="I40" location="C3" tooltip=" " display="C3" xr:uid="{7B6C2170-A430-4F29-A93D-86FD672FC911}"/>
    <hyperlink ref="I41" location="C3" tooltip=" " display="C3" xr:uid="{6EE002A3-E557-49FB-8442-7268BF5EFA71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6BF2B-D799-4596-AF12-B1EE2F12D2E9}">
  <sheetPr codeName="Feuil2"/>
  <dimension ref="B2:CG5"/>
  <sheetViews>
    <sheetView showGridLines="0" workbookViewId="0">
      <selection activeCell="B6" sqref="B6"/>
    </sheetView>
  </sheetViews>
  <sheetFormatPr baseColWidth="10" defaultColWidth="16.7109375" defaultRowHeight="15" outlineLevelCol="3" x14ac:dyDescent="0.25"/>
  <cols>
    <col min="1" max="1" width="16.7109375" style="18"/>
    <col min="2" max="2" width="6.7109375" style="18" customWidth="1"/>
    <col min="3" max="8" width="16.7109375" style="18" outlineLevel="1"/>
    <col min="9" max="28" width="16.7109375" style="18" outlineLevel="2"/>
    <col min="29" max="29" width="16.7109375" style="18" outlineLevel="1"/>
    <col min="30" max="32" width="16.7109375" style="18" outlineLevel="2"/>
    <col min="33" max="36" width="16.7109375" style="18" outlineLevel="3"/>
    <col min="37" max="37" width="16.7109375" style="18" outlineLevel="2"/>
    <col min="38" max="41" width="16.7109375" style="18" outlineLevel="3"/>
    <col min="42" max="42" width="16.7109375" style="18" outlineLevel="1"/>
    <col min="43" max="43" width="6.7109375" style="18" customWidth="1"/>
    <col min="44" max="48" width="16.7109375" style="18" outlineLevel="1"/>
    <col min="49" max="68" width="16.7109375" style="18" outlineLevel="2"/>
    <col min="69" max="69" width="16.7109375" style="18" outlineLevel="1"/>
    <col min="70" max="73" width="16.7109375" style="18" outlineLevel="2"/>
    <col min="74" max="78" width="16.7109375" style="18" outlineLevel="3"/>
    <col min="79" max="79" width="16.7109375" style="18" outlineLevel="2"/>
    <col min="80" max="84" width="16.7109375" style="18" outlineLevel="3"/>
    <col min="85" max="85" width="16.7109375" style="18" outlineLevel="2"/>
    <col min="86" max="16384" width="16.7109375" style="18"/>
  </cols>
  <sheetData>
    <row r="2" spans="2:85" x14ac:dyDescent="0.25">
      <c r="B2" s="38" t="str">
        <f>I18N_T(cellLanguage, "RF_Save")</f>
        <v>Sauvegarder</v>
      </c>
    </row>
    <row r="3" spans="2:85" x14ac:dyDescent="0.25">
      <c r="CG3" s="25" t="str">
        <f>SUBTOTAL(103, $C$6) &amp; "/0"</f>
        <v>0/0</v>
      </c>
    </row>
    <row r="4" spans="2:85" hidden="1" x14ac:dyDescent="0.25">
      <c r="B4" s="40" t="str">
        <f>I18N_T(cellLanguage, "RF_Reporting")</f>
        <v>Reporting</v>
      </c>
      <c r="C4" s="41" t="str">
        <f>I18N_T(cellLanguage, "RF_Phase")</f>
        <v>Phase</v>
      </c>
      <c r="D4" s="41" t="str">
        <f>I18N_T(cellLanguage, "RF_UpdatePeriod")</f>
        <v>Exercice</v>
      </c>
      <c r="E4" s="41" t="str">
        <f>I18N_T(cellLanguage, "RF_FrameworkVersion")</f>
        <v>Version de référentiel</v>
      </c>
      <c r="F4" s="41" t="str">
        <f>I18N_T(cellLanguage, "RF_Start")</f>
        <v>Début</v>
      </c>
      <c r="G4" s="41" t="str">
        <f>I18N_T(cellLanguage, "RF_End")</f>
        <v>Fin</v>
      </c>
      <c r="H4" s="41" t="str">
        <f>I18N_T(cellLanguage, "RF_RepPack")</f>
        <v>Liasse</v>
      </c>
      <c r="I4" s="41" t="str">
        <f>I18N_T(cellLanguage, "RF_UseDefaultWindowsFolder")</f>
        <v>Cahier Windows: défaut?</v>
      </c>
      <c r="J4" s="41" t="str">
        <f>I18N_T(cellLanguage, "RF_WindowsFolder")</f>
        <v>Cahier Windows</v>
      </c>
      <c r="K4" s="41" t="str">
        <f>I18N_T(cellLanguage, "RF_UseDefaultInternetFolder")</f>
        <v>Cahier Internet: défaut?</v>
      </c>
      <c r="L4" s="41" t="str">
        <f>I18N_T(cellLanguage, "RF_InternetFolder")</f>
        <v>Cahier Internet</v>
      </c>
      <c r="M4" s="41" t="str">
        <f>I18N_T(cellLanguage, "RF_UseDefaultSetOfControls")</f>
        <v>Jeu de contrôles: défaut?</v>
      </c>
      <c r="N4" s="41" t="str">
        <f>I18N_T(cellLanguage, "RF_SetOfControls")</f>
        <v>Jeu de contrôles</v>
      </c>
      <c r="O4" s="41" t="str">
        <f>I18N_T(cellLanguage, "RF_UseDefaultLevel")</f>
        <v>Niveau de contrôle: défaut?</v>
      </c>
      <c r="P4" s="41" t="str">
        <f>I18N_T(cellLanguage, "RF_LevelToReach")</f>
        <v>Niveau de contrôle</v>
      </c>
      <c r="Q4" s="41" t="str">
        <f>I18N_T(cellLanguage, "RF_Blocking")</f>
        <v>Bloquant?</v>
      </c>
      <c r="R4" s="41" t="str">
        <f>I18N_T(cellLanguage, "RF_UseDefaultLock")</f>
        <v>RF_UseDefaultLock</v>
      </c>
      <c r="S4" s="41" t="str">
        <f>I18N_T(cellLanguage, "RF_LockOnPublication")</f>
        <v>RF_LockOnPublication</v>
      </c>
      <c r="T4" s="41" t="str">
        <f>I18N_T(cellLanguage, "RF_UseDefaultRuleSet")</f>
        <v>RF_UseDefaultRuleSet</v>
      </c>
      <c r="U4" s="41" t="str">
        <f>I18N_T(cellLanguage, "RF_RuleSet")</f>
        <v>RF_RuleSet</v>
      </c>
      <c r="V4" s="41" t="str">
        <f>I18N_T(cellLanguage, "RF_UseDefaultOpbal")</f>
        <v>RF_UseDefaultOpbal</v>
      </c>
      <c r="W4" s="41" t="str">
        <f>I18N_T(cellLanguage, "RF_HasOpBal")</f>
        <v>RF_HasOpBal</v>
      </c>
      <c r="X4" s="41" t="str">
        <f>I18N_T(cellLanguage, "RF_OpbPhase")</f>
        <v>RF_OpbPhase</v>
      </c>
      <c r="Y4" s="41" t="str">
        <f>I18N_T(cellLanguage, "RF_OpbUpdatePeriod")</f>
        <v>RF_OpbUpdatePeriod</v>
      </c>
      <c r="Z4" s="41" t="str">
        <f>I18N_T(cellLanguage, "RF_OpbScope")</f>
        <v>RF_OpbScope</v>
      </c>
      <c r="AA4" s="41" t="str">
        <f>I18N_T(cellLanguage, "RF_OpbVariant")</f>
        <v>RF_OpbVariant</v>
      </c>
      <c r="AB4" s="41" t="str">
        <f>I18N_T(cellLanguage, "RF_OpbConsCurrency")</f>
        <v>RF_OpbConsCurrency</v>
      </c>
      <c r="AC4" s="41" t="str">
        <f>I18N_T(cellLanguage, "RF_RepOp")</f>
        <v>RF_RepOp</v>
      </c>
      <c r="AD4" s="41" t="str">
        <f>I18N_T(cellLanguage, "RF_CutoffDate")</f>
        <v>Date limite</v>
      </c>
      <c r="AE4" s="41" t="str">
        <f>I18N_T(cellLanguage, "RF_EarlyPublishing")</f>
        <v>Publication anticipée</v>
      </c>
      <c r="AF4" s="41" t="str">
        <f>I18N_T(cellLanguage, "RF_RepOpAftPub")</f>
        <v>RF_RepOpAftPub</v>
      </c>
      <c r="AG4" s="41" t="str">
        <f>I18N_T(cellLanguage, "RF_RepOpAftPubStd")</f>
        <v>RF_RepOpAftPubStd</v>
      </c>
      <c r="AH4" s="41" t="str">
        <f>I18N_T(cellLanguage, "RF_RepOpAftPubSpe")</f>
        <v>RF_RepOpAftPubSpe</v>
      </c>
      <c r="AI4" s="41" t="str">
        <f>I18N_T(cellLanguage, "RF_RepOpAftPubAdv")</f>
        <v>RF_RepOpAftPubAdv</v>
      </c>
      <c r="AJ4" s="41" t="str">
        <f>I18N_T(cellLanguage, "RF_RepOpAftPubLvl")</f>
        <v>RF_RepOpAftPubLvl</v>
      </c>
      <c r="AK4" s="41" t="str">
        <f>I18N_T(cellLanguage, "RF_RepOpAftTran")</f>
        <v>RF_RepOpAftTran</v>
      </c>
      <c r="AL4" s="41" t="str">
        <f>I18N_T(cellLanguage, "RF_RepOpAftTranStd")</f>
        <v>RF_RepOpAftTranStd</v>
      </c>
      <c r="AM4" s="41" t="str">
        <f>I18N_T(cellLanguage, "RF_RepOpAftTranSpe")</f>
        <v>RF_RepOpAftTranSpe</v>
      </c>
      <c r="AN4" s="41" t="str">
        <f>I18N_T(cellLanguage, "RF_RepOpAftTranAdv")</f>
        <v>RF_RepOpAftTranAdv</v>
      </c>
      <c r="AO4" s="41" t="str">
        <f>I18N_T(cellLanguage, "RF_RepOpAftTranLvl")</f>
        <v>RF_RepOpAftTranLvl</v>
      </c>
      <c r="AP4" s="41" t="str">
        <f>I18N_T(cellLanguage, "RF_RepDesc")</f>
        <v>RF_RepDesc</v>
      </c>
      <c r="AQ4" s="41" t="str">
        <f>I18N_T(cellLanguage, "RF_Entity")</f>
        <v>Unité</v>
      </c>
      <c r="AR4" s="41" t="str">
        <f>I18N_T(cellLanguage, "RF_Entity2")</f>
        <v>Code</v>
      </c>
      <c r="AS4" s="41" t="str">
        <f>I18N_T(cellLanguage, "RF_InputCurrency")</f>
        <v>Devise</v>
      </c>
      <c r="AT4" s="41" t="str">
        <f>I18N_T(cellLanguage, "RF_InputSite")</f>
        <v>RF_InputSite</v>
      </c>
      <c r="AU4" s="41" t="str">
        <f>I18N_T(cellLanguage, "RF_PublicationSite")</f>
        <v>RF_PublicationSite</v>
      </c>
      <c r="AV4" s="41" t="str">
        <f>I18N_T(cellLanguage, "RF_EntPack")</f>
        <v>RF_EntPack</v>
      </c>
      <c r="AW4" s="41" t="str">
        <f>I18N_T(cellLanguage, "RF_EntUseDefaultWindowsFolder")</f>
        <v>RF_EntUseDefaultWindowsFolder</v>
      </c>
      <c r="AX4" s="41" t="str">
        <f>I18N_T(cellLanguage, "RF_EntWindowsFolder")</f>
        <v>RF_EntWindowsFolder</v>
      </c>
      <c r="AY4" s="41" t="str">
        <f>I18N_T(cellLanguage, "RF_EntUseDefaultInternetFolder")</f>
        <v>RF_EntUseDefaultInternetFolder</v>
      </c>
      <c r="AZ4" s="41" t="str">
        <f>I18N_T(cellLanguage, "RF_EntInternetFolder")</f>
        <v>RF_EntInternetFolder</v>
      </c>
      <c r="BA4" s="41" t="str">
        <f>I18N_T(cellLanguage, "RF_EntUseDefaultSetOfControls")</f>
        <v>RF_EntUseDefaultSetOfControls</v>
      </c>
      <c r="BB4" s="41" t="str">
        <f>I18N_T(cellLanguage, "RF_EntSetOfControls")</f>
        <v>RF_EntSetOfControls</v>
      </c>
      <c r="BC4" s="41" t="str">
        <f>I18N_T(cellLanguage, "RF_EntUseDefaultLevel")</f>
        <v>RF_EntUseDefaultLevel</v>
      </c>
      <c r="BD4" s="41" t="str">
        <f>I18N_T(cellLanguage, "RF_EntLevelToReach")</f>
        <v>RF_EntLevelToReach</v>
      </c>
      <c r="BE4" s="41" t="str">
        <f>I18N_T(cellLanguage, "RF_EntBlocking")</f>
        <v>RF_EntBlocking</v>
      </c>
      <c r="BF4" s="41" t="str">
        <f>I18N_T(cellLanguage, "RF_EntUseDefaultLock")</f>
        <v>RF_EntUseDefaultLock</v>
      </c>
      <c r="BG4" s="41" t="str">
        <f>I18N_T(cellLanguage, "RF_EntLockOnPublication")</f>
        <v>RF_EntLockOnPublication</v>
      </c>
      <c r="BH4" s="41" t="str">
        <f>I18N_T(cellLanguage, "RF_EntUseDefaultRuleSet")</f>
        <v>RF_EntUseDefaultRuleSet</v>
      </c>
      <c r="BI4" s="41" t="str">
        <f>I18N_T(cellLanguage, "RF_EntRuleSet")</f>
        <v>RF_EntRuleSet</v>
      </c>
      <c r="BJ4" s="41" t="str">
        <f>I18N_T(cellLanguage, "RF_EntUseDefaultOpbal")</f>
        <v>RF_EntUseDefaultOpbal</v>
      </c>
      <c r="BK4" s="41" t="str">
        <f>I18N_T(cellLanguage, "RF_EntHasOpBal")</f>
        <v>RF_EntHasOpBal</v>
      </c>
      <c r="BL4" s="41" t="str">
        <f>I18N_T(cellLanguage, "RF_EntOpbPhase")</f>
        <v>RF_EntOpbPhase</v>
      </c>
      <c r="BM4" s="41" t="str">
        <f>I18N_T(cellLanguage, "RF_EntOpbUpdatePeriod")</f>
        <v>RF_EntOpbUpdatePeriod</v>
      </c>
      <c r="BN4" s="41" t="str">
        <f>I18N_T(cellLanguage, "RF_EntOpbScope")</f>
        <v>RF_EntOpbScope</v>
      </c>
      <c r="BO4" s="41" t="str">
        <f>I18N_T(cellLanguage, "RF_EntOpbVariant")</f>
        <v>RF_EntOpbVariant</v>
      </c>
      <c r="BP4" s="41" t="str">
        <f>I18N_T(cellLanguage, "RF_EntOpbConsCurrency")</f>
        <v>RF_EntOpbConsCurrency</v>
      </c>
      <c r="BQ4" s="41" t="str">
        <f>I18N_T(cellLanguage, "RF_EntOp")</f>
        <v>RF_EntOp</v>
      </c>
      <c r="BR4" s="41" t="str">
        <f>I18N_T(cellLanguage, "RF_EntUseDefaultPublish")</f>
        <v>RF_EntUseDefaultPublish</v>
      </c>
      <c r="BS4" s="41" t="str">
        <f>I18N_T(cellLanguage, "RF_EntPackPublishingCutOffDate")</f>
        <v>RF_EntPackPublishingCutOffDate</v>
      </c>
      <c r="BT4" s="41" t="str">
        <f>I18N_T(cellLanguage, "RF_EntAllowEarlyPublishing")</f>
        <v>RF_EntAllowEarlyPublishing</v>
      </c>
      <c r="BU4" s="41" t="str">
        <f>I18N_T(cellLanguage, "RF_EntOpAftPub")</f>
        <v>RF_EntOpAftPub</v>
      </c>
      <c r="BV4" s="41" t="str">
        <f>I18N_T(cellLanguage, "RF_EntUseDefaultAfterPub")</f>
        <v>RF_EntUseDefaultAfterPub</v>
      </c>
      <c r="BW4" s="41" t="str">
        <f>I18N_T(cellLanguage, "RF_EntAftPubStandard")</f>
        <v>RF_EntAftPubStandard</v>
      </c>
      <c r="BX4" s="41" t="str">
        <f>I18N_T(cellLanguage, "RF_EntAftPubSpecial")</f>
        <v>RF_EntAftPubSpecial</v>
      </c>
      <c r="BY4" s="41" t="str">
        <f>I18N_T(cellLanguage, "RF_EntAftPubAdvanced")</f>
        <v>RF_EntAftPubAdvanced</v>
      </c>
      <c r="BZ4" s="41" t="str">
        <f>I18N_T(cellLanguage, "RF_EntAftPubLevel")</f>
        <v>RF_EntAftPubLevel</v>
      </c>
      <c r="CA4" s="41" t="str">
        <f>I18N_T(cellLanguage, "RF_EntOpAftTran")</f>
        <v>RF_EntOpAftTran</v>
      </c>
      <c r="CB4" s="41" t="str">
        <f>I18N_T(cellLanguage, "RF_EntUseDefaultAfterTran")</f>
        <v>RF_EntUseDefaultAfterTran</v>
      </c>
      <c r="CC4" s="41" t="str">
        <f>I18N_T(cellLanguage, "RF_EntAftTranStandard")</f>
        <v>RF_EntAftTranStandard</v>
      </c>
      <c r="CD4" s="41" t="str">
        <f>I18N_T(cellLanguage, "RF_EntAftTranSpecial")</f>
        <v>RF_EntAftTranSpecial</v>
      </c>
      <c r="CE4" s="41" t="str">
        <f>I18N_T(cellLanguage, "RF_EntAftTranAdvanced")</f>
        <v>RF_EntAftTranAdvanced</v>
      </c>
      <c r="CF4" s="41" t="str">
        <f>I18N_T(cellLanguage, "RF_EntAftTranLevel")</f>
        <v>RF_EntAftTranLevel</v>
      </c>
      <c r="CG4" s="42" t="str">
        <f>I18N_T(cellLanguage, "RF_DescFr")</f>
        <v>RF_DescFr</v>
      </c>
    </row>
    <row r="5" spans="2:85" ht="66" customHeight="1" x14ac:dyDescent="0.25">
      <c r="B5" s="39" t="s">
        <v>206</v>
      </c>
      <c r="C5" s="39" t="s">
        <v>207</v>
      </c>
      <c r="D5" s="39" t="s">
        <v>208</v>
      </c>
      <c r="E5" s="39" t="s">
        <v>209</v>
      </c>
      <c r="F5" s="39" t="s">
        <v>588</v>
      </c>
      <c r="G5" s="39" t="s">
        <v>589</v>
      </c>
      <c r="H5" s="39" t="s">
        <v>590</v>
      </c>
      <c r="I5" s="39" t="s">
        <v>591</v>
      </c>
      <c r="J5" s="39" t="s">
        <v>592</v>
      </c>
      <c r="K5" s="39" t="s">
        <v>593</v>
      </c>
      <c r="L5" s="39" t="s">
        <v>594</v>
      </c>
      <c r="M5" s="39" t="s">
        <v>595</v>
      </c>
      <c r="N5" s="39" t="s">
        <v>596</v>
      </c>
      <c r="O5" s="39" t="s">
        <v>597</v>
      </c>
      <c r="P5" s="39" t="s">
        <v>598</v>
      </c>
      <c r="Q5" s="39" t="s">
        <v>599</v>
      </c>
      <c r="R5" s="39" t="s">
        <v>600</v>
      </c>
      <c r="S5" s="39" t="s">
        <v>601</v>
      </c>
      <c r="T5" s="39" t="s">
        <v>602</v>
      </c>
      <c r="U5" s="39" t="s">
        <v>603</v>
      </c>
      <c r="V5" s="39" t="s">
        <v>604</v>
      </c>
      <c r="W5" s="39" t="s">
        <v>605</v>
      </c>
      <c r="X5" s="39" t="s">
        <v>606</v>
      </c>
      <c r="Y5" s="39" t="s">
        <v>607</v>
      </c>
      <c r="Z5" s="39" t="s">
        <v>608</v>
      </c>
      <c r="AA5" s="39" t="s">
        <v>609</v>
      </c>
      <c r="AB5" s="39" t="s">
        <v>610</v>
      </c>
      <c r="AC5" s="39" t="s">
        <v>611</v>
      </c>
      <c r="AD5" s="39" t="s">
        <v>612</v>
      </c>
      <c r="AE5" s="39" t="s">
        <v>613</v>
      </c>
      <c r="AF5" s="39" t="s">
        <v>614</v>
      </c>
      <c r="AG5" s="39" t="s">
        <v>615</v>
      </c>
      <c r="AH5" s="39" t="s">
        <v>616</v>
      </c>
      <c r="AI5" s="39" t="s">
        <v>617</v>
      </c>
      <c r="AJ5" s="39" t="s">
        <v>618</v>
      </c>
      <c r="AK5" s="39" t="s">
        <v>619</v>
      </c>
      <c r="AL5" s="39" t="s">
        <v>620</v>
      </c>
      <c r="AM5" s="39" t="s">
        <v>621</v>
      </c>
      <c r="AN5" s="39" t="s">
        <v>622</v>
      </c>
      <c r="AO5" s="39" t="s">
        <v>623</v>
      </c>
      <c r="AP5" s="39" t="s">
        <v>624</v>
      </c>
      <c r="AQ5" s="39" t="s">
        <v>625</v>
      </c>
      <c r="AR5" s="39" t="s">
        <v>626</v>
      </c>
      <c r="AS5" s="39" t="s">
        <v>627</v>
      </c>
      <c r="AT5" s="39" t="s">
        <v>628</v>
      </c>
      <c r="AU5" s="39" t="s">
        <v>629</v>
      </c>
      <c r="AV5" s="39" t="s">
        <v>630</v>
      </c>
      <c r="AW5" s="39" t="s">
        <v>631</v>
      </c>
      <c r="AX5" s="39" t="s">
        <v>632</v>
      </c>
      <c r="AY5" s="39" t="s">
        <v>633</v>
      </c>
      <c r="AZ5" s="39" t="s">
        <v>634</v>
      </c>
      <c r="BA5" s="39" t="s">
        <v>635</v>
      </c>
      <c r="BB5" s="39" t="s">
        <v>636</v>
      </c>
      <c r="BC5" s="39" t="s">
        <v>637</v>
      </c>
      <c r="BD5" s="39" t="s">
        <v>638</v>
      </c>
      <c r="BE5" s="39" t="s">
        <v>639</v>
      </c>
      <c r="BF5" s="39" t="s">
        <v>640</v>
      </c>
      <c r="BG5" s="39" t="s">
        <v>641</v>
      </c>
      <c r="BH5" s="39" t="s">
        <v>642</v>
      </c>
      <c r="BI5" s="39" t="s">
        <v>643</v>
      </c>
      <c r="BJ5" s="39" t="s">
        <v>644</v>
      </c>
      <c r="BK5" s="39" t="s">
        <v>645</v>
      </c>
      <c r="BL5" s="39" t="s">
        <v>646</v>
      </c>
      <c r="BM5" s="39" t="s">
        <v>647</v>
      </c>
      <c r="BN5" s="39" t="s">
        <v>648</v>
      </c>
      <c r="BO5" s="39" t="s">
        <v>649</v>
      </c>
      <c r="BP5" s="39" t="s">
        <v>650</v>
      </c>
      <c r="BQ5" s="39" t="s">
        <v>651</v>
      </c>
      <c r="BR5" s="39" t="s">
        <v>652</v>
      </c>
      <c r="BS5" s="39" t="s">
        <v>653</v>
      </c>
      <c r="BT5" s="39" t="s">
        <v>654</v>
      </c>
      <c r="BU5" s="39" t="s">
        <v>655</v>
      </c>
      <c r="BV5" s="39" t="s">
        <v>656</v>
      </c>
      <c r="BW5" s="39" t="s">
        <v>657</v>
      </c>
      <c r="BX5" s="39" t="s">
        <v>658</v>
      </c>
      <c r="BY5" s="39" t="s">
        <v>659</v>
      </c>
      <c r="BZ5" s="39" t="s">
        <v>660</v>
      </c>
      <c r="CA5" s="39" t="s">
        <v>661</v>
      </c>
      <c r="CB5" s="39" t="s">
        <v>662</v>
      </c>
      <c r="CC5" s="39" t="s">
        <v>663</v>
      </c>
      <c r="CD5" s="39" t="s">
        <v>664</v>
      </c>
      <c r="CE5" s="39" t="s">
        <v>665</v>
      </c>
      <c r="CF5" s="39" t="s">
        <v>666</v>
      </c>
      <c r="CG5" s="39" t="s">
        <v>667</v>
      </c>
    </row>
  </sheetData>
  <sheetProtection sheet="1" objects="1" scenarios="1" formatCells="0" formatColumns="0" formatRows="0" sort="0" autoFilter="0"/>
  <hyperlinks>
    <hyperlink ref="B2" location="C3" tooltip=" " display="C3" xr:uid="{6AA9D801-71C3-4903-BF78-AAA0F4913048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774DF-F386-4A12-85FD-81368079FC20}">
  <sheetPr codeName="Feuil1"/>
  <dimension ref="B2:CG8"/>
  <sheetViews>
    <sheetView showGridLines="0" workbookViewId="0">
      <selection activeCell="C3" sqref="C3"/>
    </sheetView>
  </sheetViews>
  <sheetFormatPr baseColWidth="10" defaultColWidth="16.7109375" defaultRowHeight="15" outlineLevelCol="3" x14ac:dyDescent="0.25"/>
  <cols>
    <col min="1" max="1" width="16.7109375" style="18"/>
    <col min="2" max="2" width="12" style="18" bestFit="1" customWidth="1"/>
    <col min="3" max="3" width="7" style="18" bestFit="1" customWidth="1" outlineLevel="1"/>
    <col min="4" max="4" width="8.28515625" style="18" bestFit="1" customWidth="1" outlineLevel="1"/>
    <col min="5" max="5" width="20.85546875" style="18" bestFit="1" customWidth="1" outlineLevel="1"/>
    <col min="6" max="7" width="15.42578125" style="18" bestFit="1" customWidth="1" outlineLevel="1"/>
    <col min="8" max="8" width="7" style="18" bestFit="1" customWidth="1" outlineLevel="1"/>
    <col min="9" max="9" width="23.7109375" style="18" hidden="1" customWidth="1" outlineLevel="2"/>
    <col min="10" max="10" width="15.5703125" style="18" hidden="1" customWidth="1" outlineLevel="2"/>
    <col min="11" max="11" width="22.5703125" style="18" hidden="1" customWidth="1" outlineLevel="2"/>
    <col min="12" max="12" width="14.42578125" style="18" hidden="1" customWidth="1" outlineLevel="2"/>
    <col min="13" max="13" width="23.5703125" style="18" hidden="1" customWidth="1" outlineLevel="2"/>
    <col min="14" max="14" width="15.42578125" style="18" hidden="1" customWidth="1" outlineLevel="2"/>
    <col min="15" max="15" width="26" style="18" hidden="1" customWidth="1" outlineLevel="2"/>
    <col min="16" max="16" width="18" style="18" hidden="1" customWidth="1" outlineLevel="2"/>
    <col min="17" max="17" width="10" style="18" hidden="1" customWidth="1" outlineLevel="2"/>
    <col min="18" max="18" width="18.140625" style="18" hidden="1" customWidth="1" outlineLevel="2"/>
    <col min="19" max="19" width="20.7109375" style="18" hidden="1" customWidth="1" outlineLevel="2"/>
    <col min="20" max="20" width="21.28515625" style="18" hidden="1" customWidth="1" outlineLevel="2"/>
    <col min="21" max="21" width="11" style="18" hidden="1" customWidth="1" outlineLevel="2"/>
    <col min="22" max="22" width="19.5703125" style="18" hidden="1" customWidth="1" outlineLevel="2"/>
    <col min="23" max="23" width="12.5703125" style="18" hidden="1" customWidth="1" outlineLevel="2"/>
    <col min="24" max="24" width="13.140625" style="18" hidden="1" customWidth="1" outlineLevel="2"/>
    <col min="25" max="25" width="20.42578125" style="18" hidden="1" customWidth="1" outlineLevel="2"/>
    <col min="26" max="26" width="13.140625" style="18" hidden="1" customWidth="1" outlineLevel="2"/>
    <col min="27" max="27" width="14.28515625" style="18" hidden="1" customWidth="1" outlineLevel="2"/>
    <col min="28" max="28" width="20.140625" style="18" hidden="1" customWidth="1" outlineLevel="2"/>
    <col min="29" max="29" width="10.140625" style="18" bestFit="1" customWidth="1" outlineLevel="1" collapsed="1"/>
    <col min="30" max="30" width="15.42578125" style="18" hidden="1" customWidth="1" outlineLevel="2"/>
    <col min="31" max="31" width="19.85546875" style="18" hidden="1" customWidth="1" outlineLevel="2"/>
    <col min="32" max="32" width="16.42578125" style="18" hidden="1" customWidth="1" outlineLevel="2"/>
    <col min="33" max="33" width="19.28515625" style="18" hidden="1" customWidth="1" outlineLevel="3"/>
    <col min="34" max="34" width="19.7109375" style="18" hidden="1" customWidth="1" outlineLevel="3"/>
    <col min="35" max="35" width="19.85546875" style="18" hidden="1" customWidth="1" outlineLevel="3"/>
    <col min="36" max="36" width="18.85546875" style="18" hidden="1" customWidth="1" outlineLevel="3"/>
    <col min="37" max="37" width="16.85546875" style="18" hidden="1" customWidth="1" outlineLevel="2"/>
    <col min="38" max="38" width="19.7109375" style="18" hidden="1" customWidth="1" outlineLevel="3"/>
    <col min="39" max="39" width="20.140625" style="18" hidden="1" customWidth="1" outlineLevel="3"/>
    <col min="40" max="40" width="20.28515625" style="18" hidden="1" customWidth="1" outlineLevel="3"/>
    <col min="41" max="41" width="19.28515625" style="18" hidden="1" customWidth="1" outlineLevel="3"/>
    <col min="42" max="42" width="11.7109375" style="18" bestFit="1" customWidth="1" outlineLevel="1" collapsed="1"/>
    <col min="43" max="43" width="8" style="18" bestFit="1" customWidth="1"/>
    <col min="44" max="45" width="8" style="18" bestFit="1" customWidth="1" outlineLevel="1"/>
    <col min="46" max="46" width="12.28515625" style="18" bestFit="1" customWidth="1" outlineLevel="1"/>
    <col min="47" max="47" width="17.7109375" style="18" bestFit="1" customWidth="1" outlineLevel="1"/>
    <col min="48" max="48" width="11" style="18" bestFit="1" customWidth="1" outlineLevel="1"/>
    <col min="49" max="49" width="31.7109375" style="18" hidden="1" customWidth="1" outlineLevel="2"/>
    <col min="50" max="50" width="21.42578125" style="18" hidden="1" customWidth="1" outlineLevel="2"/>
    <col min="51" max="51" width="30.42578125" style="18" hidden="1" customWidth="1" outlineLevel="2"/>
    <col min="52" max="52" width="20.140625" style="18" hidden="1" customWidth="1" outlineLevel="2"/>
    <col min="53" max="53" width="29.85546875" style="18" hidden="1" customWidth="1" outlineLevel="2"/>
    <col min="54" max="54" width="19.5703125" style="18" hidden="1" customWidth="1" outlineLevel="2"/>
    <col min="55" max="55" width="22" style="18" hidden="1" customWidth="1" outlineLevel="2"/>
    <col min="56" max="56" width="19.28515625" style="18" hidden="1" customWidth="1" outlineLevel="2"/>
    <col min="57" max="57" width="14.42578125" style="18" hidden="1" customWidth="1" outlineLevel="2"/>
    <col min="58" max="58" width="21" style="18" hidden="1" customWidth="1" outlineLevel="2"/>
    <col min="59" max="59" width="23.7109375" style="18" hidden="1" customWidth="1" outlineLevel="2"/>
    <col min="60" max="60" width="24.140625" style="18" hidden="1" customWidth="1" outlineLevel="2"/>
    <col min="61" max="61" width="13.85546875" style="18" hidden="1" customWidth="1" outlineLevel="2"/>
    <col min="62" max="62" width="22.5703125" style="18" hidden="1" customWidth="1" outlineLevel="2"/>
    <col min="63" max="63" width="15.42578125" style="18" hidden="1" customWidth="1" outlineLevel="2"/>
    <col min="64" max="64" width="16.140625" style="18" hidden="1" customWidth="1" outlineLevel="2"/>
    <col min="65" max="65" width="23.42578125" style="18" hidden="1" customWidth="1" outlineLevel="2"/>
    <col min="66" max="66" width="16.140625" style="18" hidden="1" customWidth="1" outlineLevel="2"/>
    <col min="67" max="67" width="17.28515625" style="18" hidden="1" customWidth="1" outlineLevel="2"/>
    <col min="68" max="68" width="23.140625" style="18" hidden="1" customWidth="1" outlineLevel="2"/>
    <col min="69" max="69" width="9.5703125" style="18" bestFit="1" customWidth="1" outlineLevel="1" collapsed="1"/>
    <col min="70" max="73" width="0" style="18" hidden="1" customWidth="1" outlineLevel="2"/>
    <col min="74" max="78" width="0" style="18" hidden="1" customWidth="1" outlineLevel="3"/>
    <col min="79" max="79" width="0" style="18" hidden="1" customWidth="1" outlineLevel="2"/>
    <col min="80" max="84" width="0" style="18" hidden="1" customWidth="1" outlineLevel="3"/>
    <col min="85" max="85" width="0" style="18" hidden="1" customWidth="1" outlineLevel="2"/>
    <col min="86" max="16384" width="16.7109375" style="18"/>
  </cols>
  <sheetData>
    <row r="2" spans="2:85" x14ac:dyDescent="0.25">
      <c r="B2" s="11" t="str">
        <f>I18N_T(cellLanguage, "RF_Save")</f>
        <v>Sauvegarder</v>
      </c>
    </row>
    <row r="3" spans="2:85" x14ac:dyDescent="0.25">
      <c r="CG3" s="25" t="str">
        <f>SUBTOTAL(103, $C$6) &amp; "/1"</f>
        <v>1/1</v>
      </c>
    </row>
    <row r="4" spans="2:85" hidden="1" x14ac:dyDescent="0.25">
      <c r="B4" s="40" t="str">
        <f>I18N_T(cellLanguage, "RF_Reporting")</f>
        <v>Reporting</v>
      </c>
      <c r="C4" s="41" t="str">
        <f>I18N_T(cellLanguage, "RF_Phase")</f>
        <v>Phase</v>
      </c>
      <c r="D4" s="41" t="str">
        <f>I18N_T(cellLanguage, "RF_UpdatePeriod")</f>
        <v>Exercice</v>
      </c>
      <c r="E4" s="41" t="str">
        <f>I18N_T(cellLanguage, "RF_FrameworkVersion")</f>
        <v>Version de référentiel</v>
      </c>
      <c r="F4" s="41" t="str">
        <f>I18N_T(cellLanguage, "RF_Start")</f>
        <v>Début</v>
      </c>
      <c r="G4" s="41" t="str">
        <f>I18N_T(cellLanguage, "RF_End")</f>
        <v>Fin</v>
      </c>
      <c r="H4" s="41" t="str">
        <f>I18N_T(cellLanguage, "RF_RepPack")</f>
        <v>Liasse</v>
      </c>
      <c r="I4" s="41" t="str">
        <f>I18N_T(cellLanguage, "RF_UseDefaultWindowsFolder")</f>
        <v>Cahier Windows: défaut?</v>
      </c>
      <c r="J4" s="41" t="str">
        <f>I18N_T(cellLanguage, "RF_WindowsFolder")</f>
        <v>Cahier Windows</v>
      </c>
      <c r="K4" s="41" t="str">
        <f>I18N_T(cellLanguage, "RF_UseDefaultInternetFolder")</f>
        <v>Cahier Internet: défaut?</v>
      </c>
      <c r="L4" s="41" t="str">
        <f>I18N_T(cellLanguage, "RF_InternetFolder")</f>
        <v>Cahier Internet</v>
      </c>
      <c r="M4" s="41" t="str">
        <f>I18N_T(cellLanguage, "RF_UseDefaultSetOfControls")</f>
        <v>Jeu de contrôles: défaut?</v>
      </c>
      <c r="N4" s="41" t="str">
        <f>I18N_T(cellLanguage, "RF_SetOfControls")</f>
        <v>Jeu de contrôles</v>
      </c>
      <c r="O4" s="41" t="str">
        <f>I18N_T(cellLanguage, "RF_UseDefaultLevel")</f>
        <v>Niveau de contrôle: défaut?</v>
      </c>
      <c r="P4" s="41" t="str">
        <f>I18N_T(cellLanguage, "RF_LevelToReach")</f>
        <v>Niveau de contrôle</v>
      </c>
      <c r="Q4" s="41" t="str">
        <f>I18N_T(cellLanguage, "RF_Blocking")</f>
        <v>Bloquant?</v>
      </c>
      <c r="R4" s="41" t="str">
        <f>I18N_T(cellLanguage, "RF_UseDefaultLock")</f>
        <v>RF_UseDefaultLock</v>
      </c>
      <c r="S4" s="41" t="str">
        <f>I18N_T(cellLanguage, "RF_LockOnPublication")</f>
        <v>RF_LockOnPublication</v>
      </c>
      <c r="T4" s="41" t="str">
        <f>I18N_T(cellLanguage, "RF_UseDefaultRuleSet")</f>
        <v>RF_UseDefaultRuleSet</v>
      </c>
      <c r="U4" s="41" t="str">
        <f>I18N_T(cellLanguage, "RF_RuleSet")</f>
        <v>RF_RuleSet</v>
      </c>
      <c r="V4" s="41" t="str">
        <f>I18N_T(cellLanguage, "RF_UseDefaultOpbal")</f>
        <v>RF_UseDefaultOpbal</v>
      </c>
      <c r="W4" s="41" t="str">
        <f>I18N_T(cellLanguage, "RF_HasOpBal")</f>
        <v>RF_HasOpBal</v>
      </c>
      <c r="X4" s="41" t="str">
        <f>I18N_T(cellLanguage, "RF_OpbPhase")</f>
        <v>RF_OpbPhase</v>
      </c>
      <c r="Y4" s="41" t="str">
        <f>I18N_T(cellLanguage, "RF_OpbUpdatePeriod")</f>
        <v>RF_OpbUpdatePeriod</v>
      </c>
      <c r="Z4" s="41" t="str">
        <f>I18N_T(cellLanguage, "RF_OpbScope")</f>
        <v>RF_OpbScope</v>
      </c>
      <c r="AA4" s="41" t="str">
        <f>I18N_T(cellLanguage, "RF_OpbVariant")</f>
        <v>RF_OpbVariant</v>
      </c>
      <c r="AB4" s="41" t="str">
        <f>I18N_T(cellLanguage, "RF_OpbConsCurrency")</f>
        <v>RF_OpbConsCurrency</v>
      </c>
      <c r="AC4" s="41" t="str">
        <f>I18N_T(cellLanguage, "RF_RepOp")</f>
        <v>RF_RepOp</v>
      </c>
      <c r="AD4" s="41" t="str">
        <f>I18N_T(cellLanguage, "RF_CutoffDate")</f>
        <v>Date limite</v>
      </c>
      <c r="AE4" s="41" t="str">
        <f>I18N_T(cellLanguage, "RF_EarlyPublishing")</f>
        <v>Publication anticipée</v>
      </c>
      <c r="AF4" s="41" t="str">
        <f>I18N_T(cellLanguage, "RF_RepOpAftPub")</f>
        <v>RF_RepOpAftPub</v>
      </c>
      <c r="AG4" s="41" t="str">
        <f>I18N_T(cellLanguage, "RF_RepOpAftPubStd")</f>
        <v>RF_RepOpAftPubStd</v>
      </c>
      <c r="AH4" s="41" t="str">
        <f>I18N_T(cellLanguage, "RF_RepOpAftPubSpe")</f>
        <v>RF_RepOpAftPubSpe</v>
      </c>
      <c r="AI4" s="41" t="str">
        <f>I18N_T(cellLanguage, "RF_RepOpAftPubAdv")</f>
        <v>RF_RepOpAftPubAdv</v>
      </c>
      <c r="AJ4" s="41" t="str">
        <f>I18N_T(cellLanguage, "RF_RepOpAftPubLvl")</f>
        <v>RF_RepOpAftPubLvl</v>
      </c>
      <c r="AK4" s="41" t="str">
        <f>I18N_T(cellLanguage, "RF_RepOpAftTran")</f>
        <v>RF_RepOpAftTran</v>
      </c>
      <c r="AL4" s="41" t="str">
        <f>I18N_T(cellLanguage, "RF_RepOpAftTranStd")</f>
        <v>RF_RepOpAftTranStd</v>
      </c>
      <c r="AM4" s="41" t="str">
        <f>I18N_T(cellLanguage, "RF_RepOpAftTranSpe")</f>
        <v>RF_RepOpAftTranSpe</v>
      </c>
      <c r="AN4" s="41" t="str">
        <f>I18N_T(cellLanguage, "RF_RepOpAftTranAdv")</f>
        <v>RF_RepOpAftTranAdv</v>
      </c>
      <c r="AO4" s="41" t="str">
        <f>I18N_T(cellLanguage, "RF_RepOpAftTranLvl")</f>
        <v>RF_RepOpAftTranLvl</v>
      </c>
      <c r="AP4" s="41" t="str">
        <f>I18N_T(cellLanguage, "RF_RepDesc")</f>
        <v>RF_RepDesc</v>
      </c>
      <c r="AQ4" s="41" t="str">
        <f>I18N_T(cellLanguage, "RF_Entity")</f>
        <v>Unité</v>
      </c>
      <c r="AR4" s="41" t="str">
        <f>I18N_T(cellLanguage, "RF_Entity2")</f>
        <v>Code</v>
      </c>
      <c r="AS4" s="41" t="str">
        <f>I18N_T(cellLanguage, "RF_InputCurrency")</f>
        <v>Devise</v>
      </c>
      <c r="AT4" s="41" t="str">
        <f>I18N_T(cellLanguage, "RF_InputSite")</f>
        <v>RF_InputSite</v>
      </c>
      <c r="AU4" s="41" t="str">
        <f>I18N_T(cellLanguage, "RF_PublicationSite")</f>
        <v>RF_PublicationSite</v>
      </c>
      <c r="AV4" s="41" t="str">
        <f>I18N_T(cellLanguage, "RF_EntPack")</f>
        <v>RF_EntPack</v>
      </c>
      <c r="AW4" s="41" t="str">
        <f>I18N_T(cellLanguage, "RF_EntUseDefaultWindowsFolder")</f>
        <v>RF_EntUseDefaultWindowsFolder</v>
      </c>
      <c r="AX4" s="41" t="str">
        <f>I18N_T(cellLanguage, "RF_EntWindowsFolder")</f>
        <v>RF_EntWindowsFolder</v>
      </c>
      <c r="AY4" s="41" t="str">
        <f>I18N_T(cellLanguage, "RF_EntUseDefaultInternetFolder")</f>
        <v>RF_EntUseDefaultInternetFolder</v>
      </c>
      <c r="AZ4" s="41" t="str">
        <f>I18N_T(cellLanguage, "RF_EntInternetFolder")</f>
        <v>RF_EntInternetFolder</v>
      </c>
      <c r="BA4" s="41" t="str">
        <f>I18N_T(cellLanguage, "RF_EntUseDefaultSetOfControls")</f>
        <v>RF_EntUseDefaultSetOfControls</v>
      </c>
      <c r="BB4" s="41" t="str">
        <f>I18N_T(cellLanguage, "RF_EntSetOfControls")</f>
        <v>RF_EntSetOfControls</v>
      </c>
      <c r="BC4" s="41" t="str">
        <f>I18N_T(cellLanguage, "RF_EntUseDefaultLevel")</f>
        <v>RF_EntUseDefaultLevel</v>
      </c>
      <c r="BD4" s="41" t="str">
        <f>I18N_T(cellLanguage, "RF_EntLevelToReach")</f>
        <v>RF_EntLevelToReach</v>
      </c>
      <c r="BE4" s="41" t="str">
        <f>I18N_T(cellLanguage, "RF_EntBlocking")</f>
        <v>RF_EntBlocking</v>
      </c>
      <c r="BF4" s="41" t="str">
        <f>I18N_T(cellLanguage, "RF_EntUseDefaultLock")</f>
        <v>RF_EntUseDefaultLock</v>
      </c>
      <c r="BG4" s="41" t="str">
        <f>I18N_T(cellLanguage, "RF_EntLockOnPublication")</f>
        <v>RF_EntLockOnPublication</v>
      </c>
      <c r="BH4" s="41" t="str">
        <f>I18N_T(cellLanguage, "RF_EntUseDefaultRuleSet")</f>
        <v>RF_EntUseDefaultRuleSet</v>
      </c>
      <c r="BI4" s="41" t="str">
        <f>I18N_T(cellLanguage, "RF_EntRuleSet")</f>
        <v>RF_EntRuleSet</v>
      </c>
      <c r="BJ4" s="41" t="str">
        <f>I18N_T(cellLanguage, "RF_EntUseDefaultOpbal")</f>
        <v>RF_EntUseDefaultOpbal</v>
      </c>
      <c r="BK4" s="41" t="str">
        <f>I18N_T(cellLanguage, "RF_EntHasOpBal")</f>
        <v>RF_EntHasOpBal</v>
      </c>
      <c r="BL4" s="41" t="str">
        <f>I18N_T(cellLanguage, "RF_EntOpbPhase")</f>
        <v>RF_EntOpbPhase</v>
      </c>
      <c r="BM4" s="41" t="str">
        <f>I18N_T(cellLanguage, "RF_EntOpbUpdatePeriod")</f>
        <v>RF_EntOpbUpdatePeriod</v>
      </c>
      <c r="BN4" s="41" t="str">
        <f>I18N_T(cellLanguage, "RF_EntOpbScope")</f>
        <v>RF_EntOpbScope</v>
      </c>
      <c r="BO4" s="41" t="str">
        <f>I18N_T(cellLanguage, "RF_EntOpbVariant")</f>
        <v>RF_EntOpbVariant</v>
      </c>
      <c r="BP4" s="41" t="str">
        <f>I18N_T(cellLanguage, "RF_EntOpbConsCurrency")</f>
        <v>RF_EntOpbConsCurrency</v>
      </c>
      <c r="BQ4" s="41" t="str">
        <f>I18N_T(cellLanguage, "RF_EntOp")</f>
        <v>RF_EntOp</v>
      </c>
      <c r="BR4" s="41" t="str">
        <f>I18N_T(cellLanguage, "RF_EntUseDefaultPublish")</f>
        <v>RF_EntUseDefaultPublish</v>
      </c>
      <c r="BS4" s="41" t="str">
        <f>I18N_T(cellLanguage, "RF_EntPackPublishingCutOffDate")</f>
        <v>RF_EntPackPublishingCutOffDate</v>
      </c>
      <c r="BT4" s="41" t="str">
        <f>I18N_T(cellLanguage, "RF_EntAllowEarlyPublishing")</f>
        <v>RF_EntAllowEarlyPublishing</v>
      </c>
      <c r="BU4" s="41" t="str">
        <f>I18N_T(cellLanguage, "RF_EntOpAftPub")</f>
        <v>RF_EntOpAftPub</v>
      </c>
      <c r="BV4" s="41" t="str">
        <f>I18N_T(cellLanguage, "RF_EntUseDefaultAfterPub")</f>
        <v>RF_EntUseDefaultAfterPub</v>
      </c>
      <c r="BW4" s="41" t="str">
        <f>I18N_T(cellLanguage, "RF_EntAftPubStandard")</f>
        <v>RF_EntAftPubStandard</v>
      </c>
      <c r="BX4" s="41" t="str">
        <f>I18N_T(cellLanguage, "RF_EntAftPubSpecial")</f>
        <v>RF_EntAftPubSpecial</v>
      </c>
      <c r="BY4" s="41" t="str">
        <f>I18N_T(cellLanguage, "RF_EntAftPubAdvanced")</f>
        <v>RF_EntAftPubAdvanced</v>
      </c>
      <c r="BZ4" s="41" t="str">
        <f>I18N_T(cellLanguage, "RF_EntAftPubLevel")</f>
        <v>RF_EntAftPubLevel</v>
      </c>
      <c r="CA4" s="41" t="str">
        <f>I18N_T(cellLanguage, "RF_EntOpAftTran")</f>
        <v>RF_EntOpAftTran</v>
      </c>
      <c r="CB4" s="41" t="str">
        <f>I18N_T(cellLanguage, "RF_EntUseDefaultAfterTran")</f>
        <v>RF_EntUseDefaultAfterTran</v>
      </c>
      <c r="CC4" s="41" t="str">
        <f>I18N_T(cellLanguage, "RF_EntAftTranStandard")</f>
        <v>RF_EntAftTranStandard</v>
      </c>
      <c r="CD4" s="41" t="str">
        <f>I18N_T(cellLanguage, "RF_EntAftTranSpecial")</f>
        <v>RF_EntAftTranSpecial</v>
      </c>
      <c r="CE4" s="41" t="str">
        <f>I18N_T(cellLanguage, "RF_EntAftTranAdvanced")</f>
        <v>RF_EntAftTranAdvanced</v>
      </c>
      <c r="CF4" s="41" t="str">
        <f>I18N_T(cellLanguage, "RF_EntAftTranLevel")</f>
        <v>RF_EntAftTranLevel</v>
      </c>
      <c r="CG4" s="42" t="str">
        <f>I18N_T(cellLanguage, "RF_DescFr")</f>
        <v>RF_DescFr</v>
      </c>
    </row>
    <row r="5" spans="2:85" ht="66" customHeight="1" x14ac:dyDescent="0.25">
      <c r="B5" s="39" t="s">
        <v>206</v>
      </c>
      <c r="C5" s="39" t="s">
        <v>207</v>
      </c>
      <c r="D5" s="39" t="s">
        <v>208</v>
      </c>
      <c r="E5" s="39" t="s">
        <v>209</v>
      </c>
      <c r="F5" s="39" t="s">
        <v>588</v>
      </c>
      <c r="G5" s="39" t="s">
        <v>589</v>
      </c>
      <c r="H5" s="39" t="s">
        <v>590</v>
      </c>
      <c r="I5" s="39" t="s">
        <v>591</v>
      </c>
      <c r="J5" s="39" t="s">
        <v>592</v>
      </c>
      <c r="K5" s="39" t="s">
        <v>593</v>
      </c>
      <c r="L5" s="39" t="s">
        <v>594</v>
      </c>
      <c r="M5" s="39" t="s">
        <v>595</v>
      </c>
      <c r="N5" s="39" t="s">
        <v>596</v>
      </c>
      <c r="O5" s="39" t="s">
        <v>597</v>
      </c>
      <c r="P5" s="39" t="s">
        <v>598</v>
      </c>
      <c r="Q5" s="39" t="s">
        <v>599</v>
      </c>
      <c r="R5" s="39" t="s">
        <v>600</v>
      </c>
      <c r="S5" s="39" t="s">
        <v>601</v>
      </c>
      <c r="T5" s="39" t="s">
        <v>602</v>
      </c>
      <c r="U5" s="39" t="s">
        <v>603</v>
      </c>
      <c r="V5" s="39" t="s">
        <v>604</v>
      </c>
      <c r="W5" s="39" t="s">
        <v>605</v>
      </c>
      <c r="X5" s="39" t="s">
        <v>606</v>
      </c>
      <c r="Y5" s="39" t="s">
        <v>607</v>
      </c>
      <c r="Z5" s="39" t="s">
        <v>608</v>
      </c>
      <c r="AA5" s="39" t="s">
        <v>609</v>
      </c>
      <c r="AB5" s="39" t="s">
        <v>610</v>
      </c>
      <c r="AC5" s="39" t="s">
        <v>611</v>
      </c>
      <c r="AD5" s="39" t="s">
        <v>612</v>
      </c>
      <c r="AE5" s="39" t="s">
        <v>613</v>
      </c>
      <c r="AF5" s="39" t="s">
        <v>614</v>
      </c>
      <c r="AG5" s="39" t="s">
        <v>615</v>
      </c>
      <c r="AH5" s="39" t="s">
        <v>616</v>
      </c>
      <c r="AI5" s="39" t="s">
        <v>617</v>
      </c>
      <c r="AJ5" s="39" t="s">
        <v>618</v>
      </c>
      <c r="AK5" s="39" t="s">
        <v>619</v>
      </c>
      <c r="AL5" s="39" t="s">
        <v>620</v>
      </c>
      <c r="AM5" s="39" t="s">
        <v>621</v>
      </c>
      <c r="AN5" s="39" t="s">
        <v>622</v>
      </c>
      <c r="AO5" s="39" t="s">
        <v>623</v>
      </c>
      <c r="AP5" s="39" t="s">
        <v>624</v>
      </c>
      <c r="AQ5" s="39" t="s">
        <v>625</v>
      </c>
      <c r="AR5" s="39" t="s">
        <v>626</v>
      </c>
      <c r="AS5" s="39" t="s">
        <v>627</v>
      </c>
      <c r="AT5" s="39" t="s">
        <v>628</v>
      </c>
      <c r="AU5" s="39" t="s">
        <v>629</v>
      </c>
      <c r="AV5" s="39" t="s">
        <v>630</v>
      </c>
      <c r="AW5" s="39" t="s">
        <v>631</v>
      </c>
      <c r="AX5" s="39" t="s">
        <v>632</v>
      </c>
      <c r="AY5" s="39" t="s">
        <v>633</v>
      </c>
      <c r="AZ5" s="39" t="s">
        <v>634</v>
      </c>
      <c r="BA5" s="39" t="s">
        <v>635</v>
      </c>
      <c r="BB5" s="39" t="s">
        <v>636</v>
      </c>
      <c r="BC5" s="39" t="s">
        <v>637</v>
      </c>
      <c r="BD5" s="39" t="s">
        <v>638</v>
      </c>
      <c r="BE5" s="39" t="s">
        <v>639</v>
      </c>
      <c r="BF5" s="39" t="s">
        <v>640</v>
      </c>
      <c r="BG5" s="39" t="s">
        <v>641</v>
      </c>
      <c r="BH5" s="39" t="s">
        <v>642</v>
      </c>
      <c r="BI5" s="39" t="s">
        <v>643</v>
      </c>
      <c r="BJ5" s="39" t="s">
        <v>644</v>
      </c>
      <c r="BK5" s="39" t="s">
        <v>645</v>
      </c>
      <c r="BL5" s="39" t="s">
        <v>646</v>
      </c>
      <c r="BM5" s="39" t="s">
        <v>647</v>
      </c>
      <c r="BN5" s="39" t="s">
        <v>648</v>
      </c>
      <c r="BO5" s="39" t="s">
        <v>649</v>
      </c>
      <c r="BP5" s="39" t="s">
        <v>650</v>
      </c>
      <c r="BQ5" s="39" t="s">
        <v>651</v>
      </c>
      <c r="BR5" s="39" t="s">
        <v>652</v>
      </c>
      <c r="BS5" s="39" t="s">
        <v>653</v>
      </c>
      <c r="BT5" s="39" t="s">
        <v>654</v>
      </c>
      <c r="BU5" s="39" t="s">
        <v>655</v>
      </c>
      <c r="BV5" s="39" t="s">
        <v>656</v>
      </c>
      <c r="BW5" s="39" t="s">
        <v>657</v>
      </c>
      <c r="BX5" s="39" t="s">
        <v>658</v>
      </c>
      <c r="BY5" s="39" t="s">
        <v>659</v>
      </c>
      <c r="BZ5" s="39" t="s">
        <v>660</v>
      </c>
      <c r="CA5" s="39" t="s">
        <v>661</v>
      </c>
      <c r="CB5" s="39" t="s">
        <v>662</v>
      </c>
      <c r="CC5" s="39" t="s">
        <v>663</v>
      </c>
      <c r="CD5" s="39" t="s">
        <v>664</v>
      </c>
      <c r="CE5" s="39" t="s">
        <v>665</v>
      </c>
      <c r="CF5" s="39" t="s">
        <v>666</v>
      </c>
      <c r="CG5" s="39" t="s">
        <v>667</v>
      </c>
    </row>
    <row r="6" spans="2:85" x14ac:dyDescent="0.25">
      <c r="B6" s="39"/>
      <c r="C6" s="39" t="s">
        <v>21</v>
      </c>
      <c r="D6" s="39" t="s">
        <v>518</v>
      </c>
      <c r="E6" s="39" t="s">
        <v>22</v>
      </c>
      <c r="F6" s="39" t="s">
        <v>674</v>
      </c>
      <c r="G6" s="39" t="s">
        <v>675</v>
      </c>
      <c r="H6" s="39"/>
      <c r="I6" s="39" t="s">
        <v>676</v>
      </c>
      <c r="J6" s="39"/>
      <c r="K6" s="39" t="s">
        <v>676</v>
      </c>
      <c r="L6" s="39"/>
      <c r="M6" s="39" t="s">
        <v>676</v>
      </c>
      <c r="N6" s="39"/>
      <c r="O6" s="39" t="s">
        <v>676</v>
      </c>
      <c r="P6" s="39"/>
      <c r="Q6" s="39" t="s">
        <v>677</v>
      </c>
      <c r="R6" s="39" t="s">
        <v>676</v>
      </c>
      <c r="S6" s="39" t="s">
        <v>678</v>
      </c>
      <c r="T6" s="39" t="s">
        <v>676</v>
      </c>
      <c r="U6" s="39"/>
      <c r="V6" s="39" t="s">
        <v>676</v>
      </c>
      <c r="W6" s="39" t="s">
        <v>677</v>
      </c>
      <c r="X6" s="39"/>
      <c r="Y6" s="39"/>
      <c r="Z6" s="39"/>
      <c r="AA6" s="39"/>
      <c r="AB6" s="39"/>
      <c r="AC6" s="39"/>
      <c r="AD6" s="39" t="s">
        <v>679</v>
      </c>
      <c r="AE6" s="39" t="s">
        <v>676</v>
      </c>
      <c r="AF6" s="39"/>
      <c r="AG6" s="39" t="s">
        <v>676</v>
      </c>
      <c r="AH6" s="39" t="s">
        <v>676</v>
      </c>
      <c r="AI6" s="39" t="s">
        <v>676</v>
      </c>
      <c r="AJ6" s="39" t="s">
        <v>680</v>
      </c>
      <c r="AK6" s="39"/>
      <c r="AL6" s="39" t="s">
        <v>677</v>
      </c>
      <c r="AM6" s="39" t="s">
        <v>676</v>
      </c>
      <c r="AN6" s="39" t="s">
        <v>677</v>
      </c>
      <c r="AO6" s="39"/>
      <c r="AP6" s="39"/>
      <c r="AQ6" s="39"/>
      <c r="AR6" s="39" t="s">
        <v>681</v>
      </c>
      <c r="AS6" s="39" t="s">
        <v>682</v>
      </c>
      <c r="AT6" s="39" t="s">
        <v>683</v>
      </c>
      <c r="AU6" s="39" t="s">
        <v>683</v>
      </c>
      <c r="AV6" s="39"/>
      <c r="AW6" s="39" t="s">
        <v>676</v>
      </c>
      <c r="AX6" s="39"/>
      <c r="AY6" s="39" t="s">
        <v>676</v>
      </c>
      <c r="AZ6" s="39"/>
      <c r="BA6" s="39" t="s">
        <v>676</v>
      </c>
      <c r="BB6" s="39"/>
      <c r="BC6" s="39" t="s">
        <v>676</v>
      </c>
      <c r="BD6" s="39"/>
      <c r="BE6" s="39" t="s">
        <v>677</v>
      </c>
      <c r="BF6" s="39" t="s">
        <v>676</v>
      </c>
      <c r="BG6" s="39" t="s">
        <v>678</v>
      </c>
      <c r="BH6" s="39" t="s">
        <v>676</v>
      </c>
      <c r="BI6" s="39"/>
      <c r="BJ6" s="39" t="s">
        <v>676</v>
      </c>
      <c r="BK6" s="39" t="s">
        <v>677</v>
      </c>
      <c r="BL6" s="39"/>
      <c r="BM6" s="39"/>
      <c r="BN6" s="39"/>
      <c r="BO6" s="39"/>
      <c r="BP6" s="39"/>
      <c r="BQ6" s="39"/>
      <c r="BR6" s="39" t="s">
        <v>676</v>
      </c>
      <c r="BS6" s="39" t="s">
        <v>684</v>
      </c>
      <c r="BT6" s="39" t="s">
        <v>677</v>
      </c>
      <c r="BU6" s="39"/>
      <c r="BV6" s="39" t="s">
        <v>676</v>
      </c>
      <c r="BW6" s="39" t="s">
        <v>677</v>
      </c>
      <c r="BX6" s="39" t="s">
        <v>677</v>
      </c>
      <c r="BY6" s="39" t="s">
        <v>677</v>
      </c>
      <c r="BZ6" s="39"/>
      <c r="CA6" s="39"/>
      <c r="CB6" s="39" t="s">
        <v>676</v>
      </c>
      <c r="CC6" s="39" t="s">
        <v>677</v>
      </c>
      <c r="CD6" s="39" t="s">
        <v>677</v>
      </c>
      <c r="CE6" s="39" t="s">
        <v>677</v>
      </c>
      <c r="CF6" s="39"/>
      <c r="CG6" s="39"/>
    </row>
    <row r="7" spans="2:85" x14ac:dyDescent="0.25">
      <c r="B7" s="39"/>
      <c r="C7" s="39" t="s">
        <v>21</v>
      </c>
      <c r="D7" s="39" t="s">
        <v>518</v>
      </c>
      <c r="E7" s="39" t="s">
        <v>22</v>
      </c>
      <c r="F7" s="39" t="s">
        <v>674</v>
      </c>
      <c r="G7" s="39" t="s">
        <v>675</v>
      </c>
      <c r="H7" s="39"/>
      <c r="I7" s="39" t="s">
        <v>676</v>
      </c>
      <c r="J7" s="39"/>
      <c r="K7" s="39" t="s">
        <v>676</v>
      </c>
      <c r="L7" s="39"/>
      <c r="M7" s="39" t="s">
        <v>676</v>
      </c>
      <c r="N7" s="39"/>
      <c r="O7" s="39" t="s">
        <v>676</v>
      </c>
      <c r="P7" s="39"/>
      <c r="Q7" s="39" t="s">
        <v>677</v>
      </c>
      <c r="R7" s="39" t="s">
        <v>676</v>
      </c>
      <c r="S7" s="39" t="s">
        <v>678</v>
      </c>
      <c r="T7" s="39" t="s">
        <v>676</v>
      </c>
      <c r="U7" s="39"/>
      <c r="V7" s="39" t="s">
        <v>676</v>
      </c>
      <c r="W7" s="39" t="s">
        <v>677</v>
      </c>
      <c r="X7" s="39"/>
      <c r="Y7" s="39"/>
      <c r="Z7" s="39"/>
      <c r="AA7" s="39"/>
      <c r="AB7" s="39"/>
      <c r="AC7" s="39"/>
      <c r="AD7" s="39" t="s">
        <v>679</v>
      </c>
      <c r="AE7" s="39" t="s">
        <v>676</v>
      </c>
      <c r="AF7" s="39"/>
      <c r="AG7" s="39" t="s">
        <v>676</v>
      </c>
      <c r="AH7" s="39" t="s">
        <v>676</v>
      </c>
      <c r="AI7" s="39" t="s">
        <v>676</v>
      </c>
      <c r="AJ7" s="39" t="s">
        <v>680</v>
      </c>
      <c r="AK7" s="39"/>
      <c r="AL7" s="39" t="s">
        <v>677</v>
      </c>
      <c r="AM7" s="39" t="s">
        <v>676</v>
      </c>
      <c r="AN7" s="39" t="s">
        <v>677</v>
      </c>
      <c r="AO7" s="39"/>
      <c r="AP7" s="39"/>
      <c r="AQ7" s="39"/>
      <c r="AR7" s="39" t="s">
        <v>685</v>
      </c>
      <c r="AS7" s="39" t="s">
        <v>687</v>
      </c>
      <c r="AT7" s="39" t="s">
        <v>683</v>
      </c>
      <c r="AU7" s="39" t="s">
        <v>683</v>
      </c>
      <c r="AV7" s="39"/>
      <c r="AW7" s="39" t="s">
        <v>676</v>
      </c>
      <c r="AX7" s="39"/>
      <c r="AY7" s="39" t="s">
        <v>676</v>
      </c>
      <c r="AZ7" s="39"/>
      <c r="BA7" s="39" t="s">
        <v>676</v>
      </c>
      <c r="BB7" s="39"/>
      <c r="BC7" s="39" t="s">
        <v>676</v>
      </c>
      <c r="BD7" s="39"/>
      <c r="BE7" s="39" t="s">
        <v>677</v>
      </c>
      <c r="BF7" s="39" t="s">
        <v>676</v>
      </c>
      <c r="BG7" s="39" t="s">
        <v>678</v>
      </c>
      <c r="BH7" s="39" t="s">
        <v>676</v>
      </c>
      <c r="BI7" s="39"/>
      <c r="BJ7" s="39" t="s">
        <v>676</v>
      </c>
      <c r="BK7" s="39" t="s">
        <v>677</v>
      </c>
      <c r="BL7" s="39"/>
      <c r="BM7" s="39"/>
      <c r="BN7" s="39"/>
      <c r="BO7" s="39"/>
      <c r="BP7" s="39"/>
      <c r="BQ7" s="39"/>
      <c r="BR7" s="39" t="s">
        <v>676</v>
      </c>
      <c r="BS7" s="39" t="s">
        <v>684</v>
      </c>
      <c r="BT7" s="39" t="s">
        <v>677</v>
      </c>
      <c r="BU7" s="39"/>
      <c r="BV7" s="39" t="s">
        <v>676</v>
      </c>
      <c r="BW7" s="39" t="s">
        <v>677</v>
      </c>
      <c r="BX7" s="39" t="s">
        <v>677</v>
      </c>
      <c r="BY7" s="39" t="s">
        <v>677</v>
      </c>
      <c r="BZ7" s="39"/>
      <c r="CA7" s="39"/>
      <c r="CB7" s="39" t="s">
        <v>676</v>
      </c>
      <c r="CC7" s="39" t="s">
        <v>677</v>
      </c>
      <c r="CD7" s="39" t="s">
        <v>677</v>
      </c>
      <c r="CE7" s="39" t="s">
        <v>677</v>
      </c>
      <c r="CF7" s="39"/>
      <c r="CG7" s="39"/>
    </row>
    <row r="8" spans="2:85" x14ac:dyDescent="0.25">
      <c r="B8" s="39"/>
      <c r="C8" s="39" t="s">
        <v>21</v>
      </c>
      <c r="D8" s="39" t="s">
        <v>518</v>
      </c>
      <c r="E8" s="39" t="s">
        <v>22</v>
      </c>
      <c r="F8" s="39" t="s">
        <v>674</v>
      </c>
      <c r="G8" s="39" t="s">
        <v>675</v>
      </c>
      <c r="H8" s="39"/>
      <c r="I8" s="39" t="s">
        <v>676</v>
      </c>
      <c r="J8" s="39"/>
      <c r="K8" s="39" t="s">
        <v>676</v>
      </c>
      <c r="L8" s="39"/>
      <c r="M8" s="39" t="s">
        <v>676</v>
      </c>
      <c r="N8" s="39"/>
      <c r="O8" s="39" t="s">
        <v>676</v>
      </c>
      <c r="P8" s="39"/>
      <c r="Q8" s="39" t="s">
        <v>677</v>
      </c>
      <c r="R8" s="39" t="s">
        <v>676</v>
      </c>
      <c r="S8" s="39" t="s">
        <v>678</v>
      </c>
      <c r="T8" s="39" t="s">
        <v>676</v>
      </c>
      <c r="U8" s="39"/>
      <c r="V8" s="39" t="s">
        <v>676</v>
      </c>
      <c r="W8" s="39" t="s">
        <v>677</v>
      </c>
      <c r="X8" s="39"/>
      <c r="Y8" s="39"/>
      <c r="Z8" s="39"/>
      <c r="AA8" s="39"/>
      <c r="AB8" s="39"/>
      <c r="AC8" s="39"/>
      <c r="AD8" s="39" t="s">
        <v>679</v>
      </c>
      <c r="AE8" s="39" t="s">
        <v>676</v>
      </c>
      <c r="AF8" s="39"/>
      <c r="AG8" s="39" t="s">
        <v>676</v>
      </c>
      <c r="AH8" s="39" t="s">
        <v>676</v>
      </c>
      <c r="AI8" s="39" t="s">
        <v>676</v>
      </c>
      <c r="AJ8" s="39" t="s">
        <v>680</v>
      </c>
      <c r="AK8" s="39"/>
      <c r="AL8" s="39" t="s">
        <v>677</v>
      </c>
      <c r="AM8" s="39" t="s">
        <v>676</v>
      </c>
      <c r="AN8" s="39" t="s">
        <v>677</v>
      </c>
      <c r="AO8" s="39"/>
      <c r="AP8" s="39"/>
      <c r="AQ8" s="39"/>
      <c r="AR8" s="39" t="s">
        <v>686</v>
      </c>
      <c r="AS8" s="39" t="s">
        <v>682</v>
      </c>
      <c r="AT8" s="39" t="s">
        <v>683</v>
      </c>
      <c r="AU8" s="39" t="s">
        <v>683</v>
      </c>
      <c r="AV8" s="39"/>
      <c r="AW8" s="39" t="s">
        <v>676</v>
      </c>
      <c r="AX8" s="39"/>
      <c r="AY8" s="39" t="s">
        <v>676</v>
      </c>
      <c r="AZ8" s="39"/>
      <c r="BA8" s="39" t="s">
        <v>676</v>
      </c>
      <c r="BB8" s="39"/>
      <c r="BC8" s="39" t="s">
        <v>676</v>
      </c>
      <c r="BD8" s="39"/>
      <c r="BE8" s="39" t="s">
        <v>677</v>
      </c>
      <c r="BF8" s="39" t="s">
        <v>676</v>
      </c>
      <c r="BG8" s="39" t="s">
        <v>678</v>
      </c>
      <c r="BH8" s="39" t="s">
        <v>676</v>
      </c>
      <c r="BI8" s="39"/>
      <c r="BJ8" s="39" t="s">
        <v>676</v>
      </c>
      <c r="BK8" s="39" t="s">
        <v>677</v>
      </c>
      <c r="BL8" s="39"/>
      <c r="BM8" s="39"/>
      <c r="BN8" s="39"/>
      <c r="BO8" s="39"/>
      <c r="BP8" s="39"/>
      <c r="BQ8" s="39"/>
      <c r="BR8" s="39" t="s">
        <v>676</v>
      </c>
      <c r="BS8" s="39" t="s">
        <v>684</v>
      </c>
      <c r="BT8" s="39" t="s">
        <v>677</v>
      </c>
      <c r="BU8" s="39"/>
      <c r="BV8" s="39" t="s">
        <v>676</v>
      </c>
      <c r="BW8" s="39" t="s">
        <v>677</v>
      </c>
      <c r="BX8" s="39" t="s">
        <v>677</v>
      </c>
      <c r="BY8" s="39" t="s">
        <v>677</v>
      </c>
      <c r="BZ8" s="39"/>
      <c r="CA8" s="39"/>
      <c r="CB8" s="39" t="s">
        <v>676</v>
      </c>
      <c r="CC8" s="39" t="s">
        <v>677</v>
      </c>
      <c r="CD8" s="39" t="s">
        <v>677</v>
      </c>
      <c r="CE8" s="39" t="s">
        <v>677</v>
      </c>
      <c r="CF8" s="39"/>
      <c r="CG8" s="39"/>
    </row>
  </sheetData>
  <sheetProtection formatCells="0" formatColumns="0" formatRows="0" sort="0" autoFilter="0"/>
  <hyperlinks>
    <hyperlink ref="B2" location="C3" tooltip=" " display="C3" xr:uid="{17E242A2-528C-45BF-A8A5-8E1297193B2B}"/>
  </hyperlink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7"/>
  <sheetViews>
    <sheetView topLeftCell="AI1" workbookViewId="0">
      <selection activeCell="AO5" sqref="AO5"/>
    </sheetView>
  </sheetViews>
  <sheetFormatPr baseColWidth="10" defaultRowHeight="15" x14ac:dyDescent="0.25"/>
  <cols>
    <col min="1" max="1" width="18" style="2" bestFit="1" customWidth="1"/>
    <col min="2" max="2" width="18.5703125" style="2" bestFit="1" customWidth="1"/>
    <col min="3" max="3" width="9.140625" style="2" bestFit="1" customWidth="1"/>
    <col min="4" max="4" width="24.42578125" style="31" customWidth="1"/>
    <col min="5" max="5" width="5.85546875" style="2" customWidth="1"/>
    <col min="6" max="16384" width="11.42578125" style="2"/>
  </cols>
  <sheetData>
    <row r="1" spans="1:11" x14ac:dyDescent="0.25">
      <c r="B1" s="2" t="s">
        <v>233</v>
      </c>
      <c r="C1" s="32">
        <v>1</v>
      </c>
      <c r="F1" s="2" t="s">
        <v>507</v>
      </c>
      <c r="G1" s="2" t="s">
        <v>508</v>
      </c>
      <c r="H1" s="2" t="s">
        <v>509</v>
      </c>
      <c r="I1" s="2" t="s">
        <v>510</v>
      </c>
      <c r="J1" s="2" t="s">
        <v>511</v>
      </c>
      <c r="K1" s="2" t="s">
        <v>512</v>
      </c>
    </row>
    <row r="3" spans="1:11" x14ac:dyDescent="0.25">
      <c r="A3" s="2" t="s">
        <v>232</v>
      </c>
      <c r="B3" s="2" t="s">
        <v>240</v>
      </c>
      <c r="C3" s="2" t="s">
        <v>237</v>
      </c>
      <c r="D3" s="31" t="s">
        <v>238</v>
      </c>
      <c r="E3" s="2" t="s">
        <v>231</v>
      </c>
    </row>
    <row r="4" spans="1:11" x14ac:dyDescent="0.25">
      <c r="A4" s="2" t="s">
        <v>503</v>
      </c>
      <c r="B4" s="2" t="s">
        <v>113</v>
      </c>
      <c r="C4" s="2" t="s">
        <v>516</v>
      </c>
      <c r="D4" s="31">
        <v>44256.943935185183</v>
      </c>
      <c r="E4" s="2" t="s">
        <v>669</v>
      </c>
    </row>
    <row r="5" spans="1:11" x14ac:dyDescent="0.25">
      <c r="A5" s="2" t="s">
        <v>503</v>
      </c>
      <c r="B5" s="2" t="s">
        <v>113</v>
      </c>
      <c r="C5" s="2" t="s">
        <v>516</v>
      </c>
      <c r="D5" s="31">
        <v>44256.948796296296</v>
      </c>
      <c r="E5" s="2" t="s">
        <v>669</v>
      </c>
    </row>
    <row r="6" spans="1:11" x14ac:dyDescent="0.25">
      <c r="A6" s="2" t="s">
        <v>502</v>
      </c>
      <c r="B6" s="2" t="s">
        <v>671</v>
      </c>
      <c r="C6" s="2" t="s">
        <v>516</v>
      </c>
      <c r="D6" s="31">
        <v>44256.952337962961</v>
      </c>
      <c r="E6" s="2" t="s">
        <v>672</v>
      </c>
    </row>
    <row r="7" spans="1:11" x14ac:dyDescent="0.25">
      <c r="A7" s="2" t="s">
        <v>502</v>
      </c>
      <c r="B7" s="2" t="s">
        <v>668</v>
      </c>
      <c r="C7" s="2" t="s">
        <v>516</v>
      </c>
      <c r="D7" s="31">
        <v>44256.960173611114</v>
      </c>
      <c r="E7" s="2" t="s">
        <v>673</v>
      </c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/>
  <dimension ref="A3:J58"/>
  <sheetViews>
    <sheetView zoomScaleNormal="100" workbookViewId="0">
      <selection activeCell="J54" sqref="J54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8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0" x14ac:dyDescent="0.25">
      <c r="A17" t="s">
        <v>37</v>
      </c>
      <c r="C17" t="s">
        <v>64</v>
      </c>
      <c r="D17" t="s">
        <v>66</v>
      </c>
      <c r="F17" s="19">
        <v>44019</v>
      </c>
      <c r="G17" s="26">
        <v>44033</v>
      </c>
      <c r="H17" s="26">
        <v>44039</v>
      </c>
      <c r="I17" s="26">
        <v>44171</v>
      </c>
      <c r="J17" s="26">
        <v>44255</v>
      </c>
    </row>
    <row r="18" spans="1:10" x14ac:dyDescent="0.25">
      <c r="B18" t="s">
        <v>70</v>
      </c>
      <c r="D18">
        <v>1</v>
      </c>
      <c r="F18" s="18" t="s">
        <v>138</v>
      </c>
      <c r="G18" t="s">
        <v>138</v>
      </c>
      <c r="H18" t="s">
        <v>138</v>
      </c>
      <c r="I18" t="s">
        <v>138</v>
      </c>
      <c r="J18" t="s">
        <v>138</v>
      </c>
    </row>
    <row r="19" spans="1:10" x14ac:dyDescent="0.25">
      <c r="B19" t="s">
        <v>65</v>
      </c>
      <c r="C19">
        <v>0.25</v>
      </c>
      <c r="D19">
        <v>0.25</v>
      </c>
      <c r="F19" s="18" t="s">
        <v>138</v>
      </c>
      <c r="G19" t="s">
        <v>138</v>
      </c>
      <c r="H19" t="s">
        <v>138</v>
      </c>
      <c r="I19" t="s">
        <v>138</v>
      </c>
      <c r="J19" t="s">
        <v>138</v>
      </c>
    </row>
    <row r="20" spans="1:10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</row>
    <row r="21" spans="1:10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</row>
    <row r="22" spans="1:10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</row>
    <row r="23" spans="1:10" x14ac:dyDescent="0.25">
      <c r="B23" t="s">
        <v>86</v>
      </c>
      <c r="D23">
        <v>0.25</v>
      </c>
    </row>
    <row r="24" spans="1:10" x14ac:dyDescent="0.25">
      <c r="B24" t="s">
        <v>220</v>
      </c>
      <c r="H24">
        <v>0.25</v>
      </c>
      <c r="I24" t="s">
        <v>138</v>
      </c>
      <c r="J24" t="s">
        <v>138</v>
      </c>
    </row>
    <row r="25" spans="1:10" x14ac:dyDescent="0.25">
      <c r="B25" t="s">
        <v>210</v>
      </c>
      <c r="H25">
        <v>0.25</v>
      </c>
      <c r="I25">
        <v>0.25</v>
      </c>
      <c r="J25">
        <v>0.25</v>
      </c>
    </row>
    <row r="26" spans="1:10" x14ac:dyDescent="0.25">
      <c r="B26" t="s">
        <v>221</v>
      </c>
      <c r="H26">
        <v>0.25</v>
      </c>
      <c r="I26">
        <v>0.25</v>
      </c>
      <c r="J26" t="s">
        <v>138</v>
      </c>
    </row>
    <row r="27" spans="1:10" x14ac:dyDescent="0.25">
      <c r="B27" t="s">
        <v>230</v>
      </c>
      <c r="I27">
        <v>0.25</v>
      </c>
      <c r="J27" t="s">
        <v>138</v>
      </c>
    </row>
    <row r="28" spans="1:10" x14ac:dyDescent="0.25">
      <c r="B28" t="s">
        <v>143</v>
      </c>
      <c r="I28">
        <v>0.25</v>
      </c>
      <c r="J28">
        <v>0.25</v>
      </c>
    </row>
    <row r="29" spans="1:10" x14ac:dyDescent="0.25">
      <c r="B29" t="s">
        <v>141</v>
      </c>
      <c r="D29">
        <v>0.25</v>
      </c>
      <c r="G29" t="s">
        <v>138</v>
      </c>
      <c r="H29" t="s">
        <v>138</v>
      </c>
      <c r="I29" t="s">
        <v>138</v>
      </c>
      <c r="J29" t="s">
        <v>138</v>
      </c>
    </row>
    <row r="30" spans="1:10" x14ac:dyDescent="0.25">
      <c r="B30" t="s">
        <v>144</v>
      </c>
      <c r="D30">
        <v>0.25</v>
      </c>
    </row>
    <row r="31" spans="1:10" x14ac:dyDescent="0.25">
      <c r="B31" t="s">
        <v>142</v>
      </c>
      <c r="D31">
        <v>0.25</v>
      </c>
      <c r="G31" t="s">
        <v>138</v>
      </c>
      <c r="H31" t="s">
        <v>138</v>
      </c>
      <c r="I31" t="s">
        <v>138</v>
      </c>
      <c r="J31" t="s">
        <v>138</v>
      </c>
    </row>
    <row r="32" spans="1:10" x14ac:dyDescent="0.25">
      <c r="B32" t="s">
        <v>176</v>
      </c>
      <c r="D32">
        <v>0.25</v>
      </c>
    </row>
    <row r="33" spans="2:10" x14ac:dyDescent="0.25">
      <c r="B33" t="s">
        <v>179</v>
      </c>
      <c r="H33">
        <v>0.25</v>
      </c>
      <c r="I33" t="s">
        <v>138</v>
      </c>
      <c r="J33" t="s">
        <v>138</v>
      </c>
    </row>
    <row r="34" spans="2:10" x14ac:dyDescent="0.25">
      <c r="B34" t="s">
        <v>205</v>
      </c>
      <c r="H34">
        <v>0.25</v>
      </c>
      <c r="I34" t="s">
        <v>138</v>
      </c>
      <c r="J34" t="s">
        <v>138</v>
      </c>
    </row>
    <row r="35" spans="2:10" x14ac:dyDescent="0.25">
      <c r="B35" t="s">
        <v>145</v>
      </c>
      <c r="D35">
        <v>0.5</v>
      </c>
    </row>
    <row r="36" spans="2:10" x14ac:dyDescent="0.25">
      <c r="B36" t="s">
        <v>243</v>
      </c>
      <c r="I36">
        <v>0.5</v>
      </c>
      <c r="J36">
        <v>0.5</v>
      </c>
    </row>
    <row r="37" spans="2:10" x14ac:dyDescent="0.25">
      <c r="B37" t="s">
        <v>67</v>
      </c>
      <c r="C37">
        <v>0.5</v>
      </c>
      <c r="D37">
        <v>1</v>
      </c>
      <c r="I37">
        <v>0.5</v>
      </c>
      <c r="J37">
        <v>0.5</v>
      </c>
    </row>
    <row r="38" spans="2:10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</row>
    <row r="39" spans="2:10" x14ac:dyDescent="0.25">
      <c r="B39" t="s">
        <v>30</v>
      </c>
      <c r="C39">
        <v>0.25</v>
      </c>
    </row>
    <row r="40" spans="2:10" x14ac:dyDescent="0.25">
      <c r="B40" t="s">
        <v>38</v>
      </c>
      <c r="D40">
        <v>0.5</v>
      </c>
      <c r="I40" t="s">
        <v>138</v>
      </c>
      <c r="J40" t="s">
        <v>138</v>
      </c>
    </row>
    <row r="41" spans="2:10" x14ac:dyDescent="0.25">
      <c r="B41" t="s">
        <v>39</v>
      </c>
      <c r="D41">
        <v>0.5</v>
      </c>
      <c r="I41" t="s">
        <v>138</v>
      </c>
      <c r="J41" t="s">
        <v>138</v>
      </c>
    </row>
    <row r="42" spans="2:10" x14ac:dyDescent="0.25">
      <c r="B42" t="s">
        <v>35</v>
      </c>
      <c r="D42">
        <v>0.5</v>
      </c>
    </row>
    <row r="43" spans="2:10" x14ac:dyDescent="0.25">
      <c r="B43" t="s">
        <v>40</v>
      </c>
      <c r="D43">
        <v>0.5</v>
      </c>
      <c r="I43" t="s">
        <v>138</v>
      </c>
      <c r="J43" t="s">
        <v>138</v>
      </c>
    </row>
    <row r="44" spans="2:10" x14ac:dyDescent="0.25">
      <c r="B44" t="s">
        <v>32</v>
      </c>
      <c r="C44">
        <v>0.25</v>
      </c>
    </row>
    <row r="45" spans="2:10" x14ac:dyDescent="0.25">
      <c r="B45" t="s">
        <v>41</v>
      </c>
    </row>
    <row r="46" spans="2:10" x14ac:dyDescent="0.25">
      <c r="B46" t="s">
        <v>33</v>
      </c>
      <c r="C46">
        <v>0.25</v>
      </c>
    </row>
    <row r="47" spans="2:10" x14ac:dyDescent="0.25">
      <c r="B47" t="s">
        <v>42</v>
      </c>
      <c r="C47">
        <v>0.25</v>
      </c>
    </row>
    <row r="48" spans="2:10" x14ac:dyDescent="0.25">
      <c r="B48" t="s">
        <v>43</v>
      </c>
      <c r="D48">
        <v>0.5</v>
      </c>
    </row>
    <row r="49" spans="2:10" x14ac:dyDescent="0.25">
      <c r="B49" t="s">
        <v>44</v>
      </c>
      <c r="C49">
        <v>0.25</v>
      </c>
    </row>
    <row r="50" spans="2:10" x14ac:dyDescent="0.25">
      <c r="B50" t="s">
        <v>45</v>
      </c>
      <c r="C50">
        <v>0.25</v>
      </c>
    </row>
    <row r="51" spans="2:10" x14ac:dyDescent="0.25">
      <c r="B51" t="s">
        <v>69</v>
      </c>
      <c r="C51">
        <v>2</v>
      </c>
      <c r="D51">
        <v>0.5</v>
      </c>
      <c r="I51">
        <v>2</v>
      </c>
      <c r="J51" t="s">
        <v>138</v>
      </c>
    </row>
    <row r="52" spans="2:10" x14ac:dyDescent="0.25">
      <c r="B52" t="s">
        <v>71</v>
      </c>
      <c r="C52">
        <v>4</v>
      </c>
      <c r="D52">
        <v>4</v>
      </c>
      <c r="J52" t="s">
        <v>138</v>
      </c>
    </row>
    <row r="53" spans="2:10" x14ac:dyDescent="0.25">
      <c r="B53" t="s">
        <v>72</v>
      </c>
      <c r="C53">
        <v>3</v>
      </c>
      <c r="D53">
        <v>3</v>
      </c>
    </row>
    <row r="55" spans="2:10" x14ac:dyDescent="0.25">
      <c r="B55" s="28">
        <f>0+C55+D55</f>
        <v>26</v>
      </c>
      <c r="C55" s="29">
        <f>SUM(C18:C53)</f>
        <v>11.5</v>
      </c>
      <c r="D55" s="30">
        <f>SUM(D18:D53)</f>
        <v>14.5</v>
      </c>
      <c r="F55" s="18">
        <f>SUMIF(F18:F54,"",$C18:$C54)+SUMIF(F18:F54,"",$D18:$D54)+SUBTOTAL(109,F18:F54)</f>
        <v>24.5</v>
      </c>
      <c r="G55" s="18">
        <f>SUMIF(G18:G54,"",$C18:$C54)+SUMIF(G18:G54,"",$D18:$D54)+SUBTOTAL(109,G18:G54)</f>
        <v>23.75</v>
      </c>
      <c r="H55" s="18">
        <f>SUMIF(H18:H54,"",$C18:$C54)+SUMIF(H18:H54,"",$D18:$D54)+SUBTOTAL(109,H18:H54)</f>
        <v>25</v>
      </c>
      <c r="I55" s="18">
        <f>SUMIF(I18:I54,"",$C18:$C54)+SUMIF(I18:I54,"",$D18:$D54)+SUBTOTAL(109,I18:I54)</f>
        <v>21.75</v>
      </c>
      <c r="J55" s="18">
        <f>SUMIF(J18:J54,"",$C18:$C54)+SUMIF(J18:J54,"",$D18:$D54)+SUBTOTAL(109,J18:J54)</f>
        <v>11.25</v>
      </c>
    </row>
    <row r="58" spans="2:10" x14ac:dyDescent="0.25">
      <c r="B58" t="s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73"/>
  <sheetViews>
    <sheetView workbookViewId="0">
      <selection activeCell="B8" sqref="B8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222</v>
      </c>
    </row>
    <row r="5" spans="1:3" outlineLevel="1" x14ac:dyDescent="0.25">
      <c r="B5" t="s">
        <v>223</v>
      </c>
    </row>
    <row r="6" spans="1:3" outlineLevel="1" x14ac:dyDescent="0.25">
      <c r="B6" t="s">
        <v>224</v>
      </c>
    </row>
    <row r="7" spans="1:3" outlineLevel="1" x14ac:dyDescent="0.25">
      <c r="B7" t="s">
        <v>515</v>
      </c>
    </row>
    <row r="8" spans="1:3" outlineLevel="1" x14ac:dyDescent="0.25"/>
    <row r="12" spans="1:3" collapsed="1" x14ac:dyDescent="0.25">
      <c r="A12" t="s">
        <v>249</v>
      </c>
      <c r="B12" t="s">
        <v>250</v>
      </c>
      <c r="C12" t="s">
        <v>251</v>
      </c>
    </row>
    <row r="13" spans="1:3" hidden="1" outlineLevel="1" x14ac:dyDescent="0.25">
      <c r="B13" t="s">
        <v>504</v>
      </c>
    </row>
    <row r="14" spans="1:3" hidden="1" outlineLevel="1" x14ac:dyDescent="0.25">
      <c r="B14" t="s">
        <v>505</v>
      </c>
    </row>
    <row r="15" spans="1:3" hidden="1" outlineLevel="1" x14ac:dyDescent="0.25">
      <c r="B15" t="s">
        <v>506</v>
      </c>
    </row>
    <row r="16" spans="1:3" hidden="1" outlineLevel="1" x14ac:dyDescent="0.25"/>
    <row r="18" spans="1:3" collapsed="1" x14ac:dyDescent="0.25">
      <c r="A18" t="s">
        <v>248</v>
      </c>
      <c r="B18" t="s">
        <v>229</v>
      </c>
      <c r="C18" t="s">
        <v>245</v>
      </c>
    </row>
    <row r="19" spans="1:3" hidden="1" outlineLevel="1" x14ac:dyDescent="0.25"/>
    <row r="20" spans="1:3" hidden="1" outlineLevel="1" x14ac:dyDescent="0.25"/>
    <row r="21" spans="1:3" hidden="1" outlineLevel="1" x14ac:dyDescent="0.25"/>
    <row r="23" spans="1:3" collapsed="1" x14ac:dyDescent="0.25">
      <c r="A23" t="s">
        <v>244</v>
      </c>
      <c r="B23" t="s">
        <v>229</v>
      </c>
      <c r="C23" t="s">
        <v>245</v>
      </c>
    </row>
    <row r="24" spans="1:3" hidden="1" outlineLevel="1" x14ac:dyDescent="0.25">
      <c r="B24" t="s">
        <v>246</v>
      </c>
    </row>
    <row r="25" spans="1:3" hidden="1" outlineLevel="1" x14ac:dyDescent="0.25">
      <c r="B25" t="s">
        <v>247</v>
      </c>
    </row>
    <row r="26" spans="1:3" hidden="1" outlineLevel="1" x14ac:dyDescent="0.25"/>
    <row r="28" spans="1:3" collapsed="1" x14ac:dyDescent="0.25">
      <c r="A28" t="s">
        <v>228</v>
      </c>
      <c r="B28" t="s">
        <v>229</v>
      </c>
      <c r="C28" t="s">
        <v>80</v>
      </c>
    </row>
    <row r="29" spans="1:3" hidden="1" outlineLevel="1" x14ac:dyDescent="0.25">
      <c r="B29" t="s">
        <v>234</v>
      </c>
    </row>
    <row r="30" spans="1:3" hidden="1" outlineLevel="1" x14ac:dyDescent="0.25">
      <c r="B30" t="s">
        <v>235</v>
      </c>
    </row>
    <row r="31" spans="1:3" hidden="1" outlineLevel="1" x14ac:dyDescent="0.25">
      <c r="B31" t="s">
        <v>236</v>
      </c>
    </row>
    <row r="32" spans="1:3" hidden="1" outlineLevel="1" x14ac:dyDescent="0.25">
      <c r="B32" t="s">
        <v>242</v>
      </c>
    </row>
    <row r="33" spans="1:3" hidden="1" outlineLevel="1" x14ac:dyDescent="0.25"/>
    <row r="35" spans="1:3" collapsed="1" x14ac:dyDescent="0.25">
      <c r="A35" t="s">
        <v>212</v>
      </c>
      <c r="B35" t="s">
        <v>213</v>
      </c>
      <c r="C35" t="s">
        <v>226</v>
      </c>
    </row>
    <row r="36" spans="1:3" hidden="1" outlineLevel="1" x14ac:dyDescent="0.25">
      <c r="B36" t="s">
        <v>216</v>
      </c>
    </row>
    <row r="37" spans="1:3" hidden="1" outlineLevel="1" x14ac:dyDescent="0.25">
      <c r="B37" t="s">
        <v>214</v>
      </c>
    </row>
    <row r="38" spans="1:3" hidden="1" outlineLevel="1" x14ac:dyDescent="0.25">
      <c r="B38" t="s">
        <v>215</v>
      </c>
    </row>
    <row r="39" spans="1:3" hidden="1" outlineLevel="1" x14ac:dyDescent="0.25"/>
    <row r="41" spans="1:3" collapsed="1" x14ac:dyDescent="0.25">
      <c r="A41" t="s">
        <v>217</v>
      </c>
      <c r="B41" t="s">
        <v>218</v>
      </c>
      <c r="C41" t="s">
        <v>227</v>
      </c>
    </row>
    <row r="42" spans="1:3" hidden="1" outlineLevel="1" x14ac:dyDescent="0.25">
      <c r="B42" t="s">
        <v>219</v>
      </c>
    </row>
    <row r="43" spans="1:3" hidden="1" outlineLevel="1" x14ac:dyDescent="0.25"/>
    <row r="44" spans="1:3" hidden="1" outlineLevel="1" x14ac:dyDescent="0.25"/>
    <row r="45" spans="1:3" hidden="1" outlineLevel="1" x14ac:dyDescent="0.25"/>
    <row r="48" spans="1:3" collapsed="1" x14ac:dyDescent="0.25">
      <c r="A48" t="s">
        <v>139</v>
      </c>
    </row>
    <row r="49" spans="2:2" hidden="1" outlineLevel="1" collapsed="1" x14ac:dyDescent="0.25">
      <c r="B49" t="s">
        <v>225</v>
      </c>
    </row>
    <row r="50" spans="2:2" hidden="1" outlineLevel="2" x14ac:dyDescent="0.25">
      <c r="B50" t="s">
        <v>117</v>
      </c>
    </row>
    <row r="51" spans="2:2" hidden="1" outlineLevel="2" x14ac:dyDescent="0.25"/>
    <row r="52" spans="2:2" hidden="1" outlineLevel="2" x14ac:dyDescent="0.25">
      <c r="B52" t="s">
        <v>118</v>
      </c>
    </row>
    <row r="53" spans="2:2" hidden="1" outlineLevel="2" x14ac:dyDescent="0.25"/>
    <row r="54" spans="2:2" hidden="1" outlineLevel="2" x14ac:dyDescent="0.25">
      <c r="B54" t="s">
        <v>119</v>
      </c>
    </row>
    <row r="55" spans="2:2" hidden="1" outlineLevel="2" x14ac:dyDescent="0.25">
      <c r="B55" t="s">
        <v>120</v>
      </c>
    </row>
    <row r="56" spans="2:2" hidden="1" outlineLevel="2" x14ac:dyDescent="0.25">
      <c r="B56" t="s">
        <v>121</v>
      </c>
    </row>
    <row r="57" spans="2:2" hidden="1" outlineLevel="2" x14ac:dyDescent="0.25">
      <c r="B57" t="s">
        <v>122</v>
      </c>
    </row>
    <row r="58" spans="2:2" hidden="1" outlineLevel="2" x14ac:dyDescent="0.25">
      <c r="B58" t="s">
        <v>123</v>
      </c>
    </row>
    <row r="59" spans="2:2" hidden="1" outlineLevel="2" x14ac:dyDescent="0.25">
      <c r="B59" t="s">
        <v>124</v>
      </c>
    </row>
    <row r="60" spans="2:2" hidden="1" outlineLevel="2" x14ac:dyDescent="0.25"/>
    <row r="61" spans="2:2" hidden="1" outlineLevel="2" x14ac:dyDescent="0.25">
      <c r="B61" t="s">
        <v>125</v>
      </c>
    </row>
    <row r="62" spans="2:2" hidden="1" outlineLevel="2" x14ac:dyDescent="0.25">
      <c r="B62" t="s">
        <v>126</v>
      </c>
    </row>
    <row r="63" spans="2:2" hidden="1" outlineLevel="2" x14ac:dyDescent="0.25"/>
    <row r="64" spans="2:2" hidden="1" outlineLevel="2" x14ac:dyDescent="0.25">
      <c r="B64" t="s">
        <v>127</v>
      </c>
    </row>
    <row r="65" spans="2:3" hidden="1" outlineLevel="2" x14ac:dyDescent="0.25">
      <c r="B65" t="s">
        <v>128</v>
      </c>
    </row>
    <row r="66" spans="2:3" hidden="1" outlineLevel="2" x14ac:dyDescent="0.25">
      <c r="B66" t="s">
        <v>129</v>
      </c>
    </row>
    <row r="67" spans="2:3" hidden="1" outlineLevel="2" x14ac:dyDescent="0.25">
      <c r="B67" t="s">
        <v>130</v>
      </c>
    </row>
    <row r="68" spans="2:3" hidden="1" outlineLevel="2" x14ac:dyDescent="0.25">
      <c r="B68" t="s">
        <v>131</v>
      </c>
    </row>
    <row r="69" spans="2:3" hidden="1" outlineLevel="2" x14ac:dyDescent="0.25">
      <c r="B69" t="s">
        <v>132</v>
      </c>
    </row>
    <row r="70" spans="2:3" hidden="1" outlineLevel="2" x14ac:dyDescent="0.25">
      <c r="B70" t="s">
        <v>133</v>
      </c>
    </row>
    <row r="71" spans="2:3" hidden="1" outlineLevel="1" x14ac:dyDescent="0.25"/>
    <row r="72" spans="2:3" hidden="1" outlineLevel="1" collapsed="1" x14ac:dyDescent="0.25">
      <c r="B72" t="s">
        <v>140</v>
      </c>
    </row>
    <row r="73" spans="2:3" hidden="1" outlineLevel="2" x14ac:dyDescent="0.25">
      <c r="C73" t="s">
        <v>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15" workbookViewId="0">
      <selection activeCell="A64" sqref="A64:XFD64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501</v>
      </c>
      <c r="H18" s="2" t="s">
        <v>239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7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7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7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7" t="s">
        <v>180</v>
      </c>
      <c r="B33" s="2"/>
      <c r="C33" s="2"/>
      <c r="D33" s="2"/>
      <c r="E33" s="2"/>
      <c r="F33" s="2"/>
      <c r="G33" s="2" t="s">
        <v>186</v>
      </c>
      <c r="H33" s="2" t="s">
        <v>187</v>
      </c>
    </row>
    <row r="34" spans="1:8" x14ac:dyDescent="0.25">
      <c r="A34" s="27" t="s">
        <v>150</v>
      </c>
      <c r="B34" s="2"/>
      <c r="C34" s="2"/>
      <c r="D34" s="2"/>
      <c r="E34" s="2"/>
      <c r="F34" s="2"/>
      <c r="G34" s="2" t="s">
        <v>188</v>
      </c>
      <c r="H34" s="2" t="s">
        <v>190</v>
      </c>
    </row>
    <row r="35" spans="1:8" x14ac:dyDescent="0.25">
      <c r="A35" s="27" t="s">
        <v>151</v>
      </c>
      <c r="B35" s="2"/>
      <c r="C35" s="2"/>
      <c r="D35" s="2"/>
      <c r="E35" s="2"/>
      <c r="F35" s="2"/>
      <c r="G35" s="2" t="s">
        <v>189</v>
      </c>
      <c r="H35" s="2" t="s">
        <v>191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211</v>
      </c>
      <c r="H36" s="2" t="s">
        <v>192</v>
      </c>
    </row>
    <row r="37" spans="1:8" x14ac:dyDescent="0.25">
      <c r="A37" s="27" t="s">
        <v>201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7" t="s">
        <v>199</v>
      </c>
      <c r="B38" s="2"/>
      <c r="C38" s="2"/>
      <c r="D38" s="2"/>
      <c r="E38" s="2"/>
      <c r="F38" s="2"/>
      <c r="G38" s="2" t="s">
        <v>203</v>
      </c>
      <c r="H38" s="2" t="s">
        <v>202</v>
      </c>
    </row>
    <row r="39" spans="1:8" x14ac:dyDescent="0.25">
      <c r="A39" s="27" t="s">
        <v>200</v>
      </c>
      <c r="B39" s="2"/>
      <c r="C39" s="2"/>
      <c r="D39" s="2"/>
      <c r="E39" s="2"/>
      <c r="F39" s="2"/>
      <c r="G39" s="2" t="s">
        <v>34</v>
      </c>
      <c r="H39" s="2" t="s">
        <v>204</v>
      </c>
    </row>
    <row r="40" spans="1:8" x14ac:dyDescent="0.25">
      <c r="A40" s="37" t="s">
        <v>380</v>
      </c>
      <c r="B40" s="2"/>
      <c r="C40" s="2"/>
      <c r="D40" s="2"/>
      <c r="E40" s="2"/>
      <c r="F40" s="2"/>
      <c r="G40" s="2" t="s">
        <v>478</v>
      </c>
      <c r="H40" s="2" t="s">
        <v>17</v>
      </c>
    </row>
    <row r="41" spans="1:8" x14ac:dyDescent="0.25">
      <c r="A41" s="37" t="s">
        <v>381</v>
      </c>
      <c r="B41" s="2"/>
      <c r="C41" s="2"/>
      <c r="D41" s="2"/>
      <c r="E41" s="2"/>
      <c r="F41" s="2"/>
      <c r="G41" s="2" t="s">
        <v>479</v>
      </c>
      <c r="H41" s="2" t="s">
        <v>480</v>
      </c>
    </row>
    <row r="42" spans="1:8" x14ac:dyDescent="0.25">
      <c r="A42" s="36" t="s">
        <v>325</v>
      </c>
      <c r="B42" s="2"/>
      <c r="C42" s="2"/>
      <c r="D42" s="2"/>
      <c r="E42" s="2"/>
      <c r="F42" s="2"/>
      <c r="G42" s="2" t="s">
        <v>481</v>
      </c>
      <c r="H42" s="2" t="s">
        <v>482</v>
      </c>
    </row>
    <row r="43" spans="1:8" x14ac:dyDescent="0.25">
      <c r="A43" s="37" t="s">
        <v>458</v>
      </c>
      <c r="B43" s="2"/>
      <c r="C43" s="2"/>
      <c r="D43" s="2"/>
      <c r="E43" s="2"/>
      <c r="F43" s="2"/>
      <c r="G43" s="2" t="s">
        <v>483</v>
      </c>
      <c r="H43" s="2" t="s">
        <v>491</v>
      </c>
    </row>
    <row r="44" spans="1:8" x14ac:dyDescent="0.25">
      <c r="A44" s="37" t="s">
        <v>459</v>
      </c>
      <c r="B44" s="2"/>
      <c r="C44" s="2"/>
      <c r="D44" s="2"/>
      <c r="E44" s="2"/>
      <c r="F44" s="2"/>
      <c r="G44" s="2" t="s">
        <v>487</v>
      </c>
      <c r="H44" s="2" t="s">
        <v>489</v>
      </c>
    </row>
    <row r="45" spans="1:8" x14ac:dyDescent="0.25">
      <c r="A45" s="37" t="s">
        <v>460</v>
      </c>
      <c r="B45" s="2"/>
      <c r="C45" s="2"/>
      <c r="D45" s="2"/>
      <c r="E45" s="2"/>
      <c r="F45" s="2"/>
      <c r="G45" s="2" t="s">
        <v>484</v>
      </c>
      <c r="H45" s="2" t="s">
        <v>492</v>
      </c>
    </row>
    <row r="46" spans="1:8" x14ac:dyDescent="0.25">
      <c r="A46" s="37" t="s">
        <v>461</v>
      </c>
      <c r="B46" s="2"/>
      <c r="C46" s="2"/>
      <c r="D46" s="2"/>
      <c r="E46" s="2"/>
      <c r="F46" s="2"/>
      <c r="G46" s="2" t="s">
        <v>488</v>
      </c>
      <c r="H46" s="2" t="s">
        <v>490</v>
      </c>
    </row>
    <row r="47" spans="1:8" x14ac:dyDescent="0.25">
      <c r="A47" s="37" t="s">
        <v>462</v>
      </c>
      <c r="B47" s="2"/>
      <c r="C47" s="2"/>
      <c r="D47" s="2"/>
      <c r="E47" s="2"/>
      <c r="F47" s="2"/>
      <c r="G47" s="2" t="s">
        <v>493</v>
      </c>
      <c r="H47" s="2" t="s">
        <v>494</v>
      </c>
    </row>
    <row r="48" spans="1:8" x14ac:dyDescent="0.25">
      <c r="A48" s="37" t="s">
        <v>463</v>
      </c>
      <c r="B48" s="2"/>
      <c r="C48" s="2"/>
      <c r="D48" s="2"/>
      <c r="E48" s="2"/>
      <c r="F48" s="2"/>
      <c r="G48" s="2" t="s">
        <v>495</v>
      </c>
      <c r="H48" s="2" t="s">
        <v>496</v>
      </c>
    </row>
    <row r="49" spans="1:8" x14ac:dyDescent="0.25">
      <c r="A49" s="37" t="s">
        <v>464</v>
      </c>
      <c r="B49" s="2"/>
      <c r="C49" s="2"/>
      <c r="D49" s="2"/>
      <c r="E49" s="2"/>
      <c r="F49" s="2"/>
      <c r="G49" s="2" t="s">
        <v>485</v>
      </c>
      <c r="H49" s="2" t="s">
        <v>497</v>
      </c>
    </row>
    <row r="50" spans="1:8" x14ac:dyDescent="0.25">
      <c r="A50" s="37" t="s">
        <v>465</v>
      </c>
      <c r="B50" s="2"/>
      <c r="C50" s="2"/>
      <c r="D50" s="2"/>
      <c r="E50" s="2"/>
      <c r="F50" s="2"/>
      <c r="G50" s="2" t="s">
        <v>498</v>
      </c>
      <c r="H50" s="2" t="s">
        <v>499</v>
      </c>
    </row>
    <row r="51" spans="1:8" x14ac:dyDescent="0.25">
      <c r="A51" s="37" t="s">
        <v>466</v>
      </c>
      <c r="B51" s="2"/>
      <c r="C51" s="2"/>
      <c r="D51" s="2"/>
      <c r="E51" s="2"/>
      <c r="F51" s="2"/>
      <c r="G51" s="2" t="s">
        <v>486</v>
      </c>
      <c r="H51" s="2" t="s">
        <v>500</v>
      </c>
    </row>
    <row r="52" spans="1:8" x14ac:dyDescent="0.25">
      <c r="A52" s="37" t="s">
        <v>467</v>
      </c>
      <c r="B52" s="2"/>
      <c r="C52" s="2"/>
      <c r="D52" s="2"/>
      <c r="E52" s="2"/>
      <c r="F52" s="2"/>
      <c r="G52" s="37" t="s">
        <v>467</v>
      </c>
      <c r="H52" s="37" t="s">
        <v>467</v>
      </c>
    </row>
    <row r="53" spans="1:8" x14ac:dyDescent="0.25">
      <c r="A53" s="37" t="s">
        <v>468</v>
      </c>
      <c r="B53" s="2"/>
      <c r="C53" s="2"/>
      <c r="D53" s="2"/>
      <c r="E53" s="2"/>
      <c r="F53" s="2"/>
      <c r="G53" s="37" t="s">
        <v>468</v>
      </c>
      <c r="H53" s="37" t="s">
        <v>468</v>
      </c>
    </row>
    <row r="54" spans="1:8" x14ac:dyDescent="0.25">
      <c r="A54" s="37" t="s">
        <v>469</v>
      </c>
      <c r="B54" s="2"/>
      <c r="C54" s="2"/>
      <c r="D54" s="2"/>
      <c r="E54" s="2"/>
      <c r="F54" s="2"/>
      <c r="G54" s="37" t="s">
        <v>469</v>
      </c>
      <c r="H54" s="37" t="s">
        <v>469</v>
      </c>
    </row>
    <row r="55" spans="1:8" x14ac:dyDescent="0.25">
      <c r="A55" s="37" t="s">
        <v>470</v>
      </c>
      <c r="B55" s="2"/>
      <c r="C55" s="2"/>
      <c r="D55" s="2"/>
      <c r="E55" s="2"/>
      <c r="F55" s="2"/>
      <c r="G55" s="37" t="s">
        <v>470</v>
      </c>
      <c r="H55" s="37" t="s">
        <v>470</v>
      </c>
    </row>
    <row r="56" spans="1:8" x14ac:dyDescent="0.25">
      <c r="A56" s="37" t="s">
        <v>471</v>
      </c>
      <c r="B56" s="2"/>
      <c r="C56" s="2"/>
      <c r="D56" s="2"/>
      <c r="E56" s="2"/>
      <c r="F56" s="2"/>
      <c r="G56" s="37" t="s">
        <v>471</v>
      </c>
      <c r="H56" s="37" t="s">
        <v>471</v>
      </c>
    </row>
    <row r="57" spans="1:8" x14ac:dyDescent="0.25">
      <c r="A57" s="37" t="s">
        <v>472</v>
      </c>
      <c r="B57" s="2"/>
      <c r="C57" s="2"/>
      <c r="D57" s="2"/>
      <c r="E57" s="2"/>
      <c r="F57" s="2"/>
      <c r="G57" s="37" t="s">
        <v>472</v>
      </c>
      <c r="H57" s="37" t="s">
        <v>472</v>
      </c>
    </row>
    <row r="58" spans="1:8" x14ac:dyDescent="0.25">
      <c r="A58" s="37" t="s">
        <v>473</v>
      </c>
      <c r="B58" s="2"/>
      <c r="C58" s="2"/>
      <c r="D58" s="2"/>
      <c r="E58" s="2"/>
      <c r="F58" s="2"/>
      <c r="G58" s="37" t="s">
        <v>473</v>
      </c>
      <c r="H58" s="37" t="s">
        <v>473</v>
      </c>
    </row>
    <row r="59" spans="1:8" x14ac:dyDescent="0.25">
      <c r="A59" s="37" t="s">
        <v>474</v>
      </c>
      <c r="B59" s="2"/>
      <c r="C59" s="2"/>
      <c r="D59" s="2"/>
      <c r="E59" s="2"/>
      <c r="F59" s="2"/>
      <c r="G59" s="37" t="s">
        <v>474</v>
      </c>
      <c r="H59" s="37" t="s">
        <v>474</v>
      </c>
    </row>
    <row r="60" spans="1:8" x14ac:dyDescent="0.25">
      <c r="A60" s="37" t="s">
        <v>475</v>
      </c>
      <c r="B60" s="2"/>
      <c r="C60" s="2"/>
      <c r="D60" s="2"/>
      <c r="E60" s="2"/>
      <c r="F60" s="2"/>
      <c r="G60" s="37" t="s">
        <v>475</v>
      </c>
      <c r="H60" s="37" t="s">
        <v>475</v>
      </c>
    </row>
    <row r="61" spans="1:8" x14ac:dyDescent="0.25">
      <c r="A61" s="37" t="s">
        <v>476</v>
      </c>
      <c r="B61" s="2"/>
      <c r="C61" s="2"/>
      <c r="D61" s="2"/>
      <c r="E61" s="2"/>
      <c r="F61" s="2"/>
      <c r="G61" s="37" t="s">
        <v>476</v>
      </c>
      <c r="H61" s="37" t="s">
        <v>476</v>
      </c>
    </row>
    <row r="62" spans="1:8" x14ac:dyDescent="0.25">
      <c r="A62" s="37" t="s">
        <v>477</v>
      </c>
      <c r="B62" s="2"/>
      <c r="C62" s="2"/>
      <c r="D62" s="2"/>
      <c r="E62" s="2"/>
      <c r="F62" s="2"/>
      <c r="G62" s="37" t="s">
        <v>477</v>
      </c>
      <c r="H62" s="37" t="s">
        <v>477</v>
      </c>
    </row>
    <row r="63" spans="1:8" x14ac:dyDescent="0.25">
      <c r="A63" s="36" t="s">
        <v>326</v>
      </c>
      <c r="B63" s="2"/>
      <c r="C63" s="2"/>
      <c r="D63" s="2"/>
      <c r="E63" s="2"/>
      <c r="F63" s="2"/>
      <c r="G63" s="36" t="s">
        <v>326</v>
      </c>
      <c r="H63" s="36" t="s">
        <v>326</v>
      </c>
    </row>
    <row r="64" spans="1:8" x14ac:dyDescent="0.25">
      <c r="A64" s="36" t="s">
        <v>327</v>
      </c>
      <c r="B64" s="2"/>
      <c r="C64" s="2"/>
      <c r="D64" s="2"/>
      <c r="E64" s="2"/>
      <c r="F64" s="2"/>
      <c r="G64" s="36" t="s">
        <v>327</v>
      </c>
      <c r="H64" s="36" t="s">
        <v>327</v>
      </c>
    </row>
    <row r="65" spans="1:8" x14ac:dyDescent="0.25">
      <c r="A65" s="37" t="s">
        <v>415</v>
      </c>
      <c r="B65" s="2"/>
      <c r="C65" s="2"/>
      <c r="D65" s="2"/>
      <c r="E65" s="2"/>
      <c r="F65" s="2"/>
      <c r="G65" s="37" t="s">
        <v>415</v>
      </c>
      <c r="H65" s="37" t="s">
        <v>415</v>
      </c>
    </row>
    <row r="66" spans="1:8" x14ac:dyDescent="0.25">
      <c r="A66" s="37" t="s">
        <v>416</v>
      </c>
      <c r="B66" s="2"/>
      <c r="C66" s="2"/>
      <c r="D66" s="2"/>
      <c r="E66" s="2"/>
      <c r="F66" s="2"/>
      <c r="G66" s="37" t="s">
        <v>416</v>
      </c>
      <c r="H66" s="37" t="s">
        <v>416</v>
      </c>
    </row>
    <row r="67" spans="1:8" x14ac:dyDescent="0.25">
      <c r="A67" s="37" t="s">
        <v>417</v>
      </c>
      <c r="B67" s="2"/>
      <c r="C67" s="2"/>
      <c r="D67" s="2"/>
      <c r="E67" s="2"/>
      <c r="F67" s="2"/>
      <c r="G67" s="37" t="s">
        <v>417</v>
      </c>
      <c r="H67" s="37" t="s">
        <v>417</v>
      </c>
    </row>
    <row r="68" spans="1:8" x14ac:dyDescent="0.25">
      <c r="A68" s="37" t="s">
        <v>418</v>
      </c>
      <c r="B68" s="2"/>
      <c r="C68" s="2"/>
      <c r="D68" s="2"/>
      <c r="E68" s="2"/>
      <c r="F68" s="2"/>
      <c r="G68" s="37" t="s">
        <v>418</v>
      </c>
      <c r="H68" s="37" t="s">
        <v>418</v>
      </c>
    </row>
    <row r="69" spans="1:8" x14ac:dyDescent="0.25">
      <c r="A69" s="36" t="s">
        <v>328</v>
      </c>
      <c r="B69" s="2"/>
      <c r="C69" s="2"/>
      <c r="D69" s="2"/>
      <c r="E69" s="2"/>
      <c r="F69" s="2"/>
      <c r="G69" s="36" t="s">
        <v>328</v>
      </c>
      <c r="H69" s="36" t="s">
        <v>328</v>
      </c>
    </row>
    <row r="70" spans="1:8" x14ac:dyDescent="0.25">
      <c r="A70" s="37" t="s">
        <v>419</v>
      </c>
      <c r="B70" s="2"/>
      <c r="C70" s="2"/>
      <c r="D70" s="2"/>
      <c r="E70" s="2"/>
      <c r="F70" s="2"/>
      <c r="G70" s="37" t="s">
        <v>419</v>
      </c>
      <c r="H70" s="37" t="s">
        <v>419</v>
      </c>
    </row>
    <row r="71" spans="1:8" x14ac:dyDescent="0.25">
      <c r="A71" s="37" t="s">
        <v>420</v>
      </c>
      <c r="B71" s="2"/>
      <c r="C71" s="2"/>
      <c r="D71" s="2"/>
      <c r="E71" s="2"/>
      <c r="F71" s="2"/>
      <c r="G71" s="37" t="s">
        <v>420</v>
      </c>
      <c r="H71" s="37" t="s">
        <v>420</v>
      </c>
    </row>
    <row r="72" spans="1:8" x14ac:dyDescent="0.25">
      <c r="A72" s="37" t="s">
        <v>421</v>
      </c>
      <c r="B72" s="2"/>
      <c r="C72" s="2"/>
      <c r="D72" s="2"/>
      <c r="E72" s="2"/>
      <c r="F72" s="2"/>
      <c r="G72" s="37" t="s">
        <v>421</v>
      </c>
      <c r="H72" s="37" t="s">
        <v>421</v>
      </c>
    </row>
    <row r="73" spans="1:8" x14ac:dyDescent="0.25">
      <c r="A73" s="37" t="s">
        <v>422</v>
      </c>
      <c r="B73" s="2"/>
      <c r="C73" s="2"/>
      <c r="D73" s="2"/>
      <c r="E73" s="2"/>
      <c r="F73" s="2"/>
      <c r="G73" s="37" t="s">
        <v>422</v>
      </c>
      <c r="H73" s="37" t="s">
        <v>422</v>
      </c>
    </row>
    <row r="74" spans="1:8" x14ac:dyDescent="0.25">
      <c r="A74" s="36" t="s">
        <v>329</v>
      </c>
      <c r="B74" s="2"/>
      <c r="C74" s="2"/>
      <c r="D74" s="2"/>
      <c r="E74" s="2"/>
      <c r="F74" s="2"/>
      <c r="G74" s="36" t="s">
        <v>329</v>
      </c>
      <c r="H74" s="36" t="s">
        <v>329</v>
      </c>
    </row>
    <row r="75" spans="1:8" x14ac:dyDescent="0.25">
      <c r="A75" s="37" t="s">
        <v>253</v>
      </c>
      <c r="B75" s="2"/>
      <c r="C75" s="2"/>
      <c r="D75" s="2"/>
      <c r="E75" s="2"/>
      <c r="F75" s="2"/>
      <c r="G75" s="37" t="s">
        <v>253</v>
      </c>
      <c r="H75" s="37" t="s">
        <v>253</v>
      </c>
    </row>
    <row r="76" spans="1:8" x14ac:dyDescent="0.25">
      <c r="A76" s="37" t="s">
        <v>423</v>
      </c>
      <c r="B76" s="2"/>
      <c r="C76" s="2"/>
      <c r="D76" s="2"/>
      <c r="E76" s="2"/>
      <c r="F76" s="2"/>
      <c r="G76" s="37" t="s">
        <v>423</v>
      </c>
      <c r="H76" s="37" t="s">
        <v>423</v>
      </c>
    </row>
    <row r="77" spans="1:8" x14ac:dyDescent="0.25">
      <c r="A77" s="37" t="s">
        <v>424</v>
      </c>
      <c r="B77" s="2"/>
      <c r="C77" s="2"/>
      <c r="D77" s="2"/>
      <c r="E77" s="2"/>
      <c r="F77" s="2"/>
      <c r="G77" s="37" t="s">
        <v>424</v>
      </c>
      <c r="H77" s="37" t="s">
        <v>424</v>
      </c>
    </row>
    <row r="78" spans="1:8" x14ac:dyDescent="0.25">
      <c r="A78" s="36" t="s">
        <v>366</v>
      </c>
      <c r="B78" s="2"/>
      <c r="C78" s="2"/>
      <c r="D78" s="2"/>
      <c r="E78" s="2"/>
      <c r="F78" s="2"/>
      <c r="G78" s="36" t="s">
        <v>366</v>
      </c>
      <c r="H78" s="36" t="s">
        <v>366</v>
      </c>
    </row>
    <row r="79" spans="1:8" x14ac:dyDescent="0.25">
      <c r="A79" s="37" t="s">
        <v>425</v>
      </c>
      <c r="B79" s="2"/>
      <c r="C79" s="2"/>
      <c r="D79" s="2"/>
      <c r="E79" s="2"/>
      <c r="F79" s="2"/>
      <c r="G79" s="37" t="s">
        <v>425</v>
      </c>
      <c r="H79" s="37" t="s">
        <v>425</v>
      </c>
    </row>
    <row r="80" spans="1:8" x14ac:dyDescent="0.25">
      <c r="A80" s="37" t="s">
        <v>444</v>
      </c>
      <c r="B80" s="2"/>
      <c r="C80" s="2"/>
      <c r="D80" s="2"/>
      <c r="E80" s="2"/>
      <c r="F80" s="2"/>
      <c r="G80" s="37" t="s">
        <v>444</v>
      </c>
      <c r="H80" s="37" t="s">
        <v>444</v>
      </c>
    </row>
    <row r="81" spans="1:8" x14ac:dyDescent="0.25">
      <c r="A81" s="37" t="s">
        <v>426</v>
      </c>
      <c r="B81" s="2"/>
      <c r="C81" s="2"/>
      <c r="D81" s="2"/>
      <c r="E81" s="2"/>
      <c r="F81" s="2"/>
      <c r="G81" s="37" t="s">
        <v>426</v>
      </c>
      <c r="H81" s="37" t="s">
        <v>426</v>
      </c>
    </row>
    <row r="82" spans="1:8" x14ac:dyDescent="0.25">
      <c r="A82" s="37" t="s">
        <v>457</v>
      </c>
      <c r="B82" s="2"/>
      <c r="C82" s="2"/>
      <c r="D82" s="2"/>
      <c r="E82" s="2"/>
      <c r="F82" s="2"/>
      <c r="G82" s="37" t="s">
        <v>457</v>
      </c>
      <c r="H82" s="37" t="s">
        <v>457</v>
      </c>
    </row>
    <row r="83" spans="1:8" x14ac:dyDescent="0.25">
      <c r="A83" s="37" t="s">
        <v>427</v>
      </c>
      <c r="B83" s="2"/>
      <c r="C83" s="2"/>
      <c r="D83" s="2"/>
      <c r="E83" s="2"/>
      <c r="F83" s="2"/>
      <c r="G83" s="37" t="s">
        <v>427</v>
      </c>
      <c r="H83" s="37" t="s">
        <v>427</v>
      </c>
    </row>
    <row r="84" spans="1:8" x14ac:dyDescent="0.25">
      <c r="A84" s="37" t="s">
        <v>445</v>
      </c>
      <c r="B84" s="2"/>
      <c r="C84" s="2"/>
      <c r="D84" s="2"/>
      <c r="E84" s="2"/>
      <c r="F84" s="2"/>
      <c r="G84" s="37" t="s">
        <v>445</v>
      </c>
      <c r="H84" s="37" t="s">
        <v>445</v>
      </c>
    </row>
    <row r="85" spans="1:8" x14ac:dyDescent="0.25">
      <c r="A85" s="37" t="s">
        <v>428</v>
      </c>
      <c r="B85" s="2"/>
      <c r="C85" s="2"/>
      <c r="D85" s="2"/>
      <c r="E85" s="2"/>
      <c r="F85" s="2"/>
      <c r="G85" s="37" t="s">
        <v>428</v>
      </c>
      <c r="H85" s="37" t="s">
        <v>428</v>
      </c>
    </row>
    <row r="86" spans="1:8" x14ac:dyDescent="0.25">
      <c r="A86" s="37" t="s">
        <v>429</v>
      </c>
      <c r="B86" s="2"/>
      <c r="C86" s="2"/>
      <c r="D86" s="2"/>
      <c r="E86" s="2"/>
      <c r="F86" s="2"/>
      <c r="G86" s="37" t="s">
        <v>429</v>
      </c>
      <c r="H86" s="37" t="s">
        <v>429</v>
      </c>
    </row>
    <row r="87" spans="1:8" x14ac:dyDescent="0.25">
      <c r="A87" s="37" t="s">
        <v>430</v>
      </c>
      <c r="B87" s="2"/>
      <c r="C87" s="2"/>
      <c r="D87" s="2"/>
      <c r="E87" s="2"/>
      <c r="F87" s="2"/>
      <c r="G87" s="37" t="s">
        <v>430</v>
      </c>
      <c r="H87" s="37" t="s">
        <v>430</v>
      </c>
    </row>
    <row r="88" spans="1:8" x14ac:dyDescent="0.25">
      <c r="A88" s="37" t="s">
        <v>431</v>
      </c>
      <c r="B88" s="2"/>
      <c r="C88" s="2"/>
      <c r="D88" s="2"/>
      <c r="E88" s="2"/>
      <c r="F88" s="2"/>
      <c r="G88" s="37" t="s">
        <v>431</v>
      </c>
      <c r="H88" s="37" t="s">
        <v>431</v>
      </c>
    </row>
    <row r="89" spans="1:8" x14ac:dyDescent="0.25">
      <c r="A89" s="37" t="s">
        <v>446</v>
      </c>
      <c r="B89" s="2"/>
      <c r="C89" s="2"/>
      <c r="D89" s="2"/>
      <c r="E89" s="2"/>
      <c r="F89" s="2"/>
      <c r="G89" s="37" t="s">
        <v>446</v>
      </c>
      <c r="H89" s="37" t="s">
        <v>446</v>
      </c>
    </row>
    <row r="90" spans="1:8" x14ac:dyDescent="0.25">
      <c r="A90" s="37" t="s">
        <v>432</v>
      </c>
      <c r="B90" s="2"/>
      <c r="C90" s="2"/>
      <c r="D90" s="2"/>
      <c r="E90" s="2"/>
      <c r="F90" s="2"/>
      <c r="G90" s="37" t="s">
        <v>432</v>
      </c>
      <c r="H90" s="37" t="s">
        <v>432</v>
      </c>
    </row>
    <row r="91" spans="1:8" x14ac:dyDescent="0.25">
      <c r="A91" s="37" t="s">
        <v>447</v>
      </c>
      <c r="B91" s="2"/>
      <c r="C91" s="2"/>
      <c r="D91" s="2"/>
      <c r="E91" s="2"/>
      <c r="F91" s="2"/>
      <c r="G91" s="37" t="s">
        <v>447</v>
      </c>
      <c r="H91" s="37" t="s">
        <v>447</v>
      </c>
    </row>
    <row r="92" spans="1:8" x14ac:dyDescent="0.25">
      <c r="A92" s="37" t="s">
        <v>433</v>
      </c>
      <c r="B92" s="2"/>
      <c r="C92" s="2"/>
      <c r="D92" s="2"/>
      <c r="E92" s="2"/>
      <c r="F92" s="2"/>
      <c r="G92" s="37" t="s">
        <v>433</v>
      </c>
      <c r="H92" s="37" t="s">
        <v>433</v>
      </c>
    </row>
    <row r="93" spans="1:8" x14ac:dyDescent="0.25">
      <c r="A93" s="37" t="s">
        <v>434</v>
      </c>
      <c r="B93" s="2"/>
      <c r="C93" s="2"/>
      <c r="D93" s="2"/>
      <c r="E93" s="2"/>
      <c r="F93" s="2"/>
      <c r="G93" s="37" t="s">
        <v>434</v>
      </c>
      <c r="H93" s="37" t="s">
        <v>434</v>
      </c>
    </row>
    <row r="94" spans="1:8" x14ac:dyDescent="0.25">
      <c r="A94" s="37" t="s">
        <v>448</v>
      </c>
      <c r="B94" s="2"/>
      <c r="C94" s="2"/>
      <c r="D94" s="2"/>
      <c r="E94" s="2"/>
      <c r="F94" s="2"/>
      <c r="G94" s="37" t="s">
        <v>448</v>
      </c>
      <c r="H94" s="37" t="s">
        <v>448</v>
      </c>
    </row>
    <row r="95" spans="1:8" x14ac:dyDescent="0.25">
      <c r="A95" s="37" t="s">
        <v>435</v>
      </c>
      <c r="B95" s="2"/>
      <c r="C95" s="2"/>
      <c r="D95" s="2"/>
      <c r="E95" s="2"/>
      <c r="F95" s="2"/>
      <c r="G95" s="37" t="s">
        <v>435</v>
      </c>
      <c r="H95" s="37" t="s">
        <v>435</v>
      </c>
    </row>
    <row r="96" spans="1:8" x14ac:dyDescent="0.25">
      <c r="A96" s="37" t="s">
        <v>436</v>
      </c>
      <c r="B96" s="2"/>
      <c r="C96" s="2"/>
      <c r="D96" s="2"/>
      <c r="E96" s="2"/>
      <c r="F96" s="2"/>
      <c r="G96" s="37" t="s">
        <v>436</v>
      </c>
      <c r="H96" s="37" t="s">
        <v>436</v>
      </c>
    </row>
    <row r="97" spans="1:8" x14ac:dyDescent="0.25">
      <c r="A97" s="37" t="s">
        <v>437</v>
      </c>
      <c r="B97" s="2"/>
      <c r="C97" s="2"/>
      <c r="D97" s="2"/>
      <c r="E97" s="2"/>
      <c r="F97" s="2"/>
      <c r="G97" s="37" t="s">
        <v>437</v>
      </c>
      <c r="H97" s="37" t="s">
        <v>437</v>
      </c>
    </row>
    <row r="98" spans="1:8" x14ac:dyDescent="0.25">
      <c r="A98" s="37" t="s">
        <v>438</v>
      </c>
      <c r="B98" s="2"/>
      <c r="C98" s="2"/>
      <c r="D98" s="2"/>
      <c r="E98" s="2"/>
      <c r="F98" s="2"/>
      <c r="G98" s="37" t="s">
        <v>438</v>
      </c>
      <c r="H98" s="37" t="s">
        <v>438</v>
      </c>
    </row>
    <row r="99" spans="1:8" x14ac:dyDescent="0.25">
      <c r="A99" s="36" t="s">
        <v>367</v>
      </c>
      <c r="B99" s="2"/>
      <c r="C99" s="2"/>
      <c r="D99" s="2"/>
      <c r="E99" s="2"/>
      <c r="F99" s="2"/>
      <c r="G99" s="36" t="s">
        <v>367</v>
      </c>
      <c r="H99" s="36" t="s">
        <v>367</v>
      </c>
    </row>
    <row r="100" spans="1:8" x14ac:dyDescent="0.25">
      <c r="A100" s="37" t="s">
        <v>439</v>
      </c>
      <c r="B100" s="2"/>
      <c r="C100" s="2"/>
      <c r="D100" s="2"/>
      <c r="E100" s="2"/>
      <c r="F100" s="2"/>
      <c r="G100" s="37" t="s">
        <v>439</v>
      </c>
      <c r="H100" s="37" t="s">
        <v>439</v>
      </c>
    </row>
    <row r="101" spans="1:8" x14ac:dyDescent="0.25">
      <c r="A101" s="37" t="s">
        <v>440</v>
      </c>
      <c r="B101" s="2"/>
      <c r="C101" s="2"/>
      <c r="D101" s="2"/>
      <c r="E101" s="2"/>
      <c r="F101" s="2"/>
      <c r="G101" s="37" t="s">
        <v>440</v>
      </c>
      <c r="H101" s="37" t="s">
        <v>440</v>
      </c>
    </row>
    <row r="102" spans="1:8" x14ac:dyDescent="0.25">
      <c r="A102" s="37" t="s">
        <v>441</v>
      </c>
      <c r="B102" s="2"/>
      <c r="C102" s="2"/>
      <c r="D102" s="2"/>
      <c r="E102" s="2"/>
      <c r="F102" s="2"/>
      <c r="G102" s="37" t="s">
        <v>441</v>
      </c>
      <c r="H102" s="37" t="s">
        <v>441</v>
      </c>
    </row>
    <row r="103" spans="1:8" x14ac:dyDescent="0.25">
      <c r="A103" s="36" t="s">
        <v>368</v>
      </c>
      <c r="B103" s="2"/>
      <c r="C103" s="2"/>
      <c r="D103" s="2"/>
      <c r="E103" s="2"/>
      <c r="F103" s="2"/>
      <c r="G103" s="36" t="s">
        <v>368</v>
      </c>
      <c r="H103" s="36" t="s">
        <v>368</v>
      </c>
    </row>
    <row r="104" spans="1:8" x14ac:dyDescent="0.25">
      <c r="A104" s="37" t="s">
        <v>442</v>
      </c>
      <c r="B104" s="2"/>
      <c r="C104" s="2"/>
      <c r="D104" s="2"/>
      <c r="E104" s="2"/>
      <c r="F104" s="2"/>
      <c r="G104" s="37" t="s">
        <v>442</v>
      </c>
      <c r="H104" s="37" t="s">
        <v>442</v>
      </c>
    </row>
    <row r="105" spans="1:8" x14ac:dyDescent="0.25">
      <c r="A105" s="37" t="s">
        <v>449</v>
      </c>
      <c r="B105" s="2"/>
      <c r="C105" s="2"/>
      <c r="D105" s="2"/>
      <c r="E105" s="2"/>
      <c r="F105" s="2"/>
      <c r="G105" s="37" t="s">
        <v>449</v>
      </c>
      <c r="H105" s="37" t="s">
        <v>449</v>
      </c>
    </row>
    <row r="106" spans="1:8" x14ac:dyDescent="0.25">
      <c r="A106" s="37" t="s">
        <v>455</v>
      </c>
      <c r="B106" s="2"/>
      <c r="C106" s="2"/>
      <c r="D106" s="2"/>
      <c r="E106" s="2"/>
      <c r="F106" s="2"/>
      <c r="G106" s="37" t="s">
        <v>455</v>
      </c>
      <c r="H106" s="37" t="s">
        <v>455</v>
      </c>
    </row>
    <row r="107" spans="1:8" x14ac:dyDescent="0.25">
      <c r="A107" s="37" t="s">
        <v>456</v>
      </c>
      <c r="B107" s="2"/>
      <c r="C107" s="2"/>
      <c r="D107" s="2"/>
      <c r="E107" s="2"/>
      <c r="F107" s="2"/>
      <c r="G107" s="37" t="s">
        <v>456</v>
      </c>
      <c r="H107" s="37" t="s">
        <v>456</v>
      </c>
    </row>
    <row r="108" spans="1:8" x14ac:dyDescent="0.25">
      <c r="A108" s="37" t="s">
        <v>450</v>
      </c>
      <c r="B108" s="2"/>
      <c r="C108" s="2"/>
      <c r="D108" s="2"/>
      <c r="E108" s="2"/>
      <c r="F108" s="2"/>
      <c r="G108" s="37" t="s">
        <v>450</v>
      </c>
      <c r="H108" s="37" t="s">
        <v>450</v>
      </c>
    </row>
    <row r="109" spans="1:8" x14ac:dyDescent="0.25">
      <c r="A109" s="36" t="s">
        <v>369</v>
      </c>
      <c r="B109" s="2"/>
      <c r="C109" s="2"/>
      <c r="D109" s="2"/>
      <c r="E109" s="2"/>
      <c r="F109" s="2"/>
      <c r="G109" s="36" t="s">
        <v>369</v>
      </c>
      <c r="H109" s="36" t="s">
        <v>369</v>
      </c>
    </row>
    <row r="110" spans="1:8" x14ac:dyDescent="0.25">
      <c r="A110" s="37" t="s">
        <v>443</v>
      </c>
      <c r="B110" s="2"/>
      <c r="C110" s="2"/>
      <c r="D110" s="2"/>
      <c r="E110" s="2"/>
      <c r="F110" s="2"/>
      <c r="G110" s="37" t="s">
        <v>443</v>
      </c>
      <c r="H110" s="37" t="s">
        <v>443</v>
      </c>
    </row>
    <row r="111" spans="1:8" x14ac:dyDescent="0.25">
      <c r="A111" s="37" t="s">
        <v>451</v>
      </c>
      <c r="B111" s="2"/>
      <c r="C111" s="2"/>
      <c r="D111" s="2"/>
      <c r="E111" s="2"/>
      <c r="F111" s="2"/>
      <c r="G111" s="37" t="s">
        <v>451</v>
      </c>
      <c r="H111" s="37" t="s">
        <v>451</v>
      </c>
    </row>
    <row r="112" spans="1:8" x14ac:dyDescent="0.25">
      <c r="A112" s="37" t="s">
        <v>452</v>
      </c>
      <c r="B112" s="2"/>
      <c r="C112" s="2"/>
      <c r="D112" s="2"/>
      <c r="E112" s="2"/>
      <c r="F112" s="2"/>
      <c r="G112" s="37" t="s">
        <v>452</v>
      </c>
      <c r="H112" s="37" t="s">
        <v>452</v>
      </c>
    </row>
    <row r="113" spans="1:8" x14ac:dyDescent="0.25">
      <c r="A113" s="37" t="s">
        <v>453</v>
      </c>
      <c r="B113" s="2"/>
      <c r="C113" s="2"/>
      <c r="D113" s="2"/>
      <c r="E113" s="2"/>
      <c r="F113" s="2"/>
      <c r="G113" s="37" t="s">
        <v>453</v>
      </c>
      <c r="H113" s="37" t="s">
        <v>453</v>
      </c>
    </row>
    <row r="114" spans="1:8" x14ac:dyDescent="0.25">
      <c r="A114" s="37" t="s">
        <v>454</v>
      </c>
      <c r="B114" s="2"/>
      <c r="C114" s="2"/>
      <c r="D114" s="2"/>
      <c r="E114" s="2"/>
      <c r="F114" s="2"/>
      <c r="G114" s="37" t="s">
        <v>454</v>
      </c>
      <c r="H114" s="37" t="s">
        <v>454</v>
      </c>
    </row>
  </sheetData>
  <phoneticPr fontId="1" type="noConversion"/>
  <dataValidations count="1">
    <dataValidation type="list" showInputMessage="1" promptTitle="Langue" prompt="Choisir une langue" sqref="J1" xr:uid="{78F892A7-DFCF-4FDE-8C7A-64E82B5DBBA0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Q97"/>
  <sheetViews>
    <sheetView topLeftCell="A76" zoomScale="82" zoomScaleNormal="82" workbookViewId="0">
      <selection activeCell="E10" sqref="E10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10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198</v>
      </c>
      <c r="M3" t="s">
        <v>92</v>
      </c>
      <c r="N3" t="s">
        <v>111</v>
      </c>
      <c r="O3" t="s">
        <v>116</v>
      </c>
      <c r="P3" t="s">
        <v>108</v>
      </c>
      <c r="Q3" t="s">
        <v>324</v>
      </c>
    </row>
    <row r="4" spans="2:17" ht="30" x14ac:dyDescent="0.25">
      <c r="B4" s="14" t="s">
        <v>503</v>
      </c>
      <c r="C4" s="15" t="s">
        <v>113</v>
      </c>
      <c r="D4" s="15" t="s">
        <v>94</v>
      </c>
      <c r="E4" s="15" t="s">
        <v>137</v>
      </c>
      <c r="F4" s="15" t="s">
        <v>0</v>
      </c>
      <c r="G4" s="15" t="s">
        <v>98</v>
      </c>
      <c r="H4" s="15" t="s">
        <v>94</v>
      </c>
      <c r="I4" s="15" t="s">
        <v>93</v>
      </c>
      <c r="J4" s="15"/>
      <c r="K4" s="15"/>
      <c r="L4" s="15">
        <v>1</v>
      </c>
      <c r="M4" s="15" t="s">
        <v>94</v>
      </c>
      <c r="N4" s="15" t="s">
        <v>87</v>
      </c>
      <c r="O4" s="15" t="s">
        <v>177</v>
      </c>
      <c r="P4" s="15" t="s">
        <v>106</v>
      </c>
      <c r="Q4" s="15"/>
    </row>
    <row r="5" spans="2:17" x14ac:dyDescent="0.25">
      <c r="B5" s="15"/>
      <c r="C5" s="15"/>
      <c r="D5" s="15"/>
      <c r="E5" s="15"/>
      <c r="F5" s="15" t="s">
        <v>47</v>
      </c>
      <c r="G5" s="15" t="s">
        <v>101</v>
      </c>
      <c r="H5" s="15" t="s">
        <v>94</v>
      </c>
      <c r="I5" s="15" t="s">
        <v>73</v>
      </c>
      <c r="J5" s="15"/>
      <c r="K5" s="15"/>
      <c r="L5" s="15">
        <v>1</v>
      </c>
      <c r="M5" s="15" t="s">
        <v>96</v>
      </c>
      <c r="N5" s="15" t="s">
        <v>83</v>
      </c>
      <c r="O5" s="15" t="s">
        <v>178</v>
      </c>
      <c r="P5" s="15" t="s">
        <v>109</v>
      </c>
      <c r="Q5" s="15"/>
    </row>
    <row r="6" spans="2:17" x14ac:dyDescent="0.25">
      <c r="B6" s="15"/>
      <c r="C6" s="15"/>
      <c r="D6" s="15"/>
      <c r="E6" s="15"/>
      <c r="F6" s="15" t="s">
        <v>102</v>
      </c>
      <c r="G6" s="15" t="s">
        <v>101</v>
      </c>
      <c r="H6" s="15" t="s">
        <v>94</v>
      </c>
      <c r="I6" s="15" t="s">
        <v>103</v>
      </c>
      <c r="J6" s="15"/>
      <c r="K6" s="15"/>
      <c r="L6" s="15">
        <v>1</v>
      </c>
      <c r="M6" s="15" t="s">
        <v>96</v>
      </c>
      <c r="N6" s="15" t="s">
        <v>78</v>
      </c>
      <c r="O6" s="15" t="s">
        <v>178</v>
      </c>
      <c r="P6" s="15" t="s">
        <v>109</v>
      </c>
      <c r="Q6" s="15"/>
    </row>
    <row r="7" spans="2:17" x14ac:dyDescent="0.25">
      <c r="B7" s="15"/>
      <c r="C7" s="15"/>
      <c r="D7" s="15"/>
      <c r="E7" s="15"/>
      <c r="F7" s="15" t="s">
        <v>95</v>
      </c>
      <c r="G7" s="15" t="s">
        <v>99</v>
      </c>
      <c r="H7" s="15" t="s">
        <v>96</v>
      </c>
      <c r="I7" s="15" t="s">
        <v>74</v>
      </c>
      <c r="J7" s="15"/>
      <c r="K7" s="15" t="s">
        <v>156</v>
      </c>
      <c r="L7" s="15">
        <v>1</v>
      </c>
      <c r="M7" s="15" t="s">
        <v>96</v>
      </c>
      <c r="N7" s="15"/>
      <c r="O7" s="15"/>
      <c r="P7" s="15"/>
      <c r="Q7" s="15"/>
    </row>
    <row r="8" spans="2:17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</row>
    <row r="9" spans="2:17" ht="30" x14ac:dyDescent="0.25">
      <c r="B9" s="14" t="s">
        <v>502</v>
      </c>
      <c r="C9" s="15" t="s">
        <v>241</v>
      </c>
      <c r="D9" s="15" t="s">
        <v>94</v>
      </c>
      <c r="E9" s="16" t="s">
        <v>670</v>
      </c>
      <c r="F9" s="15" t="s">
        <v>197</v>
      </c>
      <c r="G9" s="15"/>
      <c r="H9" s="15"/>
      <c r="I9" s="15" t="s">
        <v>201</v>
      </c>
      <c r="J9" s="15"/>
      <c r="K9" s="15"/>
      <c r="L9" s="15">
        <v>1</v>
      </c>
      <c r="M9" s="15"/>
      <c r="N9" s="15" t="s">
        <v>134</v>
      </c>
      <c r="O9" s="15"/>
      <c r="P9" s="15" t="s">
        <v>106</v>
      </c>
      <c r="Q9" s="15"/>
    </row>
    <row r="10" spans="2:17" x14ac:dyDescent="0.25">
      <c r="B10" s="15"/>
      <c r="C10" s="15"/>
      <c r="D10" s="15"/>
      <c r="E10" s="15"/>
      <c r="F10" s="34" t="s">
        <v>193</v>
      </c>
      <c r="G10" s="34" t="s">
        <v>101</v>
      </c>
      <c r="H10" s="34" t="s">
        <v>94</v>
      </c>
      <c r="I10" s="33" t="s">
        <v>73</v>
      </c>
      <c r="J10" s="33" t="s">
        <v>370</v>
      </c>
      <c r="K10" s="34"/>
      <c r="L10" s="34">
        <v>2</v>
      </c>
      <c r="M10" s="34" t="s">
        <v>96</v>
      </c>
      <c r="N10" s="35"/>
      <c r="O10" s="35"/>
      <c r="P10" s="35"/>
      <c r="Q10" s="34" t="s">
        <v>252</v>
      </c>
    </row>
    <row r="11" spans="2:17" x14ac:dyDescent="0.25">
      <c r="B11" s="15"/>
      <c r="C11" s="15"/>
      <c r="D11" s="15"/>
      <c r="E11" s="15"/>
      <c r="F11" s="34" t="s">
        <v>194</v>
      </c>
      <c r="G11" s="34" t="s">
        <v>101</v>
      </c>
      <c r="H11" s="34" t="s">
        <v>94</v>
      </c>
      <c r="I11" s="33" t="s">
        <v>103</v>
      </c>
      <c r="J11" s="34" t="s">
        <v>371</v>
      </c>
      <c r="K11" s="34"/>
      <c r="L11" s="34">
        <v>2</v>
      </c>
      <c r="M11" s="34" t="s">
        <v>96</v>
      </c>
      <c r="N11" s="35"/>
      <c r="O11" s="35"/>
      <c r="P11" s="35"/>
      <c r="Q11" s="34" t="s">
        <v>283</v>
      </c>
    </row>
    <row r="12" spans="2:17" x14ac:dyDescent="0.25">
      <c r="B12" s="15"/>
      <c r="C12" s="15"/>
      <c r="D12" s="15"/>
      <c r="E12" s="15"/>
      <c r="F12" s="34" t="s">
        <v>195</v>
      </c>
      <c r="G12" s="34" t="s">
        <v>101</v>
      </c>
      <c r="H12" s="34" t="s">
        <v>94</v>
      </c>
      <c r="I12" s="33" t="s">
        <v>105</v>
      </c>
      <c r="J12" s="34" t="s">
        <v>372</v>
      </c>
      <c r="K12" s="34"/>
      <c r="L12" s="34">
        <v>2</v>
      </c>
      <c r="M12" s="34" t="s">
        <v>96</v>
      </c>
      <c r="N12" s="35"/>
      <c r="O12" s="35"/>
      <c r="P12" s="35"/>
      <c r="Q12" s="34" t="s">
        <v>284</v>
      </c>
    </row>
    <row r="13" spans="2:17" x14ac:dyDescent="0.25">
      <c r="B13" s="15"/>
      <c r="C13" s="15"/>
      <c r="D13" s="15"/>
      <c r="E13" s="15"/>
      <c r="F13" s="34" t="s">
        <v>382</v>
      </c>
      <c r="G13" s="34" t="s">
        <v>99</v>
      </c>
      <c r="H13" s="34" t="s">
        <v>94</v>
      </c>
      <c r="I13" s="34" t="s">
        <v>380</v>
      </c>
      <c r="J13" s="34"/>
      <c r="K13" s="33" t="s">
        <v>196</v>
      </c>
      <c r="L13" s="34">
        <v>2</v>
      </c>
      <c r="M13" s="34" t="s">
        <v>96</v>
      </c>
      <c r="N13" s="35"/>
      <c r="O13" s="35"/>
      <c r="P13" s="35"/>
      <c r="Q13" s="34" t="s">
        <v>285</v>
      </c>
    </row>
    <row r="14" spans="2:17" x14ac:dyDescent="0.25">
      <c r="B14" s="15"/>
      <c r="C14" s="15"/>
      <c r="D14" s="15"/>
      <c r="E14" s="15"/>
      <c r="F14" s="34" t="s">
        <v>383</v>
      </c>
      <c r="G14" s="34" t="s">
        <v>99</v>
      </c>
      <c r="H14" s="34" t="s">
        <v>94</v>
      </c>
      <c r="I14" s="34" t="s">
        <v>381</v>
      </c>
      <c r="J14" s="34"/>
      <c r="K14" s="33" t="s">
        <v>196</v>
      </c>
      <c r="L14" s="34">
        <v>2</v>
      </c>
      <c r="M14" s="34" t="s">
        <v>96</v>
      </c>
      <c r="N14" s="35"/>
      <c r="O14" s="35"/>
      <c r="P14" s="35"/>
      <c r="Q14" s="34" t="s">
        <v>286</v>
      </c>
    </row>
    <row r="15" spans="2:17" x14ac:dyDescent="0.25">
      <c r="B15" s="15"/>
      <c r="C15" s="15"/>
      <c r="D15" s="15"/>
      <c r="E15" s="15"/>
      <c r="F15" s="33" t="s">
        <v>197</v>
      </c>
      <c r="G15" s="33"/>
      <c r="H15" s="34"/>
      <c r="I15" s="33" t="s">
        <v>325</v>
      </c>
      <c r="J15" s="33"/>
      <c r="K15" s="33"/>
      <c r="L15" s="33">
        <v>2</v>
      </c>
      <c r="M15" s="34"/>
      <c r="N15" s="35"/>
      <c r="O15" s="35"/>
      <c r="P15" s="35"/>
      <c r="Q15" s="34"/>
    </row>
    <row r="16" spans="2:17" x14ac:dyDescent="0.25">
      <c r="B16" s="15"/>
      <c r="C16" s="15"/>
      <c r="D16" s="15"/>
      <c r="E16" s="15"/>
      <c r="F16" s="34" t="s">
        <v>384</v>
      </c>
      <c r="G16" s="34" t="s">
        <v>149</v>
      </c>
      <c r="H16" s="34" t="s">
        <v>96</v>
      </c>
      <c r="I16" s="34" t="s">
        <v>458</v>
      </c>
      <c r="J16" s="34"/>
      <c r="K16" s="34"/>
      <c r="L16" s="34">
        <v>3</v>
      </c>
      <c r="M16" s="34" t="s">
        <v>96</v>
      </c>
      <c r="N16" s="35"/>
      <c r="O16" s="35"/>
      <c r="P16" s="35"/>
      <c r="Q16" s="34" t="s">
        <v>254</v>
      </c>
    </row>
    <row r="17" spans="2:17" x14ac:dyDescent="0.25">
      <c r="B17" s="15"/>
      <c r="C17" s="15"/>
      <c r="D17" s="15"/>
      <c r="E17" s="15"/>
      <c r="F17" s="34" t="s">
        <v>385</v>
      </c>
      <c r="G17" s="34" t="s">
        <v>101</v>
      </c>
      <c r="H17" s="34" t="s">
        <v>96</v>
      </c>
      <c r="I17" s="34" t="s">
        <v>459</v>
      </c>
      <c r="J17" s="34" t="s">
        <v>373</v>
      </c>
      <c r="K17" s="34"/>
      <c r="L17" s="34">
        <v>3</v>
      </c>
      <c r="M17" s="34" t="s">
        <v>96</v>
      </c>
      <c r="N17" s="35"/>
      <c r="O17" s="35"/>
      <c r="P17" s="35"/>
      <c r="Q17" s="34" t="s">
        <v>255</v>
      </c>
    </row>
    <row r="18" spans="2:17" x14ac:dyDescent="0.25">
      <c r="B18" s="15"/>
      <c r="C18" s="15"/>
      <c r="D18" s="15"/>
      <c r="E18" s="15"/>
      <c r="F18" s="34" t="s">
        <v>386</v>
      </c>
      <c r="G18" s="34" t="s">
        <v>149</v>
      </c>
      <c r="H18" s="34" t="s">
        <v>96</v>
      </c>
      <c r="I18" s="34" t="s">
        <v>460</v>
      </c>
      <c r="J18" s="34"/>
      <c r="K18" s="34"/>
      <c r="L18" s="34">
        <v>3</v>
      </c>
      <c r="M18" s="34" t="s">
        <v>96</v>
      </c>
      <c r="N18" s="35"/>
      <c r="O18" s="35"/>
      <c r="P18" s="35"/>
      <c r="Q18" s="34" t="s">
        <v>256</v>
      </c>
    </row>
    <row r="19" spans="2:17" x14ac:dyDescent="0.25">
      <c r="B19" s="15"/>
      <c r="C19" s="15"/>
      <c r="D19" s="15"/>
      <c r="E19" s="15"/>
      <c r="F19" s="34" t="s">
        <v>387</v>
      </c>
      <c r="G19" s="34" t="s">
        <v>101</v>
      </c>
      <c r="H19" s="34" t="s">
        <v>96</v>
      </c>
      <c r="I19" s="34" t="s">
        <v>461</v>
      </c>
      <c r="J19" s="34" t="s">
        <v>373</v>
      </c>
      <c r="K19" s="34"/>
      <c r="L19" s="34">
        <v>3</v>
      </c>
      <c r="M19" s="34" t="s">
        <v>96</v>
      </c>
      <c r="N19" s="35"/>
      <c r="O19" s="35"/>
      <c r="P19" s="35"/>
      <c r="Q19" s="34" t="s">
        <v>257</v>
      </c>
    </row>
    <row r="20" spans="2:17" x14ac:dyDescent="0.25">
      <c r="B20" s="15"/>
      <c r="C20" s="15"/>
      <c r="D20" s="15"/>
      <c r="E20" s="15"/>
      <c r="F20" s="34" t="s">
        <v>388</v>
      </c>
      <c r="G20" s="34" t="s">
        <v>149</v>
      </c>
      <c r="H20" s="34" t="s">
        <v>96</v>
      </c>
      <c r="I20" s="34" t="s">
        <v>462</v>
      </c>
      <c r="J20" s="34"/>
      <c r="K20" s="34"/>
      <c r="L20" s="34">
        <v>3</v>
      </c>
      <c r="M20" s="34" t="s">
        <v>96</v>
      </c>
      <c r="N20" s="35"/>
      <c r="O20" s="35"/>
      <c r="P20" s="35"/>
      <c r="Q20" s="34" t="s">
        <v>258</v>
      </c>
    </row>
    <row r="21" spans="2:17" x14ac:dyDescent="0.25">
      <c r="B21" s="15"/>
      <c r="C21" s="15"/>
      <c r="D21" s="15"/>
      <c r="E21" s="15"/>
      <c r="F21" s="34" t="s">
        <v>389</v>
      </c>
      <c r="G21" s="34" t="s">
        <v>101</v>
      </c>
      <c r="H21" s="34" t="s">
        <v>96</v>
      </c>
      <c r="I21" s="34" t="s">
        <v>463</v>
      </c>
      <c r="J21" s="34" t="s">
        <v>374</v>
      </c>
      <c r="K21" s="34"/>
      <c r="L21" s="34">
        <v>3</v>
      </c>
      <c r="M21" s="34" t="s">
        <v>96</v>
      </c>
      <c r="N21" s="35"/>
      <c r="O21" s="35"/>
      <c r="P21" s="35"/>
      <c r="Q21" s="34" t="s">
        <v>259</v>
      </c>
    </row>
    <row r="22" spans="2:17" x14ac:dyDescent="0.25">
      <c r="B22" s="15"/>
      <c r="C22" s="15"/>
      <c r="D22" s="15"/>
      <c r="E22" s="15"/>
      <c r="F22" s="34" t="s">
        <v>390</v>
      </c>
      <c r="G22" s="34" t="s">
        <v>149</v>
      </c>
      <c r="H22" s="34" t="s">
        <v>96</v>
      </c>
      <c r="I22" s="34" t="s">
        <v>464</v>
      </c>
      <c r="J22" s="34"/>
      <c r="K22" s="34"/>
      <c r="L22" s="34">
        <v>3</v>
      </c>
      <c r="M22" s="34" t="s">
        <v>96</v>
      </c>
      <c r="N22" s="35"/>
      <c r="O22" s="35"/>
      <c r="P22" s="35"/>
      <c r="Q22" s="34" t="s">
        <v>260</v>
      </c>
    </row>
    <row r="23" spans="2:17" x14ac:dyDescent="0.25">
      <c r="B23" s="15"/>
      <c r="C23" s="15"/>
      <c r="D23" s="15"/>
      <c r="E23" s="15"/>
      <c r="F23" s="34" t="s">
        <v>391</v>
      </c>
      <c r="G23" s="34" t="s">
        <v>98</v>
      </c>
      <c r="H23" s="34" t="s">
        <v>96</v>
      </c>
      <c r="I23" s="34" t="s">
        <v>465</v>
      </c>
      <c r="J23" s="34"/>
      <c r="K23" s="34"/>
      <c r="L23" s="34">
        <v>3</v>
      </c>
      <c r="M23" s="34" t="s">
        <v>96</v>
      </c>
      <c r="N23" s="35"/>
      <c r="O23" s="35"/>
      <c r="P23" s="35"/>
      <c r="Q23" s="34" t="s">
        <v>261</v>
      </c>
    </row>
    <row r="24" spans="2:17" x14ac:dyDescent="0.25">
      <c r="B24" s="15"/>
      <c r="C24" s="15"/>
      <c r="D24" s="15"/>
      <c r="E24" s="15"/>
      <c r="F24" s="34" t="s">
        <v>392</v>
      </c>
      <c r="G24" s="34" t="s">
        <v>149</v>
      </c>
      <c r="H24" s="34" t="s">
        <v>96</v>
      </c>
      <c r="I24" s="34" t="s">
        <v>466</v>
      </c>
      <c r="J24" s="34"/>
      <c r="K24" s="34"/>
      <c r="L24" s="34">
        <v>3</v>
      </c>
      <c r="M24" s="34" t="s">
        <v>96</v>
      </c>
      <c r="N24" s="35"/>
      <c r="O24" s="35"/>
      <c r="P24" s="35"/>
      <c r="Q24" s="34" t="s">
        <v>262</v>
      </c>
    </row>
    <row r="25" spans="2:17" x14ac:dyDescent="0.25">
      <c r="B25" s="15"/>
      <c r="C25" s="15"/>
      <c r="D25" s="15"/>
      <c r="E25" s="15"/>
      <c r="F25" s="34" t="s">
        <v>393</v>
      </c>
      <c r="G25" s="34" t="s">
        <v>149</v>
      </c>
      <c r="H25" s="34" t="s">
        <v>96</v>
      </c>
      <c r="I25" s="34" t="s">
        <v>467</v>
      </c>
      <c r="J25" s="34"/>
      <c r="K25" s="34"/>
      <c r="L25" s="34">
        <v>3</v>
      </c>
      <c r="M25" s="34" t="s">
        <v>96</v>
      </c>
      <c r="N25" s="35"/>
      <c r="O25" s="35"/>
      <c r="P25" s="35"/>
      <c r="Q25" s="34" t="s">
        <v>263</v>
      </c>
    </row>
    <row r="26" spans="2:17" x14ac:dyDescent="0.25">
      <c r="B26" s="15"/>
      <c r="C26" s="15"/>
      <c r="D26" s="15"/>
      <c r="E26" s="15"/>
      <c r="F26" s="34" t="s">
        <v>394</v>
      </c>
      <c r="G26" s="34" t="s">
        <v>98</v>
      </c>
      <c r="H26" s="34" t="s">
        <v>96</v>
      </c>
      <c r="I26" s="34" t="s">
        <v>468</v>
      </c>
      <c r="J26" s="34" t="s">
        <v>375</v>
      </c>
      <c r="K26" s="34"/>
      <c r="L26" s="34">
        <v>3</v>
      </c>
      <c r="M26" s="34" t="s">
        <v>96</v>
      </c>
      <c r="N26" s="35"/>
      <c r="O26" s="35"/>
      <c r="P26" s="35"/>
      <c r="Q26" s="34" t="s">
        <v>264</v>
      </c>
    </row>
    <row r="27" spans="2:17" x14ac:dyDescent="0.25">
      <c r="B27" s="15"/>
      <c r="C27" s="15"/>
      <c r="D27" s="15"/>
      <c r="E27" s="15"/>
      <c r="F27" s="34" t="s">
        <v>395</v>
      </c>
      <c r="G27" s="34" t="s">
        <v>149</v>
      </c>
      <c r="H27" s="34" t="s">
        <v>96</v>
      </c>
      <c r="I27" s="34" t="s">
        <v>469</v>
      </c>
      <c r="J27" s="34"/>
      <c r="K27" s="34"/>
      <c r="L27" s="34">
        <v>3</v>
      </c>
      <c r="M27" s="34" t="s">
        <v>96</v>
      </c>
      <c r="N27" s="35"/>
      <c r="O27" s="35"/>
      <c r="P27" s="35"/>
      <c r="Q27" s="34" t="s">
        <v>265</v>
      </c>
    </row>
    <row r="28" spans="2:17" x14ac:dyDescent="0.25">
      <c r="B28" s="15"/>
      <c r="C28" s="15"/>
      <c r="D28" s="15"/>
      <c r="E28" s="15"/>
      <c r="F28" s="34" t="s">
        <v>396</v>
      </c>
      <c r="G28" s="34" t="s">
        <v>101</v>
      </c>
      <c r="H28" s="34" t="s">
        <v>96</v>
      </c>
      <c r="I28" s="34" t="s">
        <v>470</v>
      </c>
      <c r="J28" s="34" t="s">
        <v>376</v>
      </c>
      <c r="K28" s="34"/>
      <c r="L28" s="34">
        <v>3</v>
      </c>
      <c r="M28" s="34" t="s">
        <v>96</v>
      </c>
      <c r="N28" s="35"/>
      <c r="O28" s="35"/>
      <c r="P28" s="35"/>
      <c r="Q28" s="34" t="s">
        <v>266</v>
      </c>
    </row>
    <row r="29" spans="2:17" x14ac:dyDescent="0.25">
      <c r="B29" s="15"/>
      <c r="C29" s="15"/>
      <c r="D29" s="15"/>
      <c r="E29" s="15"/>
      <c r="F29" s="34" t="s">
        <v>397</v>
      </c>
      <c r="G29" s="34" t="s">
        <v>149</v>
      </c>
      <c r="H29" s="34" t="s">
        <v>96</v>
      </c>
      <c r="I29" s="34" t="s">
        <v>471</v>
      </c>
      <c r="J29" s="34"/>
      <c r="K29" s="34"/>
      <c r="L29" s="34">
        <v>3</v>
      </c>
      <c r="M29" s="34" t="s">
        <v>96</v>
      </c>
      <c r="N29" s="35"/>
      <c r="O29" s="35"/>
      <c r="P29" s="35"/>
      <c r="Q29" s="34" t="s">
        <v>267</v>
      </c>
    </row>
    <row r="30" spans="2:17" x14ac:dyDescent="0.25">
      <c r="B30" s="15"/>
      <c r="C30" s="15"/>
      <c r="D30" s="15"/>
      <c r="E30" s="15"/>
      <c r="F30" s="34" t="s">
        <v>398</v>
      </c>
      <c r="G30" s="34" t="s">
        <v>149</v>
      </c>
      <c r="H30" s="34" t="s">
        <v>96</v>
      </c>
      <c r="I30" s="34" t="s">
        <v>472</v>
      </c>
      <c r="J30" s="34"/>
      <c r="K30" s="34"/>
      <c r="L30" s="34">
        <v>3</v>
      </c>
      <c r="M30" s="34" t="s">
        <v>96</v>
      </c>
      <c r="N30" s="35"/>
      <c r="O30" s="35"/>
      <c r="P30" s="35"/>
      <c r="Q30" s="34" t="s">
        <v>268</v>
      </c>
    </row>
    <row r="31" spans="2:17" x14ac:dyDescent="0.25">
      <c r="B31" s="15"/>
      <c r="C31" s="15"/>
      <c r="D31" s="15"/>
      <c r="E31" s="15"/>
      <c r="F31" s="34" t="s">
        <v>399</v>
      </c>
      <c r="G31" s="34" t="s">
        <v>101</v>
      </c>
      <c r="H31" s="34" t="s">
        <v>96</v>
      </c>
      <c r="I31" s="34" t="s">
        <v>473</v>
      </c>
      <c r="J31" s="34" t="s">
        <v>370</v>
      </c>
      <c r="K31" s="34"/>
      <c r="L31" s="34">
        <v>3</v>
      </c>
      <c r="M31" s="34" t="s">
        <v>96</v>
      </c>
      <c r="N31" s="35"/>
      <c r="O31" s="35"/>
      <c r="P31" s="35"/>
      <c r="Q31" s="34" t="s">
        <v>269</v>
      </c>
    </row>
    <row r="32" spans="2:17" x14ac:dyDescent="0.25">
      <c r="B32" s="15"/>
      <c r="C32" s="15"/>
      <c r="D32" s="15"/>
      <c r="E32" s="15"/>
      <c r="F32" s="34" t="s">
        <v>400</v>
      </c>
      <c r="G32" s="34" t="s">
        <v>101</v>
      </c>
      <c r="H32" s="34" t="s">
        <v>96</v>
      </c>
      <c r="I32" s="34" t="s">
        <v>474</v>
      </c>
      <c r="J32" s="34"/>
      <c r="K32" s="34"/>
      <c r="L32" s="34">
        <v>3</v>
      </c>
      <c r="M32" s="34" t="s">
        <v>96</v>
      </c>
      <c r="N32" s="35"/>
      <c r="O32" s="35"/>
      <c r="P32" s="35"/>
      <c r="Q32" s="34" t="s">
        <v>270</v>
      </c>
    </row>
    <row r="33" spans="2:17" x14ac:dyDescent="0.25">
      <c r="B33" s="15"/>
      <c r="C33" s="15"/>
      <c r="D33" s="15"/>
      <c r="E33" s="15"/>
      <c r="F33" s="34" t="s">
        <v>401</v>
      </c>
      <c r="G33" s="34" t="s">
        <v>101</v>
      </c>
      <c r="H33" s="34" t="s">
        <v>96</v>
      </c>
      <c r="I33" s="34" t="s">
        <v>475</v>
      </c>
      <c r="J33" s="34"/>
      <c r="K33" s="34"/>
      <c r="L33" s="34">
        <v>3</v>
      </c>
      <c r="M33" s="34" t="s">
        <v>96</v>
      </c>
      <c r="N33" s="35"/>
      <c r="O33" s="35"/>
      <c r="P33" s="35"/>
      <c r="Q33" s="34" t="s">
        <v>271</v>
      </c>
    </row>
    <row r="34" spans="2:17" x14ac:dyDescent="0.25">
      <c r="B34" s="15"/>
      <c r="C34" s="15"/>
      <c r="D34" s="15"/>
      <c r="E34" s="15"/>
      <c r="F34" s="34" t="s">
        <v>402</v>
      </c>
      <c r="G34" s="34" t="s">
        <v>101</v>
      </c>
      <c r="H34" s="34" t="s">
        <v>96</v>
      </c>
      <c r="I34" s="34" t="s">
        <v>476</v>
      </c>
      <c r="J34" s="34"/>
      <c r="K34" s="34"/>
      <c r="L34" s="34">
        <v>3</v>
      </c>
      <c r="M34" s="34" t="s">
        <v>96</v>
      </c>
      <c r="N34" s="35"/>
      <c r="O34" s="35"/>
      <c r="P34" s="35"/>
      <c r="Q34" s="34" t="s">
        <v>272</v>
      </c>
    </row>
    <row r="35" spans="2:17" x14ac:dyDescent="0.25">
      <c r="B35" s="15"/>
      <c r="C35" s="15"/>
      <c r="D35" s="15"/>
      <c r="E35" s="15"/>
      <c r="F35" s="34" t="s">
        <v>403</v>
      </c>
      <c r="G35" s="34" t="s">
        <v>101</v>
      </c>
      <c r="H35" s="34" t="s">
        <v>96</v>
      </c>
      <c r="I35" s="34" t="s">
        <v>477</v>
      </c>
      <c r="J35" s="34"/>
      <c r="K35" s="34"/>
      <c r="L35" s="34">
        <v>3</v>
      </c>
      <c r="M35" s="34" t="s">
        <v>96</v>
      </c>
      <c r="N35" s="35"/>
      <c r="O35" s="35"/>
      <c r="P35" s="35"/>
      <c r="Q35" s="34" t="s">
        <v>273</v>
      </c>
    </row>
    <row r="36" spans="2:17" x14ac:dyDescent="0.25">
      <c r="B36" s="15"/>
      <c r="C36" s="15"/>
      <c r="D36" s="15"/>
      <c r="E36" s="15"/>
      <c r="F36" s="33" t="s">
        <v>197</v>
      </c>
      <c r="G36" s="33"/>
      <c r="H36" s="34"/>
      <c r="I36" s="33" t="s">
        <v>326</v>
      </c>
      <c r="J36" s="33"/>
      <c r="K36" s="33"/>
      <c r="L36" s="33">
        <v>2</v>
      </c>
      <c r="M36" s="34"/>
      <c r="N36" s="35"/>
      <c r="O36" s="35"/>
      <c r="P36" s="35"/>
      <c r="Q36" s="34"/>
    </row>
    <row r="37" spans="2:17" x14ac:dyDescent="0.25">
      <c r="B37" s="15"/>
      <c r="C37" s="15"/>
      <c r="D37" s="15"/>
      <c r="E37" s="15"/>
      <c r="F37" s="34" t="s">
        <v>404</v>
      </c>
      <c r="G37" s="34" t="s">
        <v>99</v>
      </c>
      <c r="H37" s="34" t="s">
        <v>96</v>
      </c>
      <c r="I37" s="33" t="s">
        <v>148</v>
      </c>
      <c r="J37" s="34"/>
      <c r="K37" s="33" t="s">
        <v>196</v>
      </c>
      <c r="L37" s="34">
        <v>3</v>
      </c>
      <c r="M37" s="34" t="s">
        <v>96</v>
      </c>
      <c r="N37" s="35"/>
      <c r="O37" s="35"/>
      <c r="P37" s="35"/>
      <c r="Q37" s="34" t="s">
        <v>274</v>
      </c>
    </row>
    <row r="38" spans="2:17" x14ac:dyDescent="0.25">
      <c r="B38" s="15"/>
      <c r="C38" s="15"/>
      <c r="D38" s="15"/>
      <c r="E38" s="15"/>
      <c r="F38" s="34" t="s">
        <v>405</v>
      </c>
      <c r="G38" s="34" t="s">
        <v>149</v>
      </c>
      <c r="H38" s="34" t="s">
        <v>96</v>
      </c>
      <c r="I38" s="33" t="s">
        <v>180</v>
      </c>
      <c r="J38" s="34"/>
      <c r="K38" s="34"/>
      <c r="L38" s="34">
        <v>3</v>
      </c>
      <c r="M38" s="34" t="s">
        <v>96</v>
      </c>
      <c r="N38" s="35"/>
      <c r="O38" s="35"/>
      <c r="P38" s="35"/>
      <c r="Q38" s="34" t="s">
        <v>138</v>
      </c>
    </row>
    <row r="39" spans="2:17" x14ac:dyDescent="0.25">
      <c r="B39" s="15"/>
      <c r="C39" s="15"/>
      <c r="D39" s="15"/>
      <c r="E39" s="15"/>
      <c r="F39" s="33" t="s">
        <v>197</v>
      </c>
      <c r="G39" s="33"/>
      <c r="H39" s="34"/>
      <c r="I39" s="33" t="s">
        <v>327</v>
      </c>
      <c r="J39" s="33"/>
      <c r="K39" s="33"/>
      <c r="L39" s="33">
        <v>3</v>
      </c>
      <c r="M39" s="34"/>
      <c r="N39" s="35"/>
      <c r="O39" s="35"/>
      <c r="P39" s="35"/>
      <c r="Q39" s="34"/>
    </row>
    <row r="40" spans="2:17" x14ac:dyDescent="0.25">
      <c r="B40" s="15"/>
      <c r="C40" s="15"/>
      <c r="D40" s="15"/>
      <c r="E40" s="15"/>
      <c r="F40" s="34" t="s">
        <v>406</v>
      </c>
      <c r="G40" s="34" t="s">
        <v>149</v>
      </c>
      <c r="H40" s="34" t="s">
        <v>96</v>
      </c>
      <c r="I40" s="34" t="s">
        <v>415</v>
      </c>
      <c r="J40" s="34"/>
      <c r="K40" s="34"/>
      <c r="L40" s="34">
        <v>4</v>
      </c>
      <c r="M40" s="34" t="s">
        <v>96</v>
      </c>
      <c r="N40" s="35"/>
      <c r="O40" s="35"/>
      <c r="P40" s="35"/>
      <c r="Q40" s="34" t="s">
        <v>275</v>
      </c>
    </row>
    <row r="41" spans="2:17" x14ac:dyDescent="0.25">
      <c r="B41" s="15"/>
      <c r="C41" s="15"/>
      <c r="D41" s="15"/>
      <c r="E41" s="15"/>
      <c r="F41" s="34" t="s">
        <v>407</v>
      </c>
      <c r="G41" s="34" t="s">
        <v>149</v>
      </c>
      <c r="H41" s="34" t="s">
        <v>96</v>
      </c>
      <c r="I41" s="34" t="s">
        <v>416</v>
      </c>
      <c r="J41" s="34"/>
      <c r="K41" s="34"/>
      <c r="L41" s="34">
        <v>4</v>
      </c>
      <c r="M41" s="34" t="s">
        <v>96</v>
      </c>
      <c r="N41" s="35"/>
      <c r="O41" s="35"/>
      <c r="P41" s="35"/>
      <c r="Q41" s="34" t="s">
        <v>276</v>
      </c>
    </row>
    <row r="42" spans="2:17" x14ac:dyDescent="0.25">
      <c r="B42" s="15"/>
      <c r="C42" s="15"/>
      <c r="D42" s="15"/>
      <c r="E42" s="15"/>
      <c r="F42" s="34" t="s">
        <v>408</v>
      </c>
      <c r="G42" s="34" t="s">
        <v>149</v>
      </c>
      <c r="H42" s="34" t="s">
        <v>96</v>
      </c>
      <c r="I42" s="34" t="s">
        <v>417</v>
      </c>
      <c r="J42" s="34"/>
      <c r="K42" s="34"/>
      <c r="L42" s="34">
        <v>4</v>
      </c>
      <c r="M42" s="34" t="s">
        <v>96</v>
      </c>
      <c r="N42" s="35"/>
      <c r="O42" s="35"/>
      <c r="P42" s="35"/>
      <c r="Q42" s="34" t="s">
        <v>277</v>
      </c>
    </row>
    <row r="43" spans="2:17" x14ac:dyDescent="0.25">
      <c r="B43" s="15"/>
      <c r="C43" s="15"/>
      <c r="D43" s="15"/>
      <c r="E43" s="15"/>
      <c r="F43" s="34" t="s">
        <v>409</v>
      </c>
      <c r="G43" s="34" t="s">
        <v>98</v>
      </c>
      <c r="H43" s="34" t="s">
        <v>96</v>
      </c>
      <c r="I43" s="34" t="s">
        <v>418</v>
      </c>
      <c r="J43" s="34"/>
      <c r="K43" s="34"/>
      <c r="L43" s="34">
        <v>4</v>
      </c>
      <c r="M43" s="34" t="s">
        <v>96</v>
      </c>
      <c r="N43" s="35"/>
      <c r="O43" s="35"/>
      <c r="P43" s="35"/>
      <c r="Q43" s="34" t="s">
        <v>278</v>
      </c>
    </row>
    <row r="44" spans="2:17" x14ac:dyDescent="0.25">
      <c r="B44" s="15"/>
      <c r="C44" s="15"/>
      <c r="D44" s="15"/>
      <c r="E44" s="15"/>
      <c r="F44" s="33" t="s">
        <v>197</v>
      </c>
      <c r="G44" s="33"/>
      <c r="H44" s="34"/>
      <c r="I44" s="33" t="s">
        <v>328</v>
      </c>
      <c r="J44" s="33"/>
      <c r="K44" s="33"/>
      <c r="L44" s="33">
        <v>3</v>
      </c>
      <c r="M44" s="34"/>
      <c r="N44" s="35"/>
      <c r="O44" s="35"/>
      <c r="P44" s="35"/>
      <c r="Q44" s="34"/>
    </row>
    <row r="45" spans="2:17" x14ac:dyDescent="0.25">
      <c r="B45" s="15"/>
      <c r="C45" s="15"/>
      <c r="D45" s="15"/>
      <c r="E45" s="15"/>
      <c r="F45" s="34" t="s">
        <v>410</v>
      </c>
      <c r="G45" s="34" t="s">
        <v>149</v>
      </c>
      <c r="H45" s="34" t="s">
        <v>96</v>
      </c>
      <c r="I45" s="34" t="s">
        <v>419</v>
      </c>
      <c r="J45" s="34"/>
      <c r="K45" s="34"/>
      <c r="L45" s="34">
        <v>4</v>
      </c>
      <c r="M45" s="34" t="s">
        <v>96</v>
      </c>
      <c r="N45" s="35"/>
      <c r="O45" s="35"/>
      <c r="P45" s="35"/>
      <c r="Q45" s="34" t="s">
        <v>279</v>
      </c>
    </row>
    <row r="46" spans="2:17" x14ac:dyDescent="0.25">
      <c r="B46" s="15"/>
      <c r="C46" s="15"/>
      <c r="D46" s="15"/>
      <c r="E46" s="15"/>
      <c r="F46" s="34" t="s">
        <v>411</v>
      </c>
      <c r="G46" s="34" t="s">
        <v>149</v>
      </c>
      <c r="H46" s="34" t="s">
        <v>96</v>
      </c>
      <c r="I46" s="34" t="s">
        <v>420</v>
      </c>
      <c r="J46" s="34"/>
      <c r="K46" s="34"/>
      <c r="L46" s="34">
        <v>4</v>
      </c>
      <c r="M46" s="34" t="s">
        <v>96</v>
      </c>
      <c r="N46" s="35"/>
      <c r="O46" s="35"/>
      <c r="P46" s="35"/>
      <c r="Q46" s="34" t="s">
        <v>280</v>
      </c>
    </row>
    <row r="47" spans="2:17" x14ac:dyDescent="0.25">
      <c r="B47" s="15"/>
      <c r="C47" s="15"/>
      <c r="D47" s="15"/>
      <c r="E47" s="15"/>
      <c r="F47" s="34" t="s">
        <v>412</v>
      </c>
      <c r="G47" s="34" t="s">
        <v>149</v>
      </c>
      <c r="H47" s="34" t="s">
        <v>96</v>
      </c>
      <c r="I47" s="34" t="s">
        <v>421</v>
      </c>
      <c r="J47" s="34"/>
      <c r="K47" s="34"/>
      <c r="L47" s="34">
        <v>4</v>
      </c>
      <c r="M47" s="34" t="s">
        <v>96</v>
      </c>
      <c r="N47" s="35"/>
      <c r="O47" s="35"/>
      <c r="P47" s="35"/>
      <c r="Q47" s="34" t="s">
        <v>281</v>
      </c>
    </row>
    <row r="48" spans="2:17" x14ac:dyDescent="0.25">
      <c r="B48" s="15"/>
      <c r="C48" s="15"/>
      <c r="D48" s="15"/>
      <c r="E48" s="15"/>
      <c r="F48" s="34" t="s">
        <v>413</v>
      </c>
      <c r="G48" s="34" t="s">
        <v>98</v>
      </c>
      <c r="H48" s="34" t="s">
        <v>96</v>
      </c>
      <c r="I48" s="34" t="s">
        <v>422</v>
      </c>
      <c r="J48" s="34"/>
      <c r="K48" s="34"/>
      <c r="L48" s="34">
        <v>4</v>
      </c>
      <c r="M48" s="34" t="s">
        <v>96</v>
      </c>
      <c r="N48" s="35"/>
      <c r="O48" s="35"/>
      <c r="P48" s="35"/>
      <c r="Q48" s="34" t="s">
        <v>282</v>
      </c>
    </row>
    <row r="49" spans="2:17" x14ac:dyDescent="0.25">
      <c r="B49" s="15"/>
      <c r="C49" s="15"/>
      <c r="D49" s="15"/>
      <c r="E49" s="15"/>
      <c r="F49" s="33" t="s">
        <v>197</v>
      </c>
      <c r="G49" s="33"/>
      <c r="H49" s="34"/>
      <c r="I49" s="33" t="s">
        <v>329</v>
      </c>
      <c r="J49" s="33"/>
      <c r="K49" s="33"/>
      <c r="L49" s="33">
        <v>2</v>
      </c>
      <c r="M49" s="34"/>
      <c r="N49" s="35"/>
      <c r="O49" s="35"/>
      <c r="P49" s="35"/>
      <c r="Q49" s="34"/>
    </row>
    <row r="50" spans="2:17" x14ac:dyDescent="0.25">
      <c r="B50" s="15"/>
      <c r="C50" s="15"/>
      <c r="D50" s="15"/>
      <c r="E50" s="15"/>
      <c r="F50" s="33" t="s">
        <v>197</v>
      </c>
      <c r="G50" s="33"/>
      <c r="H50" s="34"/>
      <c r="I50" s="33" t="s">
        <v>146</v>
      </c>
      <c r="J50" s="33"/>
      <c r="K50" s="33"/>
      <c r="L50" s="33">
        <v>1</v>
      </c>
      <c r="M50" s="34"/>
      <c r="N50" s="35"/>
      <c r="O50" s="35"/>
      <c r="P50" s="35"/>
      <c r="Q50" s="34"/>
    </row>
    <row r="51" spans="2:17" x14ac:dyDescent="0.25">
      <c r="B51" s="15"/>
      <c r="C51" s="15"/>
      <c r="D51" s="15"/>
      <c r="E51" s="15"/>
      <c r="F51" s="34" t="s">
        <v>181</v>
      </c>
      <c r="G51" s="34" t="s">
        <v>101</v>
      </c>
      <c r="H51" s="34" t="s">
        <v>94</v>
      </c>
      <c r="I51" s="33" t="s">
        <v>199</v>
      </c>
      <c r="J51" s="34" t="s">
        <v>377</v>
      </c>
      <c r="K51" s="34"/>
      <c r="L51" s="34">
        <v>2</v>
      </c>
      <c r="M51" s="34" t="s">
        <v>96</v>
      </c>
      <c r="N51" s="35"/>
      <c r="O51" s="35"/>
      <c r="P51" s="35"/>
      <c r="Q51" s="34" t="s">
        <v>287</v>
      </c>
    </row>
    <row r="52" spans="2:17" x14ac:dyDescent="0.25">
      <c r="B52" s="15"/>
      <c r="C52" s="15"/>
      <c r="D52" s="15"/>
      <c r="E52" s="15"/>
      <c r="F52" s="34" t="s">
        <v>330</v>
      </c>
      <c r="G52" s="34" t="s">
        <v>101</v>
      </c>
      <c r="H52" s="34" t="s">
        <v>94</v>
      </c>
      <c r="I52" s="33" t="s">
        <v>147</v>
      </c>
      <c r="J52" s="34" t="s">
        <v>378</v>
      </c>
      <c r="K52" s="34"/>
      <c r="L52" s="34">
        <v>2</v>
      </c>
      <c r="M52" s="34" t="s">
        <v>96</v>
      </c>
      <c r="N52" s="35"/>
      <c r="O52" s="35"/>
      <c r="P52" s="35"/>
      <c r="Q52" s="34" t="s">
        <v>288</v>
      </c>
    </row>
    <row r="53" spans="2:17" x14ac:dyDescent="0.25">
      <c r="B53" s="15"/>
      <c r="C53" s="15"/>
      <c r="D53" s="15"/>
      <c r="E53" s="15"/>
      <c r="F53" s="34" t="s">
        <v>331</v>
      </c>
      <c r="G53" s="34" t="s">
        <v>101</v>
      </c>
      <c r="H53" s="34" t="s">
        <v>94</v>
      </c>
      <c r="I53" s="34" t="s">
        <v>423</v>
      </c>
      <c r="J53" s="34" t="s">
        <v>379</v>
      </c>
      <c r="K53" s="34"/>
      <c r="L53" s="34">
        <v>2</v>
      </c>
      <c r="M53" s="34" t="s">
        <v>96</v>
      </c>
      <c r="N53" s="35"/>
      <c r="O53" s="35"/>
      <c r="P53" s="35"/>
      <c r="Q53" s="34" t="s">
        <v>289</v>
      </c>
    </row>
    <row r="54" spans="2:17" x14ac:dyDescent="0.25">
      <c r="B54" s="15"/>
      <c r="C54" s="15"/>
      <c r="D54" s="15"/>
      <c r="E54" s="15"/>
      <c r="F54" s="34" t="s">
        <v>332</v>
      </c>
      <c r="G54" s="34" t="s">
        <v>101</v>
      </c>
      <c r="H54" s="34" t="s">
        <v>94</v>
      </c>
      <c r="I54" s="34" t="s">
        <v>424</v>
      </c>
      <c r="J54" s="34" t="s">
        <v>379</v>
      </c>
      <c r="K54" s="34"/>
      <c r="L54" s="34">
        <v>2</v>
      </c>
      <c r="M54" s="34" t="s">
        <v>96</v>
      </c>
      <c r="N54" s="35"/>
      <c r="O54" s="35"/>
      <c r="P54" s="35"/>
      <c r="Q54" s="34" t="s">
        <v>290</v>
      </c>
    </row>
    <row r="55" spans="2:17" x14ac:dyDescent="0.25">
      <c r="B55" s="15"/>
      <c r="C55" s="15"/>
      <c r="D55" s="15"/>
      <c r="E55" s="15"/>
      <c r="F55" s="33" t="s">
        <v>197</v>
      </c>
      <c r="G55" s="33"/>
      <c r="H55" s="34"/>
      <c r="I55" s="33" t="s">
        <v>366</v>
      </c>
      <c r="J55" s="33"/>
      <c r="K55" s="33"/>
      <c r="L55" s="33">
        <v>2</v>
      </c>
      <c r="M55" s="34"/>
      <c r="N55" s="35"/>
      <c r="O55" s="35"/>
      <c r="P55" s="35"/>
      <c r="Q55" s="34"/>
    </row>
    <row r="56" spans="2:17" x14ac:dyDescent="0.25">
      <c r="B56" s="15"/>
      <c r="C56" s="15"/>
      <c r="D56" s="15"/>
      <c r="E56" s="15"/>
      <c r="F56" s="34" t="s">
        <v>333</v>
      </c>
      <c r="G56" s="34" t="s">
        <v>149</v>
      </c>
      <c r="H56" s="34" t="s">
        <v>96</v>
      </c>
      <c r="I56" s="34" t="s">
        <v>425</v>
      </c>
      <c r="J56" s="34"/>
      <c r="K56" s="34"/>
      <c r="L56" s="34">
        <v>3</v>
      </c>
      <c r="M56" s="34" t="s">
        <v>96</v>
      </c>
      <c r="N56" s="35"/>
      <c r="O56" s="35"/>
      <c r="P56" s="35"/>
      <c r="Q56" s="34" t="s">
        <v>291</v>
      </c>
    </row>
    <row r="57" spans="2:17" x14ac:dyDescent="0.25">
      <c r="B57" s="15"/>
      <c r="C57" s="15"/>
      <c r="D57" s="15"/>
      <c r="E57" s="15"/>
      <c r="F57" s="34" t="s">
        <v>334</v>
      </c>
      <c r="G57" s="34" t="s">
        <v>101</v>
      </c>
      <c r="H57" s="34" t="s">
        <v>96</v>
      </c>
      <c r="I57" s="34" t="s">
        <v>444</v>
      </c>
      <c r="J57" s="34" t="s">
        <v>373</v>
      </c>
      <c r="K57" s="34"/>
      <c r="L57" s="34">
        <v>3</v>
      </c>
      <c r="M57" s="34" t="s">
        <v>96</v>
      </c>
      <c r="N57" s="35"/>
      <c r="O57" s="35"/>
      <c r="P57" s="35"/>
      <c r="Q57" s="34" t="s">
        <v>292</v>
      </c>
    </row>
    <row r="58" spans="2:17" x14ac:dyDescent="0.25">
      <c r="B58" s="15"/>
      <c r="C58" s="15"/>
      <c r="D58" s="15"/>
      <c r="E58" s="15"/>
      <c r="F58" s="34" t="s">
        <v>335</v>
      </c>
      <c r="G58" s="34" t="s">
        <v>149</v>
      </c>
      <c r="H58" s="34" t="s">
        <v>96</v>
      </c>
      <c r="I58" s="34" t="s">
        <v>426</v>
      </c>
      <c r="J58" s="34"/>
      <c r="K58" s="34"/>
      <c r="L58" s="34">
        <v>3</v>
      </c>
      <c r="M58" s="34" t="s">
        <v>96</v>
      </c>
      <c r="N58" s="35"/>
      <c r="O58" s="35"/>
      <c r="P58" s="35"/>
      <c r="Q58" s="34" t="s">
        <v>293</v>
      </c>
    </row>
    <row r="59" spans="2:17" x14ac:dyDescent="0.25">
      <c r="B59" s="15"/>
      <c r="C59" s="15"/>
      <c r="D59" s="15"/>
      <c r="E59" s="15"/>
      <c r="F59" s="34" t="s">
        <v>336</v>
      </c>
      <c r="G59" s="34" t="s">
        <v>101</v>
      </c>
      <c r="H59" s="34" t="s">
        <v>96</v>
      </c>
      <c r="I59" s="34" t="s">
        <v>457</v>
      </c>
      <c r="J59" s="34" t="s">
        <v>373</v>
      </c>
      <c r="K59" s="34"/>
      <c r="L59" s="34">
        <v>3</v>
      </c>
      <c r="M59" s="34" t="s">
        <v>96</v>
      </c>
      <c r="N59" s="35"/>
      <c r="O59" s="35"/>
      <c r="P59" s="35"/>
      <c r="Q59" s="34" t="s">
        <v>294</v>
      </c>
    </row>
    <row r="60" spans="2:17" x14ac:dyDescent="0.25">
      <c r="B60" s="15"/>
      <c r="C60" s="15"/>
      <c r="D60" s="15"/>
      <c r="E60" s="15"/>
      <c r="F60" s="34" t="s">
        <v>337</v>
      </c>
      <c r="G60" s="34" t="s">
        <v>149</v>
      </c>
      <c r="H60" s="34" t="s">
        <v>96</v>
      </c>
      <c r="I60" s="34" t="s">
        <v>427</v>
      </c>
      <c r="J60" s="34"/>
      <c r="K60" s="34"/>
      <c r="L60" s="34">
        <v>3</v>
      </c>
      <c r="M60" s="34" t="s">
        <v>96</v>
      </c>
      <c r="N60" s="35"/>
      <c r="O60" s="35"/>
      <c r="P60" s="35"/>
      <c r="Q60" s="34" t="s">
        <v>295</v>
      </c>
    </row>
    <row r="61" spans="2:17" x14ac:dyDescent="0.25">
      <c r="B61" s="15"/>
      <c r="C61" s="15"/>
      <c r="D61" s="15"/>
      <c r="E61" s="15"/>
      <c r="F61" s="34" t="s">
        <v>338</v>
      </c>
      <c r="G61" s="34" t="s">
        <v>101</v>
      </c>
      <c r="H61" s="34" t="s">
        <v>96</v>
      </c>
      <c r="I61" s="34" t="s">
        <v>445</v>
      </c>
      <c r="J61" s="34" t="s">
        <v>374</v>
      </c>
      <c r="K61" s="34"/>
      <c r="L61" s="34">
        <v>3</v>
      </c>
      <c r="M61" s="34" t="s">
        <v>96</v>
      </c>
      <c r="N61" s="35"/>
      <c r="O61" s="35"/>
      <c r="P61" s="35"/>
      <c r="Q61" s="34" t="s">
        <v>296</v>
      </c>
    </row>
    <row r="62" spans="2:17" x14ac:dyDescent="0.25">
      <c r="B62" s="15"/>
      <c r="C62" s="15"/>
      <c r="D62" s="15"/>
      <c r="E62" s="15"/>
      <c r="F62" s="34" t="s">
        <v>339</v>
      </c>
      <c r="G62" s="34" t="s">
        <v>149</v>
      </c>
      <c r="H62" s="34" t="s">
        <v>96</v>
      </c>
      <c r="I62" s="34" t="s">
        <v>428</v>
      </c>
      <c r="J62" s="34"/>
      <c r="K62" s="34"/>
      <c r="L62" s="34">
        <v>3</v>
      </c>
      <c r="M62" s="34" t="s">
        <v>96</v>
      </c>
      <c r="N62" s="35"/>
      <c r="O62" s="35"/>
      <c r="P62" s="35"/>
      <c r="Q62" s="34" t="s">
        <v>297</v>
      </c>
    </row>
    <row r="63" spans="2:17" x14ac:dyDescent="0.25">
      <c r="B63" s="15"/>
      <c r="C63" s="15"/>
      <c r="D63" s="15"/>
      <c r="E63" s="15"/>
      <c r="F63" s="34" t="s">
        <v>340</v>
      </c>
      <c r="G63" s="34" t="s">
        <v>98</v>
      </c>
      <c r="H63" s="34" t="s">
        <v>96</v>
      </c>
      <c r="I63" s="34" t="s">
        <v>429</v>
      </c>
      <c r="J63" s="34"/>
      <c r="K63" s="34"/>
      <c r="L63" s="34">
        <v>3</v>
      </c>
      <c r="M63" s="34" t="s">
        <v>96</v>
      </c>
      <c r="N63" s="35"/>
      <c r="O63" s="35"/>
      <c r="P63" s="35"/>
      <c r="Q63" s="34" t="s">
        <v>298</v>
      </c>
    </row>
    <row r="64" spans="2:17" x14ac:dyDescent="0.25">
      <c r="B64" s="15"/>
      <c r="C64" s="15"/>
      <c r="D64" s="15"/>
      <c r="E64" s="15"/>
      <c r="F64" s="34" t="s">
        <v>341</v>
      </c>
      <c r="G64" s="34" t="s">
        <v>149</v>
      </c>
      <c r="H64" s="34" t="s">
        <v>96</v>
      </c>
      <c r="I64" s="34" t="s">
        <v>430</v>
      </c>
      <c r="J64" s="34"/>
      <c r="K64" s="34"/>
      <c r="L64" s="34">
        <v>3</v>
      </c>
      <c r="M64" s="34" t="s">
        <v>96</v>
      </c>
      <c r="N64" s="35"/>
      <c r="O64" s="35"/>
      <c r="P64" s="35"/>
      <c r="Q64" s="34" t="s">
        <v>299</v>
      </c>
    </row>
    <row r="65" spans="2:17" x14ac:dyDescent="0.25">
      <c r="B65" s="15"/>
      <c r="C65" s="15"/>
      <c r="D65" s="15"/>
      <c r="E65" s="15"/>
      <c r="F65" s="34" t="s">
        <v>342</v>
      </c>
      <c r="G65" s="34" t="s">
        <v>149</v>
      </c>
      <c r="H65" s="34" t="s">
        <v>96</v>
      </c>
      <c r="I65" s="34" t="s">
        <v>431</v>
      </c>
      <c r="J65" s="34"/>
      <c r="K65" s="34"/>
      <c r="L65" s="34">
        <v>3</v>
      </c>
      <c r="M65" s="34" t="s">
        <v>96</v>
      </c>
      <c r="N65" s="35"/>
      <c r="O65" s="35"/>
      <c r="P65" s="35"/>
      <c r="Q65" s="34" t="s">
        <v>300</v>
      </c>
    </row>
    <row r="66" spans="2:17" x14ac:dyDescent="0.25">
      <c r="B66" s="15"/>
      <c r="C66" s="15"/>
      <c r="D66" s="15"/>
      <c r="E66" s="15"/>
      <c r="F66" s="34" t="s">
        <v>343</v>
      </c>
      <c r="G66" s="34" t="s">
        <v>98</v>
      </c>
      <c r="H66" s="34" t="s">
        <v>96</v>
      </c>
      <c r="I66" s="34" t="s">
        <v>446</v>
      </c>
      <c r="J66" s="34" t="s">
        <v>375</v>
      </c>
      <c r="K66" s="34"/>
      <c r="L66" s="34">
        <v>3</v>
      </c>
      <c r="M66" s="34" t="s">
        <v>96</v>
      </c>
      <c r="N66" s="35"/>
      <c r="O66" s="35"/>
      <c r="P66" s="35"/>
      <c r="Q66" s="34" t="s">
        <v>301</v>
      </c>
    </row>
    <row r="67" spans="2:17" x14ac:dyDescent="0.25">
      <c r="B67" s="15"/>
      <c r="C67" s="15"/>
      <c r="D67" s="15"/>
      <c r="E67" s="15"/>
      <c r="F67" s="34" t="s">
        <v>344</v>
      </c>
      <c r="G67" s="34" t="s">
        <v>149</v>
      </c>
      <c r="H67" s="34" t="s">
        <v>96</v>
      </c>
      <c r="I67" s="34" t="s">
        <v>432</v>
      </c>
      <c r="J67" s="34"/>
      <c r="K67" s="34"/>
      <c r="L67" s="34">
        <v>3</v>
      </c>
      <c r="M67" s="34" t="s">
        <v>96</v>
      </c>
      <c r="N67" s="35"/>
      <c r="O67" s="35"/>
      <c r="P67" s="35"/>
      <c r="Q67" s="34" t="s">
        <v>302</v>
      </c>
    </row>
    <row r="68" spans="2:17" x14ac:dyDescent="0.25">
      <c r="B68" s="15"/>
      <c r="C68" s="15"/>
      <c r="D68" s="15"/>
      <c r="E68" s="15"/>
      <c r="F68" s="34" t="s">
        <v>345</v>
      </c>
      <c r="G68" s="34" t="s">
        <v>101</v>
      </c>
      <c r="H68" s="34" t="s">
        <v>96</v>
      </c>
      <c r="I68" s="34" t="s">
        <v>447</v>
      </c>
      <c r="J68" s="34" t="s">
        <v>376</v>
      </c>
      <c r="K68" s="34"/>
      <c r="L68" s="34">
        <v>3</v>
      </c>
      <c r="M68" s="34" t="s">
        <v>96</v>
      </c>
      <c r="N68" s="35"/>
      <c r="O68" s="35"/>
      <c r="P68" s="35"/>
      <c r="Q68" s="34" t="s">
        <v>303</v>
      </c>
    </row>
    <row r="69" spans="2:17" x14ac:dyDescent="0.25">
      <c r="B69" s="15"/>
      <c r="C69" s="15"/>
      <c r="D69" s="15"/>
      <c r="E69" s="15"/>
      <c r="F69" s="34" t="s">
        <v>346</v>
      </c>
      <c r="G69" s="34" t="s">
        <v>149</v>
      </c>
      <c r="H69" s="34" t="s">
        <v>96</v>
      </c>
      <c r="I69" s="34" t="s">
        <v>433</v>
      </c>
      <c r="J69" s="34"/>
      <c r="K69" s="34"/>
      <c r="L69" s="34">
        <v>3</v>
      </c>
      <c r="M69" s="34" t="s">
        <v>96</v>
      </c>
      <c r="N69" s="35"/>
      <c r="O69" s="35"/>
      <c r="P69" s="35"/>
      <c r="Q69" s="34" t="s">
        <v>304</v>
      </c>
    </row>
    <row r="70" spans="2:17" x14ac:dyDescent="0.25">
      <c r="B70" s="15"/>
      <c r="C70" s="15"/>
      <c r="D70" s="15"/>
      <c r="E70" s="15"/>
      <c r="F70" s="34" t="s">
        <v>347</v>
      </c>
      <c r="G70" s="34" t="s">
        <v>149</v>
      </c>
      <c r="H70" s="34" t="s">
        <v>96</v>
      </c>
      <c r="I70" s="34" t="s">
        <v>434</v>
      </c>
      <c r="J70" s="34"/>
      <c r="K70" s="34"/>
      <c r="L70" s="34">
        <v>3</v>
      </c>
      <c r="M70" s="34" t="s">
        <v>96</v>
      </c>
      <c r="N70" s="35"/>
      <c r="O70" s="35"/>
      <c r="P70" s="35"/>
      <c r="Q70" s="34" t="s">
        <v>305</v>
      </c>
    </row>
    <row r="71" spans="2:17" x14ac:dyDescent="0.25">
      <c r="B71" s="15"/>
      <c r="C71" s="15"/>
      <c r="D71" s="15"/>
      <c r="E71" s="15"/>
      <c r="F71" s="34" t="s">
        <v>348</v>
      </c>
      <c r="G71" s="34" t="s">
        <v>101</v>
      </c>
      <c r="H71" s="34" t="s">
        <v>96</v>
      </c>
      <c r="I71" s="34" t="s">
        <v>448</v>
      </c>
      <c r="J71" s="34" t="s">
        <v>370</v>
      </c>
      <c r="K71" s="34"/>
      <c r="L71" s="34">
        <v>3</v>
      </c>
      <c r="M71" s="34" t="s">
        <v>96</v>
      </c>
      <c r="N71" s="35"/>
      <c r="O71" s="35"/>
      <c r="P71" s="35"/>
      <c r="Q71" s="34" t="s">
        <v>306</v>
      </c>
    </row>
    <row r="72" spans="2:17" x14ac:dyDescent="0.25">
      <c r="B72" s="15"/>
      <c r="C72" s="15"/>
      <c r="D72" s="15"/>
      <c r="E72" s="15"/>
      <c r="F72" s="34" t="s">
        <v>349</v>
      </c>
      <c r="G72" s="34" t="s">
        <v>101</v>
      </c>
      <c r="H72" s="34" t="s">
        <v>96</v>
      </c>
      <c r="I72" s="34" t="s">
        <v>435</v>
      </c>
      <c r="J72" s="34"/>
      <c r="K72" s="34"/>
      <c r="L72" s="34">
        <v>3</v>
      </c>
      <c r="M72" s="34" t="s">
        <v>96</v>
      </c>
      <c r="N72" s="35"/>
      <c r="O72" s="35"/>
      <c r="P72" s="35"/>
      <c r="Q72" s="34" t="s">
        <v>307</v>
      </c>
    </row>
    <row r="73" spans="2:17" x14ac:dyDescent="0.25">
      <c r="B73" s="15"/>
      <c r="C73" s="15"/>
      <c r="D73" s="15"/>
      <c r="E73" s="15"/>
      <c r="F73" s="34" t="s">
        <v>350</v>
      </c>
      <c r="G73" s="34" t="s">
        <v>101</v>
      </c>
      <c r="H73" s="34" t="s">
        <v>96</v>
      </c>
      <c r="I73" s="34" t="s">
        <v>436</v>
      </c>
      <c r="J73" s="34"/>
      <c r="K73" s="34"/>
      <c r="L73" s="34">
        <v>3</v>
      </c>
      <c r="M73" s="34" t="s">
        <v>96</v>
      </c>
      <c r="N73" s="35"/>
      <c r="O73" s="35"/>
      <c r="P73" s="35"/>
      <c r="Q73" s="34" t="s">
        <v>308</v>
      </c>
    </row>
    <row r="74" spans="2:17" x14ac:dyDescent="0.25">
      <c r="B74" s="15"/>
      <c r="C74" s="15"/>
      <c r="D74" s="15"/>
      <c r="E74" s="15"/>
      <c r="F74" s="34" t="s">
        <v>351</v>
      </c>
      <c r="G74" s="34" t="s">
        <v>101</v>
      </c>
      <c r="H74" s="34" t="s">
        <v>96</v>
      </c>
      <c r="I74" s="34" t="s">
        <v>437</v>
      </c>
      <c r="J74" s="34"/>
      <c r="K74" s="34"/>
      <c r="L74" s="34">
        <v>3</v>
      </c>
      <c r="M74" s="34" t="s">
        <v>96</v>
      </c>
      <c r="N74" s="35"/>
      <c r="O74" s="35"/>
      <c r="P74" s="35"/>
      <c r="Q74" s="34" t="s">
        <v>309</v>
      </c>
    </row>
    <row r="75" spans="2:17" x14ac:dyDescent="0.25">
      <c r="B75" s="15"/>
      <c r="C75" s="15"/>
      <c r="D75" s="15"/>
      <c r="E75" s="15"/>
      <c r="F75" s="34" t="s">
        <v>352</v>
      </c>
      <c r="G75" s="34" t="s">
        <v>101</v>
      </c>
      <c r="H75" s="34" t="s">
        <v>96</v>
      </c>
      <c r="I75" s="34" t="s">
        <v>438</v>
      </c>
      <c r="J75" s="34"/>
      <c r="K75" s="34"/>
      <c r="L75" s="34">
        <v>3</v>
      </c>
      <c r="M75" s="34" t="s">
        <v>96</v>
      </c>
      <c r="N75" s="35"/>
      <c r="O75" s="35"/>
      <c r="P75" s="35"/>
      <c r="Q75" s="34" t="s">
        <v>310</v>
      </c>
    </row>
    <row r="76" spans="2:17" x14ac:dyDescent="0.25">
      <c r="B76" s="15"/>
      <c r="C76" s="15"/>
      <c r="D76" s="15"/>
      <c r="E76" s="15"/>
      <c r="F76" s="33" t="s">
        <v>197</v>
      </c>
      <c r="G76" s="33"/>
      <c r="H76" s="34"/>
      <c r="I76" s="33" t="s">
        <v>367</v>
      </c>
      <c r="J76" s="33"/>
      <c r="K76" s="33"/>
      <c r="L76" s="33">
        <v>2</v>
      </c>
      <c r="M76" s="34"/>
      <c r="N76" s="35"/>
      <c r="O76" s="35"/>
      <c r="P76" s="35"/>
      <c r="Q76" s="34"/>
    </row>
    <row r="77" spans="2:17" x14ac:dyDescent="0.25">
      <c r="B77" s="15"/>
      <c r="C77" s="15"/>
      <c r="D77" s="15"/>
      <c r="E77" s="15"/>
      <c r="F77" s="34" t="s">
        <v>353</v>
      </c>
      <c r="G77" s="34" t="s">
        <v>149</v>
      </c>
      <c r="H77" s="34" t="s">
        <v>96</v>
      </c>
      <c r="I77" s="34" t="s">
        <v>439</v>
      </c>
      <c r="J77" s="34"/>
      <c r="K77" s="34"/>
      <c r="L77" s="34">
        <v>3</v>
      </c>
      <c r="M77" s="34" t="s">
        <v>96</v>
      </c>
      <c r="N77" s="35"/>
      <c r="O77" s="35"/>
      <c r="P77" s="35"/>
      <c r="Q77" s="34" t="s">
        <v>311</v>
      </c>
    </row>
    <row r="78" spans="2:17" x14ac:dyDescent="0.25">
      <c r="B78" s="15"/>
      <c r="C78" s="15"/>
      <c r="D78" s="15"/>
      <c r="E78" s="15"/>
      <c r="F78" s="34" t="s">
        <v>354</v>
      </c>
      <c r="G78" s="34" t="s">
        <v>99</v>
      </c>
      <c r="H78" s="34" t="s">
        <v>96</v>
      </c>
      <c r="I78" s="34" t="s">
        <v>440</v>
      </c>
      <c r="J78" s="34"/>
      <c r="K78" s="33" t="s">
        <v>196</v>
      </c>
      <c r="L78" s="34">
        <v>3</v>
      </c>
      <c r="M78" s="34" t="s">
        <v>96</v>
      </c>
      <c r="N78" s="35"/>
      <c r="O78" s="35"/>
      <c r="P78" s="35"/>
      <c r="Q78" s="34" t="s">
        <v>312</v>
      </c>
    </row>
    <row r="79" spans="2:17" x14ac:dyDescent="0.25">
      <c r="B79" s="15"/>
      <c r="C79" s="15"/>
      <c r="D79" s="15"/>
      <c r="E79" s="15"/>
      <c r="F79" s="34" t="s">
        <v>355</v>
      </c>
      <c r="G79" s="34" t="s">
        <v>149</v>
      </c>
      <c r="H79" s="34" t="s">
        <v>96</v>
      </c>
      <c r="I79" s="34" t="s">
        <v>441</v>
      </c>
      <c r="J79" s="34"/>
      <c r="K79" s="34"/>
      <c r="L79" s="34">
        <v>3</v>
      </c>
      <c r="M79" s="34" t="s">
        <v>96</v>
      </c>
      <c r="N79" s="35"/>
      <c r="O79" s="35"/>
      <c r="P79" s="35"/>
      <c r="Q79" s="34" t="s">
        <v>313</v>
      </c>
    </row>
    <row r="80" spans="2:17" x14ac:dyDescent="0.25">
      <c r="B80" s="15"/>
      <c r="C80" s="15"/>
      <c r="D80" s="15"/>
      <c r="E80" s="15"/>
      <c r="F80" s="33" t="s">
        <v>197</v>
      </c>
      <c r="G80" s="33"/>
      <c r="H80" s="34"/>
      <c r="I80" s="33" t="s">
        <v>368</v>
      </c>
      <c r="J80" s="33"/>
      <c r="K80" s="33"/>
      <c r="L80" s="33">
        <v>3</v>
      </c>
      <c r="M80" s="34"/>
      <c r="N80" s="35"/>
      <c r="O80" s="35"/>
      <c r="P80" s="35"/>
      <c r="Q80" s="34"/>
    </row>
    <row r="81" spans="2:17" x14ac:dyDescent="0.25">
      <c r="B81" s="15"/>
      <c r="C81" s="15"/>
      <c r="D81" s="15"/>
      <c r="E81" s="15"/>
      <c r="F81" s="34" t="s">
        <v>356</v>
      </c>
      <c r="G81" s="34" t="s">
        <v>149</v>
      </c>
      <c r="H81" s="34" t="s">
        <v>96</v>
      </c>
      <c r="I81" s="34" t="s">
        <v>442</v>
      </c>
      <c r="J81" s="34"/>
      <c r="K81" s="34"/>
      <c r="L81" s="34">
        <v>4</v>
      </c>
      <c r="M81" s="34" t="s">
        <v>96</v>
      </c>
      <c r="N81" s="35"/>
      <c r="O81" s="35"/>
      <c r="P81" s="35"/>
      <c r="Q81" s="34" t="s">
        <v>314</v>
      </c>
    </row>
    <row r="82" spans="2:17" x14ac:dyDescent="0.25">
      <c r="B82" s="15"/>
      <c r="C82" s="15"/>
      <c r="D82" s="15"/>
      <c r="E82" s="15"/>
      <c r="F82" s="34" t="s">
        <v>357</v>
      </c>
      <c r="G82" s="34" t="s">
        <v>149</v>
      </c>
      <c r="H82" s="34" t="s">
        <v>96</v>
      </c>
      <c r="I82" s="34" t="s">
        <v>449</v>
      </c>
      <c r="J82" s="34"/>
      <c r="K82" s="34"/>
      <c r="L82" s="34">
        <v>4</v>
      </c>
      <c r="M82" s="34" t="s">
        <v>96</v>
      </c>
      <c r="N82" s="35"/>
      <c r="O82" s="35"/>
      <c r="P82" s="35"/>
      <c r="Q82" s="34" t="s">
        <v>315</v>
      </c>
    </row>
    <row r="83" spans="2:17" x14ac:dyDescent="0.25">
      <c r="B83" s="15"/>
      <c r="C83" s="15"/>
      <c r="D83" s="15"/>
      <c r="E83" s="15"/>
      <c r="F83" s="34" t="s">
        <v>358</v>
      </c>
      <c r="G83" s="34" t="s">
        <v>149</v>
      </c>
      <c r="H83" s="34" t="s">
        <v>96</v>
      </c>
      <c r="I83" s="34" t="s">
        <v>455</v>
      </c>
      <c r="J83" s="34"/>
      <c r="K83" s="34"/>
      <c r="L83" s="34">
        <v>4</v>
      </c>
      <c r="M83" s="34" t="s">
        <v>96</v>
      </c>
      <c r="N83" s="35"/>
      <c r="O83" s="35"/>
      <c r="P83" s="35"/>
      <c r="Q83" s="34" t="s">
        <v>316</v>
      </c>
    </row>
    <row r="84" spans="2:17" x14ac:dyDescent="0.25">
      <c r="B84" s="15"/>
      <c r="C84" s="15"/>
      <c r="D84" s="15"/>
      <c r="E84" s="15"/>
      <c r="F84" s="34" t="s">
        <v>359</v>
      </c>
      <c r="G84" s="34" t="s">
        <v>149</v>
      </c>
      <c r="H84" s="34" t="s">
        <v>96</v>
      </c>
      <c r="I84" s="34" t="s">
        <v>456</v>
      </c>
      <c r="J84" s="34"/>
      <c r="K84" s="34"/>
      <c r="L84" s="34">
        <v>4</v>
      </c>
      <c r="M84" s="34" t="s">
        <v>96</v>
      </c>
      <c r="N84" s="35"/>
      <c r="O84" s="35"/>
      <c r="P84" s="35"/>
      <c r="Q84" s="34" t="s">
        <v>317</v>
      </c>
    </row>
    <row r="85" spans="2:17" x14ac:dyDescent="0.25">
      <c r="B85" s="15"/>
      <c r="C85" s="15"/>
      <c r="D85" s="15"/>
      <c r="E85" s="15"/>
      <c r="F85" s="34" t="s">
        <v>360</v>
      </c>
      <c r="G85" s="34" t="s">
        <v>98</v>
      </c>
      <c r="H85" s="34" t="s">
        <v>96</v>
      </c>
      <c r="I85" s="34" t="s">
        <v>450</v>
      </c>
      <c r="J85" s="34"/>
      <c r="K85" s="34"/>
      <c r="L85" s="34">
        <v>4</v>
      </c>
      <c r="M85" s="34" t="s">
        <v>96</v>
      </c>
      <c r="N85" s="35"/>
      <c r="O85" s="35"/>
      <c r="P85" s="35"/>
      <c r="Q85" s="34" t="s">
        <v>318</v>
      </c>
    </row>
    <row r="86" spans="2:17" x14ac:dyDescent="0.25">
      <c r="B86" s="15"/>
      <c r="C86" s="15"/>
      <c r="D86" s="15"/>
      <c r="E86" s="15"/>
      <c r="F86" s="33" t="s">
        <v>197</v>
      </c>
      <c r="G86" s="33"/>
      <c r="H86" s="34"/>
      <c r="I86" s="33" t="s">
        <v>369</v>
      </c>
      <c r="J86" s="33"/>
      <c r="K86" s="33"/>
      <c r="L86" s="33">
        <v>3</v>
      </c>
      <c r="M86" s="34"/>
      <c r="N86" s="35"/>
      <c r="O86" s="35"/>
      <c r="P86" s="35"/>
      <c r="Q86" s="34"/>
    </row>
    <row r="87" spans="2:17" x14ac:dyDescent="0.25">
      <c r="B87" s="15"/>
      <c r="C87" s="15"/>
      <c r="D87" s="15"/>
      <c r="E87" s="15"/>
      <c r="F87" s="34" t="s">
        <v>361</v>
      </c>
      <c r="G87" s="34" t="s">
        <v>149</v>
      </c>
      <c r="H87" s="34" t="s">
        <v>96</v>
      </c>
      <c r="I87" s="34" t="s">
        <v>443</v>
      </c>
      <c r="J87" s="34"/>
      <c r="K87" s="34"/>
      <c r="L87" s="34">
        <v>4</v>
      </c>
      <c r="M87" s="34" t="s">
        <v>96</v>
      </c>
      <c r="N87" s="35"/>
      <c r="O87" s="35"/>
      <c r="P87" s="35"/>
      <c r="Q87" s="34" t="s">
        <v>319</v>
      </c>
    </row>
    <row r="88" spans="2:17" x14ac:dyDescent="0.25">
      <c r="B88" s="15"/>
      <c r="C88" s="15"/>
      <c r="D88" s="15"/>
      <c r="E88" s="15"/>
      <c r="F88" s="34" t="s">
        <v>362</v>
      </c>
      <c r="G88" s="34" t="s">
        <v>149</v>
      </c>
      <c r="H88" s="34" t="s">
        <v>96</v>
      </c>
      <c r="I88" s="34" t="s">
        <v>451</v>
      </c>
      <c r="J88" s="34"/>
      <c r="K88" s="34"/>
      <c r="L88" s="34">
        <v>4</v>
      </c>
      <c r="M88" s="34" t="s">
        <v>96</v>
      </c>
      <c r="N88" s="35"/>
      <c r="O88" s="35"/>
      <c r="P88" s="35"/>
      <c r="Q88" s="34" t="s">
        <v>320</v>
      </c>
    </row>
    <row r="89" spans="2:17" x14ac:dyDescent="0.25">
      <c r="B89" s="15"/>
      <c r="C89" s="15"/>
      <c r="D89" s="15"/>
      <c r="E89" s="15"/>
      <c r="F89" s="34" t="s">
        <v>363</v>
      </c>
      <c r="G89" s="34" t="s">
        <v>149</v>
      </c>
      <c r="H89" s="34" t="s">
        <v>96</v>
      </c>
      <c r="I89" s="34" t="s">
        <v>452</v>
      </c>
      <c r="J89" s="34"/>
      <c r="K89" s="34"/>
      <c r="L89" s="34">
        <v>4</v>
      </c>
      <c r="M89" s="34" t="s">
        <v>96</v>
      </c>
      <c r="N89" s="35"/>
      <c r="O89" s="35"/>
      <c r="P89" s="35"/>
      <c r="Q89" s="34" t="s">
        <v>321</v>
      </c>
    </row>
    <row r="90" spans="2:17" x14ac:dyDescent="0.25">
      <c r="B90" s="15"/>
      <c r="C90" s="15"/>
      <c r="D90" s="15"/>
      <c r="E90" s="15"/>
      <c r="F90" s="34" t="s">
        <v>364</v>
      </c>
      <c r="G90" s="34" t="s">
        <v>149</v>
      </c>
      <c r="H90" s="34" t="s">
        <v>96</v>
      </c>
      <c r="I90" s="34" t="s">
        <v>453</v>
      </c>
      <c r="J90" s="34"/>
      <c r="K90" s="34"/>
      <c r="L90" s="34">
        <v>4</v>
      </c>
      <c r="M90" s="34" t="s">
        <v>96</v>
      </c>
      <c r="N90" s="35"/>
      <c r="O90" s="35"/>
      <c r="P90" s="35"/>
      <c r="Q90" s="34" t="s">
        <v>322</v>
      </c>
    </row>
    <row r="91" spans="2:17" x14ac:dyDescent="0.25">
      <c r="B91" s="15"/>
      <c r="C91" s="15"/>
      <c r="D91" s="15"/>
      <c r="E91" s="15"/>
      <c r="F91" s="34" t="s">
        <v>365</v>
      </c>
      <c r="G91" s="34" t="s">
        <v>98</v>
      </c>
      <c r="H91" s="34" t="s">
        <v>96</v>
      </c>
      <c r="I91" s="34" t="s">
        <v>454</v>
      </c>
      <c r="J91" s="34"/>
      <c r="K91" s="34"/>
      <c r="L91" s="34">
        <v>4</v>
      </c>
      <c r="M91" s="34" t="s">
        <v>96</v>
      </c>
      <c r="N91" s="35"/>
      <c r="O91" s="35"/>
      <c r="P91" s="35"/>
      <c r="Q91" s="34" t="s">
        <v>323</v>
      </c>
    </row>
    <row r="97" spans="2:17" x14ac:dyDescent="0.25">
      <c r="B97" s="15"/>
      <c r="C97" s="15"/>
      <c r="D97" s="15"/>
      <c r="E97" s="15"/>
      <c r="F97" s="34" t="s">
        <v>414</v>
      </c>
      <c r="G97" s="34" t="s">
        <v>101</v>
      </c>
      <c r="H97" s="34" t="s">
        <v>96</v>
      </c>
      <c r="I97" s="34" t="s">
        <v>514</v>
      </c>
      <c r="J97" s="34"/>
      <c r="K97" s="34"/>
      <c r="L97" s="34">
        <v>3</v>
      </c>
      <c r="M97" s="34" t="s">
        <v>96</v>
      </c>
      <c r="N97" s="35"/>
      <c r="O97" s="35"/>
      <c r="P97" s="35"/>
      <c r="Q97" s="34" t="s">
        <v>513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9</vt:i4>
      </vt:variant>
    </vt:vector>
  </HeadingPairs>
  <TitlesOfParts>
    <vt:vector size="17" baseType="lpstr">
      <vt:lpstr>Liste des reportings</vt:lpstr>
      <vt:lpstr>A - 2003.12</vt:lpstr>
      <vt:lpstr>A - 2000.12</vt:lpstr>
      <vt:lpstr>CACHE</vt:lpstr>
      <vt:lpstr>Planning</vt:lpstr>
      <vt:lpstr>History</vt:lpstr>
      <vt:lpstr>I18N</vt:lpstr>
      <vt:lpstr>JSON</vt:lpstr>
      <vt:lpstr>cell_JSON_Param</vt:lpstr>
      <vt:lpstr>cellLanguage</vt:lpstr>
      <vt:lpstr>lCategory</vt:lpstr>
      <vt:lpstr>lCategoryVersion</vt:lpstr>
      <vt:lpstr>lFolders</vt:lpstr>
      <vt:lpstr>tReporting52428888___RF_Save</vt:lpstr>
      <vt:lpstr>tReporting79___RF_Save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2021-03-01T22:06:38Z</dcterms:modified>
</cp:coreProperties>
</file>