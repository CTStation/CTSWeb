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76015809-7804-4D17-8AFE-871E94ACAFF6}" xr6:coauthVersionLast="46" xr6:coauthVersionMax="46" xr10:uidLastSave="{00000000-0000-0000-0000-000000000000}"/>
  <bookViews>
    <workbookView xWindow="-120" yWindow="-120" windowWidth="29040" windowHeight="17640" tabRatio="723" activeTab="5" xr2:uid="{00000000-000D-0000-FFFF-FFFF00000000}"/>
  </bookViews>
  <sheets>
    <sheet name="Reporting List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</sheets>
  <functionGroups builtInGroupCount="19"/>
  <definedNames>
    <definedName name="_xlnm._FilterDatabase" localSheetId="0" hidden="1">'Reporting List'!$C$10:$E$14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79___RF_Save">#REF!</definedName>
    <definedName name="tReporting84___RF_Save">#REF!</definedName>
    <definedName name="tReportingNew10___RF_Save">#REF!</definedName>
    <definedName name="tReportingNew11___RF_Save">#REF!</definedName>
    <definedName name="tReportingNew12___RF_Save">#REF!</definedName>
    <definedName name="tReportingNew13___RF_Save">#REF!</definedName>
    <definedName name="tReportingNew14___RF_Save">#REF!</definedName>
    <definedName name="tReportingNew5___RF_Save">#REF!</definedName>
    <definedName name="tReportingNew8___RF_Save">#REF!</definedName>
    <definedName name="tReportings____ROWS_">'Reporting List'!$H$14:$I$25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5" i="4" l="1"/>
  <c r="F11" i="6"/>
  <c r="I25" i="6"/>
  <c r="I23" i="6"/>
  <c r="I21" i="6"/>
  <c r="I19" i="6"/>
  <c r="I17" i="6"/>
  <c r="I15" i="6"/>
  <c r="H20" i="6"/>
  <c r="H25" i="6"/>
  <c r="H23" i="6"/>
  <c r="H21" i="6"/>
  <c r="H19" i="6"/>
  <c r="H17" i="6"/>
  <c r="H15" i="6"/>
  <c r="H18" i="6"/>
  <c r="I24" i="6"/>
  <c r="I22" i="6"/>
  <c r="I20" i="6"/>
  <c r="I18" i="6"/>
  <c r="I16" i="6"/>
  <c r="H24" i="6"/>
  <c r="H22" i="6"/>
  <c r="H16" i="6"/>
  <c r="I14" i="6"/>
  <c r="H14" i="6"/>
  <c r="F12" i="6"/>
  <c r="E12" i="6"/>
  <c r="D12" i="6"/>
  <c r="C12" i="6"/>
  <c r="D10" i="6"/>
  <c r="I55" i="4" l="1"/>
  <c r="H55" i="4"/>
  <c r="F55" i="4" l="1"/>
  <c r="G55" i="4"/>
  <c r="D55" i="4"/>
  <c r="B55" i="4" s="1"/>
  <c r="C55" i="4"/>
  <c r="I4" i="6" a="1"/>
  <c r="I4" i="6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<sst xmlns="http://schemas.openxmlformats.org/spreadsheetml/2006/main" count="1108" uniqueCount="545">
  <si>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</si>
  <si>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</si>
  <si>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</si>
  <si>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</si>
  <si>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</si>
  <si>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</si>
  <si>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</si>
  <si>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</si>
  <si>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</si>
  <si>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</si>
  <si>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</si>
  <si>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</si>
  <si>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</si>
  <si>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</si>
  <si>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</si>
  <si>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</si>
  <si>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</si>
  <si>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</si>
  <si>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</si>
  <si>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</si>
  <si>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</si>
  <si>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</si>
  <si>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</si>
  <si>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</si>
  <si>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</si>
  <si>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</si>
  <si>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</si>
  <si>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</si>
  <si>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</si>
  <si>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</si>
  <si>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</si>
  <si>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</si>
  <si>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</si>
  <si>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</si>
  <si>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</si>
  <si>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</si>
  <si>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</si>
  <si>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</si>
  <si>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</si>
  <si>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</si>
  <si>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</si>
  <si>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</si>
  <si>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</si>
  <si>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</si>
  <si>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</si>
  <si>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</si>
  <si>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</si>
  <si>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</si>
  <si>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</si>
  <si>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</si>
  <si>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</si>
  <si>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</si>
  <si>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</si>
  <si>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</si>
  <si>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</si>
  <si>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</si>
  <si>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</si>
  <si>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</si>
  <si>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</si>
  <si>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</si>
  <si>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</si>
  <si>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</si>
  <si>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</si>
  <si>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</si>
  <si>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</si>
  <si>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</si>
  <si>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</si>
  <si>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</si>
  <si>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</si>
  <si>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</si>
  <si>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</si>
  <si>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</si>
  <si>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</si>
  <si>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</si>
  <si>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</si>
  <si>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</si>
  <si>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</si>
  <si>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</si>
  <si>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</si>
  <si>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</si>
  <si>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</si>
  <si>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</si>
  <si>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</si>
  <si>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</si>
  <si>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</si>
  <si>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</si>
  <si>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</si>
  <si>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</si>
  <si>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</si>
  <si>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</si>
  <si>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</si>
  <si>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</si>
  <si>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</si>
  <si>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</si>
  <si>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</si>
  <si>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</si>
  <si>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</si>
  <si>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</si>
  <si>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</si>
  <si>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</si>
  <si>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</si>
  <si>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</si>
  <si>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</si>
  <si>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</si>
  <si>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</si>
  <si>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</si>
  <si>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</si>
  <si>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</si>
  <si>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</si>
  <si>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</si>
  <si>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</si>
  <si>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</si>
  <si>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</si>
  <si>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</si>
  <si>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</si>
  <si>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</si>
  <si>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</si>
  <si>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</si>
  <si>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</si>
  <si>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</si>
  <si>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</si>
  <si>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</si>
  <si>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</si>
  <si>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</si>
  <si>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</si>
  <si>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</si>
  <si>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</si>
  <si>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</si>
  <si>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</si>
  <si>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</si>
  <si>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</si>
  <si>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</si>
  <si>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</si>
  <si>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</si>
  <si>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</si>
  <si>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</si>
  <si>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</si>
  <si>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</si>
  <si>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</si>
  <si>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</si>
  <si>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</si>
  <si>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</si>
  <si>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</si>
  <si>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</si>
  <si>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</si>
  <si>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</si>
  <si>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</si>
  <si>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</si>
  <si>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</si>
  <si>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</si>
  <si>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</si>
  <si>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</si>
  <si>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</si>
  <si>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</si>
  <si>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</si>
  <si>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</si>
  <si>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</si>
  <si>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</si>
  <si>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</si>
  <si>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</si>
  <si>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</si>
  <si>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</si>
  <si>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</si>
  <si>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</si>
  <si>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</si>
  <si>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</si>
  <si>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</si>
  <si>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</si>
  <si>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</si>
  <si>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</si>
  <si>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</si>
  <si>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</si>
  <si>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</si>
  <si>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</si>
  <si>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</si>
  <si>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</si>
  <si>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</si>
  <si>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</si>
  <si>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</si>
  <si>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</si>
  <si>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</si>
  <si>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</si>
  <si>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</si>
  <si>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</si>
  <si>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</si>
  <si>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</si>
  <si>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</si>
  <si>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</si>
  <si>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</si>
  <si>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</si>
  <si>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</si>
  <si>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</si>
  <si>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</si>
  <si>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</si>
  <si>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</si>
  <si>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</si>
  <si>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</si>
  <si>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</si>
  <si>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</si>
  <si>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</si>
  <si>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</si>
  <si>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</si>
  <si>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</si>
  <si>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</si>
  <si>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</si>
  <si>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</si>
  <si>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</si>
  <si>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</si>
  <si>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</si>
  <si>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</si>
  <si>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</si>
  <si>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</si>
  <si>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</si>
  <si>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</si>
  <si>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</si>
  <si>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</si>
  <si>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</si>
  <si>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</si>
  <si>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</si>
  <si>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</si>
  <si>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</si>
  <si>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</si>
  <si>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</si>
  <si>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</si>
  <si>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</si>
  <si>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</si>
  <si>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</si>
  <si>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</si>
  <si>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</si>
  <si>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</si>
  <si>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</si>
  <si>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</si>
  <si>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</si>
  <si>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</si>
  <si>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</si>
  <si>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</si>
  <si>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</si>
  <si>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</si>
  <si>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</si>
  <si>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</si>
  <si>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79</t>
  </si>
  <si>
    <t>2003.12</t>
  </si>
  <si>
    <t>77</t>
  </si>
  <si>
    <t>2004.12</t>
  </si>
  <si>
    <t>55</t>
  </si>
  <si>
    <t>2010.12</t>
  </si>
  <si>
    <t>67</t>
  </si>
  <si>
    <t>2011.03</t>
  </si>
  <si>
    <t>68</t>
  </si>
  <si>
    <t>2011.06</t>
  </si>
  <si>
    <t>69</t>
  </si>
  <si>
    <t>2011.09</t>
  </si>
  <si>
    <t>56</t>
  </si>
  <si>
    <t>2011.12</t>
  </si>
  <si>
    <t>84</t>
  </si>
  <si>
    <t>2018.12</t>
  </si>
  <si>
    <t>61</t>
  </si>
  <si>
    <t>2019.12</t>
  </si>
  <si>
    <t>52428801</t>
  </si>
  <si>
    <t>2020.06</t>
  </si>
  <si>
    <t>59</t>
  </si>
  <si>
    <t>2020.12</t>
  </si>
  <si>
    <t>60</t>
  </si>
  <si>
    <t>2021.12</t>
  </si>
  <si>
    <t>Key</t>
  </si>
  <si>
    <t>tReporting{ID}</t>
  </si>
  <si>
    <t>Le serveur ne fait pas partie de l'identifiant des données, donc des comparaisons entre serveurs exigent deux fichiers</t>
  </si>
  <si>
    <t>Friday August 28, 2015</t>
  </si>
  <si>
    <t>Monday May 03, 2010</t>
  </si>
  <si>
    <t>Thursday November 25, 2010</t>
  </si>
  <si>
    <t>Monday November 29, 2010</t>
  </si>
  <si>
    <t>Tuesday May 04, 2010</t>
  </si>
  <si>
    <t>Friday October 27, 2017</t>
  </si>
  <si>
    <t>Thursday September 02, 2010</t>
  </si>
  <si>
    <t>Wednesday June 24, 2020</t>
  </si>
  <si>
    <t>Tuesday August 31, 2010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</si>
  <si>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</si>
  <si>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</si>
  <si>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</si>
  <si>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</si>
  <si>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</si>
  <si>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</si>
  <si>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</si>
  <si>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</si>
  <si>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</si>
  <si>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short?</t>
  </si>
  <si>
    <t xml:space="preserve"> int</t>
  </si>
  <si>
    <t>aj</t>
  </si>
  <si>
    <t xml:space="preserve"> LanguageText[]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</si>
  <si>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</si>
  <si>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</si>
  <si>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</si>
  <si>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</si>
  <si>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</si>
  <si>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</si>
  <si>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</si>
  <si>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</si>
  <si>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</si>
  <si>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</si>
  <si>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</si>
  <si>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</si>
  <si>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</si>
  <si>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</si>
  <si>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</si>
  <si>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</si>
  <si>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</si>
  <si>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</si>
  <si>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</si>
  <si>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</si>
  <si>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</si>
  <si>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</si>
  <si>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</si>
  <si>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</si>
  <si>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</si>
  <si>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</si>
  <si>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</si>
  <si>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</si>
  <si>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</si>
  <si>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</si>
  <si>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</si>
  <si>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</si>
  <si>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</si>
  <si>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</si>
  <si>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au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</si>
  <si>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</si>
  <si>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</si>
  <si>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</si>
  <si>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</si>
  <si>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</si>
  <si>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</si>
  <si>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</si>
  <si>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</si>
  <si>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</si>
  <si>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</si>
  <si>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</si>
  <si>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</si>
  <si>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</si>
  <si>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</si>
  <si>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</si>
  <si>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</si>
  <si>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</si>
  <si>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</si>
  <si>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</si>
  <si>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</si>
  <si>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</si>
  <si>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</si>
  <si>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</si>
  <si>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</si>
  <si>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</si>
  <si>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</si>
  <si>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</si>
  <si>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</si>
  <si>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</si>
  <si>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</si>
  <si>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</si>
  <si>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</si>
  <si>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</si>
  <si>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</si>
  <si>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</si>
  <si>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</si>
  <si>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</si>
  <si>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</si>
  <si>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</si>
  <si>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</si>
  <si>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</si>
  <si>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</si>
  <si>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</si>
  <si>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</si>
  <si>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</si>
  <si>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</si>
  <si>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</si>
  <si>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</si>
  <si>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</si>
  <si>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</si>
  <si>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</si>
  <si>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</si>
  <si>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</si>
  <si>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</si>
  <si>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</si>
  <si>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</si>
  <si>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</si>
  <si>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</si>
  <si>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</si>
  <si>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</si>
  <si>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</si>
  <si>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</si>
  <si>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</si>
  <si>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</si>
  <si>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</si>
  <si>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</si>
  <si>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</si>
  <si>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</si>
  <si>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</si>
  <si>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</si>
  <si>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</si>
  <si>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</si>
  <si>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</si>
  <si>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</si>
  <si>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</si>
  <si>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</si>
  <si>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</si>
  <si>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</si>
  <si>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</si>
  <si>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</si>
  <si>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</si>
  <si>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</si>
  <si>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</si>
  <si>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</si>
  <si>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</si>
  <si>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</si>
  <si>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</si>
  <si>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</si>
  <si>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</si>
  <si>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</si>
  <si>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</si>
  <si>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</si>
  <si>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</si>
  <si>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Data/EntityReportings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</si>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</sst>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</cellXfs>
  <cellStyles count="2">
    <cellStyle name="Lien hypertexte" xfId="1" builtinId="8"/>
    <cellStyle name="Normal" xfId="0" builtinId="0"/>
  </cellStyles>
  <dxfs count="3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0.91 - 12/08/20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" name="tReportings_2">
          <a:extLst>
            <a:ext uri="{FF2B5EF4-FFF2-40B4-BE49-F238E27FC236}">
              <a16:creationId xmlns:a16="http://schemas.microsoft.com/office/drawing/2014/main" id="{5CBE2B93-4461-49BD-BA0D-B329D2A102F7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62D2372-DFB7-49B6-99A6-32FBAF7477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" name="tReportings_3">
          <a:extLst>
            <a:ext uri="{FF2B5EF4-FFF2-40B4-BE49-F238E27FC236}">
              <a16:creationId xmlns:a16="http://schemas.microsoft.com/office/drawing/2014/main" id="{6D231D59-AF9C-48F4-B435-833C18FDFAFC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93DA37-64E6-41AB-AB54-D290CBCB14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7" name="tReportings_4">
          <a:extLst>
            <a:ext uri="{FF2B5EF4-FFF2-40B4-BE49-F238E27FC236}">
              <a16:creationId xmlns:a16="http://schemas.microsoft.com/office/drawing/2014/main" id="{4C38C0C4-5B1A-4BDD-8E96-1E7B2F2B02BA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A155101-25B2-46B4-ADE8-B591D18F6E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Created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B6E13C-F26F-401F-86A8-1052A776504A}" name="tReportings" displayName="tReportings" ref="C13:F25" totalsRowShown="0" headerRowDxfId="30">
  <autoFilter ref="C13:F25" xr:uid="{0A7B6390-F5CC-44A5-87E3-D22E67FBC2AA}"/>
  <tableColumns count="4">
    <tableColumn id="1" xr3:uid="{4D7D84E0-F3BC-4989-990A-43726664D023}" name=" 1" dataDxfId="29"/>
    <tableColumn id="2" xr3:uid="{EE7197FC-6251-43BC-B55D-CB27CD2CF3BA}" name=" 2" dataDxfId="28"/>
    <tableColumn id="3" xr3:uid="{E1877DF1-9054-4057-B85A-5A2416FF7DD7}" name=" 3" dataDxfId="27"/>
    <tableColumn id="4" xr3:uid="{FF8BB409-754F-4E01-A7C6-9E123B9B41F8}" name=" 4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0">
  <autoFilter ref="A3:H114" xr:uid="{20495ABC-A0D8-40BE-8188-61D0FEE75739}"/>
  <tableColumns count="8">
    <tableColumn id="1" xr3:uid="{73903A16-45BE-4CB3-B71C-3468798E69E6}" name="ID" dataDxfId="8"/>
    <tableColumn id="3" xr3:uid="{02ADB156-C3E9-44A8-BC1B-FB2018DC836B}" name="Param1" dataDxfId="7"/>
    <tableColumn id="4" xr3:uid="{CF8C7CB6-4B86-4085-ACCC-19CBFD4C59FE}" name="Param2" dataDxfId="6"/>
    <tableColumn id="5" xr3:uid="{1227E0CB-DF13-4AEB-9B7C-A5B66DBC0C3F}" name="Param3" dataDxfId="5"/>
    <tableColumn id="6" xr3:uid="{2E60890B-30E9-4D21-92C9-7B06D14BAF00}" name="Param4" dataDxfId="4"/>
    <tableColumn id="7" xr3:uid="{03AC2232-F9FA-428A-BCAB-A8039123FBB5}" name="Param5" dataDxfId="3"/>
    <tableColumn id="9" xr3:uid="{5D6B89C0-1432-4927-AC0D-CC962FDD7705}" name="en_US" dataDxfId="2"/>
    <tableColumn id="8" xr3:uid="{8F5786B6-467E-46BD-A85E-B24EA01C31DC}" name="fr_FR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2" totalsRowShown="0" dataDxfId="25">
  <autoFilter ref="B3:Q92" xr:uid="{D9E8808B-D9E1-4272-8694-E8D5F2C45F29}"/>
  <tableColumns count="16">
    <tableColumn id="1" xr3:uid="{3A646773-BE89-4522-98D7-B786E44BE0DC}" name="Query" dataDxfId="24"/>
    <tableColumn id="9" xr3:uid="{C4EB6F9D-3EAD-42F0-84FF-9BBD170B0DE5}" name="Table" dataDxfId="23"/>
    <tableColumn id="8" xr3:uid="{70E4004F-52ED-4A60-A759-27AFE028F894}" name="I18N" dataDxfId="22"/>
    <tableColumn id="13" xr3:uid="{A78438C4-24D6-4E6E-A29B-E72CABDED5AB}" name="JSON Row Array" dataDxfId="21"/>
    <tableColumn id="2" xr3:uid="{DFC5B263-91CC-4653-8ADC-74A0368CD202}" name="JSON Column" dataDxfId="20"/>
    <tableColumn id="3" xr3:uid="{D5540814-CF2F-4ACB-B92D-22093C535E0C}" name="JSON Type" dataDxfId="19"/>
    <tableColumn id="11" xr3:uid="{EDC8EA7C-C33C-4E55-9909-B09F730AE94B}" name="Required" dataDxfId="18"/>
    <tableColumn id="4" xr3:uid="{8D0A36EB-752B-47BA-B4F5-009678ACFDD0}" name="Title" dataDxfId="17"/>
    <tableColumn id="12" xr3:uid="{B7222461-457D-4B90-9925-68BAF8D1E421}" name="Editor" dataDxfId="16"/>
    <tableColumn id="14" xr3:uid="{C8DD975C-C222-4560-AD83-9B3E4EF275CD}" name="Format" dataDxfId="15"/>
    <tableColumn id="15" xr3:uid="{30CC9560-5D67-406A-B687-D2883B19A560}" name="Level" dataDxfId="14"/>
    <tableColumn id="5" xr3:uid="{3613A1E0-361B-4D77-AB85-A190D3D733FC}" name="Hidden" dataDxfId="13"/>
    <tableColumn id="16" xr3:uid="{70E20D3D-3454-41A8-9025-DC4BEA4A1A84}" name="ReturnCol" dataDxfId="12"/>
    <tableColumn id="6" xr3:uid="{4FC768DF-246E-41E4-8A37-38EE7A822849}" name="Command" dataDxfId="11"/>
    <tableColumn id="10" xr3:uid="{08F0F3AA-70C9-46BE-9E8F-F9089FF43A15}" name="Params" dataDxfId="10"/>
    <tableColumn id="7" xr3:uid="{C3148FB9-B4AC-439B-977D-F7DC6FE2F875}" name="Posi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25"/>
  <sheetViews>
    <sheetView showGridLines="0" topLeftCell="A5" zoomScaleNormal="100" workbookViewId="0">
      <selection activeCell="K21" sqref="K21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CTS Reporting Factory</v>
      </c>
      <c r="F4" s="12"/>
      <c r="I4" s="5" t="str" cm="1">
        <f t="array" ref="I4">I18N_Version(cellLanguage)</f>
        <v>Version 0.91 - 12/08/20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 t="str">
        <f>SUBTOTAL(103, $D$14:$D$25) &amp; "/12"</f>
        <v>12/12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Category</v>
      </c>
      <c r="E12" s="22" t="str">
        <f>I18N_T(cellLanguage, "RF_UpdatePeriod")</f>
        <v>Update Period</v>
      </c>
      <c r="F12" s="23" t="str">
        <f>I18N_T(cellLanguage, "RF_CreationDate")</f>
        <v>Created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24" t="s">
        <v>240</v>
      </c>
      <c r="D14" s="24" t="s">
        <v>21</v>
      </c>
      <c r="E14" s="24" t="s">
        <v>241</v>
      </c>
      <c r="F14" s="24" t="s">
        <v>267</v>
      </c>
      <c r="H14" s="11" t="str">
        <f t="shared" ref="H14:H25" si="0">I18N_T(cellLanguage, "RF_Modify")</f>
        <v>Modify</v>
      </c>
      <c r="I14" s="11" t="str">
        <f t="shared" ref="I14:I25" si="1">I18N_T(cellLanguage, "RF_Duplicate")</f>
        <v>Duplicate</v>
      </c>
      <c r="J14" s="13"/>
      <c r="L14" s="8"/>
    </row>
    <row r="15" spans="2:12" x14ac:dyDescent="0.25">
      <c r="C15" s="24" t="s">
        <v>242</v>
      </c>
      <c r="D15" s="24" t="s">
        <v>21</v>
      </c>
      <c r="E15" s="24" t="s">
        <v>243</v>
      </c>
      <c r="F15" s="24" t="s">
        <v>267</v>
      </c>
      <c r="H15" s="11" t="str">
        <f t="shared" si="0"/>
        <v>Modify</v>
      </c>
      <c r="I15" s="11" t="str">
        <f t="shared" si="1"/>
        <v>Duplicate</v>
      </c>
      <c r="J15" s="13"/>
    </row>
    <row r="16" spans="2:12" x14ac:dyDescent="0.25">
      <c r="C16" s="24" t="s">
        <v>244</v>
      </c>
      <c r="D16" s="24" t="s">
        <v>21</v>
      </c>
      <c r="E16" s="24" t="s">
        <v>245</v>
      </c>
      <c r="F16" s="24" t="s">
        <v>268</v>
      </c>
      <c r="H16" s="11" t="str">
        <f t="shared" si="0"/>
        <v>Modify</v>
      </c>
      <c r="I16" s="11" t="str">
        <f t="shared" si="1"/>
        <v>Duplicate</v>
      </c>
      <c r="J16" s="13"/>
    </row>
    <row r="17" spans="3:10" x14ac:dyDescent="0.25">
      <c r="C17" s="24" t="s">
        <v>246</v>
      </c>
      <c r="D17" s="24" t="s">
        <v>21</v>
      </c>
      <c r="E17" s="24" t="s">
        <v>247</v>
      </c>
      <c r="F17" s="24" t="s">
        <v>269</v>
      </c>
      <c r="H17" s="11" t="str">
        <f t="shared" si="0"/>
        <v>Modify</v>
      </c>
      <c r="I17" s="11" t="str">
        <f t="shared" si="1"/>
        <v>Duplicate</v>
      </c>
      <c r="J17" s="13"/>
    </row>
    <row r="18" spans="3:10" x14ac:dyDescent="0.25">
      <c r="C18" s="24" t="s">
        <v>248</v>
      </c>
      <c r="D18" s="24" t="s">
        <v>21</v>
      </c>
      <c r="E18" s="24" t="s">
        <v>249</v>
      </c>
      <c r="F18" s="24" t="s">
        <v>270</v>
      </c>
      <c r="H18" s="11" t="str">
        <f t="shared" si="0"/>
        <v>Modify</v>
      </c>
      <c r="I18" s="11" t="str">
        <f t="shared" si="1"/>
        <v>Duplicate</v>
      </c>
      <c r="J18" s="13"/>
    </row>
    <row r="19" spans="3:10" x14ac:dyDescent="0.25">
      <c r="C19" s="24" t="s">
        <v>250</v>
      </c>
      <c r="D19" s="24" t="s">
        <v>21</v>
      </c>
      <c r="E19" s="24" t="s">
        <v>251</v>
      </c>
      <c r="F19" s="24" t="s">
        <v>270</v>
      </c>
      <c r="H19" s="11" t="str">
        <f t="shared" si="0"/>
        <v>Modify</v>
      </c>
      <c r="I19" s="11" t="str">
        <f t="shared" si="1"/>
        <v>Duplicate</v>
      </c>
      <c r="J19" s="13"/>
    </row>
    <row r="20" spans="3:10" x14ac:dyDescent="0.25">
      <c r="C20" s="24" t="s">
        <v>252</v>
      </c>
      <c r="D20" s="24" t="s">
        <v>21</v>
      </c>
      <c r="E20" s="24" t="s">
        <v>253</v>
      </c>
      <c r="F20" s="24" t="s">
        <v>271</v>
      </c>
      <c r="H20" s="11" t="str">
        <f t="shared" si="0"/>
        <v>Modify</v>
      </c>
      <c r="I20" s="11" t="str">
        <f t="shared" si="1"/>
        <v>Duplicate</v>
      </c>
      <c r="J20" s="13"/>
    </row>
    <row r="21" spans="3:10" x14ac:dyDescent="0.25">
      <c r="C21" s="24" t="s">
        <v>254</v>
      </c>
      <c r="D21" s="24" t="s">
        <v>21</v>
      </c>
      <c r="E21" s="24" t="s">
        <v>255</v>
      </c>
      <c r="F21" s="24" t="s">
        <v>272</v>
      </c>
      <c r="H21" s="11" t="str">
        <f t="shared" si="0"/>
        <v>Modify</v>
      </c>
      <c r="I21" s="11" t="str">
        <f t="shared" si="1"/>
        <v>Duplicate</v>
      </c>
      <c r="J21" s="13"/>
    </row>
    <row r="22" spans="3:10" x14ac:dyDescent="0.25">
      <c r="C22" s="24" t="s">
        <v>256</v>
      </c>
      <c r="D22" s="24" t="s">
        <v>21</v>
      </c>
      <c r="E22" s="24" t="s">
        <v>257</v>
      </c>
      <c r="F22" s="24" t="s">
        <v>273</v>
      </c>
      <c r="H22" s="11" t="str">
        <f t="shared" si="0"/>
        <v>Modify</v>
      </c>
      <c r="I22" s="11" t="str">
        <f t="shared" si="1"/>
        <v>Duplicate</v>
      </c>
      <c r="J22" s="13"/>
    </row>
    <row r="23" spans="3:10" x14ac:dyDescent="0.25">
      <c r="C23" s="24" t="s">
        <v>258</v>
      </c>
      <c r="D23" s="24" t="s">
        <v>21</v>
      </c>
      <c r="E23" s="24" t="s">
        <v>259</v>
      </c>
      <c r="F23" s="24" t="s">
        <v>274</v>
      </c>
      <c r="H23" s="11" t="str">
        <f t="shared" si="0"/>
        <v>Modify</v>
      </c>
      <c r="I23" s="11" t="str">
        <f t="shared" si="1"/>
        <v>Duplicate</v>
      </c>
      <c r="J23" s="13"/>
    </row>
    <row r="24" spans="3:10" x14ac:dyDescent="0.25">
      <c r="C24" s="24" t="s">
        <v>260</v>
      </c>
      <c r="D24" s="24" t="s">
        <v>21</v>
      </c>
      <c r="E24" s="24" t="s">
        <v>261</v>
      </c>
      <c r="F24" s="24" t="s">
        <v>275</v>
      </c>
      <c r="H24" s="11" t="str">
        <f t="shared" si="0"/>
        <v>Modify</v>
      </c>
      <c r="I24" s="11" t="str">
        <f t="shared" si="1"/>
        <v>Duplicate</v>
      </c>
      <c r="J24" s="13"/>
    </row>
    <row r="25" spans="3:10" x14ac:dyDescent="0.25">
      <c r="C25" s="24" t="s">
        <v>262</v>
      </c>
      <c r="D25" s="24" t="s">
        <v>21</v>
      </c>
      <c r="E25" s="24" t="s">
        <v>263</v>
      </c>
      <c r="F25" s="24" t="s">
        <v>275</v>
      </c>
      <c r="H25" s="11" t="str">
        <f t="shared" si="0"/>
        <v>Modify</v>
      </c>
      <c r="I25" s="11" t="str">
        <f t="shared" si="1"/>
        <v>Duplicate</v>
      </c>
      <c r="J25" s="13"/>
    </row>
  </sheetData>
  <sheetProtection sheet="1" objects="1" scenarios="1" formatCells="0" formatColumns="0" formatRows="0" sort="0" autoFilter="0"/>
  <hyperlinks>
    <hyperlink ref="D10" location="C3" tooltip=" " display="C3" xr:uid="{92385175-3301-4149-857E-469112E8482B}"/>
    <hyperlink ref="H14" location="C3" tooltip=" " display="C3" xr:uid="{9509DAB6-D0FD-4327-BC55-BEB59F59740C}"/>
    <hyperlink ref="I14" location="C3" tooltip=" " display="C3" xr:uid="{E4DD3BA6-1740-404B-BFE3-9ECB47F37154}"/>
    <hyperlink ref="H15" location="C3" tooltip=" " display="C3" xr:uid="{4920B263-687A-4E17-B391-5C27244EC212}"/>
    <hyperlink ref="H16" location="C3" tooltip=" " display="C3" xr:uid="{656E65CA-1186-4480-A19B-91F20C2A372B}"/>
    <hyperlink ref="H17" location="C3" tooltip=" " display="C3" xr:uid="{5B191806-1A5C-4619-AF78-AAB3F23BB484}"/>
    <hyperlink ref="H18" location="C3" tooltip=" " display="C3" xr:uid="{6A9D410C-78D8-466E-9745-19C134216C6F}"/>
    <hyperlink ref="H19" location="C3" tooltip=" " display="C3" xr:uid="{F0B80AC4-7B8F-41F0-98D2-971B559CD620}"/>
    <hyperlink ref="H20" location="C3" tooltip=" " display="C3" xr:uid="{80BD2C96-C9F3-4E8B-9B7E-F4A00F507300}"/>
    <hyperlink ref="H21" location="C3" tooltip=" " display="C3" xr:uid="{7114827D-2576-42AE-9581-1958ADF1FA1E}"/>
    <hyperlink ref="H22" location="C3" tooltip=" " display="C3" xr:uid="{06D703F9-7C34-48C4-9CA6-346278277C61}"/>
    <hyperlink ref="H23" location="C3" tooltip=" " display="C3" xr:uid="{15826D03-3FF4-4395-8438-083D53D54D65}"/>
    <hyperlink ref="H24" location="C3" tooltip=" " display="C3" xr:uid="{76DF8E04-AE71-4AD0-B846-632E2F1A425E}"/>
    <hyperlink ref="H25" location="C3" tooltip=" " display="C3" xr:uid="{C5395ED0-EF7F-4E0D-97A3-6CC84B0FE76D}"/>
    <hyperlink ref="I15" location="C3" tooltip=" " display="C3" xr:uid="{00CA8AB3-2468-4B4D-8C8A-1E374C0017C0}"/>
    <hyperlink ref="I16" location="C3" tooltip=" " display="C3" xr:uid="{6B3D9DA3-19EA-42A4-B280-1478677849FF}"/>
    <hyperlink ref="I17" location="C3" tooltip=" " display="C3" xr:uid="{542AFD4D-F51C-42A9-BD45-4B65CFEA8944}"/>
    <hyperlink ref="I18" location="C3" tooltip=" " display="C3" xr:uid="{8A7717AD-5241-447C-B771-B5BA7FD87925}"/>
    <hyperlink ref="I19" location="C3" tooltip=" " display="C3" xr:uid="{EC9BDE8F-CE85-4A75-9814-468A41B2FAEF}"/>
    <hyperlink ref="I20" location="C3" tooltip=" " display="C3" xr:uid="{21425071-2198-4038-99A6-6B754E49C59C}"/>
    <hyperlink ref="I21" location="C3" tooltip=" " display="C3" xr:uid="{CEBD4745-94B8-4359-9878-E03F790DA080}"/>
    <hyperlink ref="I22" location="C3" tooltip=" " display="C3" xr:uid="{958F32AC-7DEF-45AA-9C1E-75A856FD1C26}"/>
    <hyperlink ref="I23" location="C3" tooltip=" " display="C3" xr:uid="{5C646ACD-59EA-4A58-90D1-642540A2EE11}"/>
    <hyperlink ref="I24" location="C3" tooltip=" " display="C3" xr:uid="{2F5D185D-4AD5-407C-8B53-49247DCFB3D6}"/>
    <hyperlink ref="I25" location="C3" tooltip=" " display="C3" xr:uid="{DD3B16B4-F152-42AC-94FF-AA854D54C8FD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E3"/>
  <sheetViews>
    <sheetView workbookViewId="0">
      <selection activeCell="C2" sqref="C2"/>
    </sheetView>
  </sheetViews>
  <sheetFormatPr baseColWidth="10" defaultRowHeight="15" x14ac:dyDescent="0.25"/>
  <cols>
    <col min="1" max="1" width="13.85546875" style="2" bestFit="1" customWidth="1"/>
    <col min="2" max="2" width="15.5703125" style="2" bestFit="1" customWidth="1"/>
    <col min="3" max="3" width="9.140625" style="2" bestFit="1" customWidth="1"/>
    <col min="4" max="4" width="19.5703125" style="31" bestFit="1" customWidth="1"/>
    <col min="5" max="5" width="5.85546875" style="2" customWidth="1"/>
    <col min="6" max="16384" width="11.42578125" style="2"/>
  </cols>
  <sheetData>
    <row r="1" spans="1:5" x14ac:dyDescent="0.25">
      <c r="B1" s="2" t="s">
        <v>233</v>
      </c>
      <c r="C1" s="32">
        <v>4</v>
      </c>
    </row>
    <row r="3" spans="1:5" x14ac:dyDescent="0.25">
      <c r="A3" s="2" t="s">
        <v>232</v>
      </c>
      <c r="B3" s="2" t="s">
        <v>264</v>
      </c>
      <c r="C3" s="2" t="s">
        <v>237</v>
      </c>
      <c r="D3" s="31" t="s">
        <v>238</v>
      </c>
      <c r="E3" s="2" t="s">
        <v>231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/>
  <dimension ref="A3:J58"/>
  <sheetViews>
    <sheetView zoomScaleNormal="100" workbookViewId="0">
      <selection activeCell="J54" sqref="J54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x14ac:dyDescent="0.25">
      <c r="B26" t="s">
        <v>221</v>
      </c>
      <c r="H26">
        <v>0.25</v>
      </c>
      <c r="I26">
        <v>0.25</v>
      </c>
      <c r="J26" t="s">
        <v>138</v>
      </c>
    </row>
    <row r="27" spans="1:10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x14ac:dyDescent="0.25">
      <c r="B33" t="s">
        <v>179</v>
      </c>
      <c r="H33">
        <v>0.25</v>
      </c>
      <c r="I33" t="s">
        <v>138</v>
      </c>
      <c r="J33" t="s">
        <v>138</v>
      </c>
    </row>
    <row r="34" spans="2:10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276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x14ac:dyDescent="0.25">
      <c r="B40" t="s">
        <v>38</v>
      </c>
      <c r="D40">
        <v>0.5</v>
      </c>
      <c r="I40" t="s">
        <v>138</v>
      </c>
      <c r="J40" t="s">
        <v>138</v>
      </c>
    </row>
    <row r="41" spans="2:10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72</v>
      </c>
      <c r="C53">
        <v>3</v>
      </c>
      <c r="D53">
        <v>3</v>
      </c>
    </row>
    <row r="55" spans="2:10" x14ac:dyDescent="0.25">
      <c r="B55" s="28">
        <f>0+C55+D55</f>
        <v>26</v>
      </c>
      <c r="C55" s="29">
        <f>SUM(C18:C53)</f>
        <v>11.5</v>
      </c>
      <c r="D55" s="30">
        <f>SUM(D18:D53)</f>
        <v>14.5</v>
      </c>
      <c r="F55" s="18">
        <f>SUMIF(F18:F54,"",$C18:$C54)+SUMIF(F18:F54,"",$D18:$D54)+SUBTOTAL(109,F18:F54)</f>
        <v>24.5</v>
      </c>
      <c r="G55" s="18">
        <f>SUMIF(G18:G54,"",$C18:$C54)+SUMIF(G18:G54,"",$D18:$D54)+SUBTOTAL(109,G18:G54)</f>
        <v>23.75</v>
      </c>
      <c r="H55" s="18">
        <f>SUMIF(H18:H54,"",$C18:$C54)+SUMIF(H18:H54,"",$D18:$D54)+SUBTOTAL(109,H18:H54)</f>
        <v>25</v>
      </c>
      <c r="I55" s="18">
        <f>SUMIF(I18:I54,"",$C18:$C54)+SUMIF(I18:I54,"",$D18:$D54)+SUBTOTAL(109,I18:I54)</f>
        <v>21.75</v>
      </c>
      <c r="J55" s="18">
        <f>SUMIF(J18:J54,"",$C18:$C54)+SUMIF(J18:J54,"",$D18:$D54)+SUBTOTAL(109,J18:J54)</f>
        <v>11.25</v>
      </c>
    </row>
    <row r="58" spans="2:10" x14ac:dyDescent="0.25">
      <c r="B58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2"/>
  <sheetViews>
    <sheetView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collapsed="1" x14ac:dyDescent="0.25">
      <c r="A3" t="s">
        <v>84</v>
      </c>
    </row>
    <row r="4" spans="1:3" hidden="1" outlineLevel="1" x14ac:dyDescent="0.25">
      <c r="B4" t="s">
        <v>222</v>
      </c>
    </row>
    <row r="5" spans="1:3" hidden="1" outlineLevel="1" x14ac:dyDescent="0.25">
      <c r="B5" t="s">
        <v>223</v>
      </c>
    </row>
    <row r="6" spans="1:3" hidden="1" outlineLevel="1" x14ac:dyDescent="0.25">
      <c r="B6" t="s">
        <v>224</v>
      </c>
    </row>
    <row r="7" spans="1:3" hidden="1" outlineLevel="1" x14ac:dyDescent="0.25"/>
    <row r="11" spans="1:3" collapsed="1" x14ac:dyDescent="0.25">
      <c r="A11" t="s">
        <v>282</v>
      </c>
      <c r="B11" t="s">
        <v>283</v>
      </c>
      <c r="C11" t="s">
        <v>284</v>
      </c>
    </row>
    <row r="12" spans="1:3" hidden="1" outlineLevel="1" x14ac:dyDescent="0.25">
      <c r="B12" t="s">
        <v>542</v>
      </c>
    </row>
    <row r="13" spans="1:3" hidden="1" outlineLevel="1" x14ac:dyDescent="0.25">
      <c r="B13" t="s">
        <v>543</v>
      </c>
    </row>
    <row r="14" spans="1:3" hidden="1" outlineLevel="1" x14ac:dyDescent="0.25">
      <c r="B14" t="s">
        <v>544</v>
      </c>
    </row>
    <row r="15" spans="1:3" hidden="1" outlineLevel="1" x14ac:dyDescent="0.25"/>
    <row r="17" spans="1:3" collapsed="1" x14ac:dyDescent="0.25">
      <c r="A17" t="s">
        <v>281</v>
      </c>
      <c r="B17" t="s">
        <v>229</v>
      </c>
      <c r="C17" t="s">
        <v>278</v>
      </c>
    </row>
    <row r="18" spans="1:3" hidden="1" outlineLevel="1" x14ac:dyDescent="0.25"/>
    <row r="19" spans="1:3" hidden="1" outlineLevel="1" x14ac:dyDescent="0.25"/>
    <row r="20" spans="1:3" hidden="1" outlineLevel="1" x14ac:dyDescent="0.25"/>
    <row r="22" spans="1:3" collapsed="1" x14ac:dyDescent="0.25">
      <c r="A22" t="s">
        <v>277</v>
      </c>
      <c r="B22" t="s">
        <v>229</v>
      </c>
      <c r="C22" t="s">
        <v>278</v>
      </c>
    </row>
    <row r="23" spans="1:3" hidden="1" outlineLevel="1" x14ac:dyDescent="0.25">
      <c r="B23" t="s">
        <v>279</v>
      </c>
    </row>
    <row r="24" spans="1:3" hidden="1" outlineLevel="1" x14ac:dyDescent="0.25">
      <c r="B24" t="s">
        <v>280</v>
      </c>
    </row>
    <row r="25" spans="1:3" hidden="1" outlineLevel="1" x14ac:dyDescent="0.25"/>
    <row r="27" spans="1:3" collapsed="1" x14ac:dyDescent="0.25">
      <c r="A27" t="s">
        <v>228</v>
      </c>
      <c r="B27" t="s">
        <v>229</v>
      </c>
      <c r="C27" t="s">
        <v>80</v>
      </c>
    </row>
    <row r="28" spans="1:3" hidden="1" outlineLevel="1" x14ac:dyDescent="0.25">
      <c r="B28" t="s">
        <v>234</v>
      </c>
    </row>
    <row r="29" spans="1:3" hidden="1" outlineLevel="1" x14ac:dyDescent="0.25">
      <c r="B29" t="s">
        <v>235</v>
      </c>
    </row>
    <row r="30" spans="1:3" hidden="1" outlineLevel="1" x14ac:dyDescent="0.25">
      <c r="B30" t="s">
        <v>236</v>
      </c>
    </row>
    <row r="31" spans="1:3" hidden="1" outlineLevel="1" x14ac:dyDescent="0.25">
      <c r="B31" t="s">
        <v>266</v>
      </c>
    </row>
    <row r="32" spans="1:3" hidden="1" outlineLevel="1" x14ac:dyDescent="0.25"/>
    <row r="34" spans="1:3" collapsed="1" x14ac:dyDescent="0.25">
      <c r="A34" t="s">
        <v>212</v>
      </c>
      <c r="B34" t="s">
        <v>213</v>
      </c>
      <c r="C34" t="s">
        <v>226</v>
      </c>
    </row>
    <row r="35" spans="1:3" hidden="1" outlineLevel="1" x14ac:dyDescent="0.25">
      <c r="B35" t="s">
        <v>216</v>
      </c>
    </row>
    <row r="36" spans="1:3" hidden="1" outlineLevel="1" x14ac:dyDescent="0.25">
      <c r="B36" t="s">
        <v>214</v>
      </c>
    </row>
    <row r="37" spans="1:3" hidden="1" outlineLevel="1" x14ac:dyDescent="0.25">
      <c r="B37" t="s">
        <v>215</v>
      </c>
    </row>
    <row r="38" spans="1:3" hidden="1" outlineLevel="1" x14ac:dyDescent="0.25"/>
    <row r="40" spans="1:3" collapsed="1" x14ac:dyDescent="0.25">
      <c r="A40" t="s">
        <v>217</v>
      </c>
      <c r="B40" t="s">
        <v>218</v>
      </c>
      <c r="C40" t="s">
        <v>227</v>
      </c>
    </row>
    <row r="41" spans="1:3" hidden="1" outlineLevel="1" x14ac:dyDescent="0.25">
      <c r="B41" t="s">
        <v>219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7" spans="1:3" collapsed="1" x14ac:dyDescent="0.25">
      <c r="A47" t="s">
        <v>139</v>
      </c>
    </row>
    <row r="48" spans="1:3" hidden="1" outlineLevel="1" collapsed="1" x14ac:dyDescent="0.25">
      <c r="B48" t="s">
        <v>225</v>
      </c>
    </row>
    <row r="49" spans="2:2" hidden="1" outlineLevel="2" x14ac:dyDescent="0.25">
      <c r="B49" t="s">
        <v>117</v>
      </c>
    </row>
    <row r="50" spans="2:2" hidden="1" outlineLevel="2" x14ac:dyDescent="0.25"/>
    <row r="51" spans="2:2" hidden="1" outlineLevel="2" x14ac:dyDescent="0.25">
      <c r="B51" t="s">
        <v>118</v>
      </c>
    </row>
    <row r="52" spans="2:2" hidden="1" outlineLevel="2" x14ac:dyDescent="0.25"/>
    <row r="53" spans="2:2" hidden="1" outlineLevel="2" x14ac:dyDescent="0.25">
      <c r="B53" t="s">
        <v>119</v>
      </c>
    </row>
    <row r="54" spans="2:2" hidden="1" outlineLevel="2" x14ac:dyDescent="0.25">
      <c r="B54" t="s">
        <v>120</v>
      </c>
    </row>
    <row r="55" spans="2:2" hidden="1" outlineLevel="2" x14ac:dyDescent="0.25">
      <c r="B55" t="s">
        <v>121</v>
      </c>
    </row>
    <row r="56" spans="2:2" hidden="1" outlineLevel="2" x14ac:dyDescent="0.25">
      <c r="B56" t="s">
        <v>122</v>
      </c>
    </row>
    <row r="57" spans="2:2" hidden="1" outlineLevel="2" x14ac:dyDescent="0.25">
      <c r="B57" t="s">
        <v>123</v>
      </c>
    </row>
    <row r="58" spans="2:2" hidden="1" outlineLevel="2" x14ac:dyDescent="0.25">
      <c r="B58" t="s">
        <v>124</v>
      </c>
    </row>
    <row r="59" spans="2:2" hidden="1" outlineLevel="2" x14ac:dyDescent="0.25"/>
    <row r="60" spans="2:2" hidden="1" outlineLevel="2" x14ac:dyDescent="0.25">
      <c r="B60" t="s">
        <v>125</v>
      </c>
    </row>
    <row r="61" spans="2:2" hidden="1" outlineLevel="2" x14ac:dyDescent="0.25">
      <c r="B61" t="s">
        <v>126</v>
      </c>
    </row>
    <row r="62" spans="2:2" hidden="1" outlineLevel="2" x14ac:dyDescent="0.25"/>
    <row r="63" spans="2:2" hidden="1" outlineLevel="2" x14ac:dyDescent="0.25">
      <c r="B63" t="s">
        <v>127</v>
      </c>
    </row>
    <row r="64" spans="2:2" hidden="1" outlineLevel="2" x14ac:dyDescent="0.25">
      <c r="B64" t="s">
        <v>128</v>
      </c>
    </row>
    <row r="65" spans="2:3" hidden="1" outlineLevel="2" x14ac:dyDescent="0.25">
      <c r="B65" t="s">
        <v>129</v>
      </c>
    </row>
    <row r="66" spans="2:3" hidden="1" outlineLevel="2" x14ac:dyDescent="0.25">
      <c r="B66" t="s">
        <v>130</v>
      </c>
    </row>
    <row r="67" spans="2:3" hidden="1" outlineLevel="2" x14ac:dyDescent="0.25">
      <c r="B67" t="s">
        <v>131</v>
      </c>
    </row>
    <row r="68" spans="2:3" hidden="1" outlineLevel="2" x14ac:dyDescent="0.25">
      <c r="B68" t="s">
        <v>132</v>
      </c>
    </row>
    <row r="69" spans="2:3" hidden="1" outlineLevel="2" x14ac:dyDescent="0.25">
      <c r="B69" t="s">
        <v>133</v>
      </c>
    </row>
    <row r="70" spans="2:3" hidden="1" outlineLevel="1" x14ac:dyDescent="0.25"/>
    <row r="71" spans="2:3" hidden="1" outlineLevel="1" collapsed="1" x14ac:dyDescent="0.25">
      <c r="B71" t="s">
        <v>140</v>
      </c>
    </row>
    <row r="72" spans="2:3" hidden="1" outlineLevel="2" x14ac:dyDescent="0.25">
      <c r="C72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15" workbookViewId="0">
      <selection activeCell="A64" sqref="A64:XFD64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539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418</v>
      </c>
      <c r="B40" s="2"/>
      <c r="C40" s="2"/>
      <c r="D40" s="2"/>
      <c r="E40" s="2"/>
      <c r="F40" s="2"/>
      <c r="G40" s="2" t="s">
        <v>516</v>
      </c>
      <c r="H40" s="2" t="s">
        <v>17</v>
      </c>
    </row>
    <row r="41" spans="1:8" x14ac:dyDescent="0.25">
      <c r="A41" s="37" t="s">
        <v>419</v>
      </c>
      <c r="B41" s="2"/>
      <c r="C41" s="2"/>
      <c r="D41" s="2"/>
      <c r="E41" s="2"/>
      <c r="F41" s="2"/>
      <c r="G41" s="2" t="s">
        <v>517</v>
      </c>
      <c r="H41" s="2" t="s">
        <v>518</v>
      </c>
    </row>
    <row r="42" spans="1:8" x14ac:dyDescent="0.25">
      <c r="A42" s="36" t="s">
        <v>362</v>
      </c>
      <c r="B42" s="2"/>
      <c r="C42" s="2"/>
      <c r="D42" s="2"/>
      <c r="E42" s="2"/>
      <c r="F42" s="2"/>
      <c r="G42" s="2" t="s">
        <v>519</v>
      </c>
      <c r="H42" s="2" t="s">
        <v>520</v>
      </c>
    </row>
    <row r="43" spans="1:8" x14ac:dyDescent="0.25">
      <c r="A43" s="37" t="s">
        <v>496</v>
      </c>
      <c r="B43" s="2"/>
      <c r="C43" s="2"/>
      <c r="D43" s="2"/>
      <c r="E43" s="2"/>
      <c r="F43" s="2"/>
      <c r="G43" s="2" t="s">
        <v>521</v>
      </c>
      <c r="H43" s="2" t="s">
        <v>529</v>
      </c>
    </row>
    <row r="44" spans="1:8" x14ac:dyDescent="0.25">
      <c r="A44" s="37" t="s">
        <v>497</v>
      </c>
      <c r="B44" s="2"/>
      <c r="C44" s="2"/>
      <c r="D44" s="2"/>
      <c r="E44" s="2"/>
      <c r="F44" s="2"/>
      <c r="G44" s="2" t="s">
        <v>525</v>
      </c>
      <c r="H44" s="2" t="s">
        <v>527</v>
      </c>
    </row>
    <row r="45" spans="1:8" x14ac:dyDescent="0.25">
      <c r="A45" s="37" t="s">
        <v>498</v>
      </c>
      <c r="B45" s="2"/>
      <c r="C45" s="2"/>
      <c r="D45" s="2"/>
      <c r="E45" s="2"/>
      <c r="F45" s="2"/>
      <c r="G45" s="2" t="s">
        <v>522</v>
      </c>
      <c r="H45" s="2" t="s">
        <v>530</v>
      </c>
    </row>
    <row r="46" spans="1:8" x14ac:dyDescent="0.25">
      <c r="A46" s="37" t="s">
        <v>499</v>
      </c>
      <c r="B46" s="2"/>
      <c r="C46" s="2"/>
      <c r="D46" s="2"/>
      <c r="E46" s="2"/>
      <c r="F46" s="2"/>
      <c r="G46" s="2" t="s">
        <v>526</v>
      </c>
      <c r="H46" s="2" t="s">
        <v>528</v>
      </c>
    </row>
    <row r="47" spans="1:8" x14ac:dyDescent="0.25">
      <c r="A47" s="37" t="s">
        <v>500</v>
      </c>
      <c r="B47" s="2"/>
      <c r="C47" s="2"/>
      <c r="D47" s="2"/>
      <c r="E47" s="2"/>
      <c r="F47" s="2"/>
      <c r="G47" s="2" t="s">
        <v>531</v>
      </c>
      <c r="H47" s="2" t="s">
        <v>532</v>
      </c>
    </row>
    <row r="48" spans="1:8" x14ac:dyDescent="0.25">
      <c r="A48" s="37" t="s">
        <v>501</v>
      </c>
      <c r="B48" s="2"/>
      <c r="C48" s="2"/>
      <c r="D48" s="2"/>
      <c r="E48" s="2"/>
      <c r="F48" s="2"/>
      <c r="G48" s="2" t="s">
        <v>533</v>
      </c>
      <c r="H48" s="2" t="s">
        <v>534</v>
      </c>
    </row>
    <row r="49" spans="1:8" x14ac:dyDescent="0.25">
      <c r="A49" s="37" t="s">
        <v>502</v>
      </c>
      <c r="B49" s="2"/>
      <c r="C49" s="2"/>
      <c r="D49" s="2"/>
      <c r="E49" s="2"/>
      <c r="F49" s="2"/>
      <c r="G49" s="2" t="s">
        <v>523</v>
      </c>
      <c r="H49" s="2" t="s">
        <v>535</v>
      </c>
    </row>
    <row r="50" spans="1:8" x14ac:dyDescent="0.25">
      <c r="A50" s="37" t="s">
        <v>503</v>
      </c>
      <c r="B50" s="2"/>
      <c r="C50" s="2"/>
      <c r="D50" s="2"/>
      <c r="E50" s="2"/>
      <c r="F50" s="2"/>
      <c r="G50" s="2" t="s">
        <v>536</v>
      </c>
      <c r="H50" s="2" t="s">
        <v>537</v>
      </c>
    </row>
    <row r="51" spans="1:8" x14ac:dyDescent="0.25">
      <c r="A51" s="37" t="s">
        <v>504</v>
      </c>
      <c r="B51" s="2"/>
      <c r="C51" s="2"/>
      <c r="D51" s="2"/>
      <c r="E51" s="2"/>
      <c r="F51" s="2"/>
      <c r="G51" s="2" t="s">
        <v>524</v>
      </c>
      <c r="H51" s="2" t="s">
        <v>538</v>
      </c>
    </row>
    <row r="52" spans="1:8" x14ac:dyDescent="0.25">
      <c r="A52" s="37" t="s">
        <v>505</v>
      </c>
      <c r="B52" s="2"/>
      <c r="C52" s="2"/>
      <c r="D52" s="2"/>
      <c r="E52" s="2"/>
      <c r="F52" s="2"/>
      <c r="G52" s="37" t="s">
        <v>505</v>
      </c>
      <c r="H52" s="37" t="s">
        <v>505</v>
      </c>
    </row>
    <row r="53" spans="1:8" x14ac:dyDescent="0.25">
      <c r="A53" s="37" t="s">
        <v>506</v>
      </c>
      <c r="B53" s="2"/>
      <c r="C53" s="2"/>
      <c r="D53" s="2"/>
      <c r="E53" s="2"/>
      <c r="F53" s="2"/>
      <c r="G53" s="37" t="s">
        <v>506</v>
      </c>
      <c r="H53" s="37" t="s">
        <v>506</v>
      </c>
    </row>
    <row r="54" spans="1:8" x14ac:dyDescent="0.25">
      <c r="A54" s="37" t="s">
        <v>507</v>
      </c>
      <c r="B54" s="2"/>
      <c r="C54" s="2"/>
      <c r="D54" s="2"/>
      <c r="E54" s="2"/>
      <c r="F54" s="2"/>
      <c r="G54" s="37" t="s">
        <v>507</v>
      </c>
      <c r="H54" s="37" t="s">
        <v>507</v>
      </c>
    </row>
    <row r="55" spans="1:8" x14ac:dyDescent="0.25">
      <c r="A55" s="37" t="s">
        <v>508</v>
      </c>
      <c r="B55" s="2"/>
      <c r="C55" s="2"/>
      <c r="D55" s="2"/>
      <c r="E55" s="2"/>
      <c r="F55" s="2"/>
      <c r="G55" s="37" t="s">
        <v>508</v>
      </c>
      <c r="H55" s="37" t="s">
        <v>508</v>
      </c>
    </row>
    <row r="56" spans="1:8" x14ac:dyDescent="0.25">
      <c r="A56" s="37" t="s">
        <v>509</v>
      </c>
      <c r="B56" s="2"/>
      <c r="C56" s="2"/>
      <c r="D56" s="2"/>
      <c r="E56" s="2"/>
      <c r="F56" s="2"/>
      <c r="G56" s="37" t="s">
        <v>509</v>
      </c>
      <c r="H56" s="37" t="s">
        <v>509</v>
      </c>
    </row>
    <row r="57" spans="1:8" x14ac:dyDescent="0.25">
      <c r="A57" s="37" t="s">
        <v>510</v>
      </c>
      <c r="B57" s="2"/>
      <c r="C57" s="2"/>
      <c r="D57" s="2"/>
      <c r="E57" s="2"/>
      <c r="F57" s="2"/>
      <c r="G57" s="37" t="s">
        <v>510</v>
      </c>
      <c r="H57" s="37" t="s">
        <v>510</v>
      </c>
    </row>
    <row r="58" spans="1:8" x14ac:dyDescent="0.25">
      <c r="A58" s="37" t="s">
        <v>511</v>
      </c>
      <c r="B58" s="2"/>
      <c r="C58" s="2"/>
      <c r="D58" s="2"/>
      <c r="E58" s="2"/>
      <c r="F58" s="2"/>
      <c r="G58" s="37" t="s">
        <v>511</v>
      </c>
      <c r="H58" s="37" t="s">
        <v>511</v>
      </c>
    </row>
    <row r="59" spans="1:8" x14ac:dyDescent="0.25">
      <c r="A59" s="37" t="s">
        <v>512</v>
      </c>
      <c r="B59" s="2"/>
      <c r="C59" s="2"/>
      <c r="D59" s="2"/>
      <c r="E59" s="2"/>
      <c r="F59" s="2"/>
      <c r="G59" s="37" t="s">
        <v>512</v>
      </c>
      <c r="H59" s="37" t="s">
        <v>512</v>
      </c>
    </row>
    <row r="60" spans="1:8" x14ac:dyDescent="0.25">
      <c r="A60" s="37" t="s">
        <v>513</v>
      </c>
      <c r="B60" s="2"/>
      <c r="C60" s="2"/>
      <c r="D60" s="2"/>
      <c r="E60" s="2"/>
      <c r="F60" s="2"/>
      <c r="G60" s="37" t="s">
        <v>513</v>
      </c>
      <c r="H60" s="37" t="s">
        <v>513</v>
      </c>
    </row>
    <row r="61" spans="1:8" x14ac:dyDescent="0.25">
      <c r="A61" s="37" t="s">
        <v>514</v>
      </c>
      <c r="B61" s="2"/>
      <c r="C61" s="2"/>
      <c r="D61" s="2"/>
      <c r="E61" s="2"/>
      <c r="F61" s="2"/>
      <c r="G61" s="37" t="s">
        <v>514</v>
      </c>
      <c r="H61" s="37" t="s">
        <v>514</v>
      </c>
    </row>
    <row r="62" spans="1:8" x14ac:dyDescent="0.25">
      <c r="A62" s="37" t="s">
        <v>515</v>
      </c>
      <c r="B62" s="2"/>
      <c r="C62" s="2"/>
      <c r="D62" s="2"/>
      <c r="E62" s="2"/>
      <c r="F62" s="2"/>
      <c r="G62" s="37" t="s">
        <v>515</v>
      </c>
      <c r="H62" s="37" t="s">
        <v>515</v>
      </c>
    </row>
    <row r="63" spans="1:8" x14ac:dyDescent="0.25">
      <c r="A63" s="36" t="s">
        <v>363</v>
      </c>
      <c r="B63" s="2"/>
      <c r="C63" s="2"/>
      <c r="D63" s="2"/>
      <c r="E63" s="2"/>
      <c r="F63" s="2"/>
      <c r="G63" s="36" t="s">
        <v>363</v>
      </c>
      <c r="H63" s="36" t="s">
        <v>363</v>
      </c>
    </row>
    <row r="64" spans="1:8" x14ac:dyDescent="0.25">
      <c r="A64" s="36" t="s">
        <v>364</v>
      </c>
      <c r="B64" s="2"/>
      <c r="C64" s="2"/>
      <c r="D64" s="2"/>
      <c r="E64" s="2"/>
      <c r="F64" s="2"/>
      <c r="G64" s="36" t="s">
        <v>364</v>
      </c>
      <c r="H64" s="36" t="s">
        <v>364</v>
      </c>
    </row>
    <row r="65" spans="1:8" x14ac:dyDescent="0.25">
      <c r="A65" s="37" t="s">
        <v>453</v>
      </c>
      <c r="B65" s="2"/>
      <c r="C65" s="2"/>
      <c r="D65" s="2"/>
      <c r="E65" s="2"/>
      <c r="F65" s="2"/>
      <c r="G65" s="37" t="s">
        <v>453</v>
      </c>
      <c r="H65" s="37" t="s">
        <v>453</v>
      </c>
    </row>
    <row r="66" spans="1:8" x14ac:dyDescent="0.25">
      <c r="A66" s="37" t="s">
        <v>454</v>
      </c>
      <c r="B66" s="2"/>
      <c r="C66" s="2"/>
      <c r="D66" s="2"/>
      <c r="E66" s="2"/>
      <c r="F66" s="2"/>
      <c r="G66" s="37" t="s">
        <v>454</v>
      </c>
      <c r="H66" s="37" t="s">
        <v>454</v>
      </c>
    </row>
    <row r="67" spans="1:8" x14ac:dyDescent="0.25">
      <c r="A67" s="37" t="s">
        <v>455</v>
      </c>
      <c r="B67" s="2"/>
      <c r="C67" s="2"/>
      <c r="D67" s="2"/>
      <c r="E67" s="2"/>
      <c r="F67" s="2"/>
      <c r="G67" s="37" t="s">
        <v>455</v>
      </c>
      <c r="H67" s="37" t="s">
        <v>455</v>
      </c>
    </row>
    <row r="68" spans="1:8" x14ac:dyDescent="0.25">
      <c r="A68" s="37" t="s">
        <v>456</v>
      </c>
      <c r="B68" s="2"/>
      <c r="C68" s="2"/>
      <c r="D68" s="2"/>
      <c r="E68" s="2"/>
      <c r="F68" s="2"/>
      <c r="G68" s="37" t="s">
        <v>456</v>
      </c>
      <c r="H68" s="37" t="s">
        <v>456</v>
      </c>
    </row>
    <row r="69" spans="1:8" x14ac:dyDescent="0.25">
      <c r="A69" s="36" t="s">
        <v>365</v>
      </c>
      <c r="B69" s="2"/>
      <c r="C69" s="2"/>
      <c r="D69" s="2"/>
      <c r="E69" s="2"/>
      <c r="F69" s="2"/>
      <c r="G69" s="36" t="s">
        <v>365</v>
      </c>
      <c r="H69" s="36" t="s">
        <v>365</v>
      </c>
    </row>
    <row r="70" spans="1:8" x14ac:dyDescent="0.25">
      <c r="A70" s="37" t="s">
        <v>457</v>
      </c>
      <c r="B70" s="2"/>
      <c r="C70" s="2"/>
      <c r="D70" s="2"/>
      <c r="E70" s="2"/>
      <c r="F70" s="2"/>
      <c r="G70" s="37" t="s">
        <v>457</v>
      </c>
      <c r="H70" s="37" t="s">
        <v>457</v>
      </c>
    </row>
    <row r="71" spans="1:8" x14ac:dyDescent="0.25">
      <c r="A71" s="37" t="s">
        <v>458</v>
      </c>
      <c r="B71" s="2"/>
      <c r="C71" s="2"/>
      <c r="D71" s="2"/>
      <c r="E71" s="2"/>
      <c r="F71" s="2"/>
      <c r="G71" s="37" t="s">
        <v>458</v>
      </c>
      <c r="H71" s="37" t="s">
        <v>458</v>
      </c>
    </row>
    <row r="72" spans="1:8" x14ac:dyDescent="0.25">
      <c r="A72" s="37" t="s">
        <v>459</v>
      </c>
      <c r="B72" s="2"/>
      <c r="C72" s="2"/>
      <c r="D72" s="2"/>
      <c r="E72" s="2"/>
      <c r="F72" s="2"/>
      <c r="G72" s="37" t="s">
        <v>459</v>
      </c>
      <c r="H72" s="37" t="s">
        <v>459</v>
      </c>
    </row>
    <row r="73" spans="1:8" x14ac:dyDescent="0.25">
      <c r="A73" s="37" t="s">
        <v>460</v>
      </c>
      <c r="B73" s="2"/>
      <c r="C73" s="2"/>
      <c r="D73" s="2"/>
      <c r="E73" s="2"/>
      <c r="F73" s="2"/>
      <c r="G73" s="37" t="s">
        <v>460</v>
      </c>
      <c r="H73" s="37" t="s">
        <v>460</v>
      </c>
    </row>
    <row r="74" spans="1:8" x14ac:dyDescent="0.25">
      <c r="A74" s="36" t="s">
        <v>366</v>
      </c>
      <c r="B74" s="2"/>
      <c r="C74" s="2"/>
      <c r="D74" s="2"/>
      <c r="E74" s="2"/>
      <c r="F74" s="2"/>
      <c r="G74" s="36" t="s">
        <v>366</v>
      </c>
      <c r="H74" s="36" t="s">
        <v>366</v>
      </c>
    </row>
    <row r="75" spans="1:8" x14ac:dyDescent="0.25">
      <c r="A75" s="37" t="s">
        <v>289</v>
      </c>
      <c r="B75" s="2"/>
      <c r="C75" s="2"/>
      <c r="D75" s="2"/>
      <c r="E75" s="2"/>
      <c r="F75" s="2"/>
      <c r="G75" s="37" t="s">
        <v>289</v>
      </c>
      <c r="H75" s="37" t="s">
        <v>289</v>
      </c>
    </row>
    <row r="76" spans="1:8" x14ac:dyDescent="0.25">
      <c r="A76" s="37" t="s">
        <v>461</v>
      </c>
      <c r="B76" s="2"/>
      <c r="C76" s="2"/>
      <c r="D76" s="2"/>
      <c r="E76" s="2"/>
      <c r="F76" s="2"/>
      <c r="G76" s="37" t="s">
        <v>461</v>
      </c>
      <c r="H76" s="37" t="s">
        <v>461</v>
      </c>
    </row>
    <row r="77" spans="1:8" x14ac:dyDescent="0.25">
      <c r="A77" s="37" t="s">
        <v>462</v>
      </c>
      <c r="B77" s="2"/>
      <c r="C77" s="2"/>
      <c r="D77" s="2"/>
      <c r="E77" s="2"/>
      <c r="F77" s="2"/>
      <c r="G77" s="37" t="s">
        <v>462</v>
      </c>
      <c r="H77" s="37" t="s">
        <v>462</v>
      </c>
    </row>
    <row r="78" spans="1:8" x14ac:dyDescent="0.25">
      <c r="A78" s="36" t="s">
        <v>403</v>
      </c>
      <c r="B78" s="2"/>
      <c r="C78" s="2"/>
      <c r="D78" s="2"/>
      <c r="E78" s="2"/>
      <c r="F78" s="2"/>
      <c r="G78" s="36" t="s">
        <v>403</v>
      </c>
      <c r="H78" s="36" t="s">
        <v>403</v>
      </c>
    </row>
    <row r="79" spans="1:8" x14ac:dyDescent="0.25">
      <c r="A79" s="37" t="s">
        <v>463</v>
      </c>
      <c r="B79" s="2"/>
      <c r="C79" s="2"/>
      <c r="D79" s="2"/>
      <c r="E79" s="2"/>
      <c r="F79" s="2"/>
      <c r="G79" s="37" t="s">
        <v>463</v>
      </c>
      <c r="H79" s="37" t="s">
        <v>463</v>
      </c>
    </row>
    <row r="80" spans="1:8" x14ac:dyDescent="0.25">
      <c r="A80" s="37" t="s">
        <v>482</v>
      </c>
      <c r="B80" s="2"/>
      <c r="C80" s="2"/>
      <c r="D80" s="2"/>
      <c r="E80" s="2"/>
      <c r="F80" s="2"/>
      <c r="G80" s="37" t="s">
        <v>482</v>
      </c>
      <c r="H80" s="37" t="s">
        <v>482</v>
      </c>
    </row>
    <row r="81" spans="1:8" x14ac:dyDescent="0.25">
      <c r="A81" s="37" t="s">
        <v>464</v>
      </c>
      <c r="B81" s="2"/>
      <c r="C81" s="2"/>
      <c r="D81" s="2"/>
      <c r="E81" s="2"/>
      <c r="F81" s="2"/>
      <c r="G81" s="37" t="s">
        <v>464</v>
      </c>
      <c r="H81" s="37" t="s">
        <v>464</v>
      </c>
    </row>
    <row r="82" spans="1:8" x14ac:dyDescent="0.25">
      <c r="A82" s="37" t="s">
        <v>495</v>
      </c>
      <c r="B82" s="2"/>
      <c r="C82" s="2"/>
      <c r="D82" s="2"/>
      <c r="E82" s="2"/>
      <c r="F82" s="2"/>
      <c r="G82" s="37" t="s">
        <v>495</v>
      </c>
      <c r="H82" s="37" t="s">
        <v>495</v>
      </c>
    </row>
    <row r="83" spans="1:8" x14ac:dyDescent="0.25">
      <c r="A83" s="37" t="s">
        <v>465</v>
      </c>
      <c r="B83" s="2"/>
      <c r="C83" s="2"/>
      <c r="D83" s="2"/>
      <c r="E83" s="2"/>
      <c r="F83" s="2"/>
      <c r="G83" s="37" t="s">
        <v>465</v>
      </c>
      <c r="H83" s="37" t="s">
        <v>465</v>
      </c>
    </row>
    <row r="84" spans="1:8" x14ac:dyDescent="0.25">
      <c r="A84" s="37" t="s">
        <v>483</v>
      </c>
      <c r="B84" s="2"/>
      <c r="C84" s="2"/>
      <c r="D84" s="2"/>
      <c r="E84" s="2"/>
      <c r="F84" s="2"/>
      <c r="G84" s="37" t="s">
        <v>483</v>
      </c>
      <c r="H84" s="37" t="s">
        <v>483</v>
      </c>
    </row>
    <row r="85" spans="1:8" x14ac:dyDescent="0.25">
      <c r="A85" s="37" t="s">
        <v>466</v>
      </c>
      <c r="B85" s="2"/>
      <c r="C85" s="2"/>
      <c r="D85" s="2"/>
      <c r="E85" s="2"/>
      <c r="F85" s="2"/>
      <c r="G85" s="37" t="s">
        <v>466</v>
      </c>
      <c r="H85" s="37" t="s">
        <v>466</v>
      </c>
    </row>
    <row r="86" spans="1:8" x14ac:dyDescent="0.25">
      <c r="A86" s="37" t="s">
        <v>467</v>
      </c>
      <c r="B86" s="2"/>
      <c r="C86" s="2"/>
      <c r="D86" s="2"/>
      <c r="E86" s="2"/>
      <c r="F86" s="2"/>
      <c r="G86" s="37" t="s">
        <v>467</v>
      </c>
      <c r="H86" s="37" t="s">
        <v>467</v>
      </c>
    </row>
    <row r="87" spans="1:8" x14ac:dyDescent="0.25">
      <c r="A87" s="37" t="s">
        <v>468</v>
      </c>
      <c r="B87" s="2"/>
      <c r="C87" s="2"/>
      <c r="D87" s="2"/>
      <c r="E87" s="2"/>
      <c r="F87" s="2"/>
      <c r="G87" s="37" t="s">
        <v>468</v>
      </c>
      <c r="H87" s="37" t="s">
        <v>468</v>
      </c>
    </row>
    <row r="88" spans="1:8" x14ac:dyDescent="0.25">
      <c r="A88" s="37" t="s">
        <v>469</v>
      </c>
      <c r="B88" s="2"/>
      <c r="C88" s="2"/>
      <c r="D88" s="2"/>
      <c r="E88" s="2"/>
      <c r="F88" s="2"/>
      <c r="G88" s="37" t="s">
        <v>469</v>
      </c>
      <c r="H88" s="37" t="s">
        <v>469</v>
      </c>
    </row>
    <row r="89" spans="1:8" x14ac:dyDescent="0.25">
      <c r="A89" s="37" t="s">
        <v>484</v>
      </c>
      <c r="B89" s="2"/>
      <c r="C89" s="2"/>
      <c r="D89" s="2"/>
      <c r="E89" s="2"/>
      <c r="F89" s="2"/>
      <c r="G89" s="37" t="s">
        <v>484</v>
      </c>
      <c r="H89" s="37" t="s">
        <v>484</v>
      </c>
    </row>
    <row r="90" spans="1:8" x14ac:dyDescent="0.25">
      <c r="A90" s="37" t="s">
        <v>470</v>
      </c>
      <c r="B90" s="2"/>
      <c r="C90" s="2"/>
      <c r="D90" s="2"/>
      <c r="E90" s="2"/>
      <c r="F90" s="2"/>
      <c r="G90" s="37" t="s">
        <v>470</v>
      </c>
      <c r="H90" s="37" t="s">
        <v>470</v>
      </c>
    </row>
    <row r="91" spans="1:8" x14ac:dyDescent="0.25">
      <c r="A91" s="37" t="s">
        <v>485</v>
      </c>
      <c r="B91" s="2"/>
      <c r="C91" s="2"/>
      <c r="D91" s="2"/>
      <c r="E91" s="2"/>
      <c r="F91" s="2"/>
      <c r="G91" s="37" t="s">
        <v>485</v>
      </c>
      <c r="H91" s="37" t="s">
        <v>485</v>
      </c>
    </row>
    <row r="92" spans="1:8" x14ac:dyDescent="0.25">
      <c r="A92" s="37" t="s">
        <v>471</v>
      </c>
      <c r="B92" s="2"/>
      <c r="C92" s="2"/>
      <c r="D92" s="2"/>
      <c r="E92" s="2"/>
      <c r="F92" s="2"/>
      <c r="G92" s="37" t="s">
        <v>471</v>
      </c>
      <c r="H92" s="37" t="s">
        <v>471</v>
      </c>
    </row>
    <row r="93" spans="1:8" x14ac:dyDescent="0.25">
      <c r="A93" s="37" t="s">
        <v>472</v>
      </c>
      <c r="B93" s="2"/>
      <c r="C93" s="2"/>
      <c r="D93" s="2"/>
      <c r="E93" s="2"/>
      <c r="F93" s="2"/>
      <c r="G93" s="37" t="s">
        <v>472</v>
      </c>
      <c r="H93" s="37" t="s">
        <v>472</v>
      </c>
    </row>
    <row r="94" spans="1:8" x14ac:dyDescent="0.25">
      <c r="A94" s="37" t="s">
        <v>486</v>
      </c>
      <c r="B94" s="2"/>
      <c r="C94" s="2"/>
      <c r="D94" s="2"/>
      <c r="E94" s="2"/>
      <c r="F94" s="2"/>
      <c r="G94" s="37" t="s">
        <v>486</v>
      </c>
      <c r="H94" s="37" t="s">
        <v>486</v>
      </c>
    </row>
    <row r="95" spans="1:8" x14ac:dyDescent="0.25">
      <c r="A95" s="37" t="s">
        <v>473</v>
      </c>
      <c r="B95" s="2"/>
      <c r="C95" s="2"/>
      <c r="D95" s="2"/>
      <c r="E95" s="2"/>
      <c r="F95" s="2"/>
      <c r="G95" s="37" t="s">
        <v>473</v>
      </c>
      <c r="H95" s="37" t="s">
        <v>473</v>
      </c>
    </row>
    <row r="96" spans="1:8" x14ac:dyDescent="0.25">
      <c r="A96" s="37" t="s">
        <v>474</v>
      </c>
      <c r="B96" s="2"/>
      <c r="C96" s="2"/>
      <c r="D96" s="2"/>
      <c r="E96" s="2"/>
      <c r="F96" s="2"/>
      <c r="G96" s="37" t="s">
        <v>474</v>
      </c>
      <c r="H96" s="37" t="s">
        <v>474</v>
      </c>
    </row>
    <row r="97" spans="1:8" x14ac:dyDescent="0.25">
      <c r="A97" s="37" t="s">
        <v>475</v>
      </c>
      <c r="B97" s="2"/>
      <c r="C97" s="2"/>
      <c r="D97" s="2"/>
      <c r="E97" s="2"/>
      <c r="F97" s="2"/>
      <c r="G97" s="37" t="s">
        <v>475</v>
      </c>
      <c r="H97" s="37" t="s">
        <v>475</v>
      </c>
    </row>
    <row r="98" spans="1:8" x14ac:dyDescent="0.25">
      <c r="A98" s="37" t="s">
        <v>476</v>
      </c>
      <c r="B98" s="2"/>
      <c r="C98" s="2"/>
      <c r="D98" s="2"/>
      <c r="E98" s="2"/>
      <c r="F98" s="2"/>
      <c r="G98" s="37" t="s">
        <v>476</v>
      </c>
      <c r="H98" s="37" t="s">
        <v>476</v>
      </c>
    </row>
    <row r="99" spans="1:8" x14ac:dyDescent="0.25">
      <c r="A99" s="36" t="s">
        <v>404</v>
      </c>
      <c r="B99" s="2"/>
      <c r="C99" s="2"/>
      <c r="D99" s="2"/>
      <c r="E99" s="2"/>
      <c r="F99" s="2"/>
      <c r="G99" s="36" t="s">
        <v>404</v>
      </c>
      <c r="H99" s="36" t="s">
        <v>404</v>
      </c>
    </row>
    <row r="100" spans="1:8" x14ac:dyDescent="0.25">
      <c r="A100" s="37" t="s">
        <v>477</v>
      </c>
      <c r="B100" s="2"/>
      <c r="C100" s="2"/>
      <c r="D100" s="2"/>
      <c r="E100" s="2"/>
      <c r="F100" s="2"/>
      <c r="G100" s="37" t="s">
        <v>477</v>
      </c>
      <c r="H100" s="37" t="s">
        <v>477</v>
      </c>
    </row>
    <row r="101" spans="1:8" x14ac:dyDescent="0.25">
      <c r="A101" s="37" t="s">
        <v>478</v>
      </c>
      <c r="B101" s="2"/>
      <c r="C101" s="2"/>
      <c r="D101" s="2"/>
      <c r="E101" s="2"/>
      <c r="F101" s="2"/>
      <c r="G101" s="37" t="s">
        <v>478</v>
      </c>
      <c r="H101" s="37" t="s">
        <v>478</v>
      </c>
    </row>
    <row r="102" spans="1:8" x14ac:dyDescent="0.25">
      <c r="A102" s="37" t="s">
        <v>479</v>
      </c>
      <c r="B102" s="2"/>
      <c r="C102" s="2"/>
      <c r="D102" s="2"/>
      <c r="E102" s="2"/>
      <c r="F102" s="2"/>
      <c r="G102" s="37" t="s">
        <v>479</v>
      </c>
      <c r="H102" s="37" t="s">
        <v>479</v>
      </c>
    </row>
    <row r="103" spans="1:8" x14ac:dyDescent="0.25">
      <c r="A103" s="36" t="s">
        <v>405</v>
      </c>
      <c r="B103" s="2"/>
      <c r="C103" s="2"/>
      <c r="D103" s="2"/>
      <c r="E103" s="2"/>
      <c r="F103" s="2"/>
      <c r="G103" s="36" t="s">
        <v>405</v>
      </c>
      <c r="H103" s="36" t="s">
        <v>405</v>
      </c>
    </row>
    <row r="104" spans="1:8" x14ac:dyDescent="0.25">
      <c r="A104" s="37" t="s">
        <v>480</v>
      </c>
      <c r="B104" s="2"/>
      <c r="C104" s="2"/>
      <c r="D104" s="2"/>
      <c r="E104" s="2"/>
      <c r="F104" s="2"/>
      <c r="G104" s="37" t="s">
        <v>480</v>
      </c>
      <c r="H104" s="37" t="s">
        <v>480</v>
      </c>
    </row>
    <row r="105" spans="1:8" x14ac:dyDescent="0.25">
      <c r="A105" s="37" t="s">
        <v>487</v>
      </c>
      <c r="B105" s="2"/>
      <c r="C105" s="2"/>
      <c r="D105" s="2"/>
      <c r="E105" s="2"/>
      <c r="F105" s="2"/>
      <c r="G105" s="37" t="s">
        <v>487</v>
      </c>
      <c r="H105" s="37" t="s">
        <v>487</v>
      </c>
    </row>
    <row r="106" spans="1:8" x14ac:dyDescent="0.25">
      <c r="A106" s="37" t="s">
        <v>493</v>
      </c>
      <c r="B106" s="2"/>
      <c r="C106" s="2"/>
      <c r="D106" s="2"/>
      <c r="E106" s="2"/>
      <c r="F106" s="2"/>
      <c r="G106" s="37" t="s">
        <v>493</v>
      </c>
      <c r="H106" s="37" t="s">
        <v>493</v>
      </c>
    </row>
    <row r="107" spans="1:8" x14ac:dyDescent="0.25">
      <c r="A107" s="37" t="s">
        <v>494</v>
      </c>
      <c r="B107" s="2"/>
      <c r="C107" s="2"/>
      <c r="D107" s="2"/>
      <c r="E107" s="2"/>
      <c r="F107" s="2"/>
      <c r="G107" s="37" t="s">
        <v>494</v>
      </c>
      <c r="H107" s="37" t="s">
        <v>494</v>
      </c>
    </row>
    <row r="108" spans="1:8" x14ac:dyDescent="0.25">
      <c r="A108" s="37" t="s">
        <v>488</v>
      </c>
      <c r="B108" s="2"/>
      <c r="C108" s="2"/>
      <c r="D108" s="2"/>
      <c r="E108" s="2"/>
      <c r="F108" s="2"/>
      <c r="G108" s="37" t="s">
        <v>488</v>
      </c>
      <c r="H108" s="37" t="s">
        <v>488</v>
      </c>
    </row>
    <row r="109" spans="1:8" x14ac:dyDescent="0.25">
      <c r="A109" s="36" t="s">
        <v>406</v>
      </c>
      <c r="B109" s="2"/>
      <c r="C109" s="2"/>
      <c r="D109" s="2"/>
      <c r="E109" s="2"/>
      <c r="F109" s="2"/>
      <c r="G109" s="36" t="s">
        <v>406</v>
      </c>
      <c r="H109" s="36" t="s">
        <v>406</v>
      </c>
    </row>
    <row r="110" spans="1:8" x14ac:dyDescent="0.25">
      <c r="A110" s="37" t="s">
        <v>481</v>
      </c>
      <c r="B110" s="2"/>
      <c r="C110" s="2"/>
      <c r="D110" s="2"/>
      <c r="E110" s="2"/>
      <c r="F110" s="2"/>
      <c r="G110" s="37" t="s">
        <v>481</v>
      </c>
      <c r="H110" s="37" t="s">
        <v>481</v>
      </c>
    </row>
    <row r="111" spans="1:8" x14ac:dyDescent="0.25">
      <c r="A111" s="37" t="s">
        <v>489</v>
      </c>
      <c r="B111" s="2"/>
      <c r="C111" s="2"/>
      <c r="D111" s="2"/>
      <c r="E111" s="2"/>
      <c r="F111" s="2"/>
      <c r="G111" s="37" t="s">
        <v>489</v>
      </c>
      <c r="H111" s="37" t="s">
        <v>489</v>
      </c>
    </row>
    <row r="112" spans="1:8" x14ac:dyDescent="0.25">
      <c r="A112" s="37" t="s">
        <v>490</v>
      </c>
      <c r="B112" s="2"/>
      <c r="C112" s="2"/>
      <c r="D112" s="2"/>
      <c r="E112" s="2"/>
      <c r="F112" s="2"/>
      <c r="G112" s="37" t="s">
        <v>490</v>
      </c>
      <c r="H112" s="37" t="s">
        <v>490</v>
      </c>
    </row>
    <row r="113" spans="1:8" x14ac:dyDescent="0.25">
      <c r="A113" s="37" t="s">
        <v>491</v>
      </c>
      <c r="B113" s="2"/>
      <c r="C113" s="2"/>
      <c r="D113" s="2"/>
      <c r="E113" s="2"/>
      <c r="F113" s="2"/>
      <c r="G113" s="37" t="s">
        <v>491</v>
      </c>
      <c r="H113" s="37" t="s">
        <v>491</v>
      </c>
    </row>
    <row r="114" spans="1:8" x14ac:dyDescent="0.25">
      <c r="A114" s="37" t="s">
        <v>492</v>
      </c>
      <c r="B114" s="2"/>
      <c r="C114" s="2"/>
      <c r="D114" s="2"/>
      <c r="E114" s="2"/>
      <c r="F114" s="2"/>
      <c r="G114" s="37" t="s">
        <v>492</v>
      </c>
      <c r="H114" s="37" t="s">
        <v>492</v>
      </c>
    </row>
  </sheetData>
  <phoneticPr fontId="1" type="noConversion"/>
  <dataValidations count="1">
    <dataValidation type="list" showInputMessage="1" promptTitle="Language" prompt="Choose a language" sqref="J1" xr:uid="{ADF3FF87-5069-468C-918E-6D440ED0BA42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2"/>
  <sheetViews>
    <sheetView tabSelected="1" topLeftCell="A3" zoomScale="82" zoomScaleNormal="82" workbookViewId="0">
      <selection activeCell="N3" sqref="N3:N9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2.42578125" bestFit="1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0.28515625" bestFit="1" customWidth="1"/>
    <col min="12" max="12" width="9.7109375" bestFit="1" customWidth="1"/>
    <col min="13" max="13" width="12.5703125" bestFit="1" customWidth="1"/>
    <col min="14" max="15" width="12.5703125" customWidth="1"/>
    <col min="16" max="16" width="15.28515625" bestFit="1" customWidth="1"/>
    <col min="17" max="17" width="23.28515625" bestFit="1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361</v>
      </c>
      <c r="O3" t="s">
        <v>111</v>
      </c>
      <c r="P3" t="s">
        <v>116</v>
      </c>
      <c r="Q3" t="s">
        <v>108</v>
      </c>
    </row>
    <row r="4" spans="2:17" ht="30" x14ac:dyDescent="0.25">
      <c r="B4" s="14" t="s">
        <v>541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/>
      <c r="O4" s="15" t="s">
        <v>87</v>
      </c>
      <c r="P4" s="15" t="s">
        <v>177</v>
      </c>
      <c r="Q4" s="15" t="s">
        <v>106</v>
      </c>
    </row>
    <row r="5" spans="2:17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/>
      <c r="O5" s="15" t="s">
        <v>83</v>
      </c>
      <c r="P5" s="15" t="s">
        <v>178</v>
      </c>
      <c r="Q5" s="15" t="s">
        <v>109</v>
      </c>
    </row>
    <row r="6" spans="2:17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/>
      <c r="O6" s="15" t="s">
        <v>78</v>
      </c>
      <c r="P6" s="15" t="s">
        <v>178</v>
      </c>
      <c r="Q6" s="15" t="s">
        <v>109</v>
      </c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5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2:17" ht="30" x14ac:dyDescent="0.25">
      <c r="B9" s="14" t="s">
        <v>540</v>
      </c>
      <c r="C9" s="15" t="s">
        <v>265</v>
      </c>
      <c r="D9" s="15" t="s">
        <v>94</v>
      </c>
      <c r="E9" s="16" t="s">
        <v>417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/>
      <c r="O9" s="15" t="s">
        <v>134</v>
      </c>
      <c r="P9" s="15"/>
      <c r="Q9" s="15" t="s">
        <v>106</v>
      </c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407</v>
      </c>
      <c r="K10" s="34"/>
      <c r="L10" s="34">
        <v>2</v>
      </c>
      <c r="M10" s="34" t="s">
        <v>96</v>
      </c>
      <c r="N10" s="34" t="s">
        <v>287</v>
      </c>
      <c r="O10" s="35"/>
      <c r="P10" s="35"/>
      <c r="Q10" s="35"/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408</v>
      </c>
      <c r="K11" s="34"/>
      <c r="L11" s="34">
        <v>2</v>
      </c>
      <c r="M11" s="34" t="s">
        <v>96</v>
      </c>
      <c r="N11" s="34" t="s">
        <v>319</v>
      </c>
      <c r="O11" s="35"/>
      <c r="P11" s="35"/>
      <c r="Q11" s="35"/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409</v>
      </c>
      <c r="K12" s="34"/>
      <c r="L12" s="34">
        <v>2</v>
      </c>
      <c r="M12" s="34" t="s">
        <v>96</v>
      </c>
      <c r="N12" s="34" t="s">
        <v>320</v>
      </c>
      <c r="O12" s="35"/>
      <c r="P12" s="35"/>
      <c r="Q12" s="35"/>
    </row>
    <row r="13" spans="2:17" x14ac:dyDescent="0.25">
      <c r="B13" s="15"/>
      <c r="C13" s="15"/>
      <c r="D13" s="15"/>
      <c r="E13" s="15"/>
      <c r="F13" s="34" t="s">
        <v>420</v>
      </c>
      <c r="G13" s="34" t="s">
        <v>99</v>
      </c>
      <c r="H13" s="34" t="s">
        <v>94</v>
      </c>
      <c r="I13" s="34" t="s">
        <v>418</v>
      </c>
      <c r="J13" s="34"/>
      <c r="K13" s="33" t="s">
        <v>196</v>
      </c>
      <c r="L13" s="34">
        <v>2</v>
      </c>
      <c r="M13" s="34" t="s">
        <v>96</v>
      </c>
      <c r="N13" s="34" t="s">
        <v>321</v>
      </c>
      <c r="O13" s="35"/>
      <c r="P13" s="35"/>
      <c r="Q13" s="35"/>
    </row>
    <row r="14" spans="2:17" x14ac:dyDescent="0.25">
      <c r="B14" s="15"/>
      <c r="C14" s="15"/>
      <c r="D14" s="15"/>
      <c r="E14" s="15"/>
      <c r="F14" s="34" t="s">
        <v>421</v>
      </c>
      <c r="G14" s="34" t="s">
        <v>99</v>
      </c>
      <c r="H14" s="34" t="s">
        <v>94</v>
      </c>
      <c r="I14" s="34" t="s">
        <v>419</v>
      </c>
      <c r="J14" s="34"/>
      <c r="K14" s="33" t="s">
        <v>196</v>
      </c>
      <c r="L14" s="34">
        <v>2</v>
      </c>
      <c r="M14" s="34" t="s">
        <v>96</v>
      </c>
      <c r="N14" s="34" t="s">
        <v>322</v>
      </c>
      <c r="O14" s="35"/>
      <c r="P14" s="35"/>
      <c r="Q14" s="35"/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362</v>
      </c>
      <c r="J15" s="33"/>
      <c r="K15" s="33"/>
      <c r="L15" s="33">
        <v>2</v>
      </c>
      <c r="M15" s="34"/>
      <c r="N15" s="34"/>
      <c r="O15" s="35"/>
      <c r="P15" s="35"/>
      <c r="Q15" s="35"/>
    </row>
    <row r="16" spans="2:17" x14ac:dyDescent="0.25">
      <c r="B16" s="15"/>
      <c r="C16" s="15"/>
      <c r="D16" s="15"/>
      <c r="E16" s="15"/>
      <c r="F16" s="34" t="s">
        <v>422</v>
      </c>
      <c r="G16" s="34" t="s">
        <v>149</v>
      </c>
      <c r="H16" s="34" t="s">
        <v>96</v>
      </c>
      <c r="I16" s="34" t="s">
        <v>496</v>
      </c>
      <c r="J16" s="34"/>
      <c r="K16" s="34"/>
      <c r="L16" s="34">
        <v>3</v>
      </c>
      <c r="M16" s="34" t="s">
        <v>96</v>
      </c>
      <c r="N16" s="34" t="s">
        <v>290</v>
      </c>
      <c r="O16" s="35"/>
      <c r="P16" s="35"/>
      <c r="Q16" s="35"/>
    </row>
    <row r="17" spans="2:17" x14ac:dyDescent="0.25">
      <c r="B17" s="15"/>
      <c r="C17" s="15"/>
      <c r="D17" s="15"/>
      <c r="E17" s="15"/>
      <c r="F17" s="34" t="s">
        <v>423</v>
      </c>
      <c r="G17" s="34" t="s">
        <v>101</v>
      </c>
      <c r="H17" s="34" t="s">
        <v>96</v>
      </c>
      <c r="I17" s="34" t="s">
        <v>497</v>
      </c>
      <c r="J17" s="34" t="s">
        <v>410</v>
      </c>
      <c r="K17" s="34"/>
      <c r="L17" s="34">
        <v>3</v>
      </c>
      <c r="M17" s="34" t="s">
        <v>96</v>
      </c>
      <c r="N17" s="34" t="s">
        <v>291</v>
      </c>
      <c r="O17" s="35"/>
      <c r="P17" s="35"/>
      <c r="Q17" s="35"/>
    </row>
    <row r="18" spans="2:17" x14ac:dyDescent="0.25">
      <c r="B18" s="15"/>
      <c r="C18" s="15"/>
      <c r="D18" s="15"/>
      <c r="E18" s="15"/>
      <c r="F18" s="34" t="s">
        <v>424</v>
      </c>
      <c r="G18" s="34" t="s">
        <v>149</v>
      </c>
      <c r="H18" s="34" t="s">
        <v>96</v>
      </c>
      <c r="I18" s="34" t="s">
        <v>498</v>
      </c>
      <c r="J18" s="34"/>
      <c r="K18" s="34"/>
      <c r="L18" s="34">
        <v>3</v>
      </c>
      <c r="M18" s="34" t="s">
        <v>96</v>
      </c>
      <c r="N18" s="34" t="s">
        <v>292</v>
      </c>
      <c r="O18" s="35"/>
      <c r="P18" s="35"/>
      <c r="Q18" s="35"/>
    </row>
    <row r="19" spans="2:17" x14ac:dyDescent="0.25">
      <c r="B19" s="15"/>
      <c r="C19" s="15"/>
      <c r="D19" s="15"/>
      <c r="E19" s="15"/>
      <c r="F19" s="34" t="s">
        <v>425</v>
      </c>
      <c r="G19" s="34" t="s">
        <v>101</v>
      </c>
      <c r="H19" s="34" t="s">
        <v>96</v>
      </c>
      <c r="I19" s="34" t="s">
        <v>499</v>
      </c>
      <c r="J19" s="34" t="s">
        <v>410</v>
      </c>
      <c r="K19" s="34"/>
      <c r="L19" s="34">
        <v>3</v>
      </c>
      <c r="M19" s="34" t="s">
        <v>96</v>
      </c>
      <c r="N19" s="34" t="s">
        <v>293</v>
      </c>
      <c r="O19" s="35"/>
      <c r="P19" s="35"/>
      <c r="Q19" s="35"/>
    </row>
    <row r="20" spans="2:17" x14ac:dyDescent="0.25">
      <c r="B20" s="15"/>
      <c r="C20" s="15"/>
      <c r="D20" s="15"/>
      <c r="E20" s="15"/>
      <c r="F20" s="34" t="s">
        <v>426</v>
      </c>
      <c r="G20" s="34" t="s">
        <v>149</v>
      </c>
      <c r="H20" s="34" t="s">
        <v>96</v>
      </c>
      <c r="I20" s="34" t="s">
        <v>500</v>
      </c>
      <c r="J20" s="34"/>
      <c r="K20" s="34"/>
      <c r="L20" s="34">
        <v>3</v>
      </c>
      <c r="M20" s="34" t="s">
        <v>96</v>
      </c>
      <c r="N20" s="34" t="s">
        <v>294</v>
      </c>
      <c r="O20" s="35"/>
      <c r="P20" s="35"/>
      <c r="Q20" s="35"/>
    </row>
    <row r="21" spans="2:17" x14ac:dyDescent="0.25">
      <c r="B21" s="15"/>
      <c r="C21" s="15"/>
      <c r="D21" s="15"/>
      <c r="E21" s="15"/>
      <c r="F21" s="34" t="s">
        <v>427</v>
      </c>
      <c r="G21" s="34" t="s">
        <v>101</v>
      </c>
      <c r="H21" s="34" t="s">
        <v>96</v>
      </c>
      <c r="I21" s="34" t="s">
        <v>501</v>
      </c>
      <c r="J21" s="34" t="s">
        <v>411</v>
      </c>
      <c r="K21" s="34"/>
      <c r="L21" s="34">
        <v>3</v>
      </c>
      <c r="M21" s="34" t="s">
        <v>96</v>
      </c>
      <c r="N21" s="34" t="s">
        <v>295</v>
      </c>
      <c r="O21" s="35"/>
      <c r="P21" s="35"/>
      <c r="Q21" s="35"/>
    </row>
    <row r="22" spans="2:17" x14ac:dyDescent="0.25">
      <c r="B22" s="15"/>
      <c r="C22" s="15"/>
      <c r="D22" s="15"/>
      <c r="E22" s="15"/>
      <c r="F22" s="34" t="s">
        <v>428</v>
      </c>
      <c r="G22" s="34" t="s">
        <v>149</v>
      </c>
      <c r="H22" s="34" t="s">
        <v>96</v>
      </c>
      <c r="I22" s="34" t="s">
        <v>502</v>
      </c>
      <c r="J22" s="34"/>
      <c r="K22" s="34"/>
      <c r="L22" s="34">
        <v>3</v>
      </c>
      <c r="M22" s="34" t="s">
        <v>96</v>
      </c>
      <c r="N22" s="34" t="s">
        <v>296</v>
      </c>
      <c r="O22" s="35"/>
      <c r="P22" s="35"/>
      <c r="Q22" s="35"/>
    </row>
    <row r="23" spans="2:17" x14ac:dyDescent="0.25">
      <c r="B23" s="15"/>
      <c r="C23" s="15"/>
      <c r="D23" s="15"/>
      <c r="E23" s="15"/>
      <c r="F23" s="34" t="s">
        <v>429</v>
      </c>
      <c r="G23" s="34" t="s">
        <v>98</v>
      </c>
      <c r="H23" s="34" t="s">
        <v>96</v>
      </c>
      <c r="I23" s="34" t="s">
        <v>503</v>
      </c>
      <c r="J23" s="34"/>
      <c r="K23" s="34"/>
      <c r="L23" s="34">
        <v>3</v>
      </c>
      <c r="M23" s="34" t="s">
        <v>96</v>
      </c>
      <c r="N23" s="34" t="s">
        <v>297</v>
      </c>
      <c r="O23" s="35"/>
      <c r="P23" s="35"/>
      <c r="Q23" s="35"/>
    </row>
    <row r="24" spans="2:17" x14ac:dyDescent="0.25">
      <c r="B24" s="15"/>
      <c r="C24" s="15"/>
      <c r="D24" s="15"/>
      <c r="E24" s="15"/>
      <c r="F24" s="34" t="s">
        <v>430</v>
      </c>
      <c r="G24" s="34" t="s">
        <v>149</v>
      </c>
      <c r="H24" s="34" t="s">
        <v>96</v>
      </c>
      <c r="I24" s="34" t="s">
        <v>504</v>
      </c>
      <c r="J24" s="34"/>
      <c r="K24" s="34"/>
      <c r="L24" s="34">
        <v>3</v>
      </c>
      <c r="M24" s="34" t="s">
        <v>96</v>
      </c>
      <c r="N24" s="34" t="s">
        <v>298</v>
      </c>
      <c r="O24" s="35"/>
      <c r="P24" s="35"/>
      <c r="Q24" s="35"/>
    </row>
    <row r="25" spans="2:17" x14ac:dyDescent="0.25">
      <c r="B25" s="15"/>
      <c r="C25" s="15"/>
      <c r="D25" s="15"/>
      <c r="E25" s="15"/>
      <c r="F25" s="34" t="s">
        <v>431</v>
      </c>
      <c r="G25" s="34" t="s">
        <v>149</v>
      </c>
      <c r="H25" s="34" t="s">
        <v>96</v>
      </c>
      <c r="I25" s="34" t="s">
        <v>505</v>
      </c>
      <c r="J25" s="34"/>
      <c r="K25" s="34"/>
      <c r="L25" s="34">
        <v>3</v>
      </c>
      <c r="M25" s="34" t="s">
        <v>96</v>
      </c>
      <c r="N25" s="34" t="s">
        <v>299</v>
      </c>
      <c r="O25" s="35"/>
      <c r="P25" s="35"/>
      <c r="Q25" s="35"/>
    </row>
    <row r="26" spans="2:17" x14ac:dyDescent="0.25">
      <c r="B26" s="15"/>
      <c r="C26" s="15"/>
      <c r="D26" s="15"/>
      <c r="E26" s="15"/>
      <c r="F26" s="34" t="s">
        <v>432</v>
      </c>
      <c r="G26" s="34" t="s">
        <v>98</v>
      </c>
      <c r="H26" s="34" t="s">
        <v>96</v>
      </c>
      <c r="I26" s="34" t="s">
        <v>506</v>
      </c>
      <c r="J26" s="34" t="s">
        <v>412</v>
      </c>
      <c r="K26" s="34"/>
      <c r="L26" s="34">
        <v>3</v>
      </c>
      <c r="M26" s="34" t="s">
        <v>96</v>
      </c>
      <c r="N26" s="34" t="s">
        <v>300</v>
      </c>
      <c r="O26" s="35"/>
      <c r="P26" s="35"/>
      <c r="Q26" s="35"/>
    </row>
    <row r="27" spans="2:17" x14ac:dyDescent="0.25">
      <c r="B27" s="15"/>
      <c r="C27" s="15"/>
      <c r="D27" s="15"/>
      <c r="E27" s="15"/>
      <c r="F27" s="34" t="s">
        <v>433</v>
      </c>
      <c r="G27" s="34" t="s">
        <v>149</v>
      </c>
      <c r="H27" s="34" t="s">
        <v>96</v>
      </c>
      <c r="I27" s="34" t="s">
        <v>507</v>
      </c>
      <c r="J27" s="34"/>
      <c r="K27" s="34"/>
      <c r="L27" s="34">
        <v>3</v>
      </c>
      <c r="M27" s="34" t="s">
        <v>96</v>
      </c>
      <c r="N27" s="34" t="s">
        <v>301</v>
      </c>
      <c r="O27" s="35"/>
      <c r="P27" s="35"/>
      <c r="Q27" s="35"/>
    </row>
    <row r="28" spans="2:17" x14ac:dyDescent="0.25">
      <c r="B28" s="15"/>
      <c r="C28" s="15"/>
      <c r="D28" s="15"/>
      <c r="E28" s="15"/>
      <c r="F28" s="34" t="s">
        <v>434</v>
      </c>
      <c r="G28" s="34" t="s">
        <v>101</v>
      </c>
      <c r="H28" s="34" t="s">
        <v>96</v>
      </c>
      <c r="I28" s="34" t="s">
        <v>508</v>
      </c>
      <c r="J28" s="34" t="s">
        <v>413</v>
      </c>
      <c r="K28" s="34"/>
      <c r="L28" s="34">
        <v>3</v>
      </c>
      <c r="M28" s="34" t="s">
        <v>96</v>
      </c>
      <c r="N28" s="34" t="s">
        <v>302</v>
      </c>
      <c r="O28" s="35"/>
      <c r="P28" s="35"/>
      <c r="Q28" s="35"/>
    </row>
    <row r="29" spans="2:17" x14ac:dyDescent="0.25">
      <c r="B29" s="15"/>
      <c r="C29" s="15"/>
      <c r="D29" s="15"/>
      <c r="E29" s="15"/>
      <c r="F29" s="34" t="s">
        <v>435</v>
      </c>
      <c r="G29" s="34" t="s">
        <v>149</v>
      </c>
      <c r="H29" s="34" t="s">
        <v>96</v>
      </c>
      <c r="I29" s="34" t="s">
        <v>509</v>
      </c>
      <c r="J29" s="34"/>
      <c r="K29" s="34"/>
      <c r="L29" s="34">
        <v>3</v>
      </c>
      <c r="M29" s="34" t="s">
        <v>96</v>
      </c>
      <c r="N29" s="34" t="s">
        <v>303</v>
      </c>
      <c r="O29" s="35"/>
      <c r="P29" s="35"/>
      <c r="Q29" s="35"/>
    </row>
    <row r="30" spans="2:17" x14ac:dyDescent="0.25">
      <c r="B30" s="15"/>
      <c r="C30" s="15"/>
      <c r="D30" s="15"/>
      <c r="E30" s="15"/>
      <c r="F30" s="34" t="s">
        <v>436</v>
      </c>
      <c r="G30" s="34" t="s">
        <v>149</v>
      </c>
      <c r="H30" s="34" t="s">
        <v>96</v>
      </c>
      <c r="I30" s="34" t="s">
        <v>510</v>
      </c>
      <c r="J30" s="34"/>
      <c r="K30" s="34"/>
      <c r="L30" s="34">
        <v>3</v>
      </c>
      <c r="M30" s="34" t="s">
        <v>96</v>
      </c>
      <c r="N30" s="34" t="s">
        <v>304</v>
      </c>
      <c r="O30" s="35"/>
      <c r="P30" s="35"/>
      <c r="Q30" s="35"/>
    </row>
    <row r="31" spans="2:17" x14ac:dyDescent="0.25">
      <c r="B31" s="15"/>
      <c r="C31" s="15"/>
      <c r="D31" s="15"/>
      <c r="E31" s="15"/>
      <c r="F31" s="34" t="s">
        <v>437</v>
      </c>
      <c r="G31" s="34" t="s">
        <v>101</v>
      </c>
      <c r="H31" s="34" t="s">
        <v>96</v>
      </c>
      <c r="I31" s="34" t="s">
        <v>511</v>
      </c>
      <c r="J31" s="34" t="s">
        <v>407</v>
      </c>
      <c r="K31" s="34"/>
      <c r="L31" s="34">
        <v>3</v>
      </c>
      <c r="M31" s="34" t="s">
        <v>96</v>
      </c>
      <c r="N31" s="34" t="s">
        <v>305</v>
      </c>
      <c r="O31" s="35"/>
      <c r="P31" s="35"/>
      <c r="Q31" s="35"/>
    </row>
    <row r="32" spans="2:17" x14ac:dyDescent="0.25">
      <c r="B32" s="15"/>
      <c r="C32" s="15"/>
      <c r="D32" s="15"/>
      <c r="E32" s="15"/>
      <c r="F32" s="34" t="s">
        <v>438</v>
      </c>
      <c r="G32" s="34" t="s">
        <v>101</v>
      </c>
      <c r="H32" s="34" t="s">
        <v>96</v>
      </c>
      <c r="I32" s="34" t="s">
        <v>512</v>
      </c>
      <c r="J32" s="34"/>
      <c r="K32" s="34"/>
      <c r="L32" s="34">
        <v>3</v>
      </c>
      <c r="M32" s="34" t="s">
        <v>96</v>
      </c>
      <c r="N32" s="34" t="s">
        <v>306</v>
      </c>
      <c r="O32" s="35"/>
      <c r="P32" s="35"/>
      <c r="Q32" s="35"/>
    </row>
    <row r="33" spans="2:17" x14ac:dyDescent="0.25">
      <c r="B33" s="15"/>
      <c r="C33" s="15"/>
      <c r="D33" s="15"/>
      <c r="E33" s="15"/>
      <c r="F33" s="34" t="s">
        <v>439</v>
      </c>
      <c r="G33" s="34" t="s">
        <v>101</v>
      </c>
      <c r="H33" s="34" t="s">
        <v>96</v>
      </c>
      <c r="I33" s="34" t="s">
        <v>513</v>
      </c>
      <c r="J33" s="34"/>
      <c r="K33" s="34"/>
      <c r="L33" s="34">
        <v>3</v>
      </c>
      <c r="M33" s="34" t="s">
        <v>96</v>
      </c>
      <c r="N33" s="34" t="s">
        <v>307</v>
      </c>
      <c r="O33" s="35"/>
      <c r="P33" s="35"/>
      <c r="Q33" s="35"/>
    </row>
    <row r="34" spans="2:17" x14ac:dyDescent="0.25">
      <c r="B34" s="15"/>
      <c r="C34" s="15"/>
      <c r="D34" s="15"/>
      <c r="E34" s="15"/>
      <c r="F34" s="34" t="s">
        <v>440</v>
      </c>
      <c r="G34" s="34" t="s">
        <v>101</v>
      </c>
      <c r="H34" s="34" t="s">
        <v>96</v>
      </c>
      <c r="I34" s="34" t="s">
        <v>514</v>
      </c>
      <c r="J34" s="34"/>
      <c r="K34" s="34"/>
      <c r="L34" s="34">
        <v>3</v>
      </c>
      <c r="M34" s="34" t="s">
        <v>96</v>
      </c>
      <c r="N34" s="34" t="s">
        <v>308</v>
      </c>
      <c r="O34" s="35"/>
      <c r="P34" s="35"/>
      <c r="Q34" s="35"/>
    </row>
    <row r="35" spans="2:17" x14ac:dyDescent="0.25">
      <c r="B35" s="15"/>
      <c r="C35" s="15"/>
      <c r="D35" s="15"/>
      <c r="E35" s="15"/>
      <c r="F35" s="34" t="s">
        <v>441</v>
      </c>
      <c r="G35" s="34" t="s">
        <v>101</v>
      </c>
      <c r="H35" s="34" t="s">
        <v>96</v>
      </c>
      <c r="I35" s="34" t="s">
        <v>515</v>
      </c>
      <c r="J35" s="34"/>
      <c r="K35" s="34"/>
      <c r="L35" s="34">
        <v>3</v>
      </c>
      <c r="M35" s="34" t="s">
        <v>96</v>
      </c>
      <c r="N35" s="34" t="s">
        <v>309</v>
      </c>
      <c r="O35" s="35"/>
      <c r="P35" s="35"/>
      <c r="Q35" s="35"/>
    </row>
    <row r="36" spans="2:17" x14ac:dyDescent="0.25">
      <c r="B36" s="15"/>
      <c r="C36" s="15"/>
      <c r="D36" s="15"/>
      <c r="E36" s="15"/>
      <c r="F36" s="33" t="s">
        <v>197</v>
      </c>
      <c r="G36" s="33"/>
      <c r="H36" s="34"/>
      <c r="I36" s="33" t="s">
        <v>363</v>
      </c>
      <c r="J36" s="33"/>
      <c r="K36" s="33"/>
      <c r="L36" s="33">
        <v>2</v>
      </c>
      <c r="M36" s="34"/>
      <c r="N36" s="34"/>
      <c r="O36" s="35"/>
      <c r="P36" s="35"/>
      <c r="Q36" s="35"/>
    </row>
    <row r="37" spans="2:17" x14ac:dyDescent="0.25">
      <c r="B37" s="15"/>
      <c r="C37" s="15"/>
      <c r="D37" s="15"/>
      <c r="E37" s="15"/>
      <c r="F37" s="34" t="s">
        <v>442</v>
      </c>
      <c r="G37" s="34" t="s">
        <v>99</v>
      </c>
      <c r="H37" s="34" t="s">
        <v>96</v>
      </c>
      <c r="I37" s="33" t="s">
        <v>148</v>
      </c>
      <c r="J37" s="34"/>
      <c r="K37" s="33" t="s">
        <v>196</v>
      </c>
      <c r="L37" s="34">
        <v>3</v>
      </c>
      <c r="M37" s="34" t="s">
        <v>96</v>
      </c>
      <c r="N37" s="34" t="s">
        <v>310</v>
      </c>
      <c r="O37" s="35"/>
      <c r="P37" s="35"/>
      <c r="Q37" s="35"/>
    </row>
    <row r="38" spans="2:17" x14ac:dyDescent="0.25">
      <c r="B38" s="15"/>
      <c r="C38" s="15"/>
      <c r="D38" s="15"/>
      <c r="E38" s="15"/>
      <c r="F38" s="34" t="s">
        <v>443</v>
      </c>
      <c r="G38" s="34" t="s">
        <v>149</v>
      </c>
      <c r="H38" s="34" t="s">
        <v>96</v>
      </c>
      <c r="I38" s="33" t="s">
        <v>180</v>
      </c>
      <c r="J38" s="34"/>
      <c r="K38" s="34"/>
      <c r="L38" s="34">
        <v>3</v>
      </c>
      <c r="M38" s="34" t="s">
        <v>96</v>
      </c>
      <c r="N38" s="34" t="s">
        <v>138</v>
      </c>
      <c r="O38" s="35"/>
      <c r="P38" s="35"/>
      <c r="Q38" s="35"/>
    </row>
    <row r="39" spans="2:17" x14ac:dyDescent="0.25">
      <c r="B39" s="15"/>
      <c r="C39" s="15"/>
      <c r="D39" s="15"/>
      <c r="E39" s="15"/>
      <c r="F39" s="33" t="s">
        <v>197</v>
      </c>
      <c r="G39" s="33"/>
      <c r="H39" s="34"/>
      <c r="I39" s="33" t="s">
        <v>364</v>
      </c>
      <c r="J39" s="33"/>
      <c r="K39" s="33"/>
      <c r="L39" s="33">
        <v>3</v>
      </c>
      <c r="M39" s="34"/>
      <c r="N39" s="34"/>
      <c r="O39" s="35"/>
      <c r="P39" s="35"/>
      <c r="Q39" s="35"/>
    </row>
    <row r="40" spans="2:17" x14ac:dyDescent="0.25">
      <c r="B40" s="15"/>
      <c r="C40" s="15"/>
      <c r="D40" s="15"/>
      <c r="E40" s="15"/>
      <c r="F40" s="34" t="s">
        <v>444</v>
      </c>
      <c r="G40" s="34" t="s">
        <v>149</v>
      </c>
      <c r="H40" s="34" t="s">
        <v>96</v>
      </c>
      <c r="I40" s="34" t="s">
        <v>453</v>
      </c>
      <c r="J40" s="34"/>
      <c r="K40" s="34"/>
      <c r="L40" s="34">
        <v>4</v>
      </c>
      <c r="M40" s="34" t="s">
        <v>96</v>
      </c>
      <c r="N40" s="34" t="s">
        <v>311</v>
      </c>
      <c r="O40" s="35"/>
      <c r="P40" s="35"/>
      <c r="Q40" s="35"/>
    </row>
    <row r="41" spans="2:17" x14ac:dyDescent="0.25">
      <c r="B41" s="15"/>
      <c r="C41" s="15"/>
      <c r="D41" s="15"/>
      <c r="E41" s="15"/>
      <c r="F41" s="34" t="s">
        <v>445</v>
      </c>
      <c r="G41" s="34" t="s">
        <v>149</v>
      </c>
      <c r="H41" s="34" t="s">
        <v>96</v>
      </c>
      <c r="I41" s="34" t="s">
        <v>454</v>
      </c>
      <c r="J41" s="34"/>
      <c r="K41" s="34"/>
      <c r="L41" s="34">
        <v>4</v>
      </c>
      <c r="M41" s="34" t="s">
        <v>96</v>
      </c>
      <c r="N41" s="34" t="s">
        <v>312</v>
      </c>
      <c r="O41" s="35"/>
      <c r="P41" s="35"/>
      <c r="Q41" s="35"/>
    </row>
    <row r="42" spans="2:17" x14ac:dyDescent="0.25">
      <c r="B42" s="15"/>
      <c r="C42" s="15"/>
      <c r="D42" s="15"/>
      <c r="E42" s="15"/>
      <c r="F42" s="34" t="s">
        <v>446</v>
      </c>
      <c r="G42" s="34" t="s">
        <v>149</v>
      </c>
      <c r="H42" s="34" t="s">
        <v>96</v>
      </c>
      <c r="I42" s="34" t="s">
        <v>455</v>
      </c>
      <c r="J42" s="34"/>
      <c r="K42" s="34"/>
      <c r="L42" s="34">
        <v>4</v>
      </c>
      <c r="M42" s="34" t="s">
        <v>96</v>
      </c>
      <c r="N42" s="34" t="s">
        <v>313</v>
      </c>
      <c r="O42" s="35"/>
      <c r="P42" s="35"/>
      <c r="Q42" s="35"/>
    </row>
    <row r="43" spans="2:17" x14ac:dyDescent="0.25">
      <c r="B43" s="15"/>
      <c r="C43" s="15"/>
      <c r="D43" s="15"/>
      <c r="E43" s="15"/>
      <c r="F43" s="34" t="s">
        <v>447</v>
      </c>
      <c r="G43" s="34" t="s">
        <v>98</v>
      </c>
      <c r="H43" s="34" t="s">
        <v>96</v>
      </c>
      <c r="I43" s="34" t="s">
        <v>456</v>
      </c>
      <c r="J43" s="34"/>
      <c r="K43" s="34"/>
      <c r="L43" s="34">
        <v>4</v>
      </c>
      <c r="M43" s="34" t="s">
        <v>96</v>
      </c>
      <c r="N43" s="34" t="s">
        <v>314</v>
      </c>
      <c r="O43" s="35"/>
      <c r="P43" s="35"/>
      <c r="Q43" s="35"/>
    </row>
    <row r="44" spans="2:17" x14ac:dyDescent="0.25">
      <c r="B44" s="15"/>
      <c r="C44" s="15"/>
      <c r="D44" s="15"/>
      <c r="E44" s="15"/>
      <c r="F44" s="33" t="s">
        <v>197</v>
      </c>
      <c r="G44" s="33"/>
      <c r="H44" s="34"/>
      <c r="I44" s="33" t="s">
        <v>365</v>
      </c>
      <c r="J44" s="33"/>
      <c r="K44" s="33"/>
      <c r="L44" s="33">
        <v>3</v>
      </c>
      <c r="M44" s="34"/>
      <c r="N44" s="34"/>
      <c r="O44" s="35"/>
      <c r="P44" s="35"/>
      <c r="Q44" s="35"/>
    </row>
    <row r="45" spans="2:17" x14ac:dyDescent="0.25">
      <c r="B45" s="15"/>
      <c r="C45" s="15"/>
      <c r="D45" s="15"/>
      <c r="E45" s="15"/>
      <c r="F45" s="34" t="s">
        <v>448</v>
      </c>
      <c r="G45" s="34" t="s">
        <v>149</v>
      </c>
      <c r="H45" s="34" t="s">
        <v>96</v>
      </c>
      <c r="I45" s="34" t="s">
        <v>457</v>
      </c>
      <c r="J45" s="34"/>
      <c r="K45" s="34"/>
      <c r="L45" s="34">
        <v>4</v>
      </c>
      <c r="M45" s="34" t="s">
        <v>96</v>
      </c>
      <c r="N45" s="34" t="s">
        <v>315</v>
      </c>
      <c r="O45" s="35"/>
      <c r="P45" s="35"/>
      <c r="Q45" s="35"/>
    </row>
    <row r="46" spans="2:17" x14ac:dyDescent="0.25">
      <c r="B46" s="15"/>
      <c r="C46" s="15"/>
      <c r="D46" s="15"/>
      <c r="E46" s="15"/>
      <c r="F46" s="34" t="s">
        <v>449</v>
      </c>
      <c r="G46" s="34" t="s">
        <v>149</v>
      </c>
      <c r="H46" s="34" t="s">
        <v>96</v>
      </c>
      <c r="I46" s="34" t="s">
        <v>458</v>
      </c>
      <c r="J46" s="34"/>
      <c r="K46" s="34"/>
      <c r="L46" s="34">
        <v>4</v>
      </c>
      <c r="M46" s="34" t="s">
        <v>96</v>
      </c>
      <c r="N46" s="34" t="s">
        <v>316</v>
      </c>
      <c r="O46" s="35"/>
      <c r="P46" s="35"/>
      <c r="Q46" s="35"/>
    </row>
    <row r="47" spans="2:17" x14ac:dyDescent="0.25">
      <c r="B47" s="15"/>
      <c r="C47" s="15"/>
      <c r="D47" s="15"/>
      <c r="E47" s="15"/>
      <c r="F47" s="34" t="s">
        <v>450</v>
      </c>
      <c r="G47" s="34" t="s">
        <v>149</v>
      </c>
      <c r="H47" s="34" t="s">
        <v>96</v>
      </c>
      <c r="I47" s="34" t="s">
        <v>459</v>
      </c>
      <c r="J47" s="34"/>
      <c r="K47" s="34"/>
      <c r="L47" s="34">
        <v>4</v>
      </c>
      <c r="M47" s="34" t="s">
        <v>96</v>
      </c>
      <c r="N47" s="34" t="s">
        <v>317</v>
      </c>
      <c r="O47" s="35"/>
      <c r="P47" s="35"/>
      <c r="Q47" s="35"/>
    </row>
    <row r="48" spans="2:17" x14ac:dyDescent="0.25">
      <c r="B48" s="15"/>
      <c r="C48" s="15"/>
      <c r="D48" s="15"/>
      <c r="E48" s="15"/>
      <c r="F48" s="34" t="s">
        <v>451</v>
      </c>
      <c r="G48" s="34" t="s">
        <v>98</v>
      </c>
      <c r="H48" s="34" t="s">
        <v>96</v>
      </c>
      <c r="I48" s="34" t="s">
        <v>460</v>
      </c>
      <c r="J48" s="34"/>
      <c r="K48" s="34"/>
      <c r="L48" s="34">
        <v>4</v>
      </c>
      <c r="M48" s="34" t="s">
        <v>96</v>
      </c>
      <c r="N48" s="34" t="s">
        <v>318</v>
      </c>
      <c r="O48" s="35"/>
      <c r="P48" s="35"/>
      <c r="Q48" s="35"/>
    </row>
    <row r="49" spans="2:17" x14ac:dyDescent="0.25">
      <c r="B49" s="15"/>
      <c r="C49" s="15"/>
      <c r="D49" s="15"/>
      <c r="E49" s="15"/>
      <c r="F49" s="33" t="s">
        <v>197</v>
      </c>
      <c r="G49" s="33"/>
      <c r="H49" s="34"/>
      <c r="I49" s="33" t="s">
        <v>366</v>
      </c>
      <c r="J49" s="33"/>
      <c r="K49" s="33"/>
      <c r="L49" s="33">
        <v>2</v>
      </c>
      <c r="M49" s="34"/>
      <c r="N49" s="34"/>
      <c r="O49" s="35"/>
      <c r="P49" s="35"/>
      <c r="Q49" s="35"/>
    </row>
    <row r="50" spans="2:17" x14ac:dyDescent="0.25">
      <c r="B50" s="15"/>
      <c r="C50" s="15"/>
      <c r="D50" s="15"/>
      <c r="E50" s="15"/>
      <c r="F50" s="34" t="s">
        <v>452</v>
      </c>
      <c r="G50" s="34" t="s">
        <v>288</v>
      </c>
      <c r="H50" s="34" t="s">
        <v>96</v>
      </c>
      <c r="I50" s="34" t="s">
        <v>289</v>
      </c>
      <c r="J50" s="34"/>
      <c r="K50" s="34"/>
      <c r="L50" s="34">
        <v>3</v>
      </c>
      <c r="M50" s="34" t="s">
        <v>96</v>
      </c>
      <c r="N50" s="34" t="s">
        <v>323</v>
      </c>
      <c r="O50" s="35"/>
      <c r="P50" s="35"/>
      <c r="Q50" s="35"/>
    </row>
    <row r="51" spans="2:17" x14ac:dyDescent="0.25">
      <c r="B51" s="15"/>
      <c r="C51" s="15"/>
      <c r="D51" s="15"/>
      <c r="E51" s="15"/>
      <c r="F51" s="33" t="s">
        <v>197</v>
      </c>
      <c r="G51" s="33"/>
      <c r="H51" s="34"/>
      <c r="I51" s="33" t="s">
        <v>146</v>
      </c>
      <c r="J51" s="33"/>
      <c r="K51" s="33"/>
      <c r="L51" s="33">
        <v>1</v>
      </c>
      <c r="M51" s="34"/>
      <c r="N51" s="34"/>
      <c r="O51" s="35"/>
      <c r="P51" s="35"/>
      <c r="Q51" s="35"/>
    </row>
    <row r="52" spans="2:17" x14ac:dyDescent="0.25">
      <c r="B52" s="15"/>
      <c r="C52" s="15"/>
      <c r="D52" s="15"/>
      <c r="E52" s="15"/>
      <c r="F52" s="34" t="s">
        <v>181</v>
      </c>
      <c r="G52" s="34" t="s">
        <v>101</v>
      </c>
      <c r="H52" s="34" t="s">
        <v>94</v>
      </c>
      <c r="I52" s="33" t="s">
        <v>199</v>
      </c>
      <c r="J52" s="34" t="s">
        <v>414</v>
      </c>
      <c r="K52" s="34"/>
      <c r="L52" s="34">
        <v>2</v>
      </c>
      <c r="M52" s="34" t="s">
        <v>96</v>
      </c>
      <c r="N52" s="34" t="s">
        <v>324</v>
      </c>
      <c r="O52" s="35"/>
      <c r="P52" s="35"/>
      <c r="Q52" s="35"/>
    </row>
    <row r="53" spans="2:17" x14ac:dyDescent="0.25">
      <c r="B53" s="15"/>
      <c r="C53" s="15"/>
      <c r="D53" s="15"/>
      <c r="E53" s="15"/>
      <c r="F53" s="34" t="s">
        <v>367</v>
      </c>
      <c r="G53" s="34" t="s">
        <v>101</v>
      </c>
      <c r="H53" s="34" t="s">
        <v>94</v>
      </c>
      <c r="I53" s="33" t="s">
        <v>147</v>
      </c>
      <c r="J53" s="34" t="s">
        <v>415</v>
      </c>
      <c r="K53" s="34"/>
      <c r="L53" s="34">
        <v>2</v>
      </c>
      <c r="M53" s="34" t="s">
        <v>96</v>
      </c>
      <c r="N53" s="34" t="s">
        <v>325</v>
      </c>
      <c r="O53" s="35"/>
      <c r="P53" s="35"/>
      <c r="Q53" s="35"/>
    </row>
    <row r="54" spans="2:17" x14ac:dyDescent="0.25">
      <c r="B54" s="15"/>
      <c r="C54" s="15"/>
      <c r="D54" s="15"/>
      <c r="E54" s="15"/>
      <c r="F54" s="34" t="s">
        <v>368</v>
      </c>
      <c r="G54" s="34" t="s">
        <v>101</v>
      </c>
      <c r="H54" s="34" t="s">
        <v>94</v>
      </c>
      <c r="I54" s="34" t="s">
        <v>461</v>
      </c>
      <c r="J54" s="34" t="s">
        <v>416</v>
      </c>
      <c r="K54" s="34"/>
      <c r="L54" s="34">
        <v>2</v>
      </c>
      <c r="M54" s="34" t="s">
        <v>96</v>
      </c>
      <c r="N54" s="34" t="s">
        <v>326</v>
      </c>
      <c r="O54" s="35"/>
      <c r="P54" s="35"/>
      <c r="Q54" s="35"/>
    </row>
    <row r="55" spans="2:17" x14ac:dyDescent="0.25">
      <c r="B55" s="15"/>
      <c r="C55" s="15"/>
      <c r="D55" s="15"/>
      <c r="E55" s="15"/>
      <c r="F55" s="34" t="s">
        <v>369</v>
      </c>
      <c r="G55" s="34" t="s">
        <v>101</v>
      </c>
      <c r="H55" s="34" t="s">
        <v>94</v>
      </c>
      <c r="I55" s="34" t="s">
        <v>462</v>
      </c>
      <c r="J55" s="34" t="s">
        <v>416</v>
      </c>
      <c r="K55" s="34"/>
      <c r="L55" s="34">
        <v>2</v>
      </c>
      <c r="M55" s="34" t="s">
        <v>96</v>
      </c>
      <c r="N55" s="34" t="s">
        <v>327</v>
      </c>
      <c r="O55" s="35"/>
      <c r="P55" s="35"/>
      <c r="Q55" s="35"/>
    </row>
    <row r="56" spans="2:17" x14ac:dyDescent="0.25">
      <c r="B56" s="15"/>
      <c r="C56" s="15"/>
      <c r="D56" s="15"/>
      <c r="E56" s="15"/>
      <c r="F56" s="33" t="s">
        <v>197</v>
      </c>
      <c r="G56" s="33"/>
      <c r="H56" s="34"/>
      <c r="I56" s="33" t="s">
        <v>403</v>
      </c>
      <c r="J56" s="33"/>
      <c r="K56" s="33"/>
      <c r="L56" s="33">
        <v>2</v>
      </c>
      <c r="M56" s="34"/>
      <c r="N56" s="34"/>
      <c r="O56" s="35"/>
      <c r="P56" s="35"/>
      <c r="Q56" s="35"/>
    </row>
    <row r="57" spans="2:17" x14ac:dyDescent="0.25">
      <c r="B57" s="15"/>
      <c r="C57" s="15"/>
      <c r="D57" s="15"/>
      <c r="E57" s="15"/>
      <c r="F57" s="34" t="s">
        <v>370</v>
      </c>
      <c r="G57" s="34" t="s">
        <v>149</v>
      </c>
      <c r="H57" s="34" t="s">
        <v>96</v>
      </c>
      <c r="I57" s="34" t="s">
        <v>463</v>
      </c>
      <c r="J57" s="34"/>
      <c r="K57" s="34"/>
      <c r="L57" s="34">
        <v>3</v>
      </c>
      <c r="M57" s="34" t="s">
        <v>96</v>
      </c>
      <c r="N57" s="34" t="s">
        <v>328</v>
      </c>
      <c r="O57" s="35"/>
      <c r="P57" s="35"/>
      <c r="Q57" s="35"/>
    </row>
    <row r="58" spans="2:17" x14ac:dyDescent="0.25">
      <c r="B58" s="15"/>
      <c r="C58" s="15"/>
      <c r="D58" s="15"/>
      <c r="E58" s="15"/>
      <c r="F58" s="34" t="s">
        <v>371</v>
      </c>
      <c r="G58" s="34" t="s">
        <v>101</v>
      </c>
      <c r="H58" s="34" t="s">
        <v>96</v>
      </c>
      <c r="I58" s="34" t="s">
        <v>482</v>
      </c>
      <c r="J58" s="34" t="s">
        <v>410</v>
      </c>
      <c r="K58" s="34"/>
      <c r="L58" s="34">
        <v>3</v>
      </c>
      <c r="M58" s="34" t="s">
        <v>96</v>
      </c>
      <c r="N58" s="34" t="s">
        <v>329</v>
      </c>
      <c r="O58" s="35"/>
      <c r="P58" s="35"/>
      <c r="Q58" s="35"/>
    </row>
    <row r="59" spans="2:17" x14ac:dyDescent="0.25">
      <c r="B59" s="15"/>
      <c r="C59" s="15"/>
      <c r="D59" s="15"/>
      <c r="E59" s="15"/>
      <c r="F59" s="34" t="s">
        <v>372</v>
      </c>
      <c r="G59" s="34" t="s">
        <v>149</v>
      </c>
      <c r="H59" s="34" t="s">
        <v>96</v>
      </c>
      <c r="I59" s="34" t="s">
        <v>464</v>
      </c>
      <c r="J59" s="34"/>
      <c r="K59" s="34"/>
      <c r="L59" s="34">
        <v>3</v>
      </c>
      <c r="M59" s="34" t="s">
        <v>96</v>
      </c>
      <c r="N59" s="34" t="s">
        <v>330</v>
      </c>
      <c r="O59" s="35"/>
      <c r="P59" s="35"/>
      <c r="Q59" s="35"/>
    </row>
    <row r="60" spans="2:17" x14ac:dyDescent="0.25">
      <c r="B60" s="15"/>
      <c r="C60" s="15"/>
      <c r="D60" s="15"/>
      <c r="E60" s="15"/>
      <c r="F60" s="34" t="s">
        <v>373</v>
      </c>
      <c r="G60" s="34" t="s">
        <v>101</v>
      </c>
      <c r="H60" s="34" t="s">
        <v>96</v>
      </c>
      <c r="I60" s="34" t="s">
        <v>495</v>
      </c>
      <c r="J60" s="34" t="s">
        <v>410</v>
      </c>
      <c r="K60" s="34"/>
      <c r="L60" s="34">
        <v>3</v>
      </c>
      <c r="M60" s="34" t="s">
        <v>96</v>
      </c>
      <c r="N60" s="34" t="s">
        <v>331</v>
      </c>
      <c r="O60" s="35"/>
      <c r="P60" s="35"/>
      <c r="Q60" s="35"/>
    </row>
    <row r="61" spans="2:17" x14ac:dyDescent="0.25">
      <c r="B61" s="15"/>
      <c r="C61" s="15"/>
      <c r="D61" s="15"/>
      <c r="E61" s="15"/>
      <c r="F61" s="34" t="s">
        <v>374</v>
      </c>
      <c r="G61" s="34" t="s">
        <v>149</v>
      </c>
      <c r="H61" s="34" t="s">
        <v>96</v>
      </c>
      <c r="I61" s="34" t="s">
        <v>465</v>
      </c>
      <c r="J61" s="34"/>
      <c r="K61" s="34"/>
      <c r="L61" s="34">
        <v>3</v>
      </c>
      <c r="M61" s="34" t="s">
        <v>96</v>
      </c>
      <c r="N61" s="34" t="s">
        <v>332</v>
      </c>
      <c r="O61" s="35"/>
      <c r="P61" s="35"/>
      <c r="Q61" s="35"/>
    </row>
    <row r="62" spans="2:17" x14ac:dyDescent="0.25">
      <c r="B62" s="15"/>
      <c r="C62" s="15"/>
      <c r="D62" s="15"/>
      <c r="E62" s="15"/>
      <c r="F62" s="34" t="s">
        <v>375</v>
      </c>
      <c r="G62" s="34" t="s">
        <v>101</v>
      </c>
      <c r="H62" s="34" t="s">
        <v>96</v>
      </c>
      <c r="I62" s="34" t="s">
        <v>483</v>
      </c>
      <c r="J62" s="34" t="s">
        <v>411</v>
      </c>
      <c r="K62" s="34"/>
      <c r="L62" s="34">
        <v>3</v>
      </c>
      <c r="M62" s="34" t="s">
        <v>96</v>
      </c>
      <c r="N62" s="34" t="s">
        <v>333</v>
      </c>
      <c r="O62" s="35"/>
      <c r="P62" s="35"/>
      <c r="Q62" s="35"/>
    </row>
    <row r="63" spans="2:17" x14ac:dyDescent="0.25">
      <c r="B63" s="15"/>
      <c r="C63" s="15"/>
      <c r="D63" s="15"/>
      <c r="E63" s="15"/>
      <c r="F63" s="34" t="s">
        <v>376</v>
      </c>
      <c r="G63" s="34" t="s">
        <v>149</v>
      </c>
      <c r="H63" s="34" t="s">
        <v>96</v>
      </c>
      <c r="I63" s="34" t="s">
        <v>466</v>
      </c>
      <c r="J63" s="34"/>
      <c r="K63" s="34"/>
      <c r="L63" s="34">
        <v>3</v>
      </c>
      <c r="M63" s="34" t="s">
        <v>96</v>
      </c>
      <c r="N63" s="34" t="s">
        <v>334</v>
      </c>
      <c r="O63" s="35"/>
      <c r="P63" s="35"/>
      <c r="Q63" s="35"/>
    </row>
    <row r="64" spans="2:17" x14ac:dyDescent="0.25">
      <c r="B64" s="15"/>
      <c r="C64" s="15"/>
      <c r="D64" s="15"/>
      <c r="E64" s="15"/>
      <c r="F64" s="34" t="s">
        <v>377</v>
      </c>
      <c r="G64" s="34" t="s">
        <v>285</v>
      </c>
      <c r="H64" s="34" t="s">
        <v>96</v>
      </c>
      <c r="I64" s="34" t="s">
        <v>467</v>
      </c>
      <c r="J64" s="34"/>
      <c r="K64" s="34"/>
      <c r="L64" s="34">
        <v>3</v>
      </c>
      <c r="M64" s="34" t="s">
        <v>96</v>
      </c>
      <c r="N64" s="34" t="s">
        <v>335</v>
      </c>
      <c r="O64" s="35"/>
      <c r="P64" s="35"/>
      <c r="Q64" s="35"/>
    </row>
    <row r="65" spans="2:17" x14ac:dyDescent="0.25">
      <c r="B65" s="15"/>
      <c r="C65" s="15"/>
      <c r="D65" s="15"/>
      <c r="E65" s="15"/>
      <c r="F65" s="34" t="s">
        <v>378</v>
      </c>
      <c r="G65" s="34" t="s">
        <v>149</v>
      </c>
      <c r="H65" s="34" t="s">
        <v>96</v>
      </c>
      <c r="I65" s="34" t="s">
        <v>468</v>
      </c>
      <c r="J65" s="34"/>
      <c r="K65" s="34"/>
      <c r="L65" s="34">
        <v>3</v>
      </c>
      <c r="M65" s="34" t="s">
        <v>96</v>
      </c>
      <c r="N65" s="34" t="s">
        <v>336</v>
      </c>
      <c r="O65" s="35"/>
      <c r="P65" s="35"/>
      <c r="Q65" s="35"/>
    </row>
    <row r="66" spans="2:17" x14ac:dyDescent="0.25">
      <c r="B66" s="15"/>
      <c r="C66" s="15"/>
      <c r="D66" s="15"/>
      <c r="E66" s="15"/>
      <c r="F66" s="34" t="s">
        <v>379</v>
      </c>
      <c r="G66" s="34" t="s">
        <v>149</v>
      </c>
      <c r="H66" s="34" t="s">
        <v>96</v>
      </c>
      <c r="I66" s="34" t="s">
        <v>469</v>
      </c>
      <c r="J66" s="34"/>
      <c r="K66" s="34"/>
      <c r="L66" s="34">
        <v>3</v>
      </c>
      <c r="M66" s="34" t="s">
        <v>96</v>
      </c>
      <c r="N66" s="34" t="s">
        <v>337</v>
      </c>
      <c r="O66" s="35"/>
      <c r="P66" s="35"/>
      <c r="Q66" s="35"/>
    </row>
    <row r="67" spans="2:17" x14ac:dyDescent="0.25">
      <c r="B67" s="15"/>
      <c r="C67" s="15"/>
      <c r="D67" s="15"/>
      <c r="E67" s="15"/>
      <c r="F67" s="34" t="s">
        <v>380</v>
      </c>
      <c r="G67" s="34" t="s">
        <v>286</v>
      </c>
      <c r="H67" s="34" t="s">
        <v>96</v>
      </c>
      <c r="I67" s="34" t="s">
        <v>484</v>
      </c>
      <c r="J67" s="34" t="s">
        <v>412</v>
      </c>
      <c r="K67" s="34"/>
      <c r="L67" s="34">
        <v>3</v>
      </c>
      <c r="M67" s="34" t="s">
        <v>96</v>
      </c>
      <c r="N67" s="34" t="s">
        <v>338</v>
      </c>
      <c r="O67" s="35"/>
      <c r="P67" s="35"/>
      <c r="Q67" s="35"/>
    </row>
    <row r="68" spans="2:17" x14ac:dyDescent="0.25">
      <c r="B68" s="15"/>
      <c r="C68" s="15"/>
      <c r="D68" s="15"/>
      <c r="E68" s="15"/>
      <c r="F68" s="34" t="s">
        <v>381</v>
      </c>
      <c r="G68" s="34" t="s">
        <v>149</v>
      </c>
      <c r="H68" s="34" t="s">
        <v>96</v>
      </c>
      <c r="I68" s="34" t="s">
        <v>470</v>
      </c>
      <c r="J68" s="34"/>
      <c r="K68" s="34"/>
      <c r="L68" s="34">
        <v>3</v>
      </c>
      <c r="M68" s="34" t="s">
        <v>96</v>
      </c>
      <c r="N68" s="34" t="s">
        <v>339</v>
      </c>
      <c r="O68" s="35"/>
      <c r="P68" s="35"/>
      <c r="Q68" s="35"/>
    </row>
    <row r="69" spans="2:17" x14ac:dyDescent="0.25">
      <c r="B69" s="15"/>
      <c r="C69" s="15"/>
      <c r="D69" s="15"/>
      <c r="E69" s="15"/>
      <c r="F69" s="34" t="s">
        <v>382</v>
      </c>
      <c r="G69" s="34" t="s">
        <v>101</v>
      </c>
      <c r="H69" s="34" t="s">
        <v>96</v>
      </c>
      <c r="I69" s="34" t="s">
        <v>485</v>
      </c>
      <c r="J69" s="34" t="s">
        <v>413</v>
      </c>
      <c r="K69" s="34"/>
      <c r="L69" s="34">
        <v>3</v>
      </c>
      <c r="M69" s="34" t="s">
        <v>96</v>
      </c>
      <c r="N69" s="34" t="s">
        <v>340</v>
      </c>
      <c r="O69" s="35"/>
      <c r="P69" s="35"/>
      <c r="Q69" s="35"/>
    </row>
    <row r="70" spans="2:17" x14ac:dyDescent="0.25">
      <c r="B70" s="15"/>
      <c r="C70" s="15"/>
      <c r="D70" s="15"/>
      <c r="E70" s="15"/>
      <c r="F70" s="34" t="s">
        <v>383</v>
      </c>
      <c r="G70" s="34" t="s">
        <v>149</v>
      </c>
      <c r="H70" s="34" t="s">
        <v>96</v>
      </c>
      <c r="I70" s="34" t="s">
        <v>471</v>
      </c>
      <c r="J70" s="34"/>
      <c r="K70" s="34"/>
      <c r="L70" s="34">
        <v>3</v>
      </c>
      <c r="M70" s="34" t="s">
        <v>96</v>
      </c>
      <c r="N70" s="34" t="s">
        <v>341</v>
      </c>
      <c r="O70" s="35"/>
      <c r="P70" s="35"/>
      <c r="Q70" s="35"/>
    </row>
    <row r="71" spans="2:17" x14ac:dyDescent="0.25">
      <c r="B71" s="15"/>
      <c r="C71" s="15"/>
      <c r="D71" s="15"/>
      <c r="E71" s="15"/>
      <c r="F71" s="34" t="s">
        <v>384</v>
      </c>
      <c r="G71" s="34" t="s">
        <v>149</v>
      </c>
      <c r="H71" s="34" t="s">
        <v>96</v>
      </c>
      <c r="I71" s="34" t="s">
        <v>472</v>
      </c>
      <c r="J71" s="34"/>
      <c r="K71" s="34"/>
      <c r="L71" s="34">
        <v>3</v>
      </c>
      <c r="M71" s="34" t="s">
        <v>96</v>
      </c>
      <c r="N71" s="34" t="s">
        <v>342</v>
      </c>
      <c r="O71" s="35"/>
      <c r="P71" s="35"/>
      <c r="Q71" s="35"/>
    </row>
    <row r="72" spans="2:17" x14ac:dyDescent="0.25">
      <c r="B72" s="15"/>
      <c r="C72" s="15"/>
      <c r="D72" s="15"/>
      <c r="E72" s="15"/>
      <c r="F72" s="34" t="s">
        <v>385</v>
      </c>
      <c r="G72" s="34" t="s">
        <v>101</v>
      </c>
      <c r="H72" s="34" t="s">
        <v>96</v>
      </c>
      <c r="I72" s="34" t="s">
        <v>486</v>
      </c>
      <c r="J72" s="34" t="s">
        <v>407</v>
      </c>
      <c r="K72" s="34"/>
      <c r="L72" s="34">
        <v>3</v>
      </c>
      <c r="M72" s="34" t="s">
        <v>96</v>
      </c>
      <c r="N72" s="34" t="s">
        <v>343</v>
      </c>
      <c r="O72" s="35"/>
      <c r="P72" s="35"/>
      <c r="Q72" s="35"/>
    </row>
    <row r="73" spans="2:17" x14ac:dyDescent="0.25">
      <c r="B73" s="15"/>
      <c r="C73" s="15"/>
      <c r="D73" s="15"/>
      <c r="E73" s="15"/>
      <c r="F73" s="34" t="s">
        <v>386</v>
      </c>
      <c r="G73" s="34" t="s">
        <v>101</v>
      </c>
      <c r="H73" s="34" t="s">
        <v>96</v>
      </c>
      <c r="I73" s="34" t="s">
        <v>473</v>
      </c>
      <c r="J73" s="34"/>
      <c r="K73" s="34"/>
      <c r="L73" s="34">
        <v>3</v>
      </c>
      <c r="M73" s="34" t="s">
        <v>96</v>
      </c>
      <c r="N73" s="34" t="s">
        <v>344</v>
      </c>
      <c r="O73" s="35"/>
      <c r="P73" s="35"/>
      <c r="Q73" s="35"/>
    </row>
    <row r="74" spans="2:17" x14ac:dyDescent="0.25">
      <c r="B74" s="15"/>
      <c r="C74" s="15"/>
      <c r="D74" s="15"/>
      <c r="E74" s="15"/>
      <c r="F74" s="34" t="s">
        <v>387</v>
      </c>
      <c r="G74" s="34" t="s">
        <v>101</v>
      </c>
      <c r="H74" s="34" t="s">
        <v>96</v>
      </c>
      <c r="I74" s="34" t="s">
        <v>474</v>
      </c>
      <c r="J74" s="34"/>
      <c r="K74" s="34"/>
      <c r="L74" s="34">
        <v>3</v>
      </c>
      <c r="M74" s="34" t="s">
        <v>96</v>
      </c>
      <c r="N74" s="34" t="s">
        <v>345</v>
      </c>
      <c r="O74" s="35"/>
      <c r="P74" s="35"/>
      <c r="Q74" s="35"/>
    </row>
    <row r="75" spans="2:17" x14ac:dyDescent="0.25">
      <c r="B75" s="15"/>
      <c r="C75" s="15"/>
      <c r="D75" s="15"/>
      <c r="E75" s="15"/>
      <c r="F75" s="34" t="s">
        <v>388</v>
      </c>
      <c r="G75" s="34" t="s">
        <v>101</v>
      </c>
      <c r="H75" s="34" t="s">
        <v>96</v>
      </c>
      <c r="I75" s="34" t="s">
        <v>475</v>
      </c>
      <c r="J75" s="34"/>
      <c r="K75" s="34"/>
      <c r="L75" s="34">
        <v>3</v>
      </c>
      <c r="M75" s="34" t="s">
        <v>96</v>
      </c>
      <c r="N75" s="34" t="s">
        <v>346</v>
      </c>
      <c r="O75" s="35"/>
      <c r="P75" s="35"/>
      <c r="Q75" s="35"/>
    </row>
    <row r="76" spans="2:17" x14ac:dyDescent="0.25">
      <c r="B76" s="15"/>
      <c r="C76" s="15"/>
      <c r="D76" s="15"/>
      <c r="E76" s="15"/>
      <c r="F76" s="34" t="s">
        <v>389</v>
      </c>
      <c r="G76" s="34" t="s">
        <v>101</v>
      </c>
      <c r="H76" s="34" t="s">
        <v>96</v>
      </c>
      <c r="I76" s="34" t="s">
        <v>476</v>
      </c>
      <c r="J76" s="34"/>
      <c r="K76" s="34"/>
      <c r="L76" s="34">
        <v>3</v>
      </c>
      <c r="M76" s="34" t="s">
        <v>96</v>
      </c>
      <c r="N76" s="34" t="s">
        <v>347</v>
      </c>
      <c r="O76" s="35"/>
      <c r="P76" s="35"/>
      <c r="Q76" s="35"/>
    </row>
    <row r="77" spans="2:17" x14ac:dyDescent="0.25">
      <c r="B77" s="15"/>
      <c r="C77" s="15"/>
      <c r="D77" s="15"/>
      <c r="E77" s="15"/>
      <c r="F77" s="33" t="s">
        <v>197</v>
      </c>
      <c r="G77" s="33"/>
      <c r="H77" s="34"/>
      <c r="I77" s="33" t="s">
        <v>404</v>
      </c>
      <c r="J77" s="33"/>
      <c r="K77" s="33"/>
      <c r="L77" s="33">
        <v>2</v>
      </c>
      <c r="M77" s="34"/>
      <c r="N77" s="34"/>
      <c r="O77" s="35"/>
      <c r="P77" s="35"/>
      <c r="Q77" s="35"/>
    </row>
    <row r="78" spans="2:17" x14ac:dyDescent="0.25">
      <c r="B78" s="15"/>
      <c r="C78" s="15"/>
      <c r="D78" s="15"/>
      <c r="E78" s="15"/>
      <c r="F78" s="34" t="s">
        <v>390</v>
      </c>
      <c r="G78" s="34" t="s">
        <v>149</v>
      </c>
      <c r="H78" s="34" t="s">
        <v>96</v>
      </c>
      <c r="I78" s="34" t="s">
        <v>477</v>
      </c>
      <c r="J78" s="34"/>
      <c r="K78" s="34"/>
      <c r="L78" s="34">
        <v>3</v>
      </c>
      <c r="M78" s="34" t="s">
        <v>96</v>
      </c>
      <c r="N78" s="34" t="s">
        <v>348</v>
      </c>
      <c r="O78" s="35"/>
      <c r="P78" s="35"/>
      <c r="Q78" s="35"/>
    </row>
    <row r="79" spans="2:17" x14ac:dyDescent="0.25">
      <c r="B79" s="15"/>
      <c r="C79" s="15"/>
      <c r="D79" s="15"/>
      <c r="E79" s="15"/>
      <c r="F79" s="34" t="s">
        <v>391</v>
      </c>
      <c r="G79" s="34" t="s">
        <v>99</v>
      </c>
      <c r="H79" s="34" t="s">
        <v>96</v>
      </c>
      <c r="I79" s="34" t="s">
        <v>478</v>
      </c>
      <c r="J79" s="34"/>
      <c r="K79" s="33" t="s">
        <v>196</v>
      </c>
      <c r="L79" s="34">
        <v>3</v>
      </c>
      <c r="M79" s="34" t="s">
        <v>96</v>
      </c>
      <c r="N79" s="34" t="s">
        <v>349</v>
      </c>
      <c r="O79" s="35"/>
      <c r="P79" s="35"/>
      <c r="Q79" s="35"/>
    </row>
    <row r="80" spans="2:17" x14ac:dyDescent="0.25">
      <c r="B80" s="15"/>
      <c r="C80" s="15"/>
      <c r="D80" s="15"/>
      <c r="E80" s="15"/>
      <c r="F80" s="34" t="s">
        <v>392</v>
      </c>
      <c r="G80" s="34" t="s">
        <v>149</v>
      </c>
      <c r="H80" s="34" t="s">
        <v>96</v>
      </c>
      <c r="I80" s="34" t="s">
        <v>479</v>
      </c>
      <c r="J80" s="34"/>
      <c r="K80" s="34"/>
      <c r="L80" s="34">
        <v>3</v>
      </c>
      <c r="M80" s="34" t="s">
        <v>96</v>
      </c>
      <c r="N80" s="34" t="s">
        <v>350</v>
      </c>
      <c r="O80" s="35"/>
      <c r="P80" s="35"/>
      <c r="Q80" s="35"/>
    </row>
    <row r="81" spans="2:17" x14ac:dyDescent="0.25">
      <c r="B81" s="15"/>
      <c r="C81" s="15"/>
      <c r="D81" s="15"/>
      <c r="E81" s="15"/>
      <c r="F81" s="33" t="s">
        <v>197</v>
      </c>
      <c r="G81" s="33"/>
      <c r="H81" s="34"/>
      <c r="I81" s="33" t="s">
        <v>405</v>
      </c>
      <c r="J81" s="33"/>
      <c r="K81" s="33"/>
      <c r="L81" s="33">
        <v>3</v>
      </c>
      <c r="M81" s="34"/>
      <c r="N81" s="34"/>
      <c r="O81" s="35"/>
      <c r="P81" s="35"/>
      <c r="Q81" s="35"/>
    </row>
    <row r="82" spans="2:17" x14ac:dyDescent="0.25">
      <c r="B82" s="15"/>
      <c r="C82" s="15"/>
      <c r="D82" s="15"/>
      <c r="E82" s="15"/>
      <c r="F82" s="34" t="s">
        <v>393</v>
      </c>
      <c r="G82" s="34" t="s">
        <v>149</v>
      </c>
      <c r="H82" s="34" t="s">
        <v>96</v>
      </c>
      <c r="I82" s="34" t="s">
        <v>480</v>
      </c>
      <c r="J82" s="34"/>
      <c r="K82" s="34"/>
      <c r="L82" s="34">
        <v>4</v>
      </c>
      <c r="M82" s="34" t="s">
        <v>96</v>
      </c>
      <c r="N82" s="34" t="s">
        <v>351</v>
      </c>
      <c r="O82" s="35"/>
      <c r="P82" s="35"/>
      <c r="Q82" s="35"/>
    </row>
    <row r="83" spans="2:17" x14ac:dyDescent="0.25">
      <c r="B83" s="15"/>
      <c r="C83" s="15"/>
      <c r="D83" s="15"/>
      <c r="E83" s="15"/>
      <c r="F83" s="34" t="s">
        <v>394</v>
      </c>
      <c r="G83" s="34" t="s">
        <v>149</v>
      </c>
      <c r="H83" s="34" t="s">
        <v>96</v>
      </c>
      <c r="I83" s="34" t="s">
        <v>487</v>
      </c>
      <c r="J83" s="34"/>
      <c r="K83" s="34"/>
      <c r="L83" s="34">
        <v>4</v>
      </c>
      <c r="M83" s="34" t="s">
        <v>96</v>
      </c>
      <c r="N83" s="34" t="s">
        <v>352</v>
      </c>
      <c r="O83" s="35"/>
      <c r="P83" s="35"/>
      <c r="Q83" s="35"/>
    </row>
    <row r="84" spans="2:17" x14ac:dyDescent="0.25">
      <c r="B84" s="15"/>
      <c r="C84" s="15"/>
      <c r="D84" s="15"/>
      <c r="E84" s="15"/>
      <c r="F84" s="34" t="s">
        <v>395</v>
      </c>
      <c r="G84" s="34" t="s">
        <v>149</v>
      </c>
      <c r="H84" s="34" t="s">
        <v>96</v>
      </c>
      <c r="I84" s="34" t="s">
        <v>493</v>
      </c>
      <c r="J84" s="34"/>
      <c r="K84" s="34"/>
      <c r="L84" s="34">
        <v>4</v>
      </c>
      <c r="M84" s="34" t="s">
        <v>96</v>
      </c>
      <c r="N84" s="34" t="s">
        <v>353</v>
      </c>
      <c r="O84" s="35"/>
      <c r="P84" s="35"/>
      <c r="Q84" s="35"/>
    </row>
    <row r="85" spans="2:17" x14ac:dyDescent="0.25">
      <c r="B85" s="15"/>
      <c r="C85" s="15"/>
      <c r="D85" s="15"/>
      <c r="E85" s="15"/>
      <c r="F85" s="34" t="s">
        <v>396</v>
      </c>
      <c r="G85" s="34" t="s">
        <v>149</v>
      </c>
      <c r="H85" s="34" t="s">
        <v>96</v>
      </c>
      <c r="I85" s="34" t="s">
        <v>494</v>
      </c>
      <c r="J85" s="34"/>
      <c r="K85" s="34"/>
      <c r="L85" s="34">
        <v>4</v>
      </c>
      <c r="M85" s="34" t="s">
        <v>96</v>
      </c>
      <c r="N85" s="34" t="s">
        <v>354</v>
      </c>
      <c r="O85" s="35"/>
      <c r="P85" s="35"/>
      <c r="Q85" s="35"/>
    </row>
    <row r="86" spans="2:17" x14ac:dyDescent="0.25">
      <c r="B86" s="15"/>
      <c r="C86" s="15"/>
      <c r="D86" s="15"/>
      <c r="E86" s="15"/>
      <c r="F86" s="34" t="s">
        <v>397</v>
      </c>
      <c r="G86" s="34" t="s">
        <v>98</v>
      </c>
      <c r="H86" s="34" t="s">
        <v>96</v>
      </c>
      <c r="I86" s="34" t="s">
        <v>488</v>
      </c>
      <c r="J86" s="34"/>
      <c r="K86" s="34"/>
      <c r="L86" s="34">
        <v>4</v>
      </c>
      <c r="M86" s="34" t="s">
        <v>96</v>
      </c>
      <c r="N86" s="34" t="s">
        <v>355</v>
      </c>
      <c r="O86" s="35"/>
      <c r="P86" s="35"/>
      <c r="Q86" s="35"/>
    </row>
    <row r="87" spans="2:17" x14ac:dyDescent="0.25">
      <c r="B87" s="15"/>
      <c r="C87" s="15"/>
      <c r="D87" s="15"/>
      <c r="E87" s="15"/>
      <c r="F87" s="33" t="s">
        <v>197</v>
      </c>
      <c r="G87" s="33"/>
      <c r="H87" s="34"/>
      <c r="I87" s="33" t="s">
        <v>406</v>
      </c>
      <c r="J87" s="33"/>
      <c r="K87" s="33"/>
      <c r="L87" s="33">
        <v>3</v>
      </c>
      <c r="M87" s="34"/>
      <c r="N87" s="34"/>
      <c r="O87" s="35"/>
      <c r="P87" s="35"/>
      <c r="Q87" s="35"/>
    </row>
    <row r="88" spans="2:17" x14ac:dyDescent="0.25">
      <c r="B88" s="15"/>
      <c r="C88" s="15"/>
      <c r="D88" s="15"/>
      <c r="E88" s="15"/>
      <c r="F88" s="34" t="s">
        <v>398</v>
      </c>
      <c r="G88" s="34" t="s">
        <v>149</v>
      </c>
      <c r="H88" s="34" t="s">
        <v>96</v>
      </c>
      <c r="I88" s="34" t="s">
        <v>481</v>
      </c>
      <c r="J88" s="34"/>
      <c r="K88" s="34"/>
      <c r="L88" s="34">
        <v>4</v>
      </c>
      <c r="M88" s="34" t="s">
        <v>96</v>
      </c>
      <c r="N88" s="34" t="s">
        <v>356</v>
      </c>
      <c r="O88" s="35"/>
      <c r="P88" s="35"/>
      <c r="Q88" s="35"/>
    </row>
    <row r="89" spans="2:17" x14ac:dyDescent="0.25">
      <c r="B89" s="15"/>
      <c r="C89" s="15"/>
      <c r="D89" s="15"/>
      <c r="E89" s="15"/>
      <c r="F89" s="34" t="s">
        <v>399</v>
      </c>
      <c r="G89" s="34" t="s">
        <v>149</v>
      </c>
      <c r="H89" s="34" t="s">
        <v>96</v>
      </c>
      <c r="I89" s="34" t="s">
        <v>489</v>
      </c>
      <c r="J89" s="34"/>
      <c r="K89" s="34"/>
      <c r="L89" s="34">
        <v>4</v>
      </c>
      <c r="M89" s="34" t="s">
        <v>96</v>
      </c>
      <c r="N89" s="34" t="s">
        <v>357</v>
      </c>
      <c r="O89" s="35"/>
      <c r="P89" s="35"/>
      <c r="Q89" s="35"/>
    </row>
    <row r="90" spans="2:17" x14ac:dyDescent="0.25">
      <c r="B90" s="15"/>
      <c r="C90" s="15"/>
      <c r="D90" s="15"/>
      <c r="E90" s="15"/>
      <c r="F90" s="34" t="s">
        <v>400</v>
      </c>
      <c r="G90" s="34" t="s">
        <v>149</v>
      </c>
      <c r="H90" s="34" t="s">
        <v>96</v>
      </c>
      <c r="I90" s="34" t="s">
        <v>490</v>
      </c>
      <c r="J90" s="34"/>
      <c r="K90" s="34"/>
      <c r="L90" s="34">
        <v>4</v>
      </c>
      <c r="M90" s="34" t="s">
        <v>96</v>
      </c>
      <c r="N90" s="34" t="s">
        <v>358</v>
      </c>
      <c r="O90" s="35"/>
      <c r="P90" s="35"/>
      <c r="Q90" s="35"/>
    </row>
    <row r="91" spans="2:17" x14ac:dyDescent="0.25">
      <c r="B91" s="15"/>
      <c r="C91" s="15"/>
      <c r="D91" s="15"/>
      <c r="E91" s="15"/>
      <c r="F91" s="34" t="s">
        <v>401</v>
      </c>
      <c r="G91" s="34" t="s">
        <v>149</v>
      </c>
      <c r="H91" s="34" t="s">
        <v>96</v>
      </c>
      <c r="I91" s="34" t="s">
        <v>491</v>
      </c>
      <c r="J91" s="34"/>
      <c r="K91" s="34"/>
      <c r="L91" s="34">
        <v>4</v>
      </c>
      <c r="M91" s="34" t="s">
        <v>96</v>
      </c>
      <c r="N91" s="34" t="s">
        <v>359</v>
      </c>
      <c r="O91" s="35"/>
      <c r="P91" s="35"/>
      <c r="Q91" s="35"/>
    </row>
    <row r="92" spans="2:17" x14ac:dyDescent="0.25">
      <c r="B92" s="15"/>
      <c r="C92" s="15"/>
      <c r="D92" s="15"/>
      <c r="E92" s="15"/>
      <c r="F92" s="34" t="s">
        <v>402</v>
      </c>
      <c r="G92" s="34" t="s">
        <v>98</v>
      </c>
      <c r="H92" s="34" t="s">
        <v>96</v>
      </c>
      <c r="I92" s="34" t="s">
        <v>492</v>
      </c>
      <c r="J92" s="34"/>
      <c r="K92" s="34"/>
      <c r="L92" s="34">
        <v>4</v>
      </c>
      <c r="M92" s="34" t="s">
        <v>96</v>
      </c>
      <c r="N92" s="34" t="s">
        <v>360</v>
      </c>
      <c r="O92" s="35"/>
      <c r="P92" s="35"/>
      <c r="Q92" s="35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7</vt:i4>
      </vt:variant>
    </vt:vector>
  </HeadingPairs>
  <TitlesOfParts>
    <vt:vector size="13" baseType="lpstr">
      <vt:lpstr>Reporting List</vt:lpstr>
      <vt:lpstr>CACHE</vt:lpstr>
      <vt:lpstr>Planning</vt:lpstr>
      <vt:lpstr>History</vt:lpstr>
      <vt:lpstr>I18N</vt:lpstr>
      <vt:lpstr>JSON</vt:lpstr>
      <vt:lpstr>cell_JSON_Param</vt:lpstr>
      <vt:lpstr>cellLanguage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2021-02-28T16:09:27Z</dcterms:modified>
</cp:coreProperties>
</file>