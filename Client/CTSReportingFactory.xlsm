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6ABF54CC-F087-4FA4-A92F-E38143B42656}" xr6:coauthVersionLast="46" xr6:coauthVersionMax="46" xr10:uidLastSave="{00000000-0000-0000-0000-000000000000}"/>
  <bookViews>
    <workbookView xWindow="-120" yWindow="-120" windowWidth="20730" windowHeight="11160" tabRatio="723" activeTab="1" xr2:uid="{00000000-000D-0000-FFFF-FFFF00000000}"/>
  </bookViews>
  <sheets>
    <sheet name="Liste des reportings" sheetId="6" r:id="rId1"/>
    <sheet name="A - 2000.12" sheetId="18" r:id="rId2"/>
    <sheet name="A - 2000.06" sheetId="17" r:id="rId3"/>
    <sheet name="B - 2000.09" sheetId="16" r:id="rId4"/>
    <sheet name="CACHE" sheetId="10" r:id="rId5"/>
    <sheet name="Planning" sheetId="4" r:id="rId6"/>
    <sheet name="History" sheetId="7" r:id="rId7"/>
    <sheet name="I18N" sheetId="2" r:id="rId8"/>
    <sheet name="JSON" sheetId="8" r:id="rId9"/>
    <sheet name="JSON (2)" sheetId="13" r:id="rId10"/>
  </sheets>
  <functionGroups builtInGroupCount="19"/>
  <definedNames>
    <definedName name="_xlnm._FilterDatabase" localSheetId="0" hidden="1">'Liste des reportings'!$C$10:$E$14</definedName>
    <definedName name="_xlnm._FilterDatabase" localSheetId="5" hidden="1">Planning!$F$3:$M$71</definedName>
    <definedName name="cell_JSON_Param" localSheetId="9">'JSON (2)'!$I$1</definedName>
    <definedName name="cell_JSON_Param">JSON!$J$1</definedName>
    <definedName name="cellLanguage">I18N!$J$1</definedName>
    <definedName name="JSON_MetadataQuery">JSON!$Q$1</definedName>
    <definedName name="tReporting52428888___RF_Save">'A - 2000.12'!$B$2</definedName>
    <definedName name="tReportingNew2___RF_Save">'B - 2000.09'!$B$2</definedName>
    <definedName name="tReportingNew3___RF_Save">'A - 2000.06'!$B$2</definedName>
    <definedName name="tReportings____ROWS_">'Liste des reportings'!$H$14:$I$42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C3" i="18"/>
  <c r="C3" i="17"/>
  <c r="C3" i="16"/>
  <c r="L71" i="4"/>
  <c r="K71" i="4"/>
  <c r="I42" i="6"/>
  <c r="I40" i="6"/>
  <c r="I38" i="6"/>
  <c r="I36" i="6"/>
  <c r="I34" i="6"/>
  <c r="I32" i="6"/>
  <c r="I30" i="6"/>
  <c r="I28" i="6"/>
  <c r="I26" i="6"/>
  <c r="I24" i="6"/>
  <c r="I22" i="6"/>
  <c r="I20" i="6"/>
  <c r="I18" i="6"/>
  <c r="I16" i="6"/>
  <c r="I41" i="6"/>
  <c r="I35" i="6"/>
  <c r="I31" i="6"/>
  <c r="I27" i="6"/>
  <c r="I23" i="6"/>
  <c r="I19" i="6"/>
  <c r="I17" i="6"/>
  <c r="H41" i="6"/>
  <c r="H37" i="6"/>
  <c r="H33" i="6"/>
  <c r="H27" i="6"/>
  <c r="H23" i="6"/>
  <c r="H19" i="6"/>
  <c r="H15" i="6"/>
  <c r="H42" i="6"/>
  <c r="H40" i="6"/>
  <c r="H38" i="6"/>
  <c r="H36" i="6"/>
  <c r="H34" i="6"/>
  <c r="H32" i="6"/>
  <c r="H30" i="6"/>
  <c r="H28" i="6"/>
  <c r="H26" i="6"/>
  <c r="H24" i="6"/>
  <c r="H22" i="6"/>
  <c r="H20" i="6"/>
  <c r="H18" i="6"/>
  <c r="H16" i="6"/>
  <c r="I39" i="6"/>
  <c r="I37" i="6"/>
  <c r="I33" i="6"/>
  <c r="I29" i="6"/>
  <c r="I25" i="6"/>
  <c r="I21" i="6"/>
  <c r="I15" i="6"/>
  <c r="H39" i="6"/>
  <c r="H35" i="6"/>
  <c r="H31" i="6"/>
  <c r="H29" i="6"/>
  <c r="H25" i="6"/>
  <c r="H21" i="6"/>
  <c r="H17" i="6"/>
  <c r="I14" i="6"/>
  <c r="H14" i="6"/>
  <c r="F12" i="6"/>
  <c r="E12" i="6"/>
  <c r="D12" i="6"/>
  <c r="C12" i="6"/>
  <c r="D10" i="6"/>
  <c r="B2" i="17"/>
  <c r="T4" i="17"/>
  <c r="AX4" i="16"/>
  <c r="AJ4" i="17"/>
  <c r="I4" i="17"/>
  <c r="L4" i="17"/>
  <c r="C4" i="16"/>
  <c r="BA4" i="16"/>
  <c r="W4" i="16"/>
  <c r="BC4" i="17"/>
  <c r="AO4" i="16"/>
  <c r="BO4" i="16"/>
  <c r="U4" i="17"/>
  <c r="AS4" i="16"/>
  <c r="H4" i="16"/>
  <c r="BU4" i="17"/>
  <c r="BX4" i="17"/>
  <c r="AT4" i="17"/>
  <c r="CC4" i="16"/>
  <c r="AW4" i="17"/>
  <c r="F4" i="17"/>
  <c r="I4" i="6" a="1"/>
  <c r="CA4" i="17"/>
  <c r="BI4" i="17"/>
  <c r="AE4" i="16"/>
  <c r="BY4" i="17"/>
  <c r="BS4" i="17"/>
  <c r="BH4" i="16"/>
  <c r="Y4" i="17"/>
  <c r="AS4" i="17"/>
  <c r="AF4" i="17"/>
  <c r="CB4" i="17"/>
  <c r="B4" i="16"/>
  <c r="AA4" i="16"/>
  <c r="Y4" i="16"/>
  <c r="BD4" i="16"/>
  <c r="R4" i="17"/>
  <c r="BL4" i="16"/>
  <c r="B4" i="17"/>
  <c r="BV4" i="16"/>
  <c r="AH4" i="17"/>
  <c r="BX4" i="16"/>
  <c r="AG4" i="17"/>
  <c r="BF4" i="17"/>
  <c r="AV4" i="17"/>
  <c r="G4" i="16"/>
  <c r="BW4" i="17"/>
  <c r="AE4" i="17"/>
  <c r="BV4" i="17"/>
  <c r="BJ4" i="17"/>
  <c r="AU4" i="16"/>
  <c r="BC4" i="16"/>
  <c r="CD4" i="17"/>
  <c r="U4" i="16"/>
  <c r="N4" i="16"/>
  <c r="AD4" i="17"/>
  <c r="AM4" i="17"/>
  <c r="CD4" i="16"/>
  <c r="AU4" i="17"/>
  <c r="AJ4" i="16"/>
  <c r="BL4" i="17"/>
  <c r="AT4" i="16"/>
  <c r="AK4" i="17"/>
  <c r="N4" i="17"/>
  <c r="BK4" i="16"/>
  <c r="CE4" i="17"/>
  <c r="AP4" i="16"/>
  <c r="AQ4" i="17"/>
  <c r="E4" i="17"/>
  <c r="O4" i="17"/>
  <c r="X4" i="16"/>
  <c r="AG4" i="16"/>
  <c r="AQ4" i="16"/>
  <c r="O4" i="16"/>
  <c r="AR4" i="16"/>
  <c r="Q4" i="17"/>
  <c r="CA4" i="16"/>
  <c r="BI4" i="16"/>
  <c r="AD4" i="16"/>
  <c r="BQ4" i="17"/>
  <c r="R4" i="16"/>
  <c r="BE4" i="17"/>
  <c r="BN4" i="17"/>
  <c r="BN4" i="16"/>
  <c r="AB4" i="16"/>
  <c r="BT4" i="16"/>
  <c r="BK4" i="17"/>
  <c r="BH4" i="17"/>
  <c r="AY4" i="16"/>
  <c r="D4" i="16"/>
  <c r="AK4" i="16"/>
  <c r="BD4" i="17"/>
  <c r="BB4" i="16"/>
  <c r="J4" i="17"/>
  <c r="AW4" i="16"/>
  <c r="K4" i="16"/>
  <c r="AL4" i="16"/>
  <c r="AC4" i="16"/>
  <c r="M4" i="16"/>
  <c r="CF4" i="17"/>
  <c r="BF4" i="16"/>
  <c r="G4" i="17"/>
  <c r="BM4" i="16"/>
  <c r="AI4" i="16"/>
  <c r="BU4" i="16"/>
  <c r="AZ4" i="17"/>
  <c r="CF4" i="16"/>
  <c r="BG4" i="16"/>
  <c r="V4" i="16"/>
  <c r="W4" i="17"/>
  <c r="AH4" i="16"/>
  <c r="M4" i="17"/>
  <c r="AV4" i="16"/>
  <c r="CE4" i="16"/>
  <c r="AN4" i="17"/>
  <c r="AO4" i="17"/>
  <c r="AC4" i="17"/>
  <c r="I4" i="16"/>
  <c r="BQ4" i="16"/>
  <c r="AN4" i="16"/>
  <c r="CC4" i="17"/>
  <c r="D4" i="17"/>
  <c r="AB4" i="17"/>
  <c r="P4" i="16"/>
  <c r="BP4" i="17"/>
  <c r="CB4" i="16"/>
  <c r="S4" i="17"/>
  <c r="BP4" i="16"/>
  <c r="BJ4" i="16"/>
  <c r="BA4" i="17"/>
  <c r="P4" i="17"/>
  <c r="BZ4" i="17"/>
  <c r="BE4" i="16"/>
  <c r="E4" i="16"/>
  <c r="X4" i="17"/>
  <c r="BR4" i="17"/>
  <c r="BT4" i="17"/>
  <c r="AL4" i="17"/>
  <c r="AX4" i="17"/>
  <c r="BW4" i="16"/>
  <c r="BR4" i="16"/>
  <c r="BB4" i="17"/>
  <c r="Z4" i="17"/>
  <c r="AZ4" i="16"/>
  <c r="V4" i="17"/>
  <c r="L4" i="16"/>
  <c r="BS4" i="16"/>
  <c r="AM4" i="16"/>
  <c r="C4" i="17"/>
  <c r="BY4" i="16"/>
  <c r="S4" i="16"/>
  <c r="Z4" i="16"/>
  <c r="Q4" i="16"/>
  <c r="AY4" i="17"/>
  <c r="BM4" i="17"/>
  <c r="F4" i="16"/>
  <c r="AI4" i="17"/>
  <c r="J4" i="16"/>
  <c r="BO4" i="17"/>
  <c r="AF4" i="16"/>
  <c r="K4" i="17"/>
  <c r="B2" i="16"/>
  <c r="T4" i="16"/>
  <c r="AA4" i="17"/>
  <c r="H4" i="17"/>
  <c r="AP4" i="17"/>
  <c r="AR4" i="17"/>
  <c r="BZ4" i="16"/>
  <c r="BG4" i="17"/>
  <c r="CF4" i="18"/>
  <c r="CE4" i="18"/>
  <c r="CD4" i="18"/>
  <c r="CC4" i="18"/>
  <c r="CB4" i="18"/>
  <c r="CA4" i="18"/>
  <c r="BZ4" i="18"/>
  <c r="BY4" i="18"/>
  <c r="BX4" i="18"/>
  <c r="BW4" i="18"/>
  <c r="BV4" i="18"/>
  <c r="BU4" i="18"/>
  <c r="BT4" i="18"/>
  <c r="BS4" i="18"/>
  <c r="BR4" i="18"/>
  <c r="BQ4" i="18"/>
  <c r="BP4" i="18"/>
  <c r="BO4" i="18"/>
  <c r="BN4" i="18"/>
  <c r="BM4" i="18"/>
  <c r="BL4" i="18"/>
  <c r="BK4" i="18"/>
  <c r="BJ4" i="18"/>
  <c r="BI4" i="18"/>
  <c r="BH4" i="18"/>
  <c r="BG4" i="18"/>
  <c r="BF4" i="18"/>
  <c r="BE4" i="18"/>
  <c r="BD4" i="18"/>
  <c r="BC4" i="18"/>
  <c r="BB4" i="18"/>
  <c r="BA4" i="18"/>
  <c r="AZ4" i="18"/>
  <c r="AY4" i="18"/>
  <c r="AX4" i="18"/>
  <c r="AW4" i="18"/>
  <c r="AV4" i="18"/>
  <c r="AU4" i="18"/>
  <c r="AT4" i="18"/>
  <c r="AS4" i="18"/>
  <c r="AR4" i="18"/>
  <c r="AQ4" i="18"/>
  <c r="AP4" i="18"/>
  <c r="AO4" i="18"/>
  <c r="AN4" i="18"/>
  <c r="AM4" i="18"/>
  <c r="AL4" i="18"/>
  <c r="AK4" i="18"/>
  <c r="AJ4" i="18"/>
  <c r="AI4" i="18"/>
  <c r="AH4" i="18"/>
  <c r="AG4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B2" i="18"/>
  <c r="I4" i="6" l="1"/>
  <c r="M71" i="4"/>
  <c r="J71" i="4"/>
  <c r="I71" i="4" l="1"/>
  <c r="H71" i="4"/>
  <c r="F71" i="4" l="1"/>
  <c r="G71" i="4"/>
  <c r="D71" i="4"/>
  <c r="C71" i="4"/>
  <c r="B71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<sst xmlns="http://schemas.openxmlformats.org/spreadsheetml/2006/main" count="1628" uniqueCount="790">
  <si>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</si>
  <si>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</si>
  <si>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</si>
  <si>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</si>
  <si>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</si>
  <si>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</si>
  <si>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</si>
  <si>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</si>
  <si>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</si>
  <si>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</si>
  <si>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</si>
  <si>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</si>
  <si>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</si>
  <si>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</si>
  <si>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</si>
  <si>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</si>
  <si>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</si>
  <si>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</si>
  <si>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</si>
  <si>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</si>
  <si>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</si>
  <si>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</si>
  <si>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B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</si>
  <si>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</si>
  <si>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</si>
  <si>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</si>
  <si>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</si>
  <si>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</si>
  <si>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</si>
  <si>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</si>
  <si>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</si>
  <si>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</si>
  <si>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</si>
  <si>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</si>
  <si>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</si>
  <si>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</si>
  <si>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</si>
  <si>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</si>
  <si>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</si>
  <si>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</si>
  <si>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</si>
  <si>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</si>
  <si>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</si>
  <si>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</si>
  <si>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</si>
  <si>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</si>
  <si>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</si>
  <si>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</si>
  <si>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</si>
  <si>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</si>
  <si>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</si>
  <si>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</si>
  <si>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</si>
  <si>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</si>
  <si>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</si>
  <si>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</si>
  <si>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</si>
  <si>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</si>
  <si>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</si>
  <si>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</si>
  <si>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</si>
  <si>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</si>
  <si>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</si>
  <si>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</si>
  <si>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</si>
  <si>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</si>
  <si>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</si>
  <si>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</si>
  <si>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</si>
  <si>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</si>
  <si>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</si>
  <si>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</si>
  <si>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</si>
  <si>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</si>
  <si>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</si>
  <si>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</si>
  <si>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</si>
  <si>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</si>
  <si>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</si>
  <si>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</si>
  <si>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</si>
  <si>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</si>
  <si>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</si>
  <si>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</si>
  <si>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</si>
  <si>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</si>
  <si>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</si>
  <si>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</si>
  <si>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</si>
  <si>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</si>
  <si>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</si>
  <si>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</si>
  <si>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</si>
  <si>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</si>
  <si>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</si>
  <si>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</si>
  <si>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</si>
  <si>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</si>
  <si>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</si>
  <si>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</si>
  <si>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</si>
  <si>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</si>
  <si>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</si>
  <si>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</si>
  <si>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</si>
  <si>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</si>
  <si>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</si>
  <si>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</si>
  <si>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</si>
  <si>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</si>
  <si>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</si>
  <si>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</si>
  <si>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</si>
  <si>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</si>
  <si>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</si>
  <si>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</si>
  <si>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</si>
  <si>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</si>
  <si>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</si>
  <si>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</si>
  <si>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</si>
  <si>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</si>
  <si>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</si>
  <si>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</si>
  <si>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</si>
  <si>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</si>
  <si>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</si>
  <si>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</si>
  <si>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</si>
  <si>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</si>
  <si>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</si>
  <si>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</si>
  <si>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</si>
  <si>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</si>
  <si>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</si>
  <si>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</si>
  <si>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</si>
  <si>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</si>
  <si>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</si>
  <si>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</si>
  <si>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</si>
  <si>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</si>
  <si>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</si>
  <si>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</si>
  <si>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</si>
  <si>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</si>
  <si>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</si>
  <si>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</si>
  <si>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</si>
  <si>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</si>
  <si>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</si>
  <si>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</si>
  <si>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</si>
  <si>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</si>
  <si>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</si>
  <si>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</si>
  <si>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</si>
  <si>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</si>
  <si>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</si>
  <si>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</si>
  <si>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</si>
  <si>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</si>
  <si>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</si>
  <si>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</si>
  <si>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</si>
  <si>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</si>
  <si>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</si>
  <si>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</si>
  <si>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</si>
  <si>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</si>
  <si>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</si>
  <si>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</si>
  <si>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</si>
  <si>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</si>
  <si>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</si>
  <si>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</si>
  <si>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</si>
  <si>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</si>
  <si>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</si>
  <si>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</si>
  <si>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</si>
  <si>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</si>
  <si>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</si>
  <si>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</si>
  <si>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</si>
  <si>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</si>
  <si>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</si>
  <si>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</si>
  <si>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</si>
  <si>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</si>
  <si>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</si>
  <si>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</si>
  <si>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</si>
  <si>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</si>
  <si>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</si>
  <si>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</si>
  <si>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</si>
  <si>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</si>
  <si>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</si>
  <si>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</si>
  <si>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</si>
  <si>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</si>
  <si>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</si>
  <si>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</si>
  <si>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</si>
  <si>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</si>
  <si>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</si>
  <si>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</si>
  <si>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</si>
  <si>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</si>
  <si>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</si>
  <si>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</si>
  <si>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</si>
  <si>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</si>
  <si>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</si>
  <si>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</si>
  <si>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</si>
  <si>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</si>
  <si>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</si>
  <si>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</si>
  <si>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</si>
  <si>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</si>
  <si>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</si>
  <si>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</si>
  <si>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</si>
  <si>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</si>
  <si>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</si>
  <si>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</si>
  <si>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</si>
  <si>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</si>
  <si>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</si>
  <si>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</si>
  <si>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</si>
  <si>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</si>
  <si>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</si>
  <si>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</si>
  <si>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</si>
  <si>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</si>
  <si>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</si>
  <si>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</si>
  <si>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</si>
  <si>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</si>
  <si>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</si>
  <si>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</si>
  <si>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</si>
  <si>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</si>
  <si>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</si>
  <si>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</si>
  <si>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</si>
  <si>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</si>
  <si>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</si>
  <si>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</si>
  <si>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</si>
  <si>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</si>
  <si>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</si>
  <si>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</si>
  <si>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</si>
  <si>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</si>
  <si>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</si>
  <si>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</si>
  <si>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</si>
  <si>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</si>
  <si>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</si>
  <si>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</si>
  <si>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</si>
  <si>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</si>
  <si>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</si>
  <si>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</si>
  <si>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</si>
  <si>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</si>
  <si>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</si>
  <si>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</si>
  <si>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</si>
  <si>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</si>
  <si>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</si>
  <si>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</si>
  <si>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</si>
  <si>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</si>
  <si>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</si>
  <si>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</si>
  <si>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</si>
  <si>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</si>
  <si>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</si>
  <si>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</si>
  <si>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</si>
  <si>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</si>
  <si>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</si>
  <si>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</si>
  <si>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</si>
  <si>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</si>
  <si>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</si>
  <si>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</si>
  <si>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</si>
  <si>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</si>
  <si>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</si>
  <si>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</si>
  <si>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</si>
  <si>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</si>
  <si>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</si>
  <si>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</si>
  <si>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</si>
  <si>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</si>
  <si>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</si>
  <si>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</si>
  <si>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</si>
  <si>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</si>
  <si>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</si>
  <si>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</si>
  <si>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</si>
  <si>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</si>
  <si>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</si>
  <si>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</si>
  <si>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</si>
  <si>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</si>
  <si>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</si>
  <si>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</si>
  <si>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</si>
  <si>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</si>
  <si>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</si>
  <si>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</si>
  <si>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</si>
  <si>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</si>
  <si>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</si>
  <si>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</si>
  <si>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</si>
  <si>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</si>
  <si>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</si>
  <si>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</si>
  <si>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</si>
  <si>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</si>
  <si>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</si>
  <si>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</si>
  <si>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</si>
  <si>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</si>
  <si>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</si>
  <si>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</si>
  <si>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</si>
  <si>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</si>
  <si>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</si>
  <si>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</si>
  <si>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</si>
  <si>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</si>
  <si>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</si>
  <si>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</si>
  <si>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</si>
  <si>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</si>
  <si>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</si>
  <si>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</si>
  <si>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</si>
  <si>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</si>
  <si>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</si>
  <si>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</si>
  <si>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</si>
  <si>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</si>
  <si>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</si>
  <si>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</si>
  <si>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</si>
  <si>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</si>
  <si>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</si>
  <si>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</si>
  <si>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</si>
  <si>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</si>
  <si>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</si>
  <si>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</si>
  <si>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</si>
  <si>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</si>
  <si>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</si>
  <si>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</si>
  <si>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</si>
  <si>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</si>
  <si>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</si>
  <si>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</si>
  <si>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</si>
  <si>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</si>
  <si>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</si>
  <si>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</si>
  <si>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</si>
  <si>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</si>
  <si>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</si>
  <si>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</si>
  <si>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</si>
  <si>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</si>
  <si>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</si>
  <si>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</si>
  <si>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</si>
  <si>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</si>
  <si>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</si>
  <si>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</si>
  <si>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</si>
  <si>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</si>
  <si>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</si>
  <si>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</si>
  <si>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</si>
  <si>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</si>
  <si>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</si>
  <si>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</si>
  <si>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</si>
  <si>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</si>
  <si>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</si>
  <si>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</si>
  <si>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</si>
  <si>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</si>
  <si>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</si>
  <si>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</si>
  <si>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</si>
  <si>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</si>
  <si>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</si>
  <si>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</si>
  <si>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</si>
  <si>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</si>
  <si>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</si>
  <si>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</si>
  <si>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</si>
  <si>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</si>
  <si>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</si>
  <si>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</si>
  <si>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</si>
  <si>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</si>
  <si>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</si>
  <si>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</si>
  <si>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</si>
  <si>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</si>
  <si>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</si>
  <si>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</si>
  <si>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</si>
  <si>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</si>
  <si>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</si>
  <si>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</si>
  <si>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</si>
  <si>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</si>
  <si>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</si>
  <si>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</si>
  <si>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</si>
  <si>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</si>
  <si>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</si>
  <si>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</si>
  <si>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</si>
  <si>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</si>
  <si>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</si>
  <si>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</si>
  <si>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</si>
  <si>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</si>
  <si>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</si>
  <si>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</si>
  <si>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</si>
  <si>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</si>
  <si>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</si>
  <si>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</si>
  <si>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</si>
  <si>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</si>
  <si>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</si>
  <si>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</si>
  <si>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</si>
  <si>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</si>
  <si>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</si>
  <si>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</si>
  <si>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</si>
  <si>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</si>
  <si>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</si>
  <si>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</si>
  <si>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</si>
  <si>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</si>
  <si>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</si>
  <si>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</si>
  <si>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</si>
  <si>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</si>
  <si>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</si>
  <si>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</si>
  <si>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</si>
  <si>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</si>
  <si>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</si>
  <si>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</si>
  <si>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</si>
  <si>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</si>
  <si>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</si>
  <si>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</si>
  <si>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</si>
  <si>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</si>
  <si>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</si>
  <si>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</si>
  <si>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</si>
  <si>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</si>
  <si>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</si>
  <si>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</si>
  <si>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</si>
  <si>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</si>
  <si>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</si>
  <si>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</si>
  <si>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</si>
  <si>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</si>
  <si>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</si>
  <si>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</si>
  <si>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</si>
  <si>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</si>
  <si>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</si>
  <si>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</si>
  <si>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</si>
  <si>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</si>
  <si>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</si>
  <si>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</si>
  <si>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</si>
  <si>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</si>
  <si>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</si>
  <si>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</si>
  <si>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</si>
  <si>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</si>
  <si>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</si>
  <si>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</si>
  <si>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</si>
  <si>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</si>
  <si>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</si>
  <si>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</si>
  <si>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</si>
  <si>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</si>
  <si>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</si>
  <si>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</si>
  <si>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</si>
  <si>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</si>
  <si>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</si>
  <si>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</si>
  <si>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</si>
  <si>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</si>
  <si>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</si>
  <si>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</si>
  <si>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</si>
  <si>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</si>
  <si>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</si>
  <si>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</si>
  <si>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</si>
  <si>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</si>
  <si>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</si>
  <si>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</si>
  <si>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</si>
  <si>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</si>
  <si>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</si>
  <si>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</si>
  <si>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</si>
  <si>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</si>
  <si>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</si>
  <si>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</si>
  <si>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</si>
  <si>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</si>
  <si>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</si>
  <si>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</si>
  <si>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</si>
  <si>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</si>
  <si>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</si>
  <si>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</si>
  <si>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</si>
  <si>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</si>
  <si>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</si>
  <si>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</si>
  <si>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</si>
  <si>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</si>
  <si>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</si>
  <si>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</si>
  <si>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</si>
  <si>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</si>
  <si>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</si>
  <si>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</si>
  <si>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</si>
  <si>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</si>
  <si>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</si>
  <si>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</si>
  <si>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</si>
  <si>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</si>
  <si>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</si>
  <si>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</si>
  <si>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</si>
  <si>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</si>
  <si>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</si>
  <si>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</si>
  <si>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</si>
  <si>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</si>
  <si>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</si>
  <si>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</si>
  <si>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</si>
  <si>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</si>
  <si>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</si>
  <si>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</si>
  <si>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</si>
  <si>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</si>
  <si>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</si>
  <si>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</si>
  <si>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</si>
  <si>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</si>
  <si>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SetOfCtrl_1</t>
  </si>
  <si>
    <t>SetOfCtrl_2</t>
  </si>
  <si>
    <t>MDPicker: ajouter les libellés</t>
  </si>
  <si>
    <t>/api/metadata/{ID}</t>
  </si>
  <si>
    <t>UpdPer</t>
  </si>
  <si>
    <t>In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</si>
  <si>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</si>
  <si>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</si>
  <si>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</si>
  <si>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</si>
  <si>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</si>
  <si>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</si>
  <si>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</si>
  <si>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</si>
  <si>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</si>
  <si>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</si>
  <si>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</si>
  <si>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</si>
  <si>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</si>
  <si>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</si>
  <si>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</si>
  <si>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</si>
  <si>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</si>
  <si>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</si>
  <si>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</si>
  <si>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</si>
  <si>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</si>
  <si>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</si>
  <si>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</si>
  <si>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</si>
  <si>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</si>
  <si>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</si>
  <si>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</si>
  <si>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</si>
  <si>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</si>
  <si>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</si>
  <si>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</si>
  <si>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</si>
  <si>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</si>
  <si>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</si>
  <si>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</si>
  <si>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</si>
  <si>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</si>
  <si>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</si>
  <si>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</si>
  <si>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</si>
  <si>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</si>
  <si>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</si>
  <si>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</si>
  <si>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</si>
  <si>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</si>
  <si>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</si>
  <si>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</si>
  <si>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</si>
  <si>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</si>
  <si>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</si>
  <si>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</si>
  <si>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</si>
  <si>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</si>
  <si>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</si>
  <si>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</si>
  <si>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</si>
  <si>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</si>
  <si>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</si>
  <si>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</si>
  <si>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</si>
  <si>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</si>
  <si>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</si>
  <si>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</si>
  <si>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</si>
  <si>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</si>
  <si>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</si>
  <si>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</si>
  <si>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</si>
  <si>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</si>
  <si>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</si>
  <si>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</si>
  <si>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</si>
  <si>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</si>
  <si>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</si>
  <si>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</si>
  <si>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</si>
  <si>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</si>
  <si>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</si>
  <si>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</si>
  <si>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</si>
  <si>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</si>
  <si>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</si>
  <si>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</si>
  <si>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</si>
  <si>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</si>
  <si>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</si>
  <si>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</si>
  <si>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</si>
  <si>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</si>
  <si>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</si>
  <si>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</si>
  <si>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</si>
  <si>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</si>
  <si>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</si>
  <si>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</si>
  <si>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</si>
  <si>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</si>
  <si>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</si>
  <si>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</si>
  <si>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</si>
  <si>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</si>
  <si>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</si>
  <si>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</si>
  <si>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</si>
  <si>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</si>
  <si>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</si>
  <si>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</si>
  <si>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</si>
  <si>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</si>
  <si>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</si>
  <si>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</si>
  <si>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</si>
  <si>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</si>
  <si>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</si>
  <si>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</si>
  <si>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</si>
  <si>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</si>
  <si>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</si>
  <si>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</si>
  <si>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</si>
  <si>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</si>
  <si>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</si>
  <si>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</si>
  <si>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</si>
  <si>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</si>
  <si>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</si>
  <si>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</si>
  <si>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</si>
  <si>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</si>
  <si>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</si>
  <si>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</si>
  <si>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</si>
  <si>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</si>
  <si>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</si>
  <si>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</si>
  <si>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/api/reporting/52428888</t>
  </si>
  <si>
    <t>tReporting52428888</t>
  </si>
  <si>
    <t>2/24/2021  11:02:00 AM</t>
  </si>
  <si>
    <t>2/27/2021  11:02:00 AM</t>
  </si>
  <si>
    <t>2/26/2021  11:02:00 AM</t>
  </si>
  <si>
    <t>S001</t>
  </si>
  <si>
    <t>EUR</t>
  </si>
  <si>
    <t>0000.TOP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</si>
  <si>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</si>
  <si>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/api/metadata/PublishedFramework</t>
  </si>
  <si>
    <t>PublishedFramework</t>
  </si>
  <si>
    <t>/api/reporting/New2</t>
  </si>
  <si>
    <t>tReportingNew2</t>
  </si>
  <si>
    <t>/api/Reporting</t>
  </si>
  <si>
    <t>Post#tReportingNew2</t>
  </si>
  <si>
    <t>Out</t>
  </si>
  <si>
    <t>PostResponse#tReportingNew2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</si>
  <si>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</si>
  <si>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</si>
  <si>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</si>
  <si>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</si>
  <si>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</si>
  <si>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</si>
  <si>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</si>
  <si>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</si>
  <si>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</si>
  <si>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</si>
  <si>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</si>
  <si>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</si>
  <si>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</si>
  <si>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{"Data":[{"Desc":"","Next":[{"Desc":"","Next":null,"Name":"C"},{"Desc":"","Next":null,"Name":"Q1-2019"}],"Name":"A"},{"Desc":"","Next":[{"Desc":"","Next":null,"Name":"T"}],"Name":"B"}],"Messages":{"Messages":[],"UsedHints":{}}}</t>
  </si>
  <si>
    <t>T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</si>
  <si>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,{"Phase":"B","UpdatePeriod":"2000.12","FrameworkVersion":"T","ReportingStartDate":"2021-02-24T10:02:00Z","ReportingEndDate":"2021-02-27T10:02:00Z","OwnerSite":100,"OwnerWorkgroup":0,"CreationDate":"2021-03-16T17:09:38.404Z","Author":-524286,"UpdateDate":"2021-03-16T17:09:38.404Z","UpdateAuthor":-524286,"Descriptions":[{"CultureName":"fr-FR","Texts":{"SDesc":"","LDesc":" - 2000.12"}},{"CultureName":"en-US","Texts":{"SDesc":"","LDesc":"Budget - 2000.12"}}],"ID":52428892,"LDesc":null,"Name":"B - 2000.12"}],"Messages":null}</t>
  </si>
  <si>
    <t>3/16/2021  6:09:38 PM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</si>
  <si>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B","UpdatePeriod":"2000.09","FrameworkVersion":"T","ReportingStartDate":"2021-02-24T10:02:00.000Z","ReportingEndDate":"2021-02-27T10:02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</si>
  <si>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2000.09</t>
  </si>
  <si>
    <t>{"Table":[{"aj":"B","ak":"2000.09","al":"T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</si>
  <si>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{"Data":[{"Framework":{"Phase":"B","Version":"T","Status":5,"ControlSets":{"P-A":{"ID":52428802,"LDesc":null,"Name":"P-A"},"P-E":{"ID":52428803,"LDesc":null,"Name":"P-E"}},"ControlLevels":{"1":{"Descriptions":[{"CultureName":"fr-FR","Texts":{"LDesc":"Analyse en solde"}},{"CultureName":"en-US","Texts":{"LDesc":"Balance analysis"}}],"ID":52428803,"LDesc":null,"Rank":1,"Name":"LEV1"},"2":{"Descriptions":[{"CultureName":"fr-FR","Texts":{"LDesc":"Analyse en flux"}},{"CultureName":"en-US","Texts":{"LDesc":"Flow analysis"}}],"ID":52428802,"LDesc":null,"Rank":2,"Name":"LEV2"}},"ID":52428801,"LDesc":null,"Name":"B - T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B","UpdatePeriod":"2000.09","FrameworkVersion":"T","ReportingStartDate":"2021-02-24T10:02:00Z","ReportingEndDate":"2021-02-27T10:02:00Z","OwnerSite":100,"OwnerWorkgroup":0,"CreationDate":"2021-03-16T17:44:57.764Z","Author":-524286,"UpdateDate":"2021-03-16T17:44:57.764Z","UpdateAuthor":-524286,"Descriptions":[{"CultureName":"fr-FR","Texts":{"SDesc":"","LDesc":" - 2000.09"}},{"CultureName":"en-US","Texts":{"SDesc":"","LDesc":"Budget - 2000.09"}}],"ID":52428893,"LDesc":null,"Name":"B - 2000.09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],"Phase":"B","UpdatePeriod":"2000.09","FrameworkVersion":"T","ReportingStartDate":"2021-02-24T10:02:00Z","ReportingEndDate":"2021-02-27T10:02:00Z","OwnerSite":0,"OwnerWorkgroup":0,"CreationDate":"0001-01-01T00:00:00Z","Author":0,"UpdateDate":"0001-01-01T00:00:00Z","UpdateAuthor":0,"Descriptions":[{"CultureName":"fr-FR","Texts":{"LDesc":" - 2000.09"}},{"CultureName":"en-US","Texts":{"LDesc":"Budget - 2000.09"}}],"ID":0,"LDesc":null,"Name":"B - 2000.09"}],"Messages":{"Messages":[{"Code":"RF0310","Severity":2,"Description":"Change LDescfr-FR de ' - 2000.09' à ''","SourceRow":0,"SourceCol":0},{"Code":"RF0310","Severity":2,"Description":"Change LDescen-US de 'Budget - 2000.09' à ''","SourceRow":0,"SourceCol":0}],"UsedHints":{"RF0310":""}}}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</si>
  <si>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,{"Phase":"B","UpdatePeriod":"2000.09","FrameworkVersion":"T","ReportingStartDate":"2021-02-24T10:02:00Z","ReportingEndDate":"2021-02-27T10:02:00Z","OwnerSite":100,"OwnerWorkgroup":0,"CreationDate":"2021-03-16T17:44:57.764Z","Author":-524286,"UpdateDate":"2021-03-16T17:44:57.764Z","UpdateAuthor":-524286,"Descriptions":[{"CultureName":"fr-FR","Texts":{"SDesc":"","LDesc":" - 2000.09"}},{"CultureName":"en-US","Texts":{"SDesc":"","LDesc":"Budget - 2000.09"}}],"ID":52428893,"LDesc":null,"Name":"B - 2000.09"},{"Phase":"B","UpdatePeriod":"2000.12","FrameworkVersion":"T","ReportingStartDate":"2021-02-24T10:02:00Z","ReportingEndDate":"2021-02-27T10:02:00Z","OwnerSite":100,"OwnerWorkgroup":0,"CreationDate":"2021-03-16T17:09:38.404Z","Author":-524286,"UpdateDate":"2021-03-16T17:09:38.404Z","UpdateAuthor":-524286,"Descriptions":[{"CultureName":"fr-FR","Texts":{"SDesc":"","LDesc":" - 2000.12"}},{"CultureName":"en-US","Texts":{"SDesc":"","LDesc":"Budget - 2000.12"}}],"ID":52428892,"LDesc":null,"Name":"B - 2000.12"}],"Messages":null}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</si>
  <si>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</si>
  <si>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</si>
  <si>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</si>
  <si>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</si>
  <si>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</si>
  <si>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</si>
  <si>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</si>
  <si>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</si>
  <si>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/api/reporting/New3</t>
  </si>
  <si>
    <t>tReportingNew3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</si>
  <si>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2000.06","FrameworkVersion":"C","ReportingStartDate":"2021-02-22T10:02:00.000Z","ReportingEndDate":"2021-02-27T10:02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</si>
  <si>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2000.06</t>
  </si>
  <si>
    <t>C</t>
  </si>
  <si>
    <t>2/22/2021  11:02:00 AM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</si>
  <si>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</si>
  <si>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</si>
  <si>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</si>
  <si>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</si>
  <si>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</si>
  <si>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</si>
  <si>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</si>
  <si>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</si>
  <si>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</si>
  <si>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1/1/2001  1:00:00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</si>
</sst>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8" fillId="0" borderId="0" xfId="0" applyNumberFormat="1" applyFont="1" applyFill="1" applyBorder="1" applyAlignment="1" applyProtection="1"/>
    <xf numFmtId="0" fontId="3" fillId="0" borderId="0" xfId="1" applyNumberFormat="1" applyAlignment="1">
      <alignment horizontal="center"/>
    </xf>
  </cellXfs>
  <cellStyles count="2">
    <cellStyle name="Lien hypertexte" xfId="1" builtinId="8"/>
    <cellStyle name="Normal" xfId="0" builtinId="0"/>
  </cellStyles>
  <dxfs count="307"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#VALEUR!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#VALEUR!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26" name="tReportings_1">
          <a:extLst>
            <a:ext uri="{FF2B5EF4-FFF2-40B4-BE49-F238E27FC236}">
              <a16:creationId xmlns:a16="http://schemas.microsoft.com/office/drawing/2014/main" id="{441924ED-306C-4B1F-875A-1D9818DE119C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147F8F1-6B24-4570-B7BD-1A4157EA881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27" name="tReportings_2">
          <a:extLst>
            <a:ext uri="{FF2B5EF4-FFF2-40B4-BE49-F238E27FC236}">
              <a16:creationId xmlns:a16="http://schemas.microsoft.com/office/drawing/2014/main" id="{485C6620-6158-43CB-BB0D-4047FB721150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F7D7C20-9997-442D-B295-30943F8931F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28" name="tReportings_3">
          <a:extLst>
            <a:ext uri="{FF2B5EF4-FFF2-40B4-BE49-F238E27FC236}">
              <a16:creationId xmlns:a16="http://schemas.microsoft.com/office/drawing/2014/main" id="{E90703AB-7F38-4E30-B20F-99A385A83340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D958DF8-37E0-47BD-B887-7BBDF903A9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29" name="tReportings_4">
          <a:extLst>
            <a:ext uri="{FF2B5EF4-FFF2-40B4-BE49-F238E27FC236}">
              <a16:creationId xmlns:a16="http://schemas.microsoft.com/office/drawing/2014/main" id="{B0B0D577-7F66-4FAC-8992-8A0E851631FB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A859DD0-668D-4141-B2FE-A394771E9D4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de création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52428888_1">
          <a:extLst>
            <a:ext uri="{FF2B5EF4-FFF2-40B4-BE49-F238E27FC236}">
              <a16:creationId xmlns:a16="http://schemas.microsoft.com/office/drawing/2014/main" id="{D8220A62-8D96-4C3C-9949-B0E7143E7158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51EE7DC-D62B-4FBB-A65A-69BF9D36D54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52428888_2">
          <a:extLst>
            <a:ext uri="{FF2B5EF4-FFF2-40B4-BE49-F238E27FC236}">
              <a16:creationId xmlns:a16="http://schemas.microsoft.com/office/drawing/2014/main" id="{0A61D459-2FD6-4F6F-B0EB-E08EAC574CE8}"/>
            </a:ext>
          </a:extLst>
        </xdr:cNvPr>
        <xdr:cNvSpPr/>
      </xdr:nvSpPr>
      <xdr:spPr>
        <a:xfrm>
          <a:off x="82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760DE6-B4EF-4962-BF7A-315634BF77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52428888_3">
          <a:extLst>
            <a:ext uri="{FF2B5EF4-FFF2-40B4-BE49-F238E27FC236}">
              <a16:creationId xmlns:a16="http://schemas.microsoft.com/office/drawing/2014/main" id="{8FBB18AF-5CC3-4EC9-B8D7-B2D20EA63B78}"/>
            </a:ext>
          </a:extLst>
        </xdr:cNvPr>
        <xdr:cNvSpPr/>
      </xdr:nvSpPr>
      <xdr:spPr>
        <a:xfrm>
          <a:off x="147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B5E891B-DC3C-425D-9287-7F022BDCD77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52428888_4">
          <a:extLst>
            <a:ext uri="{FF2B5EF4-FFF2-40B4-BE49-F238E27FC236}">
              <a16:creationId xmlns:a16="http://schemas.microsoft.com/office/drawing/2014/main" id="{3FDB5B9E-437B-4C83-9CDD-59B128BE3E83}"/>
            </a:ext>
          </a:extLst>
        </xdr:cNvPr>
        <xdr:cNvSpPr/>
      </xdr:nvSpPr>
      <xdr:spPr>
        <a:xfrm>
          <a:off x="212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3EADA19-7DEC-405B-B422-DCD0F89A2F8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52428888_5">
          <a:extLst>
            <a:ext uri="{FF2B5EF4-FFF2-40B4-BE49-F238E27FC236}">
              <a16:creationId xmlns:a16="http://schemas.microsoft.com/office/drawing/2014/main" id="{9C4313A7-CFAC-4012-9B01-7F5EBC4E91A6}"/>
            </a:ext>
          </a:extLst>
        </xdr:cNvPr>
        <xdr:cNvSpPr/>
      </xdr:nvSpPr>
      <xdr:spPr>
        <a:xfrm>
          <a:off x="27717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B66D76A-CE18-413C-A431-4DFDE141D38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52428888_6">
          <a:extLst>
            <a:ext uri="{FF2B5EF4-FFF2-40B4-BE49-F238E27FC236}">
              <a16:creationId xmlns:a16="http://schemas.microsoft.com/office/drawing/2014/main" id="{DFD9F73E-00E9-4A47-AC74-42F32FB29099}"/>
            </a:ext>
          </a:extLst>
        </xdr:cNvPr>
        <xdr:cNvSpPr/>
      </xdr:nvSpPr>
      <xdr:spPr>
        <a:xfrm>
          <a:off x="42195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8696E68-C71B-448A-81E0-A73A177BB2D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52428888_7">
          <a:extLst>
            <a:ext uri="{FF2B5EF4-FFF2-40B4-BE49-F238E27FC236}">
              <a16:creationId xmlns:a16="http://schemas.microsoft.com/office/drawing/2014/main" id="{8105FD24-36DA-4E66-A30C-DE87C740ABE9}"/>
            </a:ext>
          </a:extLst>
        </xdr:cNvPr>
        <xdr:cNvSpPr/>
      </xdr:nvSpPr>
      <xdr:spPr>
        <a:xfrm>
          <a:off x="5667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A42371F-8C6D-419F-ADC8-49AA454DFC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52428888_8">
          <a:extLst>
            <a:ext uri="{FF2B5EF4-FFF2-40B4-BE49-F238E27FC236}">
              <a16:creationId xmlns:a16="http://schemas.microsoft.com/office/drawing/2014/main" id="{583BC33B-9E05-4298-8B85-C0AD1E028775}"/>
            </a:ext>
          </a:extLst>
        </xdr:cNvPr>
        <xdr:cNvSpPr/>
      </xdr:nvSpPr>
      <xdr:spPr>
        <a:xfrm>
          <a:off x="6048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B7DDEBA-3376-4660-93D1-87BF989149B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52428888_9">
          <a:extLst>
            <a:ext uri="{FF2B5EF4-FFF2-40B4-BE49-F238E27FC236}">
              <a16:creationId xmlns:a16="http://schemas.microsoft.com/office/drawing/2014/main" id="{6A9F2657-9812-4717-9155-D5827FDF76BD}"/>
            </a:ext>
          </a:extLst>
        </xdr:cNvPr>
        <xdr:cNvSpPr/>
      </xdr:nvSpPr>
      <xdr:spPr>
        <a:xfrm>
          <a:off x="642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0FF48DC-6957-47F8-8992-634E1278995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52428888_10">
          <a:extLst>
            <a:ext uri="{FF2B5EF4-FFF2-40B4-BE49-F238E27FC236}">
              <a16:creationId xmlns:a16="http://schemas.microsoft.com/office/drawing/2014/main" id="{94C2CA7F-95A0-4225-9748-905E3EA68850}"/>
            </a:ext>
          </a:extLst>
        </xdr:cNvPr>
        <xdr:cNvSpPr/>
      </xdr:nvSpPr>
      <xdr:spPr>
        <a:xfrm>
          <a:off x="707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C11044A-8F8B-44FD-A0BB-02E24B0060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52428888_11">
          <a:extLst>
            <a:ext uri="{FF2B5EF4-FFF2-40B4-BE49-F238E27FC236}">
              <a16:creationId xmlns:a16="http://schemas.microsoft.com/office/drawing/2014/main" id="{D6D987A0-96A5-4CF2-999B-F104E88583B6}"/>
            </a:ext>
          </a:extLst>
        </xdr:cNvPr>
        <xdr:cNvSpPr/>
      </xdr:nvSpPr>
      <xdr:spPr>
        <a:xfrm>
          <a:off x="772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A55394-621F-4591-B8BA-E4A0F025CA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52428888_12">
          <a:extLst>
            <a:ext uri="{FF2B5EF4-FFF2-40B4-BE49-F238E27FC236}">
              <a16:creationId xmlns:a16="http://schemas.microsoft.com/office/drawing/2014/main" id="{633C8104-C76C-4D0B-8CC4-93FC252DA1C6}"/>
            </a:ext>
          </a:extLst>
        </xdr:cNvPr>
        <xdr:cNvSpPr/>
      </xdr:nvSpPr>
      <xdr:spPr>
        <a:xfrm>
          <a:off x="837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1801817-261C-4109-8977-4D6C2D3E822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52428888_13">
          <a:extLst>
            <a:ext uri="{FF2B5EF4-FFF2-40B4-BE49-F238E27FC236}">
              <a16:creationId xmlns:a16="http://schemas.microsoft.com/office/drawing/2014/main" id="{ECC41E0F-1998-43C2-9E78-5B55A3F38E76}"/>
            </a:ext>
          </a:extLst>
        </xdr:cNvPr>
        <xdr:cNvSpPr/>
      </xdr:nvSpPr>
      <xdr:spPr>
        <a:xfrm>
          <a:off x="9020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14D9DE5-2E72-43B9-8CDF-2ADBC2419E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52428888_14">
          <a:extLst>
            <a:ext uri="{FF2B5EF4-FFF2-40B4-BE49-F238E27FC236}">
              <a16:creationId xmlns:a16="http://schemas.microsoft.com/office/drawing/2014/main" id="{E7F8DF7D-7F7D-46B8-855A-BDD0031994A0}"/>
            </a:ext>
          </a:extLst>
        </xdr:cNvPr>
        <xdr:cNvSpPr/>
      </xdr:nvSpPr>
      <xdr:spPr>
        <a:xfrm>
          <a:off x="9667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F63559-5801-4120-A02C-36421689C10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52428888_15">
          <a:extLst>
            <a:ext uri="{FF2B5EF4-FFF2-40B4-BE49-F238E27FC236}">
              <a16:creationId xmlns:a16="http://schemas.microsoft.com/office/drawing/2014/main" id="{FEAD9A59-5E5E-4A9F-AFA5-700DF2972668}"/>
            </a:ext>
          </a:extLst>
        </xdr:cNvPr>
        <xdr:cNvSpPr/>
      </xdr:nvSpPr>
      <xdr:spPr>
        <a:xfrm>
          <a:off x="10315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C64A185-A49B-44EA-A24D-316B35DD1B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52428888_16">
          <a:extLst>
            <a:ext uri="{FF2B5EF4-FFF2-40B4-BE49-F238E27FC236}">
              <a16:creationId xmlns:a16="http://schemas.microsoft.com/office/drawing/2014/main" id="{2CA4B024-FB30-41E3-82DA-783B816D62EB}"/>
            </a:ext>
          </a:extLst>
        </xdr:cNvPr>
        <xdr:cNvSpPr/>
      </xdr:nvSpPr>
      <xdr:spPr>
        <a:xfrm>
          <a:off x="10963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86C49B4-99E8-472F-B019-937BDF326B2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52428888_17">
          <a:extLst>
            <a:ext uri="{FF2B5EF4-FFF2-40B4-BE49-F238E27FC236}">
              <a16:creationId xmlns:a16="http://schemas.microsoft.com/office/drawing/2014/main" id="{07B3001B-1320-41A5-B5F3-AD23AD0016FB}"/>
            </a:ext>
          </a:extLst>
        </xdr:cNvPr>
        <xdr:cNvSpPr/>
      </xdr:nvSpPr>
      <xdr:spPr>
        <a:xfrm>
          <a:off x="11610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B17DDD4-8EE5-4F58-8E38-A6A2B2BE8C9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52428888_18">
          <a:extLst>
            <a:ext uri="{FF2B5EF4-FFF2-40B4-BE49-F238E27FC236}">
              <a16:creationId xmlns:a16="http://schemas.microsoft.com/office/drawing/2014/main" id="{2DB25329-9722-4CEF-9996-3DB291E52135}"/>
            </a:ext>
          </a:extLst>
        </xdr:cNvPr>
        <xdr:cNvSpPr/>
      </xdr:nvSpPr>
      <xdr:spPr>
        <a:xfrm>
          <a:off x="1225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57176D4-8499-431C-AF83-EE96F27ED0B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52428888_19">
          <a:extLst>
            <a:ext uri="{FF2B5EF4-FFF2-40B4-BE49-F238E27FC236}">
              <a16:creationId xmlns:a16="http://schemas.microsoft.com/office/drawing/2014/main" id="{9115F75F-F1B5-4013-AE78-E39F68CFEDEE}"/>
            </a:ext>
          </a:extLst>
        </xdr:cNvPr>
        <xdr:cNvSpPr/>
      </xdr:nvSpPr>
      <xdr:spPr>
        <a:xfrm>
          <a:off x="1290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132666A-67A3-4123-AC57-B8A7969F56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52428888_20">
          <a:extLst>
            <a:ext uri="{FF2B5EF4-FFF2-40B4-BE49-F238E27FC236}">
              <a16:creationId xmlns:a16="http://schemas.microsoft.com/office/drawing/2014/main" id="{386FF1A0-D66E-4ACB-AB3F-0CBCDAEC5CAA}"/>
            </a:ext>
          </a:extLst>
        </xdr:cNvPr>
        <xdr:cNvSpPr/>
      </xdr:nvSpPr>
      <xdr:spPr>
        <a:xfrm>
          <a:off x="1355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875B95C-1D06-4A85-9050-2F114D46BCD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52428888_21">
          <a:extLst>
            <a:ext uri="{FF2B5EF4-FFF2-40B4-BE49-F238E27FC236}">
              <a16:creationId xmlns:a16="http://schemas.microsoft.com/office/drawing/2014/main" id="{4478AD9C-7479-4D44-95EA-B1428DA66732}"/>
            </a:ext>
          </a:extLst>
        </xdr:cNvPr>
        <xdr:cNvSpPr/>
      </xdr:nvSpPr>
      <xdr:spPr>
        <a:xfrm>
          <a:off x="1420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11B3DD4-86CB-4A33-A7F5-A457A3F0D18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52428888_22">
          <a:extLst>
            <a:ext uri="{FF2B5EF4-FFF2-40B4-BE49-F238E27FC236}">
              <a16:creationId xmlns:a16="http://schemas.microsoft.com/office/drawing/2014/main" id="{6E4561D2-CBF3-43CA-BA9C-4142F4984F7B}"/>
            </a:ext>
          </a:extLst>
        </xdr:cNvPr>
        <xdr:cNvSpPr/>
      </xdr:nvSpPr>
      <xdr:spPr>
        <a:xfrm>
          <a:off x="1484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C121DB9-B71A-4C7F-9BC5-9C36138FAD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52428888_23">
          <a:extLst>
            <a:ext uri="{FF2B5EF4-FFF2-40B4-BE49-F238E27FC236}">
              <a16:creationId xmlns:a16="http://schemas.microsoft.com/office/drawing/2014/main" id="{81D2560D-B199-4707-82DC-39516BB51669}"/>
            </a:ext>
          </a:extLst>
        </xdr:cNvPr>
        <xdr:cNvSpPr/>
      </xdr:nvSpPr>
      <xdr:spPr>
        <a:xfrm>
          <a:off x="1549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B71ECD0-A38E-46F9-9CE8-8F6DFA52A1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52428888_24">
          <a:extLst>
            <a:ext uri="{FF2B5EF4-FFF2-40B4-BE49-F238E27FC236}">
              <a16:creationId xmlns:a16="http://schemas.microsoft.com/office/drawing/2014/main" id="{766C9737-2748-46C0-9304-F3E2024C1D48}"/>
            </a:ext>
          </a:extLst>
        </xdr:cNvPr>
        <xdr:cNvSpPr/>
      </xdr:nvSpPr>
      <xdr:spPr>
        <a:xfrm>
          <a:off x="1614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A8220BC-7EC4-41A4-9704-D455BB1715E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52428888_25">
          <a:extLst>
            <a:ext uri="{FF2B5EF4-FFF2-40B4-BE49-F238E27FC236}">
              <a16:creationId xmlns:a16="http://schemas.microsoft.com/office/drawing/2014/main" id="{FDA199AD-FC36-4031-BC93-38B0060CBC2A}"/>
            </a:ext>
          </a:extLst>
        </xdr:cNvPr>
        <xdr:cNvSpPr/>
      </xdr:nvSpPr>
      <xdr:spPr>
        <a:xfrm>
          <a:off x="1679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A0B9C0A-1DCD-4A75-AB03-D25B08A0FD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52428888_26">
          <a:extLst>
            <a:ext uri="{FF2B5EF4-FFF2-40B4-BE49-F238E27FC236}">
              <a16:creationId xmlns:a16="http://schemas.microsoft.com/office/drawing/2014/main" id="{56C335C6-02DE-4A1E-A702-083B8B1E8F7B}"/>
            </a:ext>
          </a:extLst>
        </xdr:cNvPr>
        <xdr:cNvSpPr/>
      </xdr:nvSpPr>
      <xdr:spPr>
        <a:xfrm>
          <a:off x="1744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B99B4C0-D9CC-486C-B824-0AA6AF20E3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52428888_27">
          <a:extLst>
            <a:ext uri="{FF2B5EF4-FFF2-40B4-BE49-F238E27FC236}">
              <a16:creationId xmlns:a16="http://schemas.microsoft.com/office/drawing/2014/main" id="{B344289E-FBAD-4CBA-A786-F71ECF825138}"/>
            </a:ext>
          </a:extLst>
        </xdr:cNvPr>
        <xdr:cNvSpPr/>
      </xdr:nvSpPr>
      <xdr:spPr>
        <a:xfrm>
          <a:off x="1808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8191F2E-BFEF-4DDE-A60C-165EDB07937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52428888_28">
          <a:extLst>
            <a:ext uri="{FF2B5EF4-FFF2-40B4-BE49-F238E27FC236}">
              <a16:creationId xmlns:a16="http://schemas.microsoft.com/office/drawing/2014/main" id="{4C1FEA93-C34E-4332-89FD-A4CAA63123F7}"/>
            </a:ext>
          </a:extLst>
        </xdr:cNvPr>
        <xdr:cNvSpPr/>
      </xdr:nvSpPr>
      <xdr:spPr>
        <a:xfrm>
          <a:off x="1873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109EBD8-2A23-4937-8284-FD8B2C86EC2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52428888_29">
          <a:extLst>
            <a:ext uri="{FF2B5EF4-FFF2-40B4-BE49-F238E27FC236}">
              <a16:creationId xmlns:a16="http://schemas.microsoft.com/office/drawing/2014/main" id="{9CB60A55-CC07-49A0-9FE4-064E8E81AAD0}"/>
            </a:ext>
          </a:extLst>
        </xdr:cNvPr>
        <xdr:cNvSpPr/>
      </xdr:nvSpPr>
      <xdr:spPr>
        <a:xfrm>
          <a:off x="19383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B91DD60-DA7F-4F3B-AF9D-DC389529218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52428888_30">
          <a:extLst>
            <a:ext uri="{FF2B5EF4-FFF2-40B4-BE49-F238E27FC236}">
              <a16:creationId xmlns:a16="http://schemas.microsoft.com/office/drawing/2014/main" id="{E3610875-3CC6-4553-9E05-C3A7C6705E89}"/>
            </a:ext>
          </a:extLst>
        </xdr:cNvPr>
        <xdr:cNvSpPr/>
      </xdr:nvSpPr>
      <xdr:spPr>
        <a:xfrm>
          <a:off x="197643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34244D0-3E62-4A8E-8D15-DC082DD818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52428888_31">
          <a:extLst>
            <a:ext uri="{FF2B5EF4-FFF2-40B4-BE49-F238E27FC236}">
              <a16:creationId xmlns:a16="http://schemas.microsoft.com/office/drawing/2014/main" id="{05533A50-0E98-4BEB-936F-460A164C1F18}"/>
            </a:ext>
          </a:extLst>
        </xdr:cNvPr>
        <xdr:cNvSpPr/>
      </xdr:nvSpPr>
      <xdr:spPr>
        <a:xfrm>
          <a:off x="212121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4F608C7-8DEE-48F8-85EC-4284E7B5A1E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52428888_32">
          <a:extLst>
            <a:ext uri="{FF2B5EF4-FFF2-40B4-BE49-F238E27FC236}">
              <a16:creationId xmlns:a16="http://schemas.microsoft.com/office/drawing/2014/main" id="{2DA267F9-9F54-40F7-B785-BE0F8A09A723}"/>
            </a:ext>
          </a:extLst>
        </xdr:cNvPr>
        <xdr:cNvSpPr/>
      </xdr:nvSpPr>
      <xdr:spPr>
        <a:xfrm>
          <a:off x="219265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E2B73FC-2612-4054-BAAB-30C23EBEFC7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52428888_33">
          <a:extLst>
            <a:ext uri="{FF2B5EF4-FFF2-40B4-BE49-F238E27FC236}">
              <a16:creationId xmlns:a16="http://schemas.microsoft.com/office/drawing/2014/main" id="{C779B827-61F5-4F06-92E6-F86E3796B20C}"/>
            </a:ext>
          </a:extLst>
        </xdr:cNvPr>
        <xdr:cNvSpPr/>
      </xdr:nvSpPr>
      <xdr:spPr>
        <a:xfrm>
          <a:off x="22307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66D675D-FCF1-4860-BBAB-BEA8895E11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52428888_34">
          <a:extLst>
            <a:ext uri="{FF2B5EF4-FFF2-40B4-BE49-F238E27FC236}">
              <a16:creationId xmlns:a16="http://schemas.microsoft.com/office/drawing/2014/main" id="{E891CBAD-5A20-4577-82CC-4845363C5614}"/>
            </a:ext>
          </a:extLst>
        </xdr:cNvPr>
        <xdr:cNvSpPr/>
      </xdr:nvSpPr>
      <xdr:spPr>
        <a:xfrm>
          <a:off x="229552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61CC3B7-5177-42E1-A860-CE62A28D52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52428888_35">
          <a:extLst>
            <a:ext uri="{FF2B5EF4-FFF2-40B4-BE49-F238E27FC236}">
              <a16:creationId xmlns:a16="http://schemas.microsoft.com/office/drawing/2014/main" id="{766A749A-C647-43A8-B381-8421A0335CDA}"/>
            </a:ext>
          </a:extLst>
        </xdr:cNvPr>
        <xdr:cNvSpPr/>
      </xdr:nvSpPr>
      <xdr:spPr>
        <a:xfrm>
          <a:off x="236029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C346478-87B5-4E90-8EEC-3B218C577B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52428888_36">
          <a:extLst>
            <a:ext uri="{FF2B5EF4-FFF2-40B4-BE49-F238E27FC236}">
              <a16:creationId xmlns:a16="http://schemas.microsoft.com/office/drawing/2014/main" id="{D2C69A4C-E308-40C7-A04F-2BCD9545283E}"/>
            </a:ext>
          </a:extLst>
        </xdr:cNvPr>
        <xdr:cNvSpPr/>
      </xdr:nvSpPr>
      <xdr:spPr>
        <a:xfrm>
          <a:off x="242506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90EEEDA-6304-4697-B243-6AD456CF0C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52428888_37">
          <a:extLst>
            <a:ext uri="{FF2B5EF4-FFF2-40B4-BE49-F238E27FC236}">
              <a16:creationId xmlns:a16="http://schemas.microsoft.com/office/drawing/2014/main" id="{3B95F2F4-DE6B-4393-82CC-14D2A3C090ED}"/>
            </a:ext>
          </a:extLst>
        </xdr:cNvPr>
        <xdr:cNvSpPr/>
      </xdr:nvSpPr>
      <xdr:spPr>
        <a:xfrm>
          <a:off x="248983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FC3F5D4-4CEE-4DD9-83FA-5E96D866F82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52428888_38">
          <a:extLst>
            <a:ext uri="{FF2B5EF4-FFF2-40B4-BE49-F238E27FC236}">
              <a16:creationId xmlns:a16="http://schemas.microsoft.com/office/drawing/2014/main" id="{425E4734-C83C-4099-8C26-3ECE17BE374E}"/>
            </a:ext>
          </a:extLst>
        </xdr:cNvPr>
        <xdr:cNvSpPr/>
      </xdr:nvSpPr>
      <xdr:spPr>
        <a:xfrm>
          <a:off x="252793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C75146D-5760-41E8-A221-B76BA226505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52428888_39">
          <a:extLst>
            <a:ext uri="{FF2B5EF4-FFF2-40B4-BE49-F238E27FC236}">
              <a16:creationId xmlns:a16="http://schemas.microsoft.com/office/drawing/2014/main" id="{7510677F-3D85-45DE-BCD8-C2CB47A30349}"/>
            </a:ext>
          </a:extLst>
        </xdr:cNvPr>
        <xdr:cNvSpPr/>
      </xdr:nvSpPr>
      <xdr:spPr>
        <a:xfrm>
          <a:off x="259270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2B1D4F4-EDD4-4C1D-B4ED-431B179EB30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52428888_40">
          <a:extLst>
            <a:ext uri="{FF2B5EF4-FFF2-40B4-BE49-F238E27FC236}">
              <a16:creationId xmlns:a16="http://schemas.microsoft.com/office/drawing/2014/main" id="{4BEB2D4C-2B72-46E8-8FD5-07E959A9E56D}"/>
            </a:ext>
          </a:extLst>
        </xdr:cNvPr>
        <xdr:cNvSpPr/>
      </xdr:nvSpPr>
      <xdr:spPr>
        <a:xfrm>
          <a:off x="265747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0AE0BF-C820-447B-BDC7-826700FE8C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52428888_41">
          <a:extLst>
            <a:ext uri="{FF2B5EF4-FFF2-40B4-BE49-F238E27FC236}">
              <a16:creationId xmlns:a16="http://schemas.microsoft.com/office/drawing/2014/main" id="{626EBA6A-9D14-4502-ADA5-E3B2D1446409}"/>
            </a:ext>
          </a:extLst>
        </xdr:cNvPr>
        <xdr:cNvSpPr/>
      </xdr:nvSpPr>
      <xdr:spPr>
        <a:xfrm>
          <a:off x="272224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8D449B2-AFAD-425E-B6D1-1791092F36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52428888_42">
          <a:extLst>
            <a:ext uri="{FF2B5EF4-FFF2-40B4-BE49-F238E27FC236}">
              <a16:creationId xmlns:a16="http://schemas.microsoft.com/office/drawing/2014/main" id="{B13E340A-B779-41E8-8DD7-C51D5164F627}"/>
            </a:ext>
          </a:extLst>
        </xdr:cNvPr>
        <xdr:cNvSpPr/>
      </xdr:nvSpPr>
      <xdr:spPr>
        <a:xfrm>
          <a:off x="27870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01C78D8-D762-4710-9E26-01B20649059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52428888_43">
          <a:extLst>
            <a:ext uri="{FF2B5EF4-FFF2-40B4-BE49-F238E27FC236}">
              <a16:creationId xmlns:a16="http://schemas.microsoft.com/office/drawing/2014/main" id="{75BDD6B3-CEA5-4A3D-A506-4DEFAE6D7A7F}"/>
            </a:ext>
          </a:extLst>
        </xdr:cNvPr>
        <xdr:cNvSpPr/>
      </xdr:nvSpPr>
      <xdr:spPr>
        <a:xfrm>
          <a:off x="282511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95F95C1-B9D8-4148-B2E5-4D7565F4B68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52428888_44">
          <a:extLst>
            <a:ext uri="{FF2B5EF4-FFF2-40B4-BE49-F238E27FC236}">
              <a16:creationId xmlns:a16="http://schemas.microsoft.com/office/drawing/2014/main" id="{3D33491F-521E-40C3-947C-BFB79D20C659}"/>
            </a:ext>
          </a:extLst>
        </xdr:cNvPr>
        <xdr:cNvSpPr/>
      </xdr:nvSpPr>
      <xdr:spPr>
        <a:xfrm>
          <a:off x="288988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7A8A5F3-6248-4411-9B7B-00A5903FA3C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52428888_45">
          <a:extLst>
            <a:ext uri="{FF2B5EF4-FFF2-40B4-BE49-F238E27FC236}">
              <a16:creationId xmlns:a16="http://schemas.microsoft.com/office/drawing/2014/main" id="{063A7E07-4730-4C30-B914-5B948A00D08C}"/>
            </a:ext>
          </a:extLst>
        </xdr:cNvPr>
        <xdr:cNvSpPr/>
      </xdr:nvSpPr>
      <xdr:spPr>
        <a:xfrm>
          <a:off x="29546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EA9FA8E-3875-4DD5-ABF9-F141129481D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52428888_46">
          <a:extLst>
            <a:ext uri="{FF2B5EF4-FFF2-40B4-BE49-F238E27FC236}">
              <a16:creationId xmlns:a16="http://schemas.microsoft.com/office/drawing/2014/main" id="{243EC81A-1078-4703-92B4-DA1FD000D8DD}"/>
            </a:ext>
          </a:extLst>
        </xdr:cNvPr>
        <xdr:cNvSpPr/>
      </xdr:nvSpPr>
      <xdr:spPr>
        <a:xfrm>
          <a:off x="301942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404F061-6A76-450E-975F-C3230D43D94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52428888_47">
          <a:extLst>
            <a:ext uri="{FF2B5EF4-FFF2-40B4-BE49-F238E27FC236}">
              <a16:creationId xmlns:a16="http://schemas.microsoft.com/office/drawing/2014/main" id="{A0521BF2-C518-4D9D-9BAA-59669470D095}"/>
            </a:ext>
          </a:extLst>
        </xdr:cNvPr>
        <xdr:cNvSpPr/>
      </xdr:nvSpPr>
      <xdr:spPr>
        <a:xfrm>
          <a:off x="30908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61BEC6E-18D2-42D3-A428-2D358A5F0B7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52428888_48">
          <a:extLst>
            <a:ext uri="{FF2B5EF4-FFF2-40B4-BE49-F238E27FC236}">
              <a16:creationId xmlns:a16="http://schemas.microsoft.com/office/drawing/2014/main" id="{557E640F-D0AB-49C4-8115-152D3855595E}"/>
            </a:ext>
          </a:extLst>
        </xdr:cNvPr>
        <xdr:cNvSpPr/>
      </xdr:nvSpPr>
      <xdr:spPr>
        <a:xfrm>
          <a:off x="31289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C980EA3-3F4A-45C6-B5E6-031936EC76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52428888_49">
          <a:extLst>
            <a:ext uri="{FF2B5EF4-FFF2-40B4-BE49-F238E27FC236}">
              <a16:creationId xmlns:a16="http://schemas.microsoft.com/office/drawing/2014/main" id="{3690A80F-1F28-4708-94C1-0D37BD288078}"/>
            </a:ext>
          </a:extLst>
        </xdr:cNvPr>
        <xdr:cNvSpPr/>
      </xdr:nvSpPr>
      <xdr:spPr>
        <a:xfrm>
          <a:off x="31937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AEBAE91-F654-48BD-AD35-B8F5F0B3B60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52428888_50">
          <a:extLst>
            <a:ext uri="{FF2B5EF4-FFF2-40B4-BE49-F238E27FC236}">
              <a16:creationId xmlns:a16="http://schemas.microsoft.com/office/drawing/2014/main" id="{F10ED3FC-A2AE-4003-A0C2-BCE254C0A9BB}"/>
            </a:ext>
          </a:extLst>
        </xdr:cNvPr>
        <xdr:cNvSpPr/>
      </xdr:nvSpPr>
      <xdr:spPr>
        <a:xfrm>
          <a:off x="32585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CF1F826-8015-49EC-A6EF-A7A47460FDC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52428888_51">
          <a:extLst>
            <a:ext uri="{FF2B5EF4-FFF2-40B4-BE49-F238E27FC236}">
              <a16:creationId xmlns:a16="http://schemas.microsoft.com/office/drawing/2014/main" id="{A343FBA9-06F4-4611-A2F6-299CF805B4C6}"/>
            </a:ext>
          </a:extLst>
        </xdr:cNvPr>
        <xdr:cNvSpPr/>
      </xdr:nvSpPr>
      <xdr:spPr>
        <a:xfrm>
          <a:off x="33232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1846902-550F-41FE-B687-3427BF4AA4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52428888_52">
          <a:extLst>
            <a:ext uri="{FF2B5EF4-FFF2-40B4-BE49-F238E27FC236}">
              <a16:creationId xmlns:a16="http://schemas.microsoft.com/office/drawing/2014/main" id="{461882A0-288C-44F6-B48E-7187C87701AC}"/>
            </a:ext>
          </a:extLst>
        </xdr:cNvPr>
        <xdr:cNvSpPr/>
      </xdr:nvSpPr>
      <xdr:spPr>
        <a:xfrm>
          <a:off x="33880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82521A0-67D2-4F49-A47D-E9238F5354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52428888_53">
          <a:extLst>
            <a:ext uri="{FF2B5EF4-FFF2-40B4-BE49-F238E27FC236}">
              <a16:creationId xmlns:a16="http://schemas.microsoft.com/office/drawing/2014/main" id="{6D6C924D-3AED-4A7D-9DDA-13007E4505AD}"/>
            </a:ext>
          </a:extLst>
        </xdr:cNvPr>
        <xdr:cNvSpPr/>
      </xdr:nvSpPr>
      <xdr:spPr>
        <a:xfrm>
          <a:off x="34528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A271CED-2AB2-4D83-BFD5-0CB1616408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52428888_54">
          <a:extLst>
            <a:ext uri="{FF2B5EF4-FFF2-40B4-BE49-F238E27FC236}">
              <a16:creationId xmlns:a16="http://schemas.microsoft.com/office/drawing/2014/main" id="{9F31E639-8026-4E5A-B391-485C64136FBF}"/>
            </a:ext>
          </a:extLst>
        </xdr:cNvPr>
        <xdr:cNvSpPr/>
      </xdr:nvSpPr>
      <xdr:spPr>
        <a:xfrm>
          <a:off x="35175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C7E8964-DEF8-4147-99EE-720B9A30B3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52428888_55">
          <a:extLst>
            <a:ext uri="{FF2B5EF4-FFF2-40B4-BE49-F238E27FC236}">
              <a16:creationId xmlns:a16="http://schemas.microsoft.com/office/drawing/2014/main" id="{EBCF6B14-3BD9-4279-899C-069CEB719F26}"/>
            </a:ext>
          </a:extLst>
        </xdr:cNvPr>
        <xdr:cNvSpPr/>
      </xdr:nvSpPr>
      <xdr:spPr>
        <a:xfrm>
          <a:off x="35823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C6685F5-25DD-4151-BAE5-2C47614B0B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52428888_56">
          <a:extLst>
            <a:ext uri="{FF2B5EF4-FFF2-40B4-BE49-F238E27FC236}">
              <a16:creationId xmlns:a16="http://schemas.microsoft.com/office/drawing/2014/main" id="{4A4469AD-E713-480E-9747-226CFCE77761}"/>
            </a:ext>
          </a:extLst>
        </xdr:cNvPr>
        <xdr:cNvSpPr/>
      </xdr:nvSpPr>
      <xdr:spPr>
        <a:xfrm>
          <a:off x="36471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687BD7E-5FF2-402B-98E1-2A77EDD4D92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52428888_57">
          <a:extLst>
            <a:ext uri="{FF2B5EF4-FFF2-40B4-BE49-F238E27FC236}">
              <a16:creationId xmlns:a16="http://schemas.microsoft.com/office/drawing/2014/main" id="{D95E51C8-79D2-4DD6-A0CF-9A7E235E07FA}"/>
            </a:ext>
          </a:extLst>
        </xdr:cNvPr>
        <xdr:cNvSpPr/>
      </xdr:nvSpPr>
      <xdr:spPr>
        <a:xfrm>
          <a:off x="3711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CFDCA93-0D1C-4775-A3E4-8064E8E3EF9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52428888_58">
          <a:extLst>
            <a:ext uri="{FF2B5EF4-FFF2-40B4-BE49-F238E27FC236}">
              <a16:creationId xmlns:a16="http://schemas.microsoft.com/office/drawing/2014/main" id="{951FA0E4-BF97-4520-98D3-76EBDD9169A0}"/>
            </a:ext>
          </a:extLst>
        </xdr:cNvPr>
        <xdr:cNvSpPr/>
      </xdr:nvSpPr>
      <xdr:spPr>
        <a:xfrm>
          <a:off x="3776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3F8658A-FE11-4C67-A11B-0DEE7D8939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52428888_59">
          <a:extLst>
            <a:ext uri="{FF2B5EF4-FFF2-40B4-BE49-F238E27FC236}">
              <a16:creationId xmlns:a16="http://schemas.microsoft.com/office/drawing/2014/main" id="{07DE56B2-EB1A-40F0-94D2-D7971C35008A}"/>
            </a:ext>
          </a:extLst>
        </xdr:cNvPr>
        <xdr:cNvSpPr/>
      </xdr:nvSpPr>
      <xdr:spPr>
        <a:xfrm>
          <a:off x="3841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609E8B9-B063-4C72-82BA-520E6D02F2D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52428888_60">
          <a:extLst>
            <a:ext uri="{FF2B5EF4-FFF2-40B4-BE49-F238E27FC236}">
              <a16:creationId xmlns:a16="http://schemas.microsoft.com/office/drawing/2014/main" id="{7E750E16-3D2A-4FEC-B124-2EDB3F9F27EB}"/>
            </a:ext>
          </a:extLst>
        </xdr:cNvPr>
        <xdr:cNvSpPr/>
      </xdr:nvSpPr>
      <xdr:spPr>
        <a:xfrm>
          <a:off x="3906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344D01A-FF80-4108-8447-DA3F7D40293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52428888_61">
          <a:extLst>
            <a:ext uri="{FF2B5EF4-FFF2-40B4-BE49-F238E27FC236}">
              <a16:creationId xmlns:a16="http://schemas.microsoft.com/office/drawing/2014/main" id="{AF64849E-D9DA-47C6-865B-FF257133B932}"/>
            </a:ext>
          </a:extLst>
        </xdr:cNvPr>
        <xdr:cNvSpPr/>
      </xdr:nvSpPr>
      <xdr:spPr>
        <a:xfrm>
          <a:off x="3970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F0103AA-0F7D-4613-9CC7-055BDB8A7D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52428888_62">
          <a:extLst>
            <a:ext uri="{FF2B5EF4-FFF2-40B4-BE49-F238E27FC236}">
              <a16:creationId xmlns:a16="http://schemas.microsoft.com/office/drawing/2014/main" id="{BF1A0798-0008-4C83-A052-F0762D9CFCCB}"/>
            </a:ext>
          </a:extLst>
        </xdr:cNvPr>
        <xdr:cNvSpPr/>
      </xdr:nvSpPr>
      <xdr:spPr>
        <a:xfrm>
          <a:off x="40357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CF45191-FE35-43E0-BF6E-F4713757FD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52428888_63">
          <a:extLst>
            <a:ext uri="{FF2B5EF4-FFF2-40B4-BE49-F238E27FC236}">
              <a16:creationId xmlns:a16="http://schemas.microsoft.com/office/drawing/2014/main" id="{088F175C-4DD1-44D6-8D82-1D6631236EC9}"/>
            </a:ext>
          </a:extLst>
        </xdr:cNvPr>
        <xdr:cNvSpPr/>
      </xdr:nvSpPr>
      <xdr:spPr>
        <a:xfrm>
          <a:off x="41005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69D9C86-804B-4204-A33F-7A920146D3C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52428888_64">
          <a:extLst>
            <a:ext uri="{FF2B5EF4-FFF2-40B4-BE49-F238E27FC236}">
              <a16:creationId xmlns:a16="http://schemas.microsoft.com/office/drawing/2014/main" id="{9ADD9920-F32A-463A-9228-A6A09F70B673}"/>
            </a:ext>
          </a:extLst>
        </xdr:cNvPr>
        <xdr:cNvSpPr/>
      </xdr:nvSpPr>
      <xdr:spPr>
        <a:xfrm>
          <a:off x="41652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135FC55-0DDB-496D-B0F2-619F74A067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52428888_65">
          <a:extLst>
            <a:ext uri="{FF2B5EF4-FFF2-40B4-BE49-F238E27FC236}">
              <a16:creationId xmlns:a16="http://schemas.microsoft.com/office/drawing/2014/main" id="{2E959CA8-F9D8-4759-BFEC-25959DFFB601}"/>
            </a:ext>
          </a:extLst>
        </xdr:cNvPr>
        <xdr:cNvSpPr/>
      </xdr:nvSpPr>
      <xdr:spPr>
        <a:xfrm>
          <a:off x="42300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9701641-AA63-4FB5-95EA-2C2C8A0EC4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52428888_66">
          <a:extLst>
            <a:ext uri="{FF2B5EF4-FFF2-40B4-BE49-F238E27FC236}">
              <a16:creationId xmlns:a16="http://schemas.microsoft.com/office/drawing/2014/main" id="{0D9F44D0-1FFF-4B8E-A29B-48DD86054568}"/>
            </a:ext>
          </a:extLst>
        </xdr:cNvPr>
        <xdr:cNvSpPr/>
      </xdr:nvSpPr>
      <xdr:spPr>
        <a:xfrm>
          <a:off x="42948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414BBF8-E92A-4B16-A341-998726756ED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52428888_67">
          <a:extLst>
            <a:ext uri="{FF2B5EF4-FFF2-40B4-BE49-F238E27FC236}">
              <a16:creationId xmlns:a16="http://schemas.microsoft.com/office/drawing/2014/main" id="{8CD901FE-5C97-41AB-BC84-6BA843CBFF1A}"/>
            </a:ext>
          </a:extLst>
        </xdr:cNvPr>
        <xdr:cNvSpPr/>
      </xdr:nvSpPr>
      <xdr:spPr>
        <a:xfrm>
          <a:off x="43595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8B493BA-4070-443B-BD44-0248D7E64F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52428888_68">
          <a:extLst>
            <a:ext uri="{FF2B5EF4-FFF2-40B4-BE49-F238E27FC236}">
              <a16:creationId xmlns:a16="http://schemas.microsoft.com/office/drawing/2014/main" id="{E6DBE704-95D7-437E-9B99-FA106BFE42B4}"/>
            </a:ext>
          </a:extLst>
        </xdr:cNvPr>
        <xdr:cNvSpPr/>
      </xdr:nvSpPr>
      <xdr:spPr>
        <a:xfrm>
          <a:off x="44243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EC7098F-1F9B-48AD-B4E0-0F1D7505642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52428888_69">
          <a:extLst>
            <a:ext uri="{FF2B5EF4-FFF2-40B4-BE49-F238E27FC236}">
              <a16:creationId xmlns:a16="http://schemas.microsoft.com/office/drawing/2014/main" id="{22FB31CE-4082-47F3-B8E6-6C927ABB8CE1}"/>
            </a:ext>
          </a:extLst>
        </xdr:cNvPr>
        <xdr:cNvSpPr/>
      </xdr:nvSpPr>
      <xdr:spPr>
        <a:xfrm>
          <a:off x="446246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07699AC-194B-4DAF-861F-F1404AB4652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52428888_70">
          <a:extLst>
            <a:ext uri="{FF2B5EF4-FFF2-40B4-BE49-F238E27FC236}">
              <a16:creationId xmlns:a16="http://schemas.microsoft.com/office/drawing/2014/main" id="{EC1C35B9-2F47-4D44-AA5F-F7F1D0A7FAA7}"/>
            </a:ext>
          </a:extLst>
        </xdr:cNvPr>
        <xdr:cNvSpPr/>
      </xdr:nvSpPr>
      <xdr:spPr>
        <a:xfrm>
          <a:off x="4533900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9E1186-24C6-42E8-B99E-D91B2340A5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52428888_71">
          <a:extLst>
            <a:ext uri="{FF2B5EF4-FFF2-40B4-BE49-F238E27FC236}">
              <a16:creationId xmlns:a16="http://schemas.microsoft.com/office/drawing/2014/main" id="{8D4F66FB-2F93-4528-8308-0556DCDFF0B3}"/>
            </a:ext>
          </a:extLst>
        </xdr:cNvPr>
        <xdr:cNvSpPr/>
      </xdr:nvSpPr>
      <xdr:spPr>
        <a:xfrm>
          <a:off x="467868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8A93CF0-6AF8-4962-845E-D2448D5D15C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52428888_72">
          <a:extLst>
            <a:ext uri="{FF2B5EF4-FFF2-40B4-BE49-F238E27FC236}">
              <a16:creationId xmlns:a16="http://schemas.microsoft.com/office/drawing/2014/main" id="{C2134FA1-8817-4847-8BB7-7578BF7A516C}"/>
            </a:ext>
          </a:extLst>
        </xdr:cNvPr>
        <xdr:cNvSpPr/>
      </xdr:nvSpPr>
      <xdr:spPr>
        <a:xfrm>
          <a:off x="475011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67DBFC2-D4E6-4E70-B9A2-A88A90E10C7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52428888_73">
          <a:extLst>
            <a:ext uri="{FF2B5EF4-FFF2-40B4-BE49-F238E27FC236}">
              <a16:creationId xmlns:a16="http://schemas.microsoft.com/office/drawing/2014/main" id="{E7BB64C7-FD2C-4CEA-857B-5679C5D39CEE}"/>
            </a:ext>
          </a:extLst>
        </xdr:cNvPr>
        <xdr:cNvSpPr/>
      </xdr:nvSpPr>
      <xdr:spPr>
        <a:xfrm>
          <a:off x="47882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399E886-9312-4D3D-A34F-5CF0BD802B8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52428888_74">
          <a:extLst>
            <a:ext uri="{FF2B5EF4-FFF2-40B4-BE49-F238E27FC236}">
              <a16:creationId xmlns:a16="http://schemas.microsoft.com/office/drawing/2014/main" id="{E61430F1-1094-4AE9-8004-8853EDE44EAA}"/>
            </a:ext>
          </a:extLst>
        </xdr:cNvPr>
        <xdr:cNvSpPr/>
      </xdr:nvSpPr>
      <xdr:spPr>
        <a:xfrm>
          <a:off x="48529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2BCA2F-DE6D-4314-9C4D-8BB6E7360AF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52428888_75">
          <a:extLst>
            <a:ext uri="{FF2B5EF4-FFF2-40B4-BE49-F238E27FC236}">
              <a16:creationId xmlns:a16="http://schemas.microsoft.com/office/drawing/2014/main" id="{5C3994AC-D228-4D6F-8C68-4DF28E510F3B}"/>
            </a:ext>
          </a:extLst>
        </xdr:cNvPr>
        <xdr:cNvSpPr/>
      </xdr:nvSpPr>
      <xdr:spPr>
        <a:xfrm>
          <a:off x="49177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4C23D82-672D-482D-B013-A0D1A805A5A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52428888_76">
          <a:extLst>
            <a:ext uri="{FF2B5EF4-FFF2-40B4-BE49-F238E27FC236}">
              <a16:creationId xmlns:a16="http://schemas.microsoft.com/office/drawing/2014/main" id="{2ABED102-DC3E-4341-8C94-9B11B6BCC586}"/>
            </a:ext>
          </a:extLst>
        </xdr:cNvPr>
        <xdr:cNvSpPr/>
      </xdr:nvSpPr>
      <xdr:spPr>
        <a:xfrm>
          <a:off x="49825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6D74A49-B98D-461D-8F2F-21FDC395D09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52428888_77">
          <a:extLst>
            <a:ext uri="{FF2B5EF4-FFF2-40B4-BE49-F238E27FC236}">
              <a16:creationId xmlns:a16="http://schemas.microsoft.com/office/drawing/2014/main" id="{2936C326-4AC4-4911-9A5C-454AED36D1F3}"/>
            </a:ext>
          </a:extLst>
        </xdr:cNvPr>
        <xdr:cNvSpPr/>
      </xdr:nvSpPr>
      <xdr:spPr>
        <a:xfrm>
          <a:off x="50472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2967FF9-F362-49F7-ACAF-F57F374879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52428888_78">
          <a:extLst>
            <a:ext uri="{FF2B5EF4-FFF2-40B4-BE49-F238E27FC236}">
              <a16:creationId xmlns:a16="http://schemas.microsoft.com/office/drawing/2014/main" id="{59048100-96A9-4B96-AE52-A30C69A8607C}"/>
            </a:ext>
          </a:extLst>
        </xdr:cNvPr>
        <xdr:cNvSpPr/>
      </xdr:nvSpPr>
      <xdr:spPr>
        <a:xfrm>
          <a:off x="51120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81AF007-FF3E-4EC6-9A80-3254604CA8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52428888_79">
          <a:extLst>
            <a:ext uri="{FF2B5EF4-FFF2-40B4-BE49-F238E27FC236}">
              <a16:creationId xmlns:a16="http://schemas.microsoft.com/office/drawing/2014/main" id="{CFEA6344-85BF-4883-A60C-74C7E051E29F}"/>
            </a:ext>
          </a:extLst>
        </xdr:cNvPr>
        <xdr:cNvSpPr/>
      </xdr:nvSpPr>
      <xdr:spPr>
        <a:xfrm>
          <a:off x="51501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D8284F9-8BA1-4F71-8FA4-83868C3897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52428888_80">
          <a:extLst>
            <a:ext uri="{FF2B5EF4-FFF2-40B4-BE49-F238E27FC236}">
              <a16:creationId xmlns:a16="http://schemas.microsoft.com/office/drawing/2014/main" id="{9DA77AE5-E238-4A82-8D38-E3983BB9CB2A}"/>
            </a:ext>
          </a:extLst>
        </xdr:cNvPr>
        <xdr:cNvSpPr/>
      </xdr:nvSpPr>
      <xdr:spPr>
        <a:xfrm>
          <a:off x="5214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5448C0C-A664-46B4-A35A-8E4D91FFA83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52428888_81">
          <a:extLst>
            <a:ext uri="{FF2B5EF4-FFF2-40B4-BE49-F238E27FC236}">
              <a16:creationId xmlns:a16="http://schemas.microsoft.com/office/drawing/2014/main" id="{14909362-DF59-444F-A79E-79D2372DDEE1}"/>
            </a:ext>
          </a:extLst>
        </xdr:cNvPr>
        <xdr:cNvSpPr/>
      </xdr:nvSpPr>
      <xdr:spPr>
        <a:xfrm>
          <a:off x="5279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88E93C-58B7-4E04-955A-047E74AC99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52428888_82">
          <a:extLst>
            <a:ext uri="{FF2B5EF4-FFF2-40B4-BE49-F238E27FC236}">
              <a16:creationId xmlns:a16="http://schemas.microsoft.com/office/drawing/2014/main" id="{3CCF3071-BC46-49A4-9725-C189AFA33D55}"/>
            </a:ext>
          </a:extLst>
        </xdr:cNvPr>
        <xdr:cNvSpPr/>
      </xdr:nvSpPr>
      <xdr:spPr>
        <a:xfrm>
          <a:off x="5344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69238B8-8EE1-4167-8437-E069FD15C04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52428888_83">
          <a:extLst>
            <a:ext uri="{FF2B5EF4-FFF2-40B4-BE49-F238E27FC236}">
              <a16:creationId xmlns:a16="http://schemas.microsoft.com/office/drawing/2014/main" id="{35312324-15D7-4926-B788-F1205DF7BA57}"/>
            </a:ext>
          </a:extLst>
        </xdr:cNvPr>
        <xdr:cNvSpPr/>
      </xdr:nvSpPr>
      <xdr:spPr>
        <a:xfrm>
          <a:off x="5409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0BE543-4CC6-43B5-BEEA-7A49FA55B90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New3_1">
          <a:extLst>
            <a:ext uri="{FF2B5EF4-FFF2-40B4-BE49-F238E27FC236}">
              <a16:creationId xmlns:a16="http://schemas.microsoft.com/office/drawing/2014/main" id="{27DFA4E5-AE67-463F-9B59-6591B1CD222E}"/>
            </a:ext>
          </a:extLst>
        </xdr:cNvPr>
        <xdr:cNvSpPr/>
      </xdr:nvSpPr>
      <xdr:spPr>
        <a:xfrm>
          <a:off x="1114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8D915B6-4400-4B09-8159-77723936255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New3_2">
          <a:extLst>
            <a:ext uri="{FF2B5EF4-FFF2-40B4-BE49-F238E27FC236}">
              <a16:creationId xmlns:a16="http://schemas.microsoft.com/office/drawing/2014/main" id="{38041E17-AE78-4846-A813-57F4D7F7E412}"/>
            </a:ext>
          </a:extLst>
        </xdr:cNvPr>
        <xdr:cNvSpPr/>
      </xdr:nvSpPr>
      <xdr:spPr>
        <a:xfrm>
          <a:off x="149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FDFE2A-5DA5-48E0-BD75-1B639494556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New3_3">
          <a:extLst>
            <a:ext uri="{FF2B5EF4-FFF2-40B4-BE49-F238E27FC236}">
              <a16:creationId xmlns:a16="http://schemas.microsoft.com/office/drawing/2014/main" id="{B4C34CC9-6CC7-4AC9-A2F7-704824FF5F23}"/>
            </a:ext>
          </a:extLst>
        </xdr:cNvPr>
        <xdr:cNvSpPr/>
      </xdr:nvSpPr>
      <xdr:spPr>
        <a:xfrm>
          <a:off x="214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F7A396E-76AB-42AA-8534-BB3A03F67A7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New3_4">
          <a:extLst>
            <a:ext uri="{FF2B5EF4-FFF2-40B4-BE49-F238E27FC236}">
              <a16:creationId xmlns:a16="http://schemas.microsoft.com/office/drawing/2014/main" id="{38652217-2BE2-4247-BF8B-896D8463A4F8}"/>
            </a:ext>
          </a:extLst>
        </xdr:cNvPr>
        <xdr:cNvSpPr/>
      </xdr:nvSpPr>
      <xdr:spPr>
        <a:xfrm>
          <a:off x="279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DB8131B-D3CD-4FC8-92D3-4B39459FC5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New3_5">
          <a:extLst>
            <a:ext uri="{FF2B5EF4-FFF2-40B4-BE49-F238E27FC236}">
              <a16:creationId xmlns:a16="http://schemas.microsoft.com/office/drawing/2014/main" id="{808F09C8-C2AC-4486-930B-21AFAF398526}"/>
            </a:ext>
          </a:extLst>
        </xdr:cNvPr>
        <xdr:cNvSpPr/>
      </xdr:nvSpPr>
      <xdr:spPr>
        <a:xfrm>
          <a:off x="34385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5466B51-C600-48FF-B4F5-6310D01D47E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New3_6">
          <a:extLst>
            <a:ext uri="{FF2B5EF4-FFF2-40B4-BE49-F238E27FC236}">
              <a16:creationId xmlns:a16="http://schemas.microsoft.com/office/drawing/2014/main" id="{C69F04F6-06F7-4BB8-B1FF-55BE3E632FF3}"/>
            </a:ext>
          </a:extLst>
        </xdr:cNvPr>
        <xdr:cNvSpPr/>
      </xdr:nvSpPr>
      <xdr:spPr>
        <a:xfrm>
          <a:off x="48863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827F03D-67A4-4650-89CC-8038A51F22A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New3_7">
          <a:extLst>
            <a:ext uri="{FF2B5EF4-FFF2-40B4-BE49-F238E27FC236}">
              <a16:creationId xmlns:a16="http://schemas.microsoft.com/office/drawing/2014/main" id="{1A8A9C9F-EFB0-4514-AE7B-B38F6D4049D0}"/>
            </a:ext>
          </a:extLst>
        </xdr:cNvPr>
        <xdr:cNvSpPr/>
      </xdr:nvSpPr>
      <xdr:spPr>
        <a:xfrm>
          <a:off x="6334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9CF9D76-2893-4523-911A-824DDD016C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New3_8">
          <a:extLst>
            <a:ext uri="{FF2B5EF4-FFF2-40B4-BE49-F238E27FC236}">
              <a16:creationId xmlns:a16="http://schemas.microsoft.com/office/drawing/2014/main" id="{B79FECEC-F76E-4510-ADD0-4606531832B9}"/>
            </a:ext>
          </a:extLst>
        </xdr:cNvPr>
        <xdr:cNvSpPr/>
      </xdr:nvSpPr>
      <xdr:spPr>
        <a:xfrm>
          <a:off x="6715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B58FAF0-E2C5-4A20-8B60-055B434E78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New3_9">
          <a:extLst>
            <a:ext uri="{FF2B5EF4-FFF2-40B4-BE49-F238E27FC236}">
              <a16:creationId xmlns:a16="http://schemas.microsoft.com/office/drawing/2014/main" id="{971A0D84-05E0-435D-9DD9-556E613FA23C}"/>
            </a:ext>
          </a:extLst>
        </xdr:cNvPr>
        <xdr:cNvSpPr/>
      </xdr:nvSpPr>
      <xdr:spPr>
        <a:xfrm>
          <a:off x="709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995B6E-1F44-48BC-B57B-4AFAA0B941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New3_10">
          <a:extLst>
            <a:ext uri="{FF2B5EF4-FFF2-40B4-BE49-F238E27FC236}">
              <a16:creationId xmlns:a16="http://schemas.microsoft.com/office/drawing/2014/main" id="{EFAB8BC2-1CA4-4830-9BB3-8B159EBD1872}"/>
            </a:ext>
          </a:extLst>
        </xdr:cNvPr>
        <xdr:cNvSpPr/>
      </xdr:nvSpPr>
      <xdr:spPr>
        <a:xfrm>
          <a:off x="774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10EAEA9-047A-439C-B89C-E0BA4797ADC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New3_11">
          <a:extLst>
            <a:ext uri="{FF2B5EF4-FFF2-40B4-BE49-F238E27FC236}">
              <a16:creationId xmlns:a16="http://schemas.microsoft.com/office/drawing/2014/main" id="{B8904A2F-37B0-43E3-8477-54DF906271EB}"/>
            </a:ext>
          </a:extLst>
        </xdr:cNvPr>
        <xdr:cNvSpPr/>
      </xdr:nvSpPr>
      <xdr:spPr>
        <a:xfrm>
          <a:off x="839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8254B05-5A75-419D-928A-C43D4DEA457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New3_12">
          <a:extLst>
            <a:ext uri="{FF2B5EF4-FFF2-40B4-BE49-F238E27FC236}">
              <a16:creationId xmlns:a16="http://schemas.microsoft.com/office/drawing/2014/main" id="{A61886E1-200B-4930-B59B-3602217F987C}"/>
            </a:ext>
          </a:extLst>
        </xdr:cNvPr>
        <xdr:cNvSpPr/>
      </xdr:nvSpPr>
      <xdr:spPr>
        <a:xfrm>
          <a:off x="903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D39DF0B-6ED2-4AD8-B181-B8DB40AF44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New3_13">
          <a:extLst>
            <a:ext uri="{FF2B5EF4-FFF2-40B4-BE49-F238E27FC236}">
              <a16:creationId xmlns:a16="http://schemas.microsoft.com/office/drawing/2014/main" id="{0A9AEAAA-9DFD-45CF-AC62-D01F86726B1B}"/>
            </a:ext>
          </a:extLst>
        </xdr:cNvPr>
        <xdr:cNvSpPr/>
      </xdr:nvSpPr>
      <xdr:spPr>
        <a:xfrm>
          <a:off x="9686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494F439-2C01-4A3A-8BD9-EE292C2DBC5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New3_14">
          <a:extLst>
            <a:ext uri="{FF2B5EF4-FFF2-40B4-BE49-F238E27FC236}">
              <a16:creationId xmlns:a16="http://schemas.microsoft.com/office/drawing/2014/main" id="{7049BFB0-83F5-41D3-B43D-6A79FF6A4397}"/>
            </a:ext>
          </a:extLst>
        </xdr:cNvPr>
        <xdr:cNvSpPr/>
      </xdr:nvSpPr>
      <xdr:spPr>
        <a:xfrm>
          <a:off x="10334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0DA3B39-7140-4381-B13E-FA921E7B84E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New3_15">
          <a:extLst>
            <a:ext uri="{FF2B5EF4-FFF2-40B4-BE49-F238E27FC236}">
              <a16:creationId xmlns:a16="http://schemas.microsoft.com/office/drawing/2014/main" id="{FF73C5B5-56C4-4AEC-A392-C359BA8DAF8A}"/>
            </a:ext>
          </a:extLst>
        </xdr:cNvPr>
        <xdr:cNvSpPr/>
      </xdr:nvSpPr>
      <xdr:spPr>
        <a:xfrm>
          <a:off x="10982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CFB68D2-5217-47A6-AB22-7663E91679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New3_16">
          <a:extLst>
            <a:ext uri="{FF2B5EF4-FFF2-40B4-BE49-F238E27FC236}">
              <a16:creationId xmlns:a16="http://schemas.microsoft.com/office/drawing/2014/main" id="{7CF4D5A9-FC0C-47D1-93BC-EB78293CB771}"/>
            </a:ext>
          </a:extLst>
        </xdr:cNvPr>
        <xdr:cNvSpPr/>
      </xdr:nvSpPr>
      <xdr:spPr>
        <a:xfrm>
          <a:off x="11630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312C6F0-5BE2-4541-919F-64F71E4D360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New3_17">
          <a:extLst>
            <a:ext uri="{FF2B5EF4-FFF2-40B4-BE49-F238E27FC236}">
              <a16:creationId xmlns:a16="http://schemas.microsoft.com/office/drawing/2014/main" id="{5B238B4D-0861-4BF5-96E3-A01C4CB959DE}"/>
            </a:ext>
          </a:extLst>
        </xdr:cNvPr>
        <xdr:cNvSpPr/>
      </xdr:nvSpPr>
      <xdr:spPr>
        <a:xfrm>
          <a:off x="12277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791456B-7B41-4785-967A-EED038A379B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New3_18">
          <a:extLst>
            <a:ext uri="{FF2B5EF4-FFF2-40B4-BE49-F238E27FC236}">
              <a16:creationId xmlns:a16="http://schemas.microsoft.com/office/drawing/2014/main" id="{0BD0828B-68B5-4039-852F-5B9B6190C67C}"/>
            </a:ext>
          </a:extLst>
        </xdr:cNvPr>
        <xdr:cNvSpPr/>
      </xdr:nvSpPr>
      <xdr:spPr>
        <a:xfrm>
          <a:off x="1292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E7A2DCB-2598-4F06-B488-A31CBA9ECD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New3_19">
          <a:extLst>
            <a:ext uri="{FF2B5EF4-FFF2-40B4-BE49-F238E27FC236}">
              <a16:creationId xmlns:a16="http://schemas.microsoft.com/office/drawing/2014/main" id="{5F4CCC52-76A7-4697-9E10-2D80CBEE1EBD}"/>
            </a:ext>
          </a:extLst>
        </xdr:cNvPr>
        <xdr:cNvSpPr/>
      </xdr:nvSpPr>
      <xdr:spPr>
        <a:xfrm>
          <a:off x="1357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A1EADAF-A093-4E6F-B933-262CF8B8300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New3_20">
          <a:extLst>
            <a:ext uri="{FF2B5EF4-FFF2-40B4-BE49-F238E27FC236}">
              <a16:creationId xmlns:a16="http://schemas.microsoft.com/office/drawing/2014/main" id="{88B3213E-FEB4-438D-881E-CDA95AA04C74}"/>
            </a:ext>
          </a:extLst>
        </xdr:cNvPr>
        <xdr:cNvSpPr/>
      </xdr:nvSpPr>
      <xdr:spPr>
        <a:xfrm>
          <a:off x="1422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74F68CC-8AEB-49F2-97F6-69910F8452A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New3_21">
          <a:extLst>
            <a:ext uri="{FF2B5EF4-FFF2-40B4-BE49-F238E27FC236}">
              <a16:creationId xmlns:a16="http://schemas.microsoft.com/office/drawing/2014/main" id="{5E14049B-2186-43E9-A2E2-F6C586833C15}"/>
            </a:ext>
          </a:extLst>
        </xdr:cNvPr>
        <xdr:cNvSpPr/>
      </xdr:nvSpPr>
      <xdr:spPr>
        <a:xfrm>
          <a:off x="14868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B143A7E-8A50-45AD-BA38-D966DE11A1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New3_22">
          <a:extLst>
            <a:ext uri="{FF2B5EF4-FFF2-40B4-BE49-F238E27FC236}">
              <a16:creationId xmlns:a16="http://schemas.microsoft.com/office/drawing/2014/main" id="{FF6A90C4-0159-4C07-ABCB-5EC34CDBA8B6}"/>
            </a:ext>
          </a:extLst>
        </xdr:cNvPr>
        <xdr:cNvSpPr/>
      </xdr:nvSpPr>
      <xdr:spPr>
        <a:xfrm>
          <a:off x="15516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8182B16-1822-4197-ACE0-013B4E96A56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New3_23">
          <a:extLst>
            <a:ext uri="{FF2B5EF4-FFF2-40B4-BE49-F238E27FC236}">
              <a16:creationId xmlns:a16="http://schemas.microsoft.com/office/drawing/2014/main" id="{5D017E05-388F-4906-BF1D-285F2B28C417}"/>
            </a:ext>
          </a:extLst>
        </xdr:cNvPr>
        <xdr:cNvSpPr/>
      </xdr:nvSpPr>
      <xdr:spPr>
        <a:xfrm>
          <a:off x="16163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77AF74-00AE-434E-97A9-D66BBE47A0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New3_24">
          <a:extLst>
            <a:ext uri="{FF2B5EF4-FFF2-40B4-BE49-F238E27FC236}">
              <a16:creationId xmlns:a16="http://schemas.microsoft.com/office/drawing/2014/main" id="{002AD849-9F16-47A1-BBFC-E6310BF7AA20}"/>
            </a:ext>
          </a:extLst>
        </xdr:cNvPr>
        <xdr:cNvSpPr/>
      </xdr:nvSpPr>
      <xdr:spPr>
        <a:xfrm>
          <a:off x="16811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65B67DF-8397-41CC-A37E-FB472AF49D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New3_25">
          <a:extLst>
            <a:ext uri="{FF2B5EF4-FFF2-40B4-BE49-F238E27FC236}">
              <a16:creationId xmlns:a16="http://schemas.microsoft.com/office/drawing/2014/main" id="{6F22C530-7B89-455E-804D-5F55CA6CE85E}"/>
            </a:ext>
          </a:extLst>
        </xdr:cNvPr>
        <xdr:cNvSpPr/>
      </xdr:nvSpPr>
      <xdr:spPr>
        <a:xfrm>
          <a:off x="17459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4324819-4292-400B-8CEA-CD4FDC485FF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New3_26">
          <a:extLst>
            <a:ext uri="{FF2B5EF4-FFF2-40B4-BE49-F238E27FC236}">
              <a16:creationId xmlns:a16="http://schemas.microsoft.com/office/drawing/2014/main" id="{3E653D8F-422B-4F22-993F-27D3CC647F47}"/>
            </a:ext>
          </a:extLst>
        </xdr:cNvPr>
        <xdr:cNvSpPr/>
      </xdr:nvSpPr>
      <xdr:spPr>
        <a:xfrm>
          <a:off x="18107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C8CF8DE-6BA0-4555-AC1C-E22FA6A402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New3_27">
          <a:extLst>
            <a:ext uri="{FF2B5EF4-FFF2-40B4-BE49-F238E27FC236}">
              <a16:creationId xmlns:a16="http://schemas.microsoft.com/office/drawing/2014/main" id="{9744730B-1970-4B65-AB5B-25AE4DA62BD7}"/>
            </a:ext>
          </a:extLst>
        </xdr:cNvPr>
        <xdr:cNvSpPr/>
      </xdr:nvSpPr>
      <xdr:spPr>
        <a:xfrm>
          <a:off x="18754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3FECD31-470A-4513-A789-E10C67FBF4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New3_28">
          <a:extLst>
            <a:ext uri="{FF2B5EF4-FFF2-40B4-BE49-F238E27FC236}">
              <a16:creationId xmlns:a16="http://schemas.microsoft.com/office/drawing/2014/main" id="{4F7C14C5-FD14-425B-933E-63DEC1BB3C38}"/>
            </a:ext>
          </a:extLst>
        </xdr:cNvPr>
        <xdr:cNvSpPr/>
      </xdr:nvSpPr>
      <xdr:spPr>
        <a:xfrm>
          <a:off x="19402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436D7C5-A0BC-4F5A-B25D-0ABF341DF8D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New3_29">
          <a:extLst>
            <a:ext uri="{FF2B5EF4-FFF2-40B4-BE49-F238E27FC236}">
              <a16:creationId xmlns:a16="http://schemas.microsoft.com/office/drawing/2014/main" id="{69E1F5A1-1C57-49B0-999D-A9C499ECD487}"/>
            </a:ext>
          </a:extLst>
        </xdr:cNvPr>
        <xdr:cNvSpPr/>
      </xdr:nvSpPr>
      <xdr:spPr>
        <a:xfrm>
          <a:off x="20050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D250B6F-94FA-434F-99EF-AA9BDC5EEAE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New3_30">
          <a:extLst>
            <a:ext uri="{FF2B5EF4-FFF2-40B4-BE49-F238E27FC236}">
              <a16:creationId xmlns:a16="http://schemas.microsoft.com/office/drawing/2014/main" id="{26208FE1-44B0-426C-98C7-E9A1C0CF0EED}"/>
            </a:ext>
          </a:extLst>
        </xdr:cNvPr>
        <xdr:cNvSpPr/>
      </xdr:nvSpPr>
      <xdr:spPr>
        <a:xfrm>
          <a:off x="204311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5BC702A-6C4C-4158-9937-A8071E7B22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New3_31">
          <a:extLst>
            <a:ext uri="{FF2B5EF4-FFF2-40B4-BE49-F238E27FC236}">
              <a16:creationId xmlns:a16="http://schemas.microsoft.com/office/drawing/2014/main" id="{DC7A4F84-3E3C-4D16-932C-3966444DD4AC}"/>
            </a:ext>
          </a:extLst>
        </xdr:cNvPr>
        <xdr:cNvSpPr/>
      </xdr:nvSpPr>
      <xdr:spPr>
        <a:xfrm>
          <a:off x="218789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B00C8BD-C5E2-4C41-BFCA-3AC3E3A11BE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New3_32">
          <a:extLst>
            <a:ext uri="{FF2B5EF4-FFF2-40B4-BE49-F238E27FC236}">
              <a16:creationId xmlns:a16="http://schemas.microsoft.com/office/drawing/2014/main" id="{1E6FEF11-3D23-4774-96F5-2C6AE9299F07}"/>
            </a:ext>
          </a:extLst>
        </xdr:cNvPr>
        <xdr:cNvSpPr/>
      </xdr:nvSpPr>
      <xdr:spPr>
        <a:xfrm>
          <a:off x="225933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26755F6-6117-49D3-9E0B-E3D6FD4937A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New3_33">
          <a:extLst>
            <a:ext uri="{FF2B5EF4-FFF2-40B4-BE49-F238E27FC236}">
              <a16:creationId xmlns:a16="http://schemas.microsoft.com/office/drawing/2014/main" id="{DF22E288-5B67-4C69-8052-359686E1CB0E}"/>
            </a:ext>
          </a:extLst>
        </xdr:cNvPr>
        <xdr:cNvSpPr/>
      </xdr:nvSpPr>
      <xdr:spPr>
        <a:xfrm>
          <a:off x="22974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5D71AA8-CBB8-4B86-8571-F8F8927E255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New3_34">
          <a:extLst>
            <a:ext uri="{FF2B5EF4-FFF2-40B4-BE49-F238E27FC236}">
              <a16:creationId xmlns:a16="http://schemas.microsoft.com/office/drawing/2014/main" id="{C864ECD4-166E-4F36-8BBA-F09CF8F38F44}"/>
            </a:ext>
          </a:extLst>
        </xdr:cNvPr>
        <xdr:cNvSpPr/>
      </xdr:nvSpPr>
      <xdr:spPr>
        <a:xfrm>
          <a:off x="23622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891B342-191F-41B0-B38C-9CE7389214B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New3_35">
          <a:extLst>
            <a:ext uri="{FF2B5EF4-FFF2-40B4-BE49-F238E27FC236}">
              <a16:creationId xmlns:a16="http://schemas.microsoft.com/office/drawing/2014/main" id="{E597D84F-5779-4C07-89DC-F54A409E2668}"/>
            </a:ext>
          </a:extLst>
        </xdr:cNvPr>
        <xdr:cNvSpPr/>
      </xdr:nvSpPr>
      <xdr:spPr>
        <a:xfrm>
          <a:off x="24269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3E875B5-B8F0-4552-A3CF-B0C78E80A4C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New3_36">
          <a:extLst>
            <a:ext uri="{FF2B5EF4-FFF2-40B4-BE49-F238E27FC236}">
              <a16:creationId xmlns:a16="http://schemas.microsoft.com/office/drawing/2014/main" id="{4413EAF1-AAAE-47D5-A9D3-407BAC865D56}"/>
            </a:ext>
          </a:extLst>
        </xdr:cNvPr>
        <xdr:cNvSpPr/>
      </xdr:nvSpPr>
      <xdr:spPr>
        <a:xfrm>
          <a:off x="24917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CE4F132-9997-47B5-AD49-1749A0273CA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New3_37">
          <a:extLst>
            <a:ext uri="{FF2B5EF4-FFF2-40B4-BE49-F238E27FC236}">
              <a16:creationId xmlns:a16="http://schemas.microsoft.com/office/drawing/2014/main" id="{03F67E66-8AF6-4720-8040-D43AC87CA373}"/>
            </a:ext>
          </a:extLst>
        </xdr:cNvPr>
        <xdr:cNvSpPr/>
      </xdr:nvSpPr>
      <xdr:spPr>
        <a:xfrm>
          <a:off x="255651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0B48A1E-3A13-4EBB-BC20-059BB3D5429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New3_38">
          <a:extLst>
            <a:ext uri="{FF2B5EF4-FFF2-40B4-BE49-F238E27FC236}">
              <a16:creationId xmlns:a16="http://schemas.microsoft.com/office/drawing/2014/main" id="{A9CE61F8-1691-4146-8B26-29591D7DEAC7}"/>
            </a:ext>
          </a:extLst>
        </xdr:cNvPr>
        <xdr:cNvSpPr/>
      </xdr:nvSpPr>
      <xdr:spPr>
        <a:xfrm>
          <a:off x="25946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BA65994-203F-430B-8501-294FFF55094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New3_39">
          <a:extLst>
            <a:ext uri="{FF2B5EF4-FFF2-40B4-BE49-F238E27FC236}">
              <a16:creationId xmlns:a16="http://schemas.microsoft.com/office/drawing/2014/main" id="{94D1B990-BD40-4934-A06B-4E061D4463CF}"/>
            </a:ext>
          </a:extLst>
        </xdr:cNvPr>
        <xdr:cNvSpPr/>
      </xdr:nvSpPr>
      <xdr:spPr>
        <a:xfrm>
          <a:off x="26593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5395499-A5BF-4C1F-914D-D823F8C9E1A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New3_40">
          <a:extLst>
            <a:ext uri="{FF2B5EF4-FFF2-40B4-BE49-F238E27FC236}">
              <a16:creationId xmlns:a16="http://schemas.microsoft.com/office/drawing/2014/main" id="{3D880A68-5643-47ED-A841-BC43E1EA909D}"/>
            </a:ext>
          </a:extLst>
        </xdr:cNvPr>
        <xdr:cNvSpPr/>
      </xdr:nvSpPr>
      <xdr:spPr>
        <a:xfrm>
          <a:off x="27241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14C3A4C-77EB-4B9D-BB56-7093C499C5A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New3_41">
          <a:extLst>
            <a:ext uri="{FF2B5EF4-FFF2-40B4-BE49-F238E27FC236}">
              <a16:creationId xmlns:a16="http://schemas.microsoft.com/office/drawing/2014/main" id="{F9E125AF-4D2E-4FBA-B229-CE96DEFA1B3C}"/>
            </a:ext>
          </a:extLst>
        </xdr:cNvPr>
        <xdr:cNvSpPr/>
      </xdr:nvSpPr>
      <xdr:spPr>
        <a:xfrm>
          <a:off x="27889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DC195EC-5310-4CE7-9133-69D64D8978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New3_42">
          <a:extLst>
            <a:ext uri="{FF2B5EF4-FFF2-40B4-BE49-F238E27FC236}">
              <a16:creationId xmlns:a16="http://schemas.microsoft.com/office/drawing/2014/main" id="{0EEFB99A-FEFB-4115-B76B-ECD69EA838AB}"/>
            </a:ext>
          </a:extLst>
        </xdr:cNvPr>
        <xdr:cNvSpPr/>
      </xdr:nvSpPr>
      <xdr:spPr>
        <a:xfrm>
          <a:off x="285369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5D9D2E4-CE8C-473A-BCD9-A25931880B6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New3_43">
          <a:extLst>
            <a:ext uri="{FF2B5EF4-FFF2-40B4-BE49-F238E27FC236}">
              <a16:creationId xmlns:a16="http://schemas.microsoft.com/office/drawing/2014/main" id="{620EF49C-6607-4E8A-BA85-5B87B7B60204}"/>
            </a:ext>
          </a:extLst>
        </xdr:cNvPr>
        <xdr:cNvSpPr/>
      </xdr:nvSpPr>
      <xdr:spPr>
        <a:xfrm>
          <a:off x="28917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9AC3C9-7AFA-47B8-A89E-3550BD9A84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New3_44">
          <a:extLst>
            <a:ext uri="{FF2B5EF4-FFF2-40B4-BE49-F238E27FC236}">
              <a16:creationId xmlns:a16="http://schemas.microsoft.com/office/drawing/2014/main" id="{DF8E4EB2-AF34-4B02-BC0E-FE299DF0E076}"/>
            </a:ext>
          </a:extLst>
        </xdr:cNvPr>
        <xdr:cNvSpPr/>
      </xdr:nvSpPr>
      <xdr:spPr>
        <a:xfrm>
          <a:off x="29565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A61FCD-F8A6-46CB-9A3A-470E0333067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New3_45">
          <a:extLst>
            <a:ext uri="{FF2B5EF4-FFF2-40B4-BE49-F238E27FC236}">
              <a16:creationId xmlns:a16="http://schemas.microsoft.com/office/drawing/2014/main" id="{7F8951B0-B71C-45EF-8A72-074428F4477A}"/>
            </a:ext>
          </a:extLst>
        </xdr:cNvPr>
        <xdr:cNvSpPr/>
      </xdr:nvSpPr>
      <xdr:spPr>
        <a:xfrm>
          <a:off x="30213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F5BC5A0-61F8-470D-9B20-AC86BA2043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New3_46">
          <a:extLst>
            <a:ext uri="{FF2B5EF4-FFF2-40B4-BE49-F238E27FC236}">
              <a16:creationId xmlns:a16="http://schemas.microsoft.com/office/drawing/2014/main" id="{524F02F3-A506-43F9-86B2-4E3E390EF52D}"/>
            </a:ext>
          </a:extLst>
        </xdr:cNvPr>
        <xdr:cNvSpPr/>
      </xdr:nvSpPr>
      <xdr:spPr>
        <a:xfrm>
          <a:off x="308610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EE92866-1D18-4BFC-9072-2F9E628878D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New3_47">
          <a:extLst>
            <a:ext uri="{FF2B5EF4-FFF2-40B4-BE49-F238E27FC236}">
              <a16:creationId xmlns:a16="http://schemas.microsoft.com/office/drawing/2014/main" id="{D597D17F-B16D-4502-BB08-ECF9C73BDACD}"/>
            </a:ext>
          </a:extLst>
        </xdr:cNvPr>
        <xdr:cNvSpPr/>
      </xdr:nvSpPr>
      <xdr:spPr>
        <a:xfrm>
          <a:off x="31575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64C877E-48C0-43EE-B56C-445192D8D3F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New3_48">
          <a:extLst>
            <a:ext uri="{FF2B5EF4-FFF2-40B4-BE49-F238E27FC236}">
              <a16:creationId xmlns:a16="http://schemas.microsoft.com/office/drawing/2014/main" id="{F9BC339D-EBEE-44C8-A35A-884980ED1E47}"/>
            </a:ext>
          </a:extLst>
        </xdr:cNvPr>
        <xdr:cNvSpPr/>
      </xdr:nvSpPr>
      <xdr:spPr>
        <a:xfrm>
          <a:off x="3195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5FD46B-4EF9-41AC-A2D4-BAEAAAF178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New3_49">
          <a:extLst>
            <a:ext uri="{FF2B5EF4-FFF2-40B4-BE49-F238E27FC236}">
              <a16:creationId xmlns:a16="http://schemas.microsoft.com/office/drawing/2014/main" id="{CB648E15-BB03-4866-BECE-49DD0E023C7F}"/>
            </a:ext>
          </a:extLst>
        </xdr:cNvPr>
        <xdr:cNvSpPr/>
      </xdr:nvSpPr>
      <xdr:spPr>
        <a:xfrm>
          <a:off x="3260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2D389C-B62D-4AEA-BA48-3FE78E9A89F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New3_50">
          <a:extLst>
            <a:ext uri="{FF2B5EF4-FFF2-40B4-BE49-F238E27FC236}">
              <a16:creationId xmlns:a16="http://schemas.microsoft.com/office/drawing/2014/main" id="{FBA7E647-5648-4DD2-B080-991CBBEF2604}"/>
            </a:ext>
          </a:extLst>
        </xdr:cNvPr>
        <xdr:cNvSpPr/>
      </xdr:nvSpPr>
      <xdr:spPr>
        <a:xfrm>
          <a:off x="3325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4B6217E-E67B-4402-A358-B3DCF6AA3BC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New3_51">
          <a:extLst>
            <a:ext uri="{FF2B5EF4-FFF2-40B4-BE49-F238E27FC236}">
              <a16:creationId xmlns:a16="http://schemas.microsoft.com/office/drawing/2014/main" id="{ED3CCF56-15D5-4CAB-AED9-8B6CC5FA10EA}"/>
            </a:ext>
          </a:extLst>
        </xdr:cNvPr>
        <xdr:cNvSpPr/>
      </xdr:nvSpPr>
      <xdr:spPr>
        <a:xfrm>
          <a:off x="3389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98829ED-5438-4D0E-8613-2587AC29FE3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New3_52">
          <a:extLst>
            <a:ext uri="{FF2B5EF4-FFF2-40B4-BE49-F238E27FC236}">
              <a16:creationId xmlns:a16="http://schemas.microsoft.com/office/drawing/2014/main" id="{5F272F33-206B-4C5F-9F3C-EABD299E8845}"/>
            </a:ext>
          </a:extLst>
        </xdr:cNvPr>
        <xdr:cNvSpPr/>
      </xdr:nvSpPr>
      <xdr:spPr>
        <a:xfrm>
          <a:off x="3454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346FD87-09F1-4583-B732-1423B9017BC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New3_53">
          <a:extLst>
            <a:ext uri="{FF2B5EF4-FFF2-40B4-BE49-F238E27FC236}">
              <a16:creationId xmlns:a16="http://schemas.microsoft.com/office/drawing/2014/main" id="{08577BAF-AE8C-4931-8915-E41390CA00A0}"/>
            </a:ext>
          </a:extLst>
        </xdr:cNvPr>
        <xdr:cNvSpPr/>
      </xdr:nvSpPr>
      <xdr:spPr>
        <a:xfrm>
          <a:off x="3519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3398F9-BD80-4D8A-8EB3-D3CA247302B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New3_54">
          <a:extLst>
            <a:ext uri="{FF2B5EF4-FFF2-40B4-BE49-F238E27FC236}">
              <a16:creationId xmlns:a16="http://schemas.microsoft.com/office/drawing/2014/main" id="{8FE7E148-4A6F-4EDC-BE5C-79F775956AFD}"/>
            </a:ext>
          </a:extLst>
        </xdr:cNvPr>
        <xdr:cNvSpPr/>
      </xdr:nvSpPr>
      <xdr:spPr>
        <a:xfrm>
          <a:off x="3584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8C6A7FF-C91C-4CAC-B691-2C1AC2CC840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New3_55">
          <a:extLst>
            <a:ext uri="{FF2B5EF4-FFF2-40B4-BE49-F238E27FC236}">
              <a16:creationId xmlns:a16="http://schemas.microsoft.com/office/drawing/2014/main" id="{4FAAFA60-AED5-4047-868A-6BA797FF17F4}"/>
            </a:ext>
          </a:extLst>
        </xdr:cNvPr>
        <xdr:cNvSpPr/>
      </xdr:nvSpPr>
      <xdr:spPr>
        <a:xfrm>
          <a:off x="3649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5CC151D-D217-414A-934D-FCA9E398CC8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New3_56">
          <a:extLst>
            <a:ext uri="{FF2B5EF4-FFF2-40B4-BE49-F238E27FC236}">
              <a16:creationId xmlns:a16="http://schemas.microsoft.com/office/drawing/2014/main" id="{E52A5C05-B54A-4D7A-887F-A172314ECDDE}"/>
            </a:ext>
          </a:extLst>
        </xdr:cNvPr>
        <xdr:cNvSpPr/>
      </xdr:nvSpPr>
      <xdr:spPr>
        <a:xfrm>
          <a:off x="3713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8E45578-CED8-4343-B674-1EB9662B5F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New3_57">
          <a:extLst>
            <a:ext uri="{FF2B5EF4-FFF2-40B4-BE49-F238E27FC236}">
              <a16:creationId xmlns:a16="http://schemas.microsoft.com/office/drawing/2014/main" id="{14183391-C71D-49EA-BF0F-8CF29D90A421}"/>
            </a:ext>
          </a:extLst>
        </xdr:cNvPr>
        <xdr:cNvSpPr/>
      </xdr:nvSpPr>
      <xdr:spPr>
        <a:xfrm>
          <a:off x="3778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37088A-C7BC-4FBF-AF1F-50578D5F877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New3_58">
          <a:extLst>
            <a:ext uri="{FF2B5EF4-FFF2-40B4-BE49-F238E27FC236}">
              <a16:creationId xmlns:a16="http://schemas.microsoft.com/office/drawing/2014/main" id="{3DD76B02-644E-4FA3-BCA6-7B72CAFBD58E}"/>
            </a:ext>
          </a:extLst>
        </xdr:cNvPr>
        <xdr:cNvSpPr/>
      </xdr:nvSpPr>
      <xdr:spPr>
        <a:xfrm>
          <a:off x="38433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A7BFB8D-9283-4CF7-9D00-1A9A00F268A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New3_59">
          <a:extLst>
            <a:ext uri="{FF2B5EF4-FFF2-40B4-BE49-F238E27FC236}">
              <a16:creationId xmlns:a16="http://schemas.microsoft.com/office/drawing/2014/main" id="{536E4A8D-E1F4-4FA0-860B-B92E9CAE72F8}"/>
            </a:ext>
          </a:extLst>
        </xdr:cNvPr>
        <xdr:cNvSpPr/>
      </xdr:nvSpPr>
      <xdr:spPr>
        <a:xfrm>
          <a:off x="39081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3C43394-54DC-4ADF-97E1-70F63C9AB0C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New3_60">
          <a:extLst>
            <a:ext uri="{FF2B5EF4-FFF2-40B4-BE49-F238E27FC236}">
              <a16:creationId xmlns:a16="http://schemas.microsoft.com/office/drawing/2014/main" id="{8F814617-0CD4-42FA-872B-F8BE4786AED3}"/>
            </a:ext>
          </a:extLst>
        </xdr:cNvPr>
        <xdr:cNvSpPr/>
      </xdr:nvSpPr>
      <xdr:spPr>
        <a:xfrm>
          <a:off x="39728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722D0D3-A41A-4B1D-8457-1306FAE536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New3_61">
          <a:extLst>
            <a:ext uri="{FF2B5EF4-FFF2-40B4-BE49-F238E27FC236}">
              <a16:creationId xmlns:a16="http://schemas.microsoft.com/office/drawing/2014/main" id="{D5C2F55D-6F2B-48F7-8A55-1A54CE11D7AB}"/>
            </a:ext>
          </a:extLst>
        </xdr:cNvPr>
        <xdr:cNvSpPr/>
      </xdr:nvSpPr>
      <xdr:spPr>
        <a:xfrm>
          <a:off x="40376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C2F63DE-E552-408C-89BF-24C82F8BC87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New3_62">
          <a:extLst>
            <a:ext uri="{FF2B5EF4-FFF2-40B4-BE49-F238E27FC236}">
              <a16:creationId xmlns:a16="http://schemas.microsoft.com/office/drawing/2014/main" id="{EBEE28BB-7AD0-4C60-AEA4-A8130C24713D}"/>
            </a:ext>
          </a:extLst>
        </xdr:cNvPr>
        <xdr:cNvSpPr/>
      </xdr:nvSpPr>
      <xdr:spPr>
        <a:xfrm>
          <a:off x="41024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817069D-029A-4F6E-8F0B-76B8277623E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New3_63">
          <a:extLst>
            <a:ext uri="{FF2B5EF4-FFF2-40B4-BE49-F238E27FC236}">
              <a16:creationId xmlns:a16="http://schemas.microsoft.com/office/drawing/2014/main" id="{D7372625-A6A0-4F8C-ABC1-E32DD83F36BC}"/>
            </a:ext>
          </a:extLst>
        </xdr:cNvPr>
        <xdr:cNvSpPr/>
      </xdr:nvSpPr>
      <xdr:spPr>
        <a:xfrm>
          <a:off x="41671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3BC32A0-CAF7-473A-A775-A0DEB5A420A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New3_64">
          <a:extLst>
            <a:ext uri="{FF2B5EF4-FFF2-40B4-BE49-F238E27FC236}">
              <a16:creationId xmlns:a16="http://schemas.microsoft.com/office/drawing/2014/main" id="{A8059A40-2294-407B-BEB8-C75510209B48}"/>
            </a:ext>
          </a:extLst>
        </xdr:cNvPr>
        <xdr:cNvSpPr/>
      </xdr:nvSpPr>
      <xdr:spPr>
        <a:xfrm>
          <a:off x="42319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A342B5F-9DBC-4C55-AFBC-8B9A1A3259C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New3_65">
          <a:extLst>
            <a:ext uri="{FF2B5EF4-FFF2-40B4-BE49-F238E27FC236}">
              <a16:creationId xmlns:a16="http://schemas.microsoft.com/office/drawing/2014/main" id="{929D6818-1ED2-4C87-8FA3-583D2291E78F}"/>
            </a:ext>
          </a:extLst>
        </xdr:cNvPr>
        <xdr:cNvSpPr/>
      </xdr:nvSpPr>
      <xdr:spPr>
        <a:xfrm>
          <a:off x="42967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C2FC831-3C7E-4928-A73A-D84F537737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New3_66">
          <a:extLst>
            <a:ext uri="{FF2B5EF4-FFF2-40B4-BE49-F238E27FC236}">
              <a16:creationId xmlns:a16="http://schemas.microsoft.com/office/drawing/2014/main" id="{5AD774BF-6DF6-4DEF-BF9C-985576A5E38B}"/>
            </a:ext>
          </a:extLst>
        </xdr:cNvPr>
        <xdr:cNvSpPr/>
      </xdr:nvSpPr>
      <xdr:spPr>
        <a:xfrm>
          <a:off x="43614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3CEDEB4-26A2-49BE-9527-803B072A3C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New3_67">
          <a:extLst>
            <a:ext uri="{FF2B5EF4-FFF2-40B4-BE49-F238E27FC236}">
              <a16:creationId xmlns:a16="http://schemas.microsoft.com/office/drawing/2014/main" id="{29D4985B-BDCC-4860-A416-6154D8A1B6AA}"/>
            </a:ext>
          </a:extLst>
        </xdr:cNvPr>
        <xdr:cNvSpPr/>
      </xdr:nvSpPr>
      <xdr:spPr>
        <a:xfrm>
          <a:off x="44262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22A26A1-2E19-440F-87A4-C68019FBEB5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New3_68">
          <a:extLst>
            <a:ext uri="{FF2B5EF4-FFF2-40B4-BE49-F238E27FC236}">
              <a16:creationId xmlns:a16="http://schemas.microsoft.com/office/drawing/2014/main" id="{0244A2C5-8A46-4D8F-AE64-751C80350D65}"/>
            </a:ext>
          </a:extLst>
        </xdr:cNvPr>
        <xdr:cNvSpPr/>
      </xdr:nvSpPr>
      <xdr:spPr>
        <a:xfrm>
          <a:off x="44910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389F906-16A1-40C0-B22E-CB9FC874896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New3_69">
          <a:extLst>
            <a:ext uri="{FF2B5EF4-FFF2-40B4-BE49-F238E27FC236}">
              <a16:creationId xmlns:a16="http://schemas.microsoft.com/office/drawing/2014/main" id="{D2696052-24CC-4F04-98E3-2EA500DF7F28}"/>
            </a:ext>
          </a:extLst>
        </xdr:cNvPr>
        <xdr:cNvSpPr/>
      </xdr:nvSpPr>
      <xdr:spPr>
        <a:xfrm>
          <a:off x="452913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E86EFDC-F73F-497E-BCCA-D263367021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New3_70">
          <a:extLst>
            <a:ext uri="{FF2B5EF4-FFF2-40B4-BE49-F238E27FC236}">
              <a16:creationId xmlns:a16="http://schemas.microsoft.com/office/drawing/2014/main" id="{EA44286B-AB31-41BD-91D0-344BAC15C51E}"/>
            </a:ext>
          </a:extLst>
        </xdr:cNvPr>
        <xdr:cNvSpPr/>
      </xdr:nvSpPr>
      <xdr:spPr>
        <a:xfrm>
          <a:off x="4600575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E7A314F-8428-4546-9466-806DB9CB95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New3_71">
          <a:extLst>
            <a:ext uri="{FF2B5EF4-FFF2-40B4-BE49-F238E27FC236}">
              <a16:creationId xmlns:a16="http://schemas.microsoft.com/office/drawing/2014/main" id="{4956AC09-2A33-4358-B121-441DAA364FED}"/>
            </a:ext>
          </a:extLst>
        </xdr:cNvPr>
        <xdr:cNvSpPr/>
      </xdr:nvSpPr>
      <xdr:spPr>
        <a:xfrm>
          <a:off x="474535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0E8280F-7D5D-4735-8B25-6BD18BA511D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New3_72">
          <a:extLst>
            <a:ext uri="{FF2B5EF4-FFF2-40B4-BE49-F238E27FC236}">
              <a16:creationId xmlns:a16="http://schemas.microsoft.com/office/drawing/2014/main" id="{44509CB6-21DD-4CB8-ACA0-28E9EE8C2617}"/>
            </a:ext>
          </a:extLst>
        </xdr:cNvPr>
        <xdr:cNvSpPr/>
      </xdr:nvSpPr>
      <xdr:spPr>
        <a:xfrm>
          <a:off x="481679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5003F85-E99A-442B-8155-343574FE756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New3_73">
          <a:extLst>
            <a:ext uri="{FF2B5EF4-FFF2-40B4-BE49-F238E27FC236}">
              <a16:creationId xmlns:a16="http://schemas.microsoft.com/office/drawing/2014/main" id="{F6148C78-AF3A-4631-A8FC-6358459E9FC1}"/>
            </a:ext>
          </a:extLst>
        </xdr:cNvPr>
        <xdr:cNvSpPr/>
      </xdr:nvSpPr>
      <xdr:spPr>
        <a:xfrm>
          <a:off x="4854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C247B78-EEEB-4A95-B90A-D9B5CCA5B78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New3_74">
          <a:extLst>
            <a:ext uri="{FF2B5EF4-FFF2-40B4-BE49-F238E27FC236}">
              <a16:creationId xmlns:a16="http://schemas.microsoft.com/office/drawing/2014/main" id="{36D39614-57A7-4F86-9A0F-CAFD6574AF45}"/>
            </a:ext>
          </a:extLst>
        </xdr:cNvPr>
        <xdr:cNvSpPr/>
      </xdr:nvSpPr>
      <xdr:spPr>
        <a:xfrm>
          <a:off x="4919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D275A7-145B-4292-B8F4-CEE2892ADB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New3_75">
          <a:extLst>
            <a:ext uri="{FF2B5EF4-FFF2-40B4-BE49-F238E27FC236}">
              <a16:creationId xmlns:a16="http://schemas.microsoft.com/office/drawing/2014/main" id="{F0C97059-B705-4092-AC16-7F4B7765ABF4}"/>
            </a:ext>
          </a:extLst>
        </xdr:cNvPr>
        <xdr:cNvSpPr/>
      </xdr:nvSpPr>
      <xdr:spPr>
        <a:xfrm>
          <a:off x="4984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8CAD59E-2B4B-4014-9325-9104502884A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New3_76">
          <a:extLst>
            <a:ext uri="{FF2B5EF4-FFF2-40B4-BE49-F238E27FC236}">
              <a16:creationId xmlns:a16="http://schemas.microsoft.com/office/drawing/2014/main" id="{2E3DE827-9142-41DB-8038-32284D875D4D}"/>
            </a:ext>
          </a:extLst>
        </xdr:cNvPr>
        <xdr:cNvSpPr/>
      </xdr:nvSpPr>
      <xdr:spPr>
        <a:xfrm>
          <a:off x="5049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E9A5DCC-9051-4E76-9064-D899EAF783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New3_77">
          <a:extLst>
            <a:ext uri="{FF2B5EF4-FFF2-40B4-BE49-F238E27FC236}">
              <a16:creationId xmlns:a16="http://schemas.microsoft.com/office/drawing/2014/main" id="{974FA289-2834-4DED-BC34-7FD7AC37FDED}"/>
            </a:ext>
          </a:extLst>
        </xdr:cNvPr>
        <xdr:cNvSpPr/>
      </xdr:nvSpPr>
      <xdr:spPr>
        <a:xfrm>
          <a:off x="5113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385E1CD-165B-4A3A-87D8-AC65F56C7A8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New3_78">
          <a:extLst>
            <a:ext uri="{FF2B5EF4-FFF2-40B4-BE49-F238E27FC236}">
              <a16:creationId xmlns:a16="http://schemas.microsoft.com/office/drawing/2014/main" id="{E952A7B2-9E1C-447B-A984-5605B600F2C2}"/>
            </a:ext>
          </a:extLst>
        </xdr:cNvPr>
        <xdr:cNvSpPr/>
      </xdr:nvSpPr>
      <xdr:spPr>
        <a:xfrm>
          <a:off x="51787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F41DA35-876E-44B9-B8DC-8D8B7F7408E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New3_79">
          <a:extLst>
            <a:ext uri="{FF2B5EF4-FFF2-40B4-BE49-F238E27FC236}">
              <a16:creationId xmlns:a16="http://schemas.microsoft.com/office/drawing/2014/main" id="{17CF868B-C56A-49A3-8340-48B509083E9C}"/>
            </a:ext>
          </a:extLst>
        </xdr:cNvPr>
        <xdr:cNvSpPr/>
      </xdr:nvSpPr>
      <xdr:spPr>
        <a:xfrm>
          <a:off x="52168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5F577FA-DBF3-49CC-8855-CC26C8D33CD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New3_80">
          <a:extLst>
            <a:ext uri="{FF2B5EF4-FFF2-40B4-BE49-F238E27FC236}">
              <a16:creationId xmlns:a16="http://schemas.microsoft.com/office/drawing/2014/main" id="{C5CEAD93-A1CE-45CC-928F-E7684EACEC7C}"/>
            </a:ext>
          </a:extLst>
        </xdr:cNvPr>
        <xdr:cNvSpPr/>
      </xdr:nvSpPr>
      <xdr:spPr>
        <a:xfrm>
          <a:off x="5281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F534990-C0E1-4792-9B9B-16E335B86FE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New3_81">
          <a:extLst>
            <a:ext uri="{FF2B5EF4-FFF2-40B4-BE49-F238E27FC236}">
              <a16:creationId xmlns:a16="http://schemas.microsoft.com/office/drawing/2014/main" id="{75FC71FE-FE74-48F5-98AA-0473A264906F}"/>
            </a:ext>
          </a:extLst>
        </xdr:cNvPr>
        <xdr:cNvSpPr/>
      </xdr:nvSpPr>
      <xdr:spPr>
        <a:xfrm>
          <a:off x="5346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62F5909-5C99-40FF-A070-14D03C32421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New3_82">
          <a:extLst>
            <a:ext uri="{FF2B5EF4-FFF2-40B4-BE49-F238E27FC236}">
              <a16:creationId xmlns:a16="http://schemas.microsoft.com/office/drawing/2014/main" id="{E786B707-5D37-4156-A991-9D985D966AA6}"/>
            </a:ext>
          </a:extLst>
        </xdr:cNvPr>
        <xdr:cNvSpPr/>
      </xdr:nvSpPr>
      <xdr:spPr>
        <a:xfrm>
          <a:off x="5411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0F7583-457C-4C89-8B45-4A652289A8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New3_83">
          <a:extLst>
            <a:ext uri="{FF2B5EF4-FFF2-40B4-BE49-F238E27FC236}">
              <a16:creationId xmlns:a16="http://schemas.microsoft.com/office/drawing/2014/main" id="{CEC5AA9D-D39B-4AF3-BD65-54EC2CC78EF7}"/>
            </a:ext>
          </a:extLst>
        </xdr:cNvPr>
        <xdr:cNvSpPr/>
      </xdr:nvSpPr>
      <xdr:spPr>
        <a:xfrm>
          <a:off x="5475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D151DAE-C236-4122-B451-E4462D5E55C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New2_1">
          <a:extLst>
            <a:ext uri="{FF2B5EF4-FFF2-40B4-BE49-F238E27FC236}">
              <a16:creationId xmlns:a16="http://schemas.microsoft.com/office/drawing/2014/main" id="{F69EB6F7-C911-4D8B-B4E0-DEB334807D1C}"/>
            </a:ext>
          </a:extLst>
        </xdr:cNvPr>
        <xdr:cNvSpPr/>
      </xdr:nvSpPr>
      <xdr:spPr>
        <a:xfrm>
          <a:off x="1114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244581E-483A-4FC8-BAF8-EB560CB1669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New2_2">
          <a:extLst>
            <a:ext uri="{FF2B5EF4-FFF2-40B4-BE49-F238E27FC236}">
              <a16:creationId xmlns:a16="http://schemas.microsoft.com/office/drawing/2014/main" id="{568D96AE-3767-410A-AFA4-B0F11815DFEF}"/>
            </a:ext>
          </a:extLst>
        </xdr:cNvPr>
        <xdr:cNvSpPr/>
      </xdr:nvSpPr>
      <xdr:spPr>
        <a:xfrm>
          <a:off x="149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C2B04AA-5EC8-497A-9477-6E96246AE4A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New2_3">
          <a:extLst>
            <a:ext uri="{FF2B5EF4-FFF2-40B4-BE49-F238E27FC236}">
              <a16:creationId xmlns:a16="http://schemas.microsoft.com/office/drawing/2014/main" id="{790E43F7-A91A-44C1-A663-13E581CACB7A}"/>
            </a:ext>
          </a:extLst>
        </xdr:cNvPr>
        <xdr:cNvSpPr/>
      </xdr:nvSpPr>
      <xdr:spPr>
        <a:xfrm>
          <a:off x="214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99FD207-A5F4-4459-9B49-9AB886ED02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New2_4">
          <a:extLst>
            <a:ext uri="{FF2B5EF4-FFF2-40B4-BE49-F238E27FC236}">
              <a16:creationId xmlns:a16="http://schemas.microsoft.com/office/drawing/2014/main" id="{B03227A3-AAB5-4C47-B311-F3C56CF999A3}"/>
            </a:ext>
          </a:extLst>
        </xdr:cNvPr>
        <xdr:cNvSpPr/>
      </xdr:nvSpPr>
      <xdr:spPr>
        <a:xfrm>
          <a:off x="279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83EA00F-3CC1-4D7D-BB76-92CFB417F6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New2_5">
          <a:extLst>
            <a:ext uri="{FF2B5EF4-FFF2-40B4-BE49-F238E27FC236}">
              <a16:creationId xmlns:a16="http://schemas.microsoft.com/office/drawing/2014/main" id="{AA0565B3-873F-45D9-9BBF-5EBC88352C9C}"/>
            </a:ext>
          </a:extLst>
        </xdr:cNvPr>
        <xdr:cNvSpPr/>
      </xdr:nvSpPr>
      <xdr:spPr>
        <a:xfrm>
          <a:off x="34385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F31B1D-2C55-4C1E-AFC5-E2C173E689F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New2_6">
          <a:extLst>
            <a:ext uri="{FF2B5EF4-FFF2-40B4-BE49-F238E27FC236}">
              <a16:creationId xmlns:a16="http://schemas.microsoft.com/office/drawing/2014/main" id="{47011DBB-4E4A-4845-9699-4DA33903A370}"/>
            </a:ext>
          </a:extLst>
        </xdr:cNvPr>
        <xdr:cNvSpPr/>
      </xdr:nvSpPr>
      <xdr:spPr>
        <a:xfrm>
          <a:off x="48863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0BF8A68-5832-49D6-9671-658217A11A4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New2_7">
          <a:extLst>
            <a:ext uri="{FF2B5EF4-FFF2-40B4-BE49-F238E27FC236}">
              <a16:creationId xmlns:a16="http://schemas.microsoft.com/office/drawing/2014/main" id="{35CDD393-1A37-4096-843E-99D62B3993F1}"/>
            </a:ext>
          </a:extLst>
        </xdr:cNvPr>
        <xdr:cNvSpPr/>
      </xdr:nvSpPr>
      <xdr:spPr>
        <a:xfrm>
          <a:off x="6334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D05BDDD-9043-4321-85EB-C56E48B0E7C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New2_8">
          <a:extLst>
            <a:ext uri="{FF2B5EF4-FFF2-40B4-BE49-F238E27FC236}">
              <a16:creationId xmlns:a16="http://schemas.microsoft.com/office/drawing/2014/main" id="{30C19086-3EC9-4A6D-A3C1-30E1E919370D}"/>
            </a:ext>
          </a:extLst>
        </xdr:cNvPr>
        <xdr:cNvSpPr/>
      </xdr:nvSpPr>
      <xdr:spPr>
        <a:xfrm>
          <a:off x="6715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95C6F2F-F111-4202-99C3-B46AEBBCCD6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New2_9">
          <a:extLst>
            <a:ext uri="{FF2B5EF4-FFF2-40B4-BE49-F238E27FC236}">
              <a16:creationId xmlns:a16="http://schemas.microsoft.com/office/drawing/2014/main" id="{293D2BF4-BDF0-4245-B52D-0E1EEA24EE43}"/>
            </a:ext>
          </a:extLst>
        </xdr:cNvPr>
        <xdr:cNvSpPr/>
      </xdr:nvSpPr>
      <xdr:spPr>
        <a:xfrm>
          <a:off x="709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AB77F7D-4087-465A-A29C-3135A4CD256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New2_10">
          <a:extLst>
            <a:ext uri="{FF2B5EF4-FFF2-40B4-BE49-F238E27FC236}">
              <a16:creationId xmlns:a16="http://schemas.microsoft.com/office/drawing/2014/main" id="{8E6BCE80-FDE8-4F4D-85AD-E6C258AEA095}"/>
            </a:ext>
          </a:extLst>
        </xdr:cNvPr>
        <xdr:cNvSpPr/>
      </xdr:nvSpPr>
      <xdr:spPr>
        <a:xfrm>
          <a:off x="774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14A8843-E875-4E95-BF8C-CF91ED40A84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New2_11">
          <a:extLst>
            <a:ext uri="{FF2B5EF4-FFF2-40B4-BE49-F238E27FC236}">
              <a16:creationId xmlns:a16="http://schemas.microsoft.com/office/drawing/2014/main" id="{71256623-BF32-4041-A859-6D0D6F158FA3}"/>
            </a:ext>
          </a:extLst>
        </xdr:cNvPr>
        <xdr:cNvSpPr/>
      </xdr:nvSpPr>
      <xdr:spPr>
        <a:xfrm>
          <a:off x="839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1F598B3-250C-4A47-B735-AC2A238C5E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New2_12">
          <a:extLst>
            <a:ext uri="{FF2B5EF4-FFF2-40B4-BE49-F238E27FC236}">
              <a16:creationId xmlns:a16="http://schemas.microsoft.com/office/drawing/2014/main" id="{A9F21CE7-DC92-48C6-84A4-84CA61837EF8}"/>
            </a:ext>
          </a:extLst>
        </xdr:cNvPr>
        <xdr:cNvSpPr/>
      </xdr:nvSpPr>
      <xdr:spPr>
        <a:xfrm>
          <a:off x="903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077EABF-012A-4176-9FB6-F68325C2A07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New2_13">
          <a:extLst>
            <a:ext uri="{FF2B5EF4-FFF2-40B4-BE49-F238E27FC236}">
              <a16:creationId xmlns:a16="http://schemas.microsoft.com/office/drawing/2014/main" id="{AAB8D35F-4073-43CD-A419-1E1AB7BD6B39}"/>
            </a:ext>
          </a:extLst>
        </xdr:cNvPr>
        <xdr:cNvSpPr/>
      </xdr:nvSpPr>
      <xdr:spPr>
        <a:xfrm>
          <a:off x="9686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41A4E66-4E2B-4077-8CBB-3F896E6416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New2_14">
          <a:extLst>
            <a:ext uri="{FF2B5EF4-FFF2-40B4-BE49-F238E27FC236}">
              <a16:creationId xmlns:a16="http://schemas.microsoft.com/office/drawing/2014/main" id="{F648F40A-3987-47C0-A29C-30AAE5946F5E}"/>
            </a:ext>
          </a:extLst>
        </xdr:cNvPr>
        <xdr:cNvSpPr/>
      </xdr:nvSpPr>
      <xdr:spPr>
        <a:xfrm>
          <a:off x="10334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61B59F3-EC19-490F-A179-8A5728590A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New2_15">
          <a:extLst>
            <a:ext uri="{FF2B5EF4-FFF2-40B4-BE49-F238E27FC236}">
              <a16:creationId xmlns:a16="http://schemas.microsoft.com/office/drawing/2014/main" id="{CC8D577E-2DB3-4953-8970-8ECB98DEBF50}"/>
            </a:ext>
          </a:extLst>
        </xdr:cNvPr>
        <xdr:cNvSpPr/>
      </xdr:nvSpPr>
      <xdr:spPr>
        <a:xfrm>
          <a:off x="10982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26C87C9-7C1E-457E-9DFA-34FAE4EC20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New2_16">
          <a:extLst>
            <a:ext uri="{FF2B5EF4-FFF2-40B4-BE49-F238E27FC236}">
              <a16:creationId xmlns:a16="http://schemas.microsoft.com/office/drawing/2014/main" id="{B5764057-CDE1-4806-996D-325BF7325AFC}"/>
            </a:ext>
          </a:extLst>
        </xdr:cNvPr>
        <xdr:cNvSpPr/>
      </xdr:nvSpPr>
      <xdr:spPr>
        <a:xfrm>
          <a:off x="11630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1F4EEAC-31F6-4F95-9D5D-7AAA5A02A0A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New2_17">
          <a:extLst>
            <a:ext uri="{FF2B5EF4-FFF2-40B4-BE49-F238E27FC236}">
              <a16:creationId xmlns:a16="http://schemas.microsoft.com/office/drawing/2014/main" id="{AD55C4E3-B89C-46C7-860B-882EA4614308}"/>
            </a:ext>
          </a:extLst>
        </xdr:cNvPr>
        <xdr:cNvSpPr/>
      </xdr:nvSpPr>
      <xdr:spPr>
        <a:xfrm>
          <a:off x="12277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2A0349E-18D2-433B-B312-798EFC6AF1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New2_18">
          <a:extLst>
            <a:ext uri="{FF2B5EF4-FFF2-40B4-BE49-F238E27FC236}">
              <a16:creationId xmlns:a16="http://schemas.microsoft.com/office/drawing/2014/main" id="{0F0D7A84-B15A-41FD-8630-69EDCCC70576}"/>
            </a:ext>
          </a:extLst>
        </xdr:cNvPr>
        <xdr:cNvSpPr/>
      </xdr:nvSpPr>
      <xdr:spPr>
        <a:xfrm>
          <a:off x="1292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525E104-4ECD-40CA-864A-6C7217C9F47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New2_19">
          <a:extLst>
            <a:ext uri="{FF2B5EF4-FFF2-40B4-BE49-F238E27FC236}">
              <a16:creationId xmlns:a16="http://schemas.microsoft.com/office/drawing/2014/main" id="{F7BA78FD-F8D1-4A45-B92D-86A4B987828A}"/>
            </a:ext>
          </a:extLst>
        </xdr:cNvPr>
        <xdr:cNvSpPr/>
      </xdr:nvSpPr>
      <xdr:spPr>
        <a:xfrm>
          <a:off x="1357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7DFE978-6A1D-47E0-A290-430DE143A26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New2_20">
          <a:extLst>
            <a:ext uri="{FF2B5EF4-FFF2-40B4-BE49-F238E27FC236}">
              <a16:creationId xmlns:a16="http://schemas.microsoft.com/office/drawing/2014/main" id="{1598322C-817F-44E0-8F90-C81F103925D1}"/>
            </a:ext>
          </a:extLst>
        </xdr:cNvPr>
        <xdr:cNvSpPr/>
      </xdr:nvSpPr>
      <xdr:spPr>
        <a:xfrm>
          <a:off x="1422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DECFEB3-F389-4B46-962E-0AB7C3C01A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New2_21">
          <a:extLst>
            <a:ext uri="{FF2B5EF4-FFF2-40B4-BE49-F238E27FC236}">
              <a16:creationId xmlns:a16="http://schemas.microsoft.com/office/drawing/2014/main" id="{CC87F8E7-7B41-42F4-852D-DF79E63FFE14}"/>
            </a:ext>
          </a:extLst>
        </xdr:cNvPr>
        <xdr:cNvSpPr/>
      </xdr:nvSpPr>
      <xdr:spPr>
        <a:xfrm>
          <a:off x="14868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DF350E-BD42-4349-AEE9-B346D8B1604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New2_22">
          <a:extLst>
            <a:ext uri="{FF2B5EF4-FFF2-40B4-BE49-F238E27FC236}">
              <a16:creationId xmlns:a16="http://schemas.microsoft.com/office/drawing/2014/main" id="{D8864379-A21C-4405-A384-4671DB85FF04}"/>
            </a:ext>
          </a:extLst>
        </xdr:cNvPr>
        <xdr:cNvSpPr/>
      </xdr:nvSpPr>
      <xdr:spPr>
        <a:xfrm>
          <a:off x="15516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3E3C024-D7D9-468B-A633-7E417D11873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New2_23">
          <a:extLst>
            <a:ext uri="{FF2B5EF4-FFF2-40B4-BE49-F238E27FC236}">
              <a16:creationId xmlns:a16="http://schemas.microsoft.com/office/drawing/2014/main" id="{862CBC6C-0AF8-4B0D-A715-B7CA55A007C2}"/>
            </a:ext>
          </a:extLst>
        </xdr:cNvPr>
        <xdr:cNvSpPr/>
      </xdr:nvSpPr>
      <xdr:spPr>
        <a:xfrm>
          <a:off x="16163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D37CC9E-52CD-4241-83A5-7D9671F57E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New2_24">
          <a:extLst>
            <a:ext uri="{FF2B5EF4-FFF2-40B4-BE49-F238E27FC236}">
              <a16:creationId xmlns:a16="http://schemas.microsoft.com/office/drawing/2014/main" id="{9E56A0CC-A799-427A-B4FE-72AD0AA3B1C4}"/>
            </a:ext>
          </a:extLst>
        </xdr:cNvPr>
        <xdr:cNvSpPr/>
      </xdr:nvSpPr>
      <xdr:spPr>
        <a:xfrm>
          <a:off x="16811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BA969B-3AA9-4BFE-BEF6-572241DCC02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New2_25">
          <a:extLst>
            <a:ext uri="{FF2B5EF4-FFF2-40B4-BE49-F238E27FC236}">
              <a16:creationId xmlns:a16="http://schemas.microsoft.com/office/drawing/2014/main" id="{CC300489-C0F9-42C0-8B83-E928A1FD4680}"/>
            </a:ext>
          </a:extLst>
        </xdr:cNvPr>
        <xdr:cNvSpPr/>
      </xdr:nvSpPr>
      <xdr:spPr>
        <a:xfrm>
          <a:off x="17459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63D7F32-023A-466C-AC64-CAEFEEE70C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New2_26">
          <a:extLst>
            <a:ext uri="{FF2B5EF4-FFF2-40B4-BE49-F238E27FC236}">
              <a16:creationId xmlns:a16="http://schemas.microsoft.com/office/drawing/2014/main" id="{60501FB9-0BEC-4BC9-8B1E-F44E5D905C7B}"/>
            </a:ext>
          </a:extLst>
        </xdr:cNvPr>
        <xdr:cNvSpPr/>
      </xdr:nvSpPr>
      <xdr:spPr>
        <a:xfrm>
          <a:off x="18107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3935831-308B-4DCE-8DC7-2112FA89C0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New2_27">
          <a:extLst>
            <a:ext uri="{FF2B5EF4-FFF2-40B4-BE49-F238E27FC236}">
              <a16:creationId xmlns:a16="http://schemas.microsoft.com/office/drawing/2014/main" id="{75E989F7-24F2-4F36-A32A-AB824986E3B6}"/>
            </a:ext>
          </a:extLst>
        </xdr:cNvPr>
        <xdr:cNvSpPr/>
      </xdr:nvSpPr>
      <xdr:spPr>
        <a:xfrm>
          <a:off x="18754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D512550-6236-410E-8528-ADACD788A07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New2_28">
          <a:extLst>
            <a:ext uri="{FF2B5EF4-FFF2-40B4-BE49-F238E27FC236}">
              <a16:creationId xmlns:a16="http://schemas.microsoft.com/office/drawing/2014/main" id="{568BDB79-BE8E-465A-AA60-9DD34AC50197}"/>
            </a:ext>
          </a:extLst>
        </xdr:cNvPr>
        <xdr:cNvSpPr/>
      </xdr:nvSpPr>
      <xdr:spPr>
        <a:xfrm>
          <a:off x="19402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2AEACF8-71BF-4C33-8FBF-DF454D2358E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New2_29">
          <a:extLst>
            <a:ext uri="{FF2B5EF4-FFF2-40B4-BE49-F238E27FC236}">
              <a16:creationId xmlns:a16="http://schemas.microsoft.com/office/drawing/2014/main" id="{437E0716-716F-4A7B-BC42-9B4C5A148B2E}"/>
            </a:ext>
          </a:extLst>
        </xdr:cNvPr>
        <xdr:cNvSpPr/>
      </xdr:nvSpPr>
      <xdr:spPr>
        <a:xfrm>
          <a:off x="20050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3846D6C-428F-4106-8944-BC071544E4E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New2_30">
          <a:extLst>
            <a:ext uri="{FF2B5EF4-FFF2-40B4-BE49-F238E27FC236}">
              <a16:creationId xmlns:a16="http://schemas.microsoft.com/office/drawing/2014/main" id="{001F5043-1A8B-4AB4-AD54-F6F0537C14B1}"/>
            </a:ext>
          </a:extLst>
        </xdr:cNvPr>
        <xdr:cNvSpPr/>
      </xdr:nvSpPr>
      <xdr:spPr>
        <a:xfrm>
          <a:off x="204311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25E67B1-A763-4FC9-BB25-DF6E2C13D4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New2_31">
          <a:extLst>
            <a:ext uri="{FF2B5EF4-FFF2-40B4-BE49-F238E27FC236}">
              <a16:creationId xmlns:a16="http://schemas.microsoft.com/office/drawing/2014/main" id="{39CD3483-232B-470D-939E-4B3F0768AEEA}"/>
            </a:ext>
          </a:extLst>
        </xdr:cNvPr>
        <xdr:cNvSpPr/>
      </xdr:nvSpPr>
      <xdr:spPr>
        <a:xfrm>
          <a:off x="218789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C64D033-C05B-4640-975E-D0D1E3A3D7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New2_32">
          <a:extLst>
            <a:ext uri="{FF2B5EF4-FFF2-40B4-BE49-F238E27FC236}">
              <a16:creationId xmlns:a16="http://schemas.microsoft.com/office/drawing/2014/main" id="{A02A8639-05A1-4074-B9EE-A9752891E5F4}"/>
            </a:ext>
          </a:extLst>
        </xdr:cNvPr>
        <xdr:cNvSpPr/>
      </xdr:nvSpPr>
      <xdr:spPr>
        <a:xfrm>
          <a:off x="225933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7711A69-9A79-43BD-BB16-1DF7A8C242B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New2_33">
          <a:extLst>
            <a:ext uri="{FF2B5EF4-FFF2-40B4-BE49-F238E27FC236}">
              <a16:creationId xmlns:a16="http://schemas.microsoft.com/office/drawing/2014/main" id="{F1857071-2644-415F-A299-17F29A365600}"/>
            </a:ext>
          </a:extLst>
        </xdr:cNvPr>
        <xdr:cNvSpPr/>
      </xdr:nvSpPr>
      <xdr:spPr>
        <a:xfrm>
          <a:off x="22974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3E5EBEB-F7F9-4858-B871-23A6DB6057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New2_34">
          <a:extLst>
            <a:ext uri="{FF2B5EF4-FFF2-40B4-BE49-F238E27FC236}">
              <a16:creationId xmlns:a16="http://schemas.microsoft.com/office/drawing/2014/main" id="{8F32CFC5-E692-4F8D-8A8B-F945E9507BC8}"/>
            </a:ext>
          </a:extLst>
        </xdr:cNvPr>
        <xdr:cNvSpPr/>
      </xdr:nvSpPr>
      <xdr:spPr>
        <a:xfrm>
          <a:off x="23622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6C84E34-66EF-411D-AF1D-40B409A9DAC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New2_35">
          <a:extLst>
            <a:ext uri="{FF2B5EF4-FFF2-40B4-BE49-F238E27FC236}">
              <a16:creationId xmlns:a16="http://schemas.microsoft.com/office/drawing/2014/main" id="{CF382EED-26BD-4DB3-9BCA-C9191072E42A}"/>
            </a:ext>
          </a:extLst>
        </xdr:cNvPr>
        <xdr:cNvSpPr/>
      </xdr:nvSpPr>
      <xdr:spPr>
        <a:xfrm>
          <a:off x="24269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E54A179-B287-4A98-8A1E-0FFF8D3D72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New2_36">
          <a:extLst>
            <a:ext uri="{FF2B5EF4-FFF2-40B4-BE49-F238E27FC236}">
              <a16:creationId xmlns:a16="http://schemas.microsoft.com/office/drawing/2014/main" id="{9C35E848-D606-42B7-93BB-E29C3D1ADEAC}"/>
            </a:ext>
          </a:extLst>
        </xdr:cNvPr>
        <xdr:cNvSpPr/>
      </xdr:nvSpPr>
      <xdr:spPr>
        <a:xfrm>
          <a:off x="24917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28E146-617A-4E9A-BABD-B17A1B2BF70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New2_37">
          <a:extLst>
            <a:ext uri="{FF2B5EF4-FFF2-40B4-BE49-F238E27FC236}">
              <a16:creationId xmlns:a16="http://schemas.microsoft.com/office/drawing/2014/main" id="{6B1CE51B-07D7-4B3A-B7BD-AAD5A89E7B37}"/>
            </a:ext>
          </a:extLst>
        </xdr:cNvPr>
        <xdr:cNvSpPr/>
      </xdr:nvSpPr>
      <xdr:spPr>
        <a:xfrm>
          <a:off x="255651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04B2148-8B5F-45E5-87F2-52B773A7EA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New2_38">
          <a:extLst>
            <a:ext uri="{FF2B5EF4-FFF2-40B4-BE49-F238E27FC236}">
              <a16:creationId xmlns:a16="http://schemas.microsoft.com/office/drawing/2014/main" id="{C86226AC-B72C-41DC-B41A-FFC984BCDFC5}"/>
            </a:ext>
          </a:extLst>
        </xdr:cNvPr>
        <xdr:cNvSpPr/>
      </xdr:nvSpPr>
      <xdr:spPr>
        <a:xfrm>
          <a:off x="25946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9C74647-FFF5-4048-80DB-28C7F457BA6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New2_39">
          <a:extLst>
            <a:ext uri="{FF2B5EF4-FFF2-40B4-BE49-F238E27FC236}">
              <a16:creationId xmlns:a16="http://schemas.microsoft.com/office/drawing/2014/main" id="{F37A61EB-BD6E-4A5D-BBEF-CFDE31C1298D}"/>
            </a:ext>
          </a:extLst>
        </xdr:cNvPr>
        <xdr:cNvSpPr/>
      </xdr:nvSpPr>
      <xdr:spPr>
        <a:xfrm>
          <a:off x="26593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3BA39A-7F4D-4C61-A6E5-7E31474DEDB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New2_40">
          <a:extLst>
            <a:ext uri="{FF2B5EF4-FFF2-40B4-BE49-F238E27FC236}">
              <a16:creationId xmlns:a16="http://schemas.microsoft.com/office/drawing/2014/main" id="{5629C13E-8A5E-4AE7-A1C9-9AD90CB503EE}"/>
            </a:ext>
          </a:extLst>
        </xdr:cNvPr>
        <xdr:cNvSpPr/>
      </xdr:nvSpPr>
      <xdr:spPr>
        <a:xfrm>
          <a:off x="27241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8BFFEE3-2229-495A-ADFA-CA0E49150F5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New2_41">
          <a:extLst>
            <a:ext uri="{FF2B5EF4-FFF2-40B4-BE49-F238E27FC236}">
              <a16:creationId xmlns:a16="http://schemas.microsoft.com/office/drawing/2014/main" id="{8C8C2435-5CD5-4FBD-9210-38EF7E84A856}"/>
            </a:ext>
          </a:extLst>
        </xdr:cNvPr>
        <xdr:cNvSpPr/>
      </xdr:nvSpPr>
      <xdr:spPr>
        <a:xfrm>
          <a:off x="27889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823976-3000-42B1-A286-8ED14D0940A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New2_42">
          <a:extLst>
            <a:ext uri="{FF2B5EF4-FFF2-40B4-BE49-F238E27FC236}">
              <a16:creationId xmlns:a16="http://schemas.microsoft.com/office/drawing/2014/main" id="{6E7C9CD1-E34A-4286-B4FF-25B3FFE9761C}"/>
            </a:ext>
          </a:extLst>
        </xdr:cNvPr>
        <xdr:cNvSpPr/>
      </xdr:nvSpPr>
      <xdr:spPr>
        <a:xfrm>
          <a:off x="285369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9F6AFFB-FC34-480A-98C6-98D832C22E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New2_43">
          <a:extLst>
            <a:ext uri="{FF2B5EF4-FFF2-40B4-BE49-F238E27FC236}">
              <a16:creationId xmlns:a16="http://schemas.microsoft.com/office/drawing/2014/main" id="{1EDC6EDE-5FC1-4400-B8CD-30DF5FCC8A46}"/>
            </a:ext>
          </a:extLst>
        </xdr:cNvPr>
        <xdr:cNvSpPr/>
      </xdr:nvSpPr>
      <xdr:spPr>
        <a:xfrm>
          <a:off x="28917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F5E59B-689A-4FC9-A937-2D43DFB8C81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New2_44">
          <a:extLst>
            <a:ext uri="{FF2B5EF4-FFF2-40B4-BE49-F238E27FC236}">
              <a16:creationId xmlns:a16="http://schemas.microsoft.com/office/drawing/2014/main" id="{D056A83A-4EAC-4ED3-BE62-56C927392910}"/>
            </a:ext>
          </a:extLst>
        </xdr:cNvPr>
        <xdr:cNvSpPr/>
      </xdr:nvSpPr>
      <xdr:spPr>
        <a:xfrm>
          <a:off x="29565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B1190C1-FEF4-4511-9AFD-D9144F438B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New2_45">
          <a:extLst>
            <a:ext uri="{FF2B5EF4-FFF2-40B4-BE49-F238E27FC236}">
              <a16:creationId xmlns:a16="http://schemas.microsoft.com/office/drawing/2014/main" id="{F06C3261-CF9A-423F-A700-47A1C2AB6425}"/>
            </a:ext>
          </a:extLst>
        </xdr:cNvPr>
        <xdr:cNvSpPr/>
      </xdr:nvSpPr>
      <xdr:spPr>
        <a:xfrm>
          <a:off x="30213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5426BD0-6CE4-4418-9AEB-272290A1986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New2_46">
          <a:extLst>
            <a:ext uri="{FF2B5EF4-FFF2-40B4-BE49-F238E27FC236}">
              <a16:creationId xmlns:a16="http://schemas.microsoft.com/office/drawing/2014/main" id="{8602058F-A7D2-4162-A957-BA299553ED0E}"/>
            </a:ext>
          </a:extLst>
        </xdr:cNvPr>
        <xdr:cNvSpPr/>
      </xdr:nvSpPr>
      <xdr:spPr>
        <a:xfrm>
          <a:off x="308610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E712866-43EA-461E-86CA-0E3F714F132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New2_47">
          <a:extLst>
            <a:ext uri="{FF2B5EF4-FFF2-40B4-BE49-F238E27FC236}">
              <a16:creationId xmlns:a16="http://schemas.microsoft.com/office/drawing/2014/main" id="{1CBF4924-FCC9-4E7F-9BBF-2E0EEB7DAD40}"/>
            </a:ext>
          </a:extLst>
        </xdr:cNvPr>
        <xdr:cNvSpPr/>
      </xdr:nvSpPr>
      <xdr:spPr>
        <a:xfrm>
          <a:off x="31575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5BFDE57-6EDF-4505-9B74-A0DDD227D90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New2_48">
          <a:extLst>
            <a:ext uri="{FF2B5EF4-FFF2-40B4-BE49-F238E27FC236}">
              <a16:creationId xmlns:a16="http://schemas.microsoft.com/office/drawing/2014/main" id="{72F6DF3A-F57E-40F8-82DF-8BEEE092D5E1}"/>
            </a:ext>
          </a:extLst>
        </xdr:cNvPr>
        <xdr:cNvSpPr/>
      </xdr:nvSpPr>
      <xdr:spPr>
        <a:xfrm>
          <a:off x="3195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1915286-67DE-4025-8A6A-886FCD39B2F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New2_49">
          <a:extLst>
            <a:ext uri="{FF2B5EF4-FFF2-40B4-BE49-F238E27FC236}">
              <a16:creationId xmlns:a16="http://schemas.microsoft.com/office/drawing/2014/main" id="{1EF82A50-C9FD-4789-97D0-34FAE742C5B2}"/>
            </a:ext>
          </a:extLst>
        </xdr:cNvPr>
        <xdr:cNvSpPr/>
      </xdr:nvSpPr>
      <xdr:spPr>
        <a:xfrm>
          <a:off x="3260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467B4F-1E5B-467B-A144-E447F74E54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New2_50">
          <a:extLst>
            <a:ext uri="{FF2B5EF4-FFF2-40B4-BE49-F238E27FC236}">
              <a16:creationId xmlns:a16="http://schemas.microsoft.com/office/drawing/2014/main" id="{5B83C7EF-58EF-4E4C-B197-3CCD8D0582AD}"/>
            </a:ext>
          </a:extLst>
        </xdr:cNvPr>
        <xdr:cNvSpPr/>
      </xdr:nvSpPr>
      <xdr:spPr>
        <a:xfrm>
          <a:off x="3325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5650505-0F7D-4557-9BF5-F03952223BB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New2_51">
          <a:extLst>
            <a:ext uri="{FF2B5EF4-FFF2-40B4-BE49-F238E27FC236}">
              <a16:creationId xmlns:a16="http://schemas.microsoft.com/office/drawing/2014/main" id="{007AAA16-85CB-43D8-BE18-C5C3E6BB3AD7}"/>
            </a:ext>
          </a:extLst>
        </xdr:cNvPr>
        <xdr:cNvSpPr/>
      </xdr:nvSpPr>
      <xdr:spPr>
        <a:xfrm>
          <a:off x="3389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09218B-F688-41AD-A974-6E3727AC96E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New2_52">
          <a:extLst>
            <a:ext uri="{FF2B5EF4-FFF2-40B4-BE49-F238E27FC236}">
              <a16:creationId xmlns:a16="http://schemas.microsoft.com/office/drawing/2014/main" id="{095EFFC1-FC47-43DB-8EC7-18FE6B6A7FA7}"/>
            </a:ext>
          </a:extLst>
        </xdr:cNvPr>
        <xdr:cNvSpPr/>
      </xdr:nvSpPr>
      <xdr:spPr>
        <a:xfrm>
          <a:off x="3454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46E7546-E6CC-4FB1-8294-10B75B335C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New2_53">
          <a:extLst>
            <a:ext uri="{FF2B5EF4-FFF2-40B4-BE49-F238E27FC236}">
              <a16:creationId xmlns:a16="http://schemas.microsoft.com/office/drawing/2014/main" id="{41E705BA-AC15-45AD-BD08-F45AAEC0A32C}"/>
            </a:ext>
          </a:extLst>
        </xdr:cNvPr>
        <xdr:cNvSpPr/>
      </xdr:nvSpPr>
      <xdr:spPr>
        <a:xfrm>
          <a:off x="3519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9E5219-9FB8-40EB-8C2F-6A6A1B3D9D9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New2_54">
          <a:extLst>
            <a:ext uri="{FF2B5EF4-FFF2-40B4-BE49-F238E27FC236}">
              <a16:creationId xmlns:a16="http://schemas.microsoft.com/office/drawing/2014/main" id="{860D57B7-8DCB-4697-B695-D74A063F587B}"/>
            </a:ext>
          </a:extLst>
        </xdr:cNvPr>
        <xdr:cNvSpPr/>
      </xdr:nvSpPr>
      <xdr:spPr>
        <a:xfrm>
          <a:off x="3584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D56AFB-F4CF-400B-809B-719AD86363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New2_55">
          <a:extLst>
            <a:ext uri="{FF2B5EF4-FFF2-40B4-BE49-F238E27FC236}">
              <a16:creationId xmlns:a16="http://schemas.microsoft.com/office/drawing/2014/main" id="{DE117CC7-0A2F-41B5-8AD5-1E8C4F4E5889}"/>
            </a:ext>
          </a:extLst>
        </xdr:cNvPr>
        <xdr:cNvSpPr/>
      </xdr:nvSpPr>
      <xdr:spPr>
        <a:xfrm>
          <a:off x="3649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18ABFE3-0EA5-4E8B-9762-1ED6F80D65B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New2_56">
          <a:extLst>
            <a:ext uri="{FF2B5EF4-FFF2-40B4-BE49-F238E27FC236}">
              <a16:creationId xmlns:a16="http://schemas.microsoft.com/office/drawing/2014/main" id="{17EBDDBD-E68B-4CE5-BA47-811E23DBF197}"/>
            </a:ext>
          </a:extLst>
        </xdr:cNvPr>
        <xdr:cNvSpPr/>
      </xdr:nvSpPr>
      <xdr:spPr>
        <a:xfrm>
          <a:off x="3713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9C925E7-3548-42D5-A346-773CB965C5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New2_57">
          <a:extLst>
            <a:ext uri="{FF2B5EF4-FFF2-40B4-BE49-F238E27FC236}">
              <a16:creationId xmlns:a16="http://schemas.microsoft.com/office/drawing/2014/main" id="{3C9F53AB-C7A7-4AA0-AE5C-E5D57FEE28A2}"/>
            </a:ext>
          </a:extLst>
        </xdr:cNvPr>
        <xdr:cNvSpPr/>
      </xdr:nvSpPr>
      <xdr:spPr>
        <a:xfrm>
          <a:off x="3778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5AE2089-B858-442E-81FD-805D614A413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New2_58">
          <a:extLst>
            <a:ext uri="{FF2B5EF4-FFF2-40B4-BE49-F238E27FC236}">
              <a16:creationId xmlns:a16="http://schemas.microsoft.com/office/drawing/2014/main" id="{E4343FDC-EE79-4644-9284-CE980A37DAA1}"/>
            </a:ext>
          </a:extLst>
        </xdr:cNvPr>
        <xdr:cNvSpPr/>
      </xdr:nvSpPr>
      <xdr:spPr>
        <a:xfrm>
          <a:off x="38433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8AD3A5B-3006-4EEF-A7BF-4E5270F37A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New2_59">
          <a:extLst>
            <a:ext uri="{FF2B5EF4-FFF2-40B4-BE49-F238E27FC236}">
              <a16:creationId xmlns:a16="http://schemas.microsoft.com/office/drawing/2014/main" id="{2B290938-55AB-444B-B33A-3F45DE092E40}"/>
            </a:ext>
          </a:extLst>
        </xdr:cNvPr>
        <xdr:cNvSpPr/>
      </xdr:nvSpPr>
      <xdr:spPr>
        <a:xfrm>
          <a:off x="39081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7EB2D8-E419-4196-965E-5ED2D0B2A9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New2_60">
          <a:extLst>
            <a:ext uri="{FF2B5EF4-FFF2-40B4-BE49-F238E27FC236}">
              <a16:creationId xmlns:a16="http://schemas.microsoft.com/office/drawing/2014/main" id="{F4408246-F15D-4A5B-AD4E-036AEC69A014}"/>
            </a:ext>
          </a:extLst>
        </xdr:cNvPr>
        <xdr:cNvSpPr/>
      </xdr:nvSpPr>
      <xdr:spPr>
        <a:xfrm>
          <a:off x="39728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7FFC757-A717-4E88-8B77-60C0B12E15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New2_61">
          <a:extLst>
            <a:ext uri="{FF2B5EF4-FFF2-40B4-BE49-F238E27FC236}">
              <a16:creationId xmlns:a16="http://schemas.microsoft.com/office/drawing/2014/main" id="{69992D33-D109-48DD-83CA-BED2DDABA243}"/>
            </a:ext>
          </a:extLst>
        </xdr:cNvPr>
        <xdr:cNvSpPr/>
      </xdr:nvSpPr>
      <xdr:spPr>
        <a:xfrm>
          <a:off x="40376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5FE9DDF-D36A-45DF-8D8D-9F0299C8223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New2_62">
          <a:extLst>
            <a:ext uri="{FF2B5EF4-FFF2-40B4-BE49-F238E27FC236}">
              <a16:creationId xmlns:a16="http://schemas.microsoft.com/office/drawing/2014/main" id="{31F49739-4BC6-471A-8FF5-83F0C9507313}"/>
            </a:ext>
          </a:extLst>
        </xdr:cNvPr>
        <xdr:cNvSpPr/>
      </xdr:nvSpPr>
      <xdr:spPr>
        <a:xfrm>
          <a:off x="41024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EDC1FA-397B-41D9-BA47-6AECEE40013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New2_63">
          <a:extLst>
            <a:ext uri="{FF2B5EF4-FFF2-40B4-BE49-F238E27FC236}">
              <a16:creationId xmlns:a16="http://schemas.microsoft.com/office/drawing/2014/main" id="{280756F1-2337-4EB3-B871-211C0CD92C5C}"/>
            </a:ext>
          </a:extLst>
        </xdr:cNvPr>
        <xdr:cNvSpPr/>
      </xdr:nvSpPr>
      <xdr:spPr>
        <a:xfrm>
          <a:off x="41671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DF6BE6C-B54F-4D02-867C-32520A9F8E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New2_64">
          <a:extLst>
            <a:ext uri="{FF2B5EF4-FFF2-40B4-BE49-F238E27FC236}">
              <a16:creationId xmlns:a16="http://schemas.microsoft.com/office/drawing/2014/main" id="{FC1AB6F1-6A01-466C-A45E-5FB5B214AF8C}"/>
            </a:ext>
          </a:extLst>
        </xdr:cNvPr>
        <xdr:cNvSpPr/>
      </xdr:nvSpPr>
      <xdr:spPr>
        <a:xfrm>
          <a:off x="42319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1EB75B5-42AE-4FC9-831A-E79D0BAD38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New2_65">
          <a:extLst>
            <a:ext uri="{FF2B5EF4-FFF2-40B4-BE49-F238E27FC236}">
              <a16:creationId xmlns:a16="http://schemas.microsoft.com/office/drawing/2014/main" id="{942798C3-A882-427B-B7B4-9A3C1A8063A4}"/>
            </a:ext>
          </a:extLst>
        </xdr:cNvPr>
        <xdr:cNvSpPr/>
      </xdr:nvSpPr>
      <xdr:spPr>
        <a:xfrm>
          <a:off x="42967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2DF5C6-C790-475D-B0D1-E4AE9CE651C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New2_66">
          <a:extLst>
            <a:ext uri="{FF2B5EF4-FFF2-40B4-BE49-F238E27FC236}">
              <a16:creationId xmlns:a16="http://schemas.microsoft.com/office/drawing/2014/main" id="{03F24CA5-949A-4FA6-89CE-8FED05BD9DD0}"/>
            </a:ext>
          </a:extLst>
        </xdr:cNvPr>
        <xdr:cNvSpPr/>
      </xdr:nvSpPr>
      <xdr:spPr>
        <a:xfrm>
          <a:off x="43614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CC2ADFF-8D4C-4C4C-95B6-55A29E739A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New2_67">
          <a:extLst>
            <a:ext uri="{FF2B5EF4-FFF2-40B4-BE49-F238E27FC236}">
              <a16:creationId xmlns:a16="http://schemas.microsoft.com/office/drawing/2014/main" id="{0158E0F2-C56B-4E41-8A96-34EF63C704E3}"/>
            </a:ext>
          </a:extLst>
        </xdr:cNvPr>
        <xdr:cNvSpPr/>
      </xdr:nvSpPr>
      <xdr:spPr>
        <a:xfrm>
          <a:off x="44262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0697238-8CBE-4F2D-9FC2-4820266EB7A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New2_68">
          <a:extLst>
            <a:ext uri="{FF2B5EF4-FFF2-40B4-BE49-F238E27FC236}">
              <a16:creationId xmlns:a16="http://schemas.microsoft.com/office/drawing/2014/main" id="{E0E9B2EE-D682-434E-98E9-42B087FF1744}"/>
            </a:ext>
          </a:extLst>
        </xdr:cNvPr>
        <xdr:cNvSpPr/>
      </xdr:nvSpPr>
      <xdr:spPr>
        <a:xfrm>
          <a:off x="44910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1D57C45-C495-4029-8ED7-3BB99FF90F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New2_69">
          <a:extLst>
            <a:ext uri="{FF2B5EF4-FFF2-40B4-BE49-F238E27FC236}">
              <a16:creationId xmlns:a16="http://schemas.microsoft.com/office/drawing/2014/main" id="{FB1FBBA5-E627-4FBA-8507-E0F1E36E2198}"/>
            </a:ext>
          </a:extLst>
        </xdr:cNvPr>
        <xdr:cNvSpPr/>
      </xdr:nvSpPr>
      <xdr:spPr>
        <a:xfrm>
          <a:off x="452913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D1F4352-2371-4CAB-B2AE-B33471DD54C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New2_70">
          <a:extLst>
            <a:ext uri="{FF2B5EF4-FFF2-40B4-BE49-F238E27FC236}">
              <a16:creationId xmlns:a16="http://schemas.microsoft.com/office/drawing/2014/main" id="{A7C5149B-86BC-4EAD-84F4-C39BB3E17285}"/>
            </a:ext>
          </a:extLst>
        </xdr:cNvPr>
        <xdr:cNvSpPr/>
      </xdr:nvSpPr>
      <xdr:spPr>
        <a:xfrm>
          <a:off x="4600575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ABA836D-009E-4C60-8985-CE2E32ADA1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New2_71">
          <a:extLst>
            <a:ext uri="{FF2B5EF4-FFF2-40B4-BE49-F238E27FC236}">
              <a16:creationId xmlns:a16="http://schemas.microsoft.com/office/drawing/2014/main" id="{17070C85-C003-4A30-9CAE-A8E044407728}"/>
            </a:ext>
          </a:extLst>
        </xdr:cNvPr>
        <xdr:cNvSpPr/>
      </xdr:nvSpPr>
      <xdr:spPr>
        <a:xfrm>
          <a:off x="474535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9FEFF7-6807-42C4-BFF8-981B74FB44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New2_72">
          <a:extLst>
            <a:ext uri="{FF2B5EF4-FFF2-40B4-BE49-F238E27FC236}">
              <a16:creationId xmlns:a16="http://schemas.microsoft.com/office/drawing/2014/main" id="{FF3629EF-C5B7-42FF-8A78-DE73103992FE}"/>
            </a:ext>
          </a:extLst>
        </xdr:cNvPr>
        <xdr:cNvSpPr/>
      </xdr:nvSpPr>
      <xdr:spPr>
        <a:xfrm>
          <a:off x="481679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57ACA05-8F8A-4970-83E0-09D2D096F42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New2_73">
          <a:extLst>
            <a:ext uri="{FF2B5EF4-FFF2-40B4-BE49-F238E27FC236}">
              <a16:creationId xmlns:a16="http://schemas.microsoft.com/office/drawing/2014/main" id="{F8B6F9DE-3770-4E11-857A-5C2C45BFDD88}"/>
            </a:ext>
          </a:extLst>
        </xdr:cNvPr>
        <xdr:cNvSpPr/>
      </xdr:nvSpPr>
      <xdr:spPr>
        <a:xfrm>
          <a:off x="4854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8661A23-5C90-46BF-B8D6-B9F2940DBEB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New2_74">
          <a:extLst>
            <a:ext uri="{FF2B5EF4-FFF2-40B4-BE49-F238E27FC236}">
              <a16:creationId xmlns:a16="http://schemas.microsoft.com/office/drawing/2014/main" id="{7D61A7D3-30E6-40E3-8338-23606EEE3962}"/>
            </a:ext>
          </a:extLst>
        </xdr:cNvPr>
        <xdr:cNvSpPr/>
      </xdr:nvSpPr>
      <xdr:spPr>
        <a:xfrm>
          <a:off x="4919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A80BD53-5814-4752-AF75-675315A30A4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New2_75">
          <a:extLst>
            <a:ext uri="{FF2B5EF4-FFF2-40B4-BE49-F238E27FC236}">
              <a16:creationId xmlns:a16="http://schemas.microsoft.com/office/drawing/2014/main" id="{C11C9CCE-B7DC-4C02-915B-79C36490C766}"/>
            </a:ext>
          </a:extLst>
        </xdr:cNvPr>
        <xdr:cNvSpPr/>
      </xdr:nvSpPr>
      <xdr:spPr>
        <a:xfrm>
          <a:off x="4984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2230085-E031-41D5-BDAA-81063563C4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New2_76">
          <a:extLst>
            <a:ext uri="{FF2B5EF4-FFF2-40B4-BE49-F238E27FC236}">
              <a16:creationId xmlns:a16="http://schemas.microsoft.com/office/drawing/2014/main" id="{55FD731F-C27A-46B8-B1DB-956B5F279263}"/>
            </a:ext>
          </a:extLst>
        </xdr:cNvPr>
        <xdr:cNvSpPr/>
      </xdr:nvSpPr>
      <xdr:spPr>
        <a:xfrm>
          <a:off x="5049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36170B1-23E2-4FD6-B03B-CE429C82271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New2_77">
          <a:extLst>
            <a:ext uri="{FF2B5EF4-FFF2-40B4-BE49-F238E27FC236}">
              <a16:creationId xmlns:a16="http://schemas.microsoft.com/office/drawing/2014/main" id="{1C26D659-67AF-44F1-848A-7A309F715914}"/>
            </a:ext>
          </a:extLst>
        </xdr:cNvPr>
        <xdr:cNvSpPr/>
      </xdr:nvSpPr>
      <xdr:spPr>
        <a:xfrm>
          <a:off x="5113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C68F742-9B79-4FDA-9E35-BA25E280F4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New2_78">
          <a:extLst>
            <a:ext uri="{FF2B5EF4-FFF2-40B4-BE49-F238E27FC236}">
              <a16:creationId xmlns:a16="http://schemas.microsoft.com/office/drawing/2014/main" id="{ED7C5B47-13B3-4FC0-9E22-97BA4254FF4E}"/>
            </a:ext>
          </a:extLst>
        </xdr:cNvPr>
        <xdr:cNvSpPr/>
      </xdr:nvSpPr>
      <xdr:spPr>
        <a:xfrm>
          <a:off x="51787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188DC23-D810-4B35-BC3C-5669C13FC5B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New2_79">
          <a:extLst>
            <a:ext uri="{FF2B5EF4-FFF2-40B4-BE49-F238E27FC236}">
              <a16:creationId xmlns:a16="http://schemas.microsoft.com/office/drawing/2014/main" id="{032CAB81-94E6-4EFA-AEFA-E8E6FA02B197}"/>
            </a:ext>
          </a:extLst>
        </xdr:cNvPr>
        <xdr:cNvSpPr/>
      </xdr:nvSpPr>
      <xdr:spPr>
        <a:xfrm>
          <a:off x="52168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7EBDCEA-B696-4B30-9961-955824DE39A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New2_80">
          <a:extLst>
            <a:ext uri="{FF2B5EF4-FFF2-40B4-BE49-F238E27FC236}">
              <a16:creationId xmlns:a16="http://schemas.microsoft.com/office/drawing/2014/main" id="{126AD593-2B4C-44AF-8E12-106A0A026054}"/>
            </a:ext>
          </a:extLst>
        </xdr:cNvPr>
        <xdr:cNvSpPr/>
      </xdr:nvSpPr>
      <xdr:spPr>
        <a:xfrm>
          <a:off x="5281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DA36834-95C3-4337-9A09-20F2690B51C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New2_81">
          <a:extLst>
            <a:ext uri="{FF2B5EF4-FFF2-40B4-BE49-F238E27FC236}">
              <a16:creationId xmlns:a16="http://schemas.microsoft.com/office/drawing/2014/main" id="{5196BBF4-7222-4CF8-A64E-09DE8D958DB2}"/>
            </a:ext>
          </a:extLst>
        </xdr:cNvPr>
        <xdr:cNvSpPr/>
      </xdr:nvSpPr>
      <xdr:spPr>
        <a:xfrm>
          <a:off x="5346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216BACA-D976-4CA1-978F-2B1D4A0B34C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New2_82">
          <a:extLst>
            <a:ext uri="{FF2B5EF4-FFF2-40B4-BE49-F238E27FC236}">
              <a16:creationId xmlns:a16="http://schemas.microsoft.com/office/drawing/2014/main" id="{4DE7B824-D969-49DB-A0A6-E0E32F6369EA}"/>
            </a:ext>
          </a:extLst>
        </xdr:cNvPr>
        <xdr:cNvSpPr/>
      </xdr:nvSpPr>
      <xdr:spPr>
        <a:xfrm>
          <a:off x="5411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C510437-F031-484D-A6F8-59AB2112CB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New2_83">
          <a:extLst>
            <a:ext uri="{FF2B5EF4-FFF2-40B4-BE49-F238E27FC236}">
              <a16:creationId xmlns:a16="http://schemas.microsoft.com/office/drawing/2014/main" id="{0BADCB75-5B30-4DE0-82E1-D9DF6E4668F0}"/>
            </a:ext>
          </a:extLst>
        </xdr:cNvPr>
        <xdr:cNvSpPr/>
      </xdr:nvSpPr>
      <xdr:spPr>
        <a:xfrm>
          <a:off x="5475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A49DFF-0526-43CA-B7E7-7407718C914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12134F-B4B5-4D7E-B370-24649E7734DA}" name="tReportings" displayName="tReportings" ref="C13:F42" totalsRowShown="0" headerRowDxfId="5" dataDxfId="0" tableBorderDxfId="6">
  <autoFilter ref="C13:F42" xr:uid="{6850E661-7488-47EC-9B96-3D2780D2AFEC}"/>
  <tableColumns count="4">
    <tableColumn id="1" xr3:uid="{3A6A036A-F7DE-4986-90A5-9231E92007AC}" name=" 1" dataDxfId="4"/>
    <tableColumn id="2" xr3:uid="{BE469E73-AE21-4580-A82C-3CACDE0FC5C4}" name=" 2" dataDxfId="3"/>
    <tableColumn id="3" xr3:uid="{7334F870-5F57-456A-BBEE-E6C0EE093937}" name=" 3" dataDxfId="2"/>
    <tableColumn id="4" xr3:uid="{31C6013D-8EB1-414D-A639-DCB75AA22900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E51186-A243-4F82-84AB-2E03EC764148}" name="tReporting52428888" displayName="tReporting52428888" ref="B5:CF6" totalsRowShown="0" headerRowDxfId="100" dataDxfId="16">
  <autoFilter ref="B5:CF6" xr:uid="{AF4E98A9-7F60-4318-8122-6D816AB94DF9}"/>
  <tableColumns count="83">
    <tableColumn id="1" xr3:uid="{3320C4D7-1874-4B06-BB6A-274C2BDF96B3}" name=" 1" dataDxfId="99"/>
    <tableColumn id="2" xr3:uid="{6DB60AE3-FCEE-4A87-AE66-F9931DFB4CF8}" name=" 2" dataDxfId="98"/>
    <tableColumn id="3" xr3:uid="{D14D8198-6988-4632-B955-5389EF53A0A1}" name=" 3" dataDxfId="97"/>
    <tableColumn id="4" xr3:uid="{39F259B1-2C98-4A21-8128-2CD3644E1396}" name=" 4" dataDxfId="96"/>
    <tableColumn id="5" xr3:uid="{A1212F72-097A-4009-97AC-B1C846C91AC4}" name=" 5" dataDxfId="95"/>
    <tableColumn id="6" xr3:uid="{A1FAB597-5546-43CB-838C-32A5A5C9E261}" name=" 6" dataDxfId="94"/>
    <tableColumn id="7" xr3:uid="{D542F069-6DAE-4321-BAFC-496B9D00CE7A}" name=" 7" dataDxfId="93"/>
    <tableColumn id="8" xr3:uid="{0E789BA7-0D31-4DC2-A107-042F1102173F}" name=" 8" dataDxfId="92"/>
    <tableColumn id="9" xr3:uid="{BC9A2B48-1416-4183-A39A-DB46AA20B6BF}" name=" 9" dataDxfId="91"/>
    <tableColumn id="10" xr3:uid="{E0EA3282-ED26-4C3C-AF86-5E66FAC5EC63}" name=" 10" dataDxfId="90"/>
    <tableColumn id="11" xr3:uid="{501B9981-F873-489F-917C-D09AB16A4D0F}" name=" 11" dataDxfId="89"/>
    <tableColumn id="12" xr3:uid="{7DE9D2B6-E453-452B-B4EE-743FF4AC3F71}" name=" 12" dataDxfId="88"/>
    <tableColumn id="13" xr3:uid="{AD27844D-16B9-4AF5-820C-8A9EB1347353}" name=" 13" dataDxfId="87"/>
    <tableColumn id="14" xr3:uid="{50815431-7F41-4C76-AA9F-103F810C09E9}" name=" 14" dataDxfId="86"/>
    <tableColumn id="15" xr3:uid="{4F099763-9B67-4E07-AFD5-71FF9A052457}" name=" 15" dataDxfId="85"/>
    <tableColumn id="16" xr3:uid="{BF248E89-DA50-4EE7-B985-B1A1FFEF37CD}" name=" 16" dataDxfId="84"/>
    <tableColumn id="17" xr3:uid="{2C9FA292-7762-420D-B956-DB6F00667D80}" name=" 17" dataDxfId="83"/>
    <tableColumn id="18" xr3:uid="{EAD09C5A-152C-4C59-B9DD-7ED0550E0B70}" name=" 18" dataDxfId="82"/>
    <tableColumn id="19" xr3:uid="{58C71B81-A5CB-4645-8149-04FAC47D99C6}" name=" 19" dataDxfId="81"/>
    <tableColumn id="20" xr3:uid="{347C4E61-ABCD-4B2B-97EB-31A905777EF8}" name=" 20" dataDxfId="80"/>
    <tableColumn id="21" xr3:uid="{0BF7CC0C-B03D-4826-B885-FA8727C0A483}" name=" 21" dataDxfId="79"/>
    <tableColumn id="22" xr3:uid="{4961CC0B-AC2B-455A-8348-D99B772949E7}" name=" 22" dataDxfId="78"/>
    <tableColumn id="23" xr3:uid="{3E089898-F507-4B48-9205-ADAE8CCB9977}" name=" 23" dataDxfId="77"/>
    <tableColumn id="24" xr3:uid="{E60AD98E-04BF-45C6-97EE-03E12789065F}" name=" 24" dataDxfId="76"/>
    <tableColumn id="25" xr3:uid="{57FDE983-426C-4218-A0EA-BED5E4DC94B0}" name=" 25" dataDxfId="75"/>
    <tableColumn id="26" xr3:uid="{AA8ABAF3-46A0-4F7A-8039-CE6923456560}" name=" 26" dataDxfId="74"/>
    <tableColumn id="27" xr3:uid="{52ADE854-74B1-4A55-9907-64D0AB9C9245}" name=" 27" dataDxfId="73"/>
    <tableColumn id="28" xr3:uid="{8DF770EB-5F9E-4E94-A293-2EBBEE06CB1B}" name=" 28" dataDxfId="72"/>
    <tableColumn id="29" xr3:uid="{92BF29E8-FF6B-43FE-84EB-BF3D0B37BC2A}" name=" 29" dataDxfId="71"/>
    <tableColumn id="30" xr3:uid="{33D94749-AC28-4D3B-9E61-D43B0331E799}" name=" 30" dataDxfId="70"/>
    <tableColumn id="31" xr3:uid="{9387AFC3-4840-42C9-97CC-6E3CE1436DE0}" name=" 31" dataDxfId="69"/>
    <tableColumn id="32" xr3:uid="{846AF10D-7FCF-4E3C-94A4-C64B3B74A23D}" name=" 32" dataDxfId="68"/>
    <tableColumn id="33" xr3:uid="{E0DCA76D-D8CD-4C2A-8BA0-593A03ADD384}" name=" 33" dataDxfId="67"/>
    <tableColumn id="34" xr3:uid="{B84487CA-E8D4-4177-A077-743B5DAB52BD}" name=" 34" dataDxfId="66"/>
    <tableColumn id="35" xr3:uid="{008BD089-2B9C-44DB-922B-B4D46B59C39B}" name=" 35" dataDxfId="65"/>
    <tableColumn id="36" xr3:uid="{52B56A68-91DE-4973-9181-DA6836066A4F}" name=" 36" dataDxfId="64"/>
    <tableColumn id="37" xr3:uid="{511977E3-EE38-4E1B-AEB7-E0DFABB30B47}" name=" 37" dataDxfId="63"/>
    <tableColumn id="38" xr3:uid="{0A438B77-489F-4293-BADC-59A95231B764}" name=" 38" dataDxfId="62"/>
    <tableColumn id="39" xr3:uid="{7389A8DD-4E9D-4B4E-9BE8-7C81088A4D93}" name=" 39" dataDxfId="61"/>
    <tableColumn id="40" xr3:uid="{6BBA9515-26C2-4E6A-91CA-5C3C7A3289FD}" name=" 40" dataDxfId="60"/>
    <tableColumn id="41" xr3:uid="{E90C1D71-6494-4744-A553-9A9B95C97FB7}" name=" 41" dataDxfId="59"/>
    <tableColumn id="42" xr3:uid="{2DFC5B8C-A7FA-4BBC-A8D8-4DB1E06380F3}" name=" 42" dataDxfId="58"/>
    <tableColumn id="43" xr3:uid="{96C87464-BCE8-4090-982A-D90A00718C02}" name=" 43" dataDxfId="57"/>
    <tableColumn id="44" xr3:uid="{AE293F81-57EC-4C60-9066-D74E1E06065C}" name=" 44" dataDxfId="56"/>
    <tableColumn id="45" xr3:uid="{C6660CA1-017C-4186-B535-C6A4C9F8A3A9}" name=" 45" dataDxfId="55"/>
    <tableColumn id="46" xr3:uid="{18CFD541-D8C4-45AB-8900-367317035256}" name=" 46" dataDxfId="54"/>
    <tableColumn id="47" xr3:uid="{D9672B63-754F-4E3A-92E9-3546085D2D6F}" name=" 47" dataDxfId="53"/>
    <tableColumn id="48" xr3:uid="{BAC3B4A0-31B4-4FB9-B9FF-769BEA125CAB}" name=" 48" dataDxfId="52"/>
    <tableColumn id="49" xr3:uid="{59503328-D7A6-43ED-AF19-9D99B86C5F3D}" name=" 49" dataDxfId="51"/>
    <tableColumn id="50" xr3:uid="{3FBD537B-F6F7-48D0-A6C4-C250D9A8B997}" name=" 50" dataDxfId="50"/>
    <tableColumn id="51" xr3:uid="{DA89D2AB-1441-496F-884E-071D1DFCB2CD}" name=" 51" dataDxfId="49"/>
    <tableColumn id="52" xr3:uid="{F3EA8745-397B-4BB2-B8FA-9044C7D98FFA}" name=" 52" dataDxfId="48"/>
    <tableColumn id="53" xr3:uid="{4FF793DD-81F6-4C4E-BA67-2781E93FF5D5}" name=" 53" dataDxfId="47"/>
    <tableColumn id="54" xr3:uid="{EE3EE881-26CB-4D23-9BA0-4ACFFB0ED4DD}" name=" 54" dataDxfId="46"/>
    <tableColumn id="55" xr3:uid="{93AF9882-CA30-4088-A976-DBA7EF5E1A2C}" name=" 55" dataDxfId="45"/>
    <tableColumn id="56" xr3:uid="{5BB05D6E-4794-47E6-9296-2B76A5EF9BE4}" name=" 56" dataDxfId="44"/>
    <tableColumn id="57" xr3:uid="{8931C1C3-5D09-4E42-9E83-15259193C49C}" name=" 57" dataDxfId="43"/>
    <tableColumn id="58" xr3:uid="{A488CC67-CCCE-4DAF-B610-324677739D5B}" name=" 58" dataDxfId="42"/>
    <tableColumn id="59" xr3:uid="{99801AA4-EFF5-4A54-BAE5-FAF10363577A}" name=" 59" dataDxfId="41"/>
    <tableColumn id="60" xr3:uid="{77EC8FDD-C006-4920-BF0B-48AC9BCCD765}" name=" 60" dataDxfId="40"/>
    <tableColumn id="61" xr3:uid="{D6D88FAF-3EA6-4009-8FDC-5DD63D9C0A8C}" name=" 61" dataDxfId="39"/>
    <tableColumn id="62" xr3:uid="{44FF0C9E-2CF0-44AD-B9F1-AEC18D4099D3}" name=" 62" dataDxfId="38"/>
    <tableColumn id="63" xr3:uid="{72BA16F8-4F78-4FE6-B8FB-F2D218EF329E}" name=" 63" dataDxfId="37"/>
    <tableColumn id="64" xr3:uid="{8215EB4B-B413-45DD-97C8-9D90E736F833}" name=" 64" dataDxfId="36"/>
    <tableColumn id="65" xr3:uid="{31EF1856-87A4-43C8-B4B5-94DCF1C8AC17}" name=" 65" dataDxfId="35"/>
    <tableColumn id="66" xr3:uid="{4CB89C55-E14B-4873-B629-72617A459400}" name=" 66" dataDxfId="34"/>
    <tableColumn id="67" xr3:uid="{4385C9B2-6964-4F5B-97E0-94E4BA5670D5}" name=" 67" dataDxfId="33"/>
    <tableColumn id="68" xr3:uid="{83DC4A26-177B-4FA6-979C-D45717773086}" name=" 68" dataDxfId="32"/>
    <tableColumn id="69" xr3:uid="{D3A5DACF-DEF9-40E3-98E5-86DDA09FC0C9}" name=" 69" dataDxfId="31"/>
    <tableColumn id="70" xr3:uid="{9530A03D-6E51-43B9-807C-4C7D41BA9661}" name=" 70" dataDxfId="30"/>
    <tableColumn id="71" xr3:uid="{CE6F72CC-9382-45D8-9EB1-6CC9CF7AD0EC}" name=" 71" dataDxfId="29"/>
    <tableColumn id="72" xr3:uid="{ADC07790-1571-446C-8A14-9EBF4460714A}" name=" 72" dataDxfId="28"/>
    <tableColumn id="73" xr3:uid="{E3A1041A-C16B-42B2-8DF8-BF4BC1A1C9D2}" name=" 73" dataDxfId="27"/>
    <tableColumn id="74" xr3:uid="{CF26C00B-9F26-4236-A91D-3C39732FDF26}" name=" 74" dataDxfId="26"/>
    <tableColumn id="75" xr3:uid="{8E709BDA-F172-422E-911B-4BAEE35A7E95}" name=" 75" dataDxfId="25"/>
    <tableColumn id="76" xr3:uid="{8BF7909E-EB58-47FC-B55C-6970FD4350AA}" name=" 76" dataDxfId="24"/>
    <tableColumn id="77" xr3:uid="{660BA361-FABE-41AC-A980-0B337A16B390}" name=" 77" dataDxfId="23"/>
    <tableColumn id="78" xr3:uid="{E1A8936A-09FA-4042-9D5D-2EF145FC33CE}" name=" 78" dataDxfId="22"/>
    <tableColumn id="79" xr3:uid="{5DA82274-3A94-4917-923F-5ABCEF61659C}" name=" 79" dataDxfId="21"/>
    <tableColumn id="80" xr3:uid="{6B314DE0-45DD-47A7-81F0-746331E67326}" name=" 80" dataDxfId="20"/>
    <tableColumn id="81" xr3:uid="{E3FA6175-9A74-4ECE-9536-FFD312279559}" name=" 81" dataDxfId="19"/>
    <tableColumn id="82" xr3:uid="{62A092B2-8A38-419C-81C0-E1A0D4AADE48}" name=" 82" dataDxfId="18"/>
    <tableColumn id="83" xr3:uid="{1A36A0B1-CB44-4477-9F79-E2EC04D40707}" name=" 83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DAA82EE-5D34-47FA-9376-5F70832ED601}" name="tReportingNew3" displayName="tReportingNew3" ref="B5:CF6" totalsRowShown="0" headerRowDxfId="306" dataDxfId="305">
  <autoFilter ref="B5:CF6" xr:uid="{9B39BDF4-CF4D-4772-88FA-EAE358D19E7E}"/>
  <tableColumns count="83">
    <tableColumn id="1" xr3:uid="{62215EAB-687F-417E-94D1-64FF27B9D06B}" name=" 1" dataDxfId="304"/>
    <tableColumn id="2" xr3:uid="{557432EC-2B53-4369-82DA-120B1ADF2D11}" name=" 2" dataDxfId="303"/>
    <tableColumn id="3" xr3:uid="{9AEA90A3-6767-49B8-9D4E-F7EE2F4E0E0A}" name=" 3" dataDxfId="302"/>
    <tableColumn id="4" xr3:uid="{7CAA899B-4561-41B6-8A5A-976ED11119DB}" name=" 4" dataDxfId="301"/>
    <tableColumn id="5" xr3:uid="{C20FC5E5-48D9-4E13-9FA3-B3B172C650D6}" name=" 5" dataDxfId="300"/>
    <tableColumn id="6" xr3:uid="{D2BDF16D-A292-4661-A9F1-F529C4F35E81}" name=" 6" dataDxfId="299"/>
    <tableColumn id="7" xr3:uid="{A80BB515-41E9-4BB1-82A9-9F2532C8A10C}" name=" 7" dataDxfId="298"/>
    <tableColumn id="8" xr3:uid="{C784FDD9-300B-42D0-BDAD-95F6585B5E3C}" name=" 8" dataDxfId="297"/>
    <tableColumn id="9" xr3:uid="{DF1FDE7D-5B7B-4DFF-8B8C-805919AB2E09}" name=" 9" dataDxfId="296"/>
    <tableColumn id="10" xr3:uid="{F77C2A2B-93F5-4AC5-B530-CCFE1010559B}" name=" 10" dataDxfId="295"/>
    <tableColumn id="11" xr3:uid="{4977D43D-AC75-4324-A013-7F65B143D01C}" name=" 11" dataDxfId="294"/>
    <tableColumn id="12" xr3:uid="{980FB272-2FB4-4171-9075-6E65D634CC14}" name=" 12" dataDxfId="293"/>
    <tableColumn id="13" xr3:uid="{3AC70386-1EA8-4848-A47D-96EBBA6821D5}" name=" 13" dataDxfId="292"/>
    <tableColumn id="14" xr3:uid="{FBC9DF07-0355-44BD-B5BC-83E56D98B9FE}" name=" 14" dataDxfId="291"/>
    <tableColumn id="15" xr3:uid="{F23BDC8A-1DB2-4469-A40A-0939238F606F}" name=" 15" dataDxfId="290"/>
    <tableColumn id="16" xr3:uid="{282432A9-1D20-4B61-936C-6327C75865F2}" name=" 16" dataDxfId="289"/>
    <tableColumn id="17" xr3:uid="{81D4E95E-ADD4-4F55-BD7F-ABCCD8F7678E}" name=" 17" dataDxfId="288"/>
    <tableColumn id="18" xr3:uid="{034ABBF4-A309-4895-89C4-9F15F710914C}" name=" 18" dataDxfId="287"/>
    <tableColumn id="19" xr3:uid="{2AAFD0DB-7752-4BD4-B69C-1738AFBDC217}" name=" 19" dataDxfId="286"/>
    <tableColumn id="20" xr3:uid="{8BCD464D-12DF-4929-921D-1CF9EC012E1F}" name=" 20" dataDxfId="285"/>
    <tableColumn id="21" xr3:uid="{4E1168BC-41A6-4444-A1BA-FC60E0967E5B}" name=" 21" dataDxfId="284"/>
    <tableColumn id="22" xr3:uid="{5F48B801-0EDF-48FE-A564-51CB7B4A4A32}" name=" 22" dataDxfId="283"/>
    <tableColumn id="23" xr3:uid="{2A57C680-E3D1-40FD-9E5F-4ECDA1D77F7C}" name=" 23" dataDxfId="282"/>
    <tableColumn id="24" xr3:uid="{0DE604F6-88B8-424C-A7E5-ECBE20B28770}" name=" 24" dataDxfId="281"/>
    <tableColumn id="25" xr3:uid="{2CE3B288-7625-4B4F-9B9B-16D3C7296F12}" name=" 25" dataDxfId="280"/>
    <tableColumn id="26" xr3:uid="{3ED920E7-14A2-46B1-AB56-162006BE46E3}" name=" 26" dataDxfId="279"/>
    <tableColumn id="27" xr3:uid="{376A4D67-E4BF-4378-AB10-65499BFE6B87}" name=" 27" dataDxfId="278"/>
    <tableColumn id="28" xr3:uid="{E08E1B88-05BB-465D-A8DE-CAD8DB5E2F8D}" name=" 28" dataDxfId="277"/>
    <tableColumn id="29" xr3:uid="{D9EFD16C-D121-46CC-A64F-92C354E97373}" name=" 29" dataDxfId="276"/>
    <tableColumn id="30" xr3:uid="{54A80E84-50F8-42CE-BC0E-6696B2E9AC8B}" name=" 30" dataDxfId="275"/>
    <tableColumn id="31" xr3:uid="{876C3673-CFBE-47C1-8D61-2069DB1861FA}" name=" 31" dataDxfId="274"/>
    <tableColumn id="32" xr3:uid="{1777E220-665E-481A-9D40-0FAED5D23526}" name=" 32" dataDxfId="273"/>
    <tableColumn id="33" xr3:uid="{1E3AAFA2-945F-472A-8462-EB54057E6D6C}" name=" 33" dataDxfId="272"/>
    <tableColumn id="34" xr3:uid="{85A4F7FA-CA1F-4562-8EFD-29051426191D}" name=" 34" dataDxfId="271"/>
    <tableColumn id="35" xr3:uid="{FEC0DF1D-CB1B-4739-AA8A-AAD17C9618F0}" name=" 35" dataDxfId="270"/>
    <tableColumn id="36" xr3:uid="{4091C2BD-D892-4948-BDDB-C0BB3838C281}" name=" 36" dataDxfId="269"/>
    <tableColumn id="37" xr3:uid="{CE3FFAA6-5C23-4AAA-8C78-8A5EE3DC15FD}" name=" 37" dataDxfId="268"/>
    <tableColumn id="38" xr3:uid="{EC5B4EC5-3706-4FB3-8F33-90F105CA201A}" name=" 38" dataDxfId="267"/>
    <tableColumn id="39" xr3:uid="{88350549-F19D-41D2-A3D2-6F20C0106833}" name=" 39" dataDxfId="266"/>
    <tableColumn id="40" xr3:uid="{EE869568-11A5-478D-8F25-27C4CD24B9EF}" name=" 40" dataDxfId="265"/>
    <tableColumn id="41" xr3:uid="{F8C15CB4-F63E-42F7-AEDC-6C03C304E168}" name=" 41" dataDxfId="264"/>
    <tableColumn id="42" xr3:uid="{F7E2B256-1FE1-4E2F-B84D-2DE9CBAF5CEC}" name=" 42" dataDxfId="263"/>
    <tableColumn id="43" xr3:uid="{AA539B1B-F97D-4714-979A-C36EB44130F9}" name=" 43" dataDxfId="262"/>
    <tableColumn id="44" xr3:uid="{96BE8BC8-891D-434D-8BD0-8D2BE7096DA0}" name=" 44" dataDxfId="261"/>
    <tableColumn id="45" xr3:uid="{08DC1D30-61A8-4D20-8E41-B39B7A16F3C3}" name=" 45" dataDxfId="260"/>
    <tableColumn id="46" xr3:uid="{F29F0CAD-35CB-4177-A49E-C40809DBE089}" name=" 46" dataDxfId="259"/>
    <tableColumn id="47" xr3:uid="{7DC919EA-E981-4BDE-BB30-F6313D010FE7}" name=" 47" dataDxfId="258"/>
    <tableColumn id="48" xr3:uid="{C5C9A027-ED31-436C-B2E0-267D8054AF55}" name=" 48" dataDxfId="257"/>
    <tableColumn id="49" xr3:uid="{809C3D52-BEE8-46DF-A2AA-74F4A51A93AE}" name=" 49" dataDxfId="256"/>
    <tableColumn id="50" xr3:uid="{8D8C47C7-D9DB-4605-BFCF-21D5FC904B82}" name=" 50" dataDxfId="255"/>
    <tableColumn id="51" xr3:uid="{D2FD39F5-88B1-48AD-B7D9-B48C6A7C94C2}" name=" 51" dataDxfId="254"/>
    <tableColumn id="52" xr3:uid="{1A4E595F-4E96-4792-AE4D-A203B32636A3}" name=" 52" dataDxfId="253"/>
    <tableColumn id="53" xr3:uid="{8CDFF79E-C7CC-46E5-B450-F9FA2C2AE343}" name=" 53" dataDxfId="252"/>
    <tableColumn id="54" xr3:uid="{11CD3F0D-9841-4424-A439-48B287A5ED45}" name=" 54" dataDxfId="251"/>
    <tableColumn id="55" xr3:uid="{87E514F8-B391-4698-877A-A9640C235EA5}" name=" 55" dataDxfId="250"/>
    <tableColumn id="56" xr3:uid="{6485D503-029E-41E7-B914-69017AD33208}" name=" 56" dataDxfId="249"/>
    <tableColumn id="57" xr3:uid="{7735A7CD-D72E-4FC9-AA8E-D150E2919F75}" name=" 57" dataDxfId="248"/>
    <tableColumn id="58" xr3:uid="{D2FA73F3-21BB-45C8-9E95-3860C9A9A51E}" name=" 58" dataDxfId="247"/>
    <tableColumn id="59" xr3:uid="{9AAB19B1-A346-40C7-BCDE-1EBC66C2EE04}" name=" 59" dataDxfId="246"/>
    <tableColumn id="60" xr3:uid="{843BF66E-77F7-47D4-9694-0BAC54745FD9}" name=" 60" dataDxfId="245"/>
    <tableColumn id="61" xr3:uid="{535A080B-48AA-4FB2-84A1-6195E19BC966}" name=" 61" dataDxfId="244"/>
    <tableColumn id="62" xr3:uid="{2A3EE077-5FCD-4AAA-987C-E2E716410254}" name=" 62" dataDxfId="243"/>
    <tableColumn id="63" xr3:uid="{6910241B-5A64-4D30-8FBB-E644C0BF554C}" name=" 63" dataDxfId="242"/>
    <tableColumn id="64" xr3:uid="{761EF011-5BF9-4C84-A4B9-2DD9BB6644BD}" name=" 64" dataDxfId="241"/>
    <tableColumn id="65" xr3:uid="{F9ACCA46-DBA5-41E9-8744-93311ED2AA57}" name=" 65" dataDxfId="240"/>
    <tableColumn id="66" xr3:uid="{CD65108C-3F65-4068-8EFE-CDF44C7736BA}" name=" 66" dataDxfId="239"/>
    <tableColumn id="67" xr3:uid="{384E93F2-9DCD-4790-84A6-501EBD2C27D7}" name=" 67" dataDxfId="238"/>
    <tableColumn id="68" xr3:uid="{4DC1402A-6CF6-4AB5-8F9C-C3EE4DB30DFC}" name=" 68" dataDxfId="237"/>
    <tableColumn id="69" xr3:uid="{687CBCE1-73FB-4390-B337-1F8104CED325}" name=" 69" dataDxfId="236"/>
    <tableColumn id="70" xr3:uid="{3C0D157A-EAF3-403A-ABE4-726FC48F88A2}" name=" 70" dataDxfId="235"/>
    <tableColumn id="71" xr3:uid="{E8F0FE7A-9890-4A5A-A8DC-A52282639E1A}" name=" 71" dataDxfId="234"/>
    <tableColumn id="72" xr3:uid="{724E35DC-0BE6-4122-81C4-ED3BF9798336}" name=" 72" dataDxfId="233"/>
    <tableColumn id="73" xr3:uid="{56E86D2F-611A-44AA-AA20-28A65524BBE9}" name=" 73" dataDxfId="232"/>
    <tableColumn id="74" xr3:uid="{445138BB-44E5-487E-A2D6-02095F360FE0}" name=" 74" dataDxfId="231"/>
    <tableColumn id="75" xr3:uid="{0F175008-5EBB-4124-9CD9-A385991B73CB}" name=" 75" dataDxfId="230"/>
    <tableColumn id="76" xr3:uid="{13A87CE8-9F84-44E4-9E10-397788FBC38D}" name=" 76" dataDxfId="229"/>
    <tableColumn id="77" xr3:uid="{81472FD5-E94D-4651-A378-B1D877EC5E3B}" name=" 77" dataDxfId="228"/>
    <tableColumn id="78" xr3:uid="{8C95602F-B719-4DBB-B1CE-406EAB941C5F}" name=" 78" dataDxfId="227"/>
    <tableColumn id="79" xr3:uid="{B5EF36E4-29BF-442C-86D4-4FFB5E8BFE09}" name=" 79" dataDxfId="226"/>
    <tableColumn id="80" xr3:uid="{B5AA374A-9D9C-47B7-94F1-DD2AE7C09E74}" name=" 80" dataDxfId="225"/>
    <tableColumn id="81" xr3:uid="{C457C02C-CD7B-4EA6-AE9C-B894C7EB8E2C}" name=" 81" dataDxfId="224"/>
    <tableColumn id="82" xr3:uid="{78C4200E-24BF-49DC-8D70-1766CEEB38C2}" name=" 82" dataDxfId="223"/>
    <tableColumn id="83" xr3:uid="{797B0211-BA27-4013-9002-8F806F0F1FEC}" name=" 83" dataDxfId="2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CC6D6E-8D19-4F91-AC72-7AE30082779A}" name="tReportingNew2" displayName="tReportingNew2" ref="B5:CF6" totalsRowShown="0" headerRowDxfId="221" dataDxfId="220">
  <autoFilter ref="B5:CF6" xr:uid="{F5EB3B4D-1E2A-4823-98BE-3E45BCD9989B}"/>
  <tableColumns count="83">
    <tableColumn id="1" xr3:uid="{D2E380E2-F680-47EC-BC87-91538BCD8663}" name=" 1" dataDxfId="219"/>
    <tableColumn id="2" xr3:uid="{3D800D2C-ECF5-40EA-A04F-DA09CA04C207}" name=" 2" dataDxfId="218"/>
    <tableColumn id="3" xr3:uid="{A0A7B52A-62C2-4609-AFD6-5428F2869F5D}" name=" 3" dataDxfId="217"/>
    <tableColumn id="4" xr3:uid="{EE00BDF7-9F24-479A-AF75-911806C23D70}" name=" 4" dataDxfId="216"/>
    <tableColumn id="5" xr3:uid="{C5E94480-5D99-4E80-B666-7B4C299570E9}" name=" 5" dataDxfId="215"/>
    <tableColumn id="6" xr3:uid="{9EA33430-9AA8-4F28-9E8F-6D01AA89AECB}" name=" 6" dataDxfId="214"/>
    <tableColumn id="7" xr3:uid="{C4067AED-FA9D-4C2B-9206-158F389F7E1B}" name=" 7" dataDxfId="213"/>
    <tableColumn id="8" xr3:uid="{DECC488C-BDC9-4E46-93B3-AAA195A09137}" name=" 8" dataDxfId="212"/>
    <tableColumn id="9" xr3:uid="{22BEF22C-63B3-4785-A16E-A23B532ABB04}" name=" 9" dataDxfId="211"/>
    <tableColumn id="10" xr3:uid="{3D6B5ED8-46D1-445F-8326-606FEDC5AC2D}" name=" 10" dataDxfId="210"/>
    <tableColumn id="11" xr3:uid="{DC03158B-5485-4885-8F35-D123F5294B88}" name=" 11" dataDxfId="209"/>
    <tableColumn id="12" xr3:uid="{97133BC6-BB7D-4D17-8AEE-94FFC36A49EF}" name=" 12" dataDxfId="208"/>
    <tableColumn id="13" xr3:uid="{BAC684A1-F9DB-4E16-8ED2-3F9427B307AB}" name=" 13" dataDxfId="207"/>
    <tableColumn id="14" xr3:uid="{BBE0D1C5-EC45-4CC5-BF6B-9CF17FDF64C3}" name=" 14" dataDxfId="206"/>
    <tableColumn id="15" xr3:uid="{634244EE-784F-4BC4-A4A6-F292638628DE}" name=" 15" dataDxfId="205"/>
    <tableColumn id="16" xr3:uid="{FFF9E5B7-7D95-4A8A-8A38-00C4C43F6C58}" name=" 16" dataDxfId="204"/>
    <tableColumn id="17" xr3:uid="{26B944C1-CBE3-4393-B57F-033BF18ADD0E}" name=" 17" dataDxfId="203"/>
    <tableColumn id="18" xr3:uid="{E2BDDD96-C11D-4BB3-AE54-29308F66BEAD}" name=" 18" dataDxfId="202"/>
    <tableColumn id="19" xr3:uid="{87CB81BB-A5FA-4011-9341-132F6DCFABDF}" name=" 19" dataDxfId="201"/>
    <tableColumn id="20" xr3:uid="{4A110808-65E4-4020-9495-E38A5AF86A7F}" name=" 20" dataDxfId="200"/>
    <tableColumn id="21" xr3:uid="{DC20B5A8-4237-49AD-94DA-0908F52F09C9}" name=" 21" dataDxfId="199"/>
    <tableColumn id="22" xr3:uid="{2145F251-8863-4977-B94B-ED7C45BCB750}" name=" 22" dataDxfId="198"/>
    <tableColumn id="23" xr3:uid="{EAED1DC0-2F03-42D1-B1E7-7CD7A96B8955}" name=" 23" dataDxfId="197"/>
    <tableColumn id="24" xr3:uid="{55150F61-7E38-46F0-BCE8-E4357C917B2C}" name=" 24" dataDxfId="196"/>
    <tableColumn id="25" xr3:uid="{C92246D3-E9D3-4086-AA96-71E858DE30DC}" name=" 25" dataDxfId="195"/>
    <tableColumn id="26" xr3:uid="{46BCA48C-ED80-4F84-98E8-57AC9180BB97}" name=" 26" dataDxfId="194"/>
    <tableColumn id="27" xr3:uid="{E68EFEF3-F44E-4F9D-9B68-F7E7F9B1D727}" name=" 27" dataDxfId="193"/>
    <tableColumn id="28" xr3:uid="{5B88FF67-A92A-48EA-BEA3-3041C6019A1F}" name=" 28" dataDxfId="192"/>
    <tableColumn id="29" xr3:uid="{1296248B-18E7-4DD3-B876-F7F86518ACC8}" name=" 29" dataDxfId="191"/>
    <tableColumn id="30" xr3:uid="{BF2DF2A5-EED3-4A5D-AB8E-7FCF3FA6CDF7}" name=" 30" dataDxfId="190"/>
    <tableColumn id="31" xr3:uid="{EB675DED-CAE7-431B-9D49-12E126D67AB4}" name=" 31" dataDxfId="189"/>
    <tableColumn id="32" xr3:uid="{0A69DB11-ABDC-43E6-AEC9-B9114854B584}" name=" 32" dataDxfId="188"/>
    <tableColumn id="33" xr3:uid="{E29E0643-11F8-463B-8F17-CDDEAF8490EA}" name=" 33" dataDxfId="187"/>
    <tableColumn id="34" xr3:uid="{8DF5B53B-5F1A-4C88-9629-E132284164C9}" name=" 34" dataDxfId="186"/>
    <tableColumn id="35" xr3:uid="{CE526B86-82CD-47F9-A2CE-203020A84B45}" name=" 35" dataDxfId="185"/>
    <tableColumn id="36" xr3:uid="{DA582480-0B4B-4C07-8C5A-6E4C4CA9C14F}" name=" 36" dataDxfId="184"/>
    <tableColumn id="37" xr3:uid="{1620CE51-E3B0-4B2E-8D55-894E5971E33C}" name=" 37" dataDxfId="183"/>
    <tableColumn id="38" xr3:uid="{77EA8CDC-FA17-4B02-84B6-1EFA87FD72AB}" name=" 38" dataDxfId="182"/>
    <tableColumn id="39" xr3:uid="{FAB35846-1587-4B4E-8D7E-FADBF9F81544}" name=" 39" dataDxfId="181"/>
    <tableColumn id="40" xr3:uid="{49E886AE-468A-4C2F-A677-8DB531A7CF8B}" name=" 40" dataDxfId="180"/>
    <tableColumn id="41" xr3:uid="{A894D015-4AE3-42C0-827B-7FD51E6E3FAB}" name=" 41" dataDxfId="179"/>
    <tableColumn id="42" xr3:uid="{253C4CFA-279A-40E7-8EF4-E450A454A3E2}" name=" 42" dataDxfId="178"/>
    <tableColumn id="43" xr3:uid="{E8C45042-F107-46D6-8F27-4FE4EF8D652B}" name=" 43" dataDxfId="177"/>
    <tableColumn id="44" xr3:uid="{0257B554-1DC1-43B6-A1BF-A1FAA7B212BE}" name=" 44" dataDxfId="176"/>
    <tableColumn id="45" xr3:uid="{09B71636-466C-40BD-A1C9-6FA841247FD6}" name=" 45" dataDxfId="175"/>
    <tableColumn id="46" xr3:uid="{0BA151B1-3891-4B1F-8D7C-4A0C0E864F5E}" name=" 46" dataDxfId="174"/>
    <tableColumn id="47" xr3:uid="{80906AA9-6B9E-42C7-B9F1-D8CDC62C0767}" name=" 47" dataDxfId="173"/>
    <tableColumn id="48" xr3:uid="{DAE4ECDF-E11F-4048-9C86-42EBC1F68CD2}" name=" 48" dataDxfId="172"/>
    <tableColumn id="49" xr3:uid="{CD919BA8-6C94-46B0-B393-EA5FD614D481}" name=" 49" dataDxfId="171"/>
    <tableColumn id="50" xr3:uid="{1AB2AA0B-9D25-4E83-A9FB-A35B43371C73}" name=" 50" dataDxfId="170"/>
    <tableColumn id="51" xr3:uid="{6CF2EEAA-2DDD-48FC-A456-0319B4DDA4E4}" name=" 51" dataDxfId="169"/>
    <tableColumn id="52" xr3:uid="{14568C32-02E1-477F-966D-128529915433}" name=" 52" dataDxfId="168"/>
    <tableColumn id="53" xr3:uid="{FCF30B64-C0CA-428A-AD76-E8DFE0439181}" name=" 53" dataDxfId="167"/>
    <tableColumn id="54" xr3:uid="{B3B00759-0AC3-48D9-8A73-23A98FB43947}" name=" 54" dataDxfId="166"/>
    <tableColumn id="55" xr3:uid="{027F5316-9FDA-45F4-8F3C-731BBC1590DA}" name=" 55" dataDxfId="165"/>
    <tableColumn id="56" xr3:uid="{538BF51B-4BE3-45DE-8DF9-8E00613A3028}" name=" 56" dataDxfId="164"/>
    <tableColumn id="57" xr3:uid="{FB7A5969-0482-4130-B8E7-3E331AD1B714}" name=" 57" dataDxfId="163"/>
    <tableColumn id="58" xr3:uid="{10A9BFDE-F26E-45C1-8F7C-4D581B07BB51}" name=" 58" dataDxfId="162"/>
    <tableColumn id="59" xr3:uid="{191769E5-08B0-4B60-A0A5-DFC1C497BF71}" name=" 59" dataDxfId="161"/>
    <tableColumn id="60" xr3:uid="{E659E3A8-FD1E-47B4-B3A8-4DBA6206702D}" name=" 60" dataDxfId="160"/>
    <tableColumn id="61" xr3:uid="{0213AFD6-729E-4BCE-9B5C-D8A625DFC210}" name=" 61" dataDxfId="159"/>
    <tableColumn id="62" xr3:uid="{B44C5D84-D695-4D3D-9079-7873C626F0CF}" name=" 62" dataDxfId="158"/>
    <tableColumn id="63" xr3:uid="{A52AC5A8-67A2-4152-8377-AD7BE949A02E}" name=" 63" dataDxfId="157"/>
    <tableColumn id="64" xr3:uid="{8F19426A-A0B0-4457-B245-A810F6C9F224}" name=" 64" dataDxfId="156"/>
    <tableColumn id="65" xr3:uid="{60B6FD13-0CA4-4A6C-941F-EC60537DABB2}" name=" 65" dataDxfId="155"/>
    <tableColumn id="66" xr3:uid="{1ABB96A5-182E-4A7A-80B6-D5E479634324}" name=" 66" dataDxfId="154"/>
    <tableColumn id="67" xr3:uid="{8A0E39EB-A6A4-4D9A-8ED5-C34490D851F9}" name=" 67" dataDxfId="153"/>
    <tableColumn id="68" xr3:uid="{0E228E0A-F280-448E-B467-567CB97B1DE2}" name=" 68" dataDxfId="152"/>
    <tableColumn id="69" xr3:uid="{09D6B9B5-E522-45A3-866F-1D6034689EC0}" name=" 69" dataDxfId="151"/>
    <tableColumn id="70" xr3:uid="{E5A52F33-BB85-49DB-B698-BCFD858565DE}" name=" 70" dataDxfId="150"/>
    <tableColumn id="71" xr3:uid="{297803D4-0BE7-4791-88E3-B575DD78DE64}" name=" 71" dataDxfId="149"/>
    <tableColumn id="72" xr3:uid="{99106534-C977-4FA9-96D7-AC1AE9E3955B}" name=" 72" dataDxfId="148"/>
    <tableColumn id="73" xr3:uid="{2435D441-9857-4C10-8672-CB44B89A1E95}" name=" 73" dataDxfId="147"/>
    <tableColumn id="74" xr3:uid="{6B3087DB-66AC-44C1-868F-018F21802636}" name=" 74" dataDxfId="146"/>
    <tableColumn id="75" xr3:uid="{E4D42AB1-B0D1-45C7-BF94-5D943C20F4E6}" name=" 75" dataDxfId="145"/>
    <tableColumn id="76" xr3:uid="{7989F148-A10B-403A-B7B9-408362264071}" name=" 76" dataDxfId="144"/>
    <tableColumn id="77" xr3:uid="{80279C67-CE9E-4431-8FE3-D6218E5230DD}" name=" 77" dataDxfId="143"/>
    <tableColumn id="78" xr3:uid="{DD9979EF-6E7E-49A1-96F5-B20D3F1C0B92}" name=" 78" dataDxfId="142"/>
    <tableColumn id="79" xr3:uid="{DD51A80B-56FA-495B-8943-6CC5755A2047}" name=" 79" dataDxfId="141"/>
    <tableColumn id="80" xr3:uid="{AC4E3E63-D70C-4058-8B6D-CFA5916781DD}" name=" 80" dataDxfId="140"/>
    <tableColumn id="81" xr3:uid="{274C5C04-C967-42AE-8F07-CCEED31EEB00}" name=" 81" dataDxfId="139"/>
    <tableColumn id="82" xr3:uid="{794C6AA8-301A-4117-A0C0-024B2E0FBBF8}" name=" 82" dataDxfId="138"/>
    <tableColumn id="83" xr3:uid="{2761FF38-F7F4-494E-8935-792CFDB4CE73}" name=" 83" dataDxfId="1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8" totalsRowShown="0" dataDxfId="7">
  <autoFilter ref="A3:H118" xr:uid="{20495ABC-A0D8-40BE-8188-61D0FEE75739}"/>
  <tableColumns count="8">
    <tableColumn id="1" xr3:uid="{73903A16-45BE-4CB3-B71C-3468798E69E6}" name="ID" dataDxfId="15"/>
    <tableColumn id="3" xr3:uid="{02ADB156-C3E9-44A8-BC1B-FB2018DC836B}" name="Param1" dataDxfId="14"/>
    <tableColumn id="4" xr3:uid="{CF8C7CB6-4B86-4085-ACCC-19CBFD4C59FE}" name="Param2" dataDxfId="13"/>
    <tableColumn id="5" xr3:uid="{1227E0CB-DF13-4AEB-9B7C-A5B66DBC0C3F}" name="Param3" dataDxfId="12"/>
    <tableColumn id="6" xr3:uid="{2E60890B-30E9-4D21-92C9-7B06D14BAF00}" name="Param4" dataDxfId="11"/>
    <tableColumn id="7" xr3:uid="{03AC2232-F9FA-428A-BCAB-A8039123FBB5}" name="Param5" dataDxfId="10"/>
    <tableColumn id="9" xr3:uid="{5D6B89C0-1432-4927-AC0D-CC962FDD7705}" name="en_US" dataDxfId="9"/>
    <tableColumn id="8" xr3:uid="{8F5786B6-467E-46BD-A85E-B24EA01C31DC}" name="fr_FR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136">
  <autoFilter ref="B3:S91" xr:uid="{D9E8808B-D9E1-4272-8694-E8D5F2C45F29}"/>
  <tableColumns count="18">
    <tableColumn id="1" xr3:uid="{3A646773-BE89-4522-98D7-B786E44BE0DC}" name="Query" dataDxfId="135"/>
    <tableColumn id="9" xr3:uid="{C4EB6F9D-3EAD-42F0-84FF-9BBD170B0DE5}" name="Table" dataDxfId="134"/>
    <tableColumn id="8" xr3:uid="{70E4004F-52ED-4A60-A759-27AFE028F894}" name="I18N" dataDxfId="133"/>
    <tableColumn id="13" xr3:uid="{A78438C4-24D6-4E6E-A29B-E72CABDED5AB}" name="JSON Row Array" dataDxfId="132"/>
    <tableColumn id="16" xr3:uid="{02735810-2DA9-4B37-A9AB-CC1D7668127D}" name="Editable?" dataDxfId="131"/>
    <tableColumn id="2" xr3:uid="{DFC5B263-91CC-4653-8ADC-74A0368CD202}" name="JSON Column" dataDxfId="130"/>
    <tableColumn id="3" xr3:uid="{D5540814-CF2F-4ACB-B92D-22093C535E0C}" name="JSON Type" dataDxfId="129"/>
    <tableColumn id="11" xr3:uid="{EDC8EA7C-C33C-4E55-9909-B09F730AE94B}" name="Required" dataDxfId="128"/>
    <tableColumn id="4" xr3:uid="{8D0A36EB-752B-47BA-B4F5-009678ACFDD0}" name="Title" dataDxfId="127"/>
    <tableColumn id="12" xr3:uid="{B7222461-457D-4B90-9925-68BAF8D1E421}" name="Editor" dataDxfId="126"/>
    <tableColumn id="14" xr3:uid="{C8DD975C-C222-4560-AD83-9B3E4EF275CD}" name="Format" dataDxfId="125"/>
    <tableColumn id="15" xr3:uid="{30CC9560-5D67-406A-B687-D2883B19A560}" name="Level" dataDxfId="124"/>
    <tableColumn id="18" xr3:uid="{9414E3E8-B630-435F-9660-16EFF4CAEFD7}" name="Width" dataDxfId="123"/>
    <tableColumn id="5" xr3:uid="{3613A1E0-361B-4D77-AB85-A190D3D733FC}" name="Hidden" dataDxfId="122"/>
    <tableColumn id="6" xr3:uid="{4FC768DF-246E-41E4-8A37-38EE7A822849}" name="Command" dataDxfId="121"/>
    <tableColumn id="10" xr3:uid="{08F0F3AA-70C9-46BE-9E8F-F9089FF43A15}" name="Params" dataDxfId="120"/>
    <tableColumn id="7" xr3:uid="{C3148FB9-B4AC-439B-977D-F7DC6FE2F875}" name="Position" dataDxfId="119"/>
    <tableColumn id="17" xr3:uid="{AAA7A96E-0AF3-43EB-9CAA-11C66E543F5D}" name="ReturnCol" dataDxfId="1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7">
  <autoFilter ref="B3:Q4" xr:uid="{D9E8808B-D9E1-4272-8694-E8D5F2C45F29}"/>
  <tableColumns count="16">
    <tableColumn id="1" xr3:uid="{848A5172-BE10-4671-A96C-19CB95280C30}" name="Query" dataDxfId="116"/>
    <tableColumn id="9" xr3:uid="{D4503C74-5BC6-42E3-9059-14AE6DF0435F}" name="Table" dataDxfId="115"/>
    <tableColumn id="8" xr3:uid="{6B1E570F-3015-4379-A06B-47DE792E9FF7}" name="I18N" dataDxfId="114"/>
    <tableColumn id="13" xr3:uid="{1F3DA983-C15A-44A1-9F86-08FE41BABCC4}" name="JSON Row Array" dataDxfId="113"/>
    <tableColumn id="2" xr3:uid="{2146287D-FA7C-4DC4-A184-861C99FB53FA}" name="JSON Column" dataDxfId="112"/>
    <tableColumn id="3" xr3:uid="{41F1B5AB-7B7D-4E20-9599-A4A18E607AC2}" name="JSON Type" dataDxfId="111"/>
    <tableColumn id="11" xr3:uid="{6B6D5F65-9066-427A-9E8E-83BC24FDA24E}" name="Required" dataDxfId="110"/>
    <tableColumn id="4" xr3:uid="{5632F87F-624C-41CA-9F02-FC8191282D24}" name="Title" dataDxfId="109"/>
    <tableColumn id="12" xr3:uid="{42F4ED45-AB09-422F-A7F0-D0219F6C21FB}" name="Editor" dataDxfId="108"/>
    <tableColumn id="14" xr3:uid="{2AA5569E-51E1-495E-B26C-0E3F01504CAF}" name="Format" dataDxfId="107"/>
    <tableColumn id="15" xr3:uid="{9FF31EFB-98A5-441C-AEEE-A8D70F766993}" name="Level" dataDxfId="106"/>
    <tableColumn id="5" xr3:uid="{AAEEF1F0-17A9-4995-BF9B-AB4346088E71}" name="Hidden" dataDxfId="105"/>
    <tableColumn id="6" xr3:uid="{7BDF45C7-3CB9-461B-82E3-465AF4328F16}" name="Command" dataDxfId="104"/>
    <tableColumn id="10" xr3:uid="{CC86848F-2654-487A-90EA-707ECEAFF905}" name="Params" dataDxfId="103"/>
    <tableColumn id="7" xr3:uid="{EB4FA941-2795-46FC-8CA9-7D002B610299}" name="Position" dataDxfId="102"/>
    <tableColumn id="17" xr3:uid="{CA1F3260-0D6C-4F7F-B7AE-4DFA8A856532}" name="ReturnCol" dataDxfId="1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AM74"/>
  <sheetViews>
    <sheetView showGridLines="0" showRowColHeaders="0" zoomScaleNormal="100" workbookViewId="0">
      <selection activeCell="E16" sqref="E16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e" cm="1">
        <f t="array" ref="B4">I18N_T(cellLanguage, "RF_Title")</f>
        <v>#VALUE!</v>
      </c>
      <c r="F4" s="11"/>
      <c r="I4" s="5" t="e" cm="1">
        <f t="array" ref="I4">I18N_Version(cellLanguage)</f>
        <v>#VALUE!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29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2:12" ht="15" customHeight="1" x14ac:dyDescent="0.25">
      <c r="C13" s="23" t="s">
        <v>194</v>
      </c>
      <c r="D13" s="23" t="s">
        <v>195</v>
      </c>
      <c r="E13" s="23" t="s">
        <v>196</v>
      </c>
      <c r="F13" s="23" t="s">
        <v>197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592</v>
      </c>
      <c r="F14" s="43" t="s">
        <v>593</v>
      </c>
      <c r="H14" s="10" t="str">
        <f>I18N_T(cellLanguage, "RF_Modify")</f>
        <v>Modifier</v>
      </c>
      <c r="I14" s="10" t="str">
        <f>I18N_T(cellLanguage, "RF_Duplicate")</f>
        <v>Dupliquer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594</v>
      </c>
      <c r="F15" s="43" t="s">
        <v>595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2:12" x14ac:dyDescent="0.25">
      <c r="C16" s="43">
        <v>52428858</v>
      </c>
      <c r="D16" s="43" t="s">
        <v>21</v>
      </c>
      <c r="E16" s="43" t="s">
        <v>596</v>
      </c>
      <c r="F16" s="43" t="s">
        <v>597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43">
        <v>52428847</v>
      </c>
      <c r="D17" s="43" t="s">
        <v>21</v>
      </c>
      <c r="E17" s="43" t="s">
        <v>598</v>
      </c>
      <c r="F17" s="43" t="s">
        <v>599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43">
        <v>52428855</v>
      </c>
      <c r="D18" s="43" t="s">
        <v>21</v>
      </c>
      <c r="E18" s="43" t="s">
        <v>600</v>
      </c>
      <c r="F18" s="43" t="s">
        <v>601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43">
        <v>52428853</v>
      </c>
      <c r="D19" s="43" t="s">
        <v>21</v>
      </c>
      <c r="E19" s="43" t="s">
        <v>602</v>
      </c>
      <c r="F19" s="43" t="s">
        <v>603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43">
        <v>52428851</v>
      </c>
      <c r="D20" s="43" t="s">
        <v>21</v>
      </c>
      <c r="E20" s="43" t="s">
        <v>604</v>
      </c>
      <c r="F20" s="43" t="s">
        <v>605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43">
        <v>52428848</v>
      </c>
      <c r="D21" s="43" t="s">
        <v>21</v>
      </c>
      <c r="E21" s="43" t="s">
        <v>606</v>
      </c>
      <c r="F21" s="43" t="s">
        <v>607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43">
        <v>52428841</v>
      </c>
      <c r="D22" s="43" t="s">
        <v>21</v>
      </c>
      <c r="E22" s="43" t="s">
        <v>608</v>
      </c>
      <c r="F22" s="43" t="s">
        <v>609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43">
        <v>52428840</v>
      </c>
      <c r="D23" s="43" t="s">
        <v>21</v>
      </c>
      <c r="E23" s="43" t="s">
        <v>610</v>
      </c>
      <c r="F23" s="43" t="s">
        <v>611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43">
        <v>52428838</v>
      </c>
      <c r="D24" s="43" t="s">
        <v>21</v>
      </c>
      <c r="E24" s="43" t="s">
        <v>612</v>
      </c>
      <c r="F24" s="43" t="s">
        <v>613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43">
        <v>52428832</v>
      </c>
      <c r="D25" s="43" t="s">
        <v>21</v>
      </c>
      <c r="E25" s="43" t="s">
        <v>614</v>
      </c>
      <c r="F25" s="43" t="s">
        <v>615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43">
        <v>52428830</v>
      </c>
      <c r="D26" s="43" t="s">
        <v>21</v>
      </c>
      <c r="E26" s="43" t="s">
        <v>616</v>
      </c>
      <c r="F26" s="43" t="s">
        <v>617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43">
        <v>52428829</v>
      </c>
      <c r="D27" s="43" t="s">
        <v>21</v>
      </c>
      <c r="E27" s="43" t="s">
        <v>618</v>
      </c>
      <c r="F27" s="43" t="s">
        <v>619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43">
        <v>52428827</v>
      </c>
      <c r="D28" s="43" t="s">
        <v>21</v>
      </c>
      <c r="E28" s="43" t="s">
        <v>620</v>
      </c>
      <c r="F28" s="43" t="s">
        <v>621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43">
        <v>79</v>
      </c>
      <c r="D29" s="43" t="s">
        <v>21</v>
      </c>
      <c r="E29" s="43" t="s">
        <v>622</v>
      </c>
      <c r="F29" s="43" t="s">
        <v>623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43">
        <v>77</v>
      </c>
      <c r="D30" s="43" t="s">
        <v>21</v>
      </c>
      <c r="E30" s="43" t="s">
        <v>624</v>
      </c>
      <c r="F30" s="43" t="s">
        <v>625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43">
        <v>55</v>
      </c>
      <c r="D31" s="43" t="s">
        <v>21</v>
      </c>
      <c r="E31" s="43" t="s">
        <v>626</v>
      </c>
      <c r="F31" s="43" t="s">
        <v>627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43">
        <v>67</v>
      </c>
      <c r="D32" s="43" t="s">
        <v>21</v>
      </c>
      <c r="E32" s="43" t="s">
        <v>628</v>
      </c>
      <c r="F32" s="43" t="s">
        <v>629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3" x14ac:dyDescent="0.25">
      <c r="C33" s="43">
        <v>68</v>
      </c>
      <c r="D33" s="43" t="s">
        <v>21</v>
      </c>
      <c r="E33" s="43" t="s">
        <v>630</v>
      </c>
      <c r="F33" s="43" t="s">
        <v>631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3" x14ac:dyDescent="0.25">
      <c r="C34" s="43">
        <v>69</v>
      </c>
      <c r="D34" s="43" t="s">
        <v>21</v>
      </c>
      <c r="E34" s="43" t="s">
        <v>632</v>
      </c>
      <c r="F34" s="43" t="s">
        <v>633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3" x14ac:dyDescent="0.25">
      <c r="C35" s="43">
        <v>56</v>
      </c>
      <c r="D35" s="43" t="s">
        <v>21</v>
      </c>
      <c r="E35" s="43" t="s">
        <v>634</v>
      </c>
      <c r="F35" s="43" t="s">
        <v>635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3" x14ac:dyDescent="0.25">
      <c r="C36" s="43">
        <v>52428802</v>
      </c>
      <c r="D36" s="43" t="s">
        <v>21</v>
      </c>
      <c r="E36" s="43" t="s">
        <v>636</v>
      </c>
      <c r="F36" s="43" t="s">
        <v>637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3" x14ac:dyDescent="0.25">
      <c r="C37" s="43">
        <v>71</v>
      </c>
      <c r="D37" s="43" t="s">
        <v>21</v>
      </c>
      <c r="E37" s="43" t="s">
        <v>638</v>
      </c>
      <c r="F37" s="43" t="s">
        <v>639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3" x14ac:dyDescent="0.25">
      <c r="C38" s="43">
        <v>73</v>
      </c>
      <c r="D38" s="43" t="s">
        <v>21</v>
      </c>
      <c r="E38" s="43" t="s">
        <v>640</v>
      </c>
      <c r="F38" s="43" t="s">
        <v>641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3" x14ac:dyDescent="0.25">
      <c r="C39" s="43">
        <v>61</v>
      </c>
      <c r="D39" s="43" t="s">
        <v>21</v>
      </c>
      <c r="E39" s="43" t="s">
        <v>642</v>
      </c>
      <c r="F39" s="43" t="s">
        <v>643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3" x14ac:dyDescent="0.25">
      <c r="C40" s="43">
        <v>59</v>
      </c>
      <c r="D40" s="43" t="s">
        <v>21</v>
      </c>
      <c r="E40" s="43" t="s">
        <v>644</v>
      </c>
      <c r="F40" s="43" t="s">
        <v>645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3" x14ac:dyDescent="0.25">
      <c r="C41" s="43">
        <v>60</v>
      </c>
      <c r="D41" s="43" t="s">
        <v>21</v>
      </c>
      <c r="E41" s="43" t="s">
        <v>646</v>
      </c>
      <c r="F41" s="43" t="s">
        <v>647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3" x14ac:dyDescent="0.25">
      <c r="C42" s="43">
        <v>52428892</v>
      </c>
      <c r="D42" s="43" t="s">
        <v>22</v>
      </c>
      <c r="E42" s="43" t="s">
        <v>592</v>
      </c>
      <c r="F42" s="43" t="s">
        <v>760</v>
      </c>
      <c r="H42" s="10" t="str">
        <f>I18N_T(cellLanguage, "RF_Modify")</f>
        <v>Modifier</v>
      </c>
      <c r="I42" s="10" t="str">
        <f>I18N_T(cellLanguage, "RF_Duplicate")</f>
        <v>Dupliquer</v>
      </c>
      <c r="J42" s="12"/>
    </row>
    <row r="43" spans="3:13" x14ac:dyDescent="0.25">
      <c r="C43"/>
      <c r="D43"/>
      <c r="E43"/>
      <c r="F43"/>
      <c r="H43"/>
      <c r="I43"/>
      <c r="J43" s="12"/>
    </row>
    <row r="44" spans="3:13" x14ac:dyDescent="0.25">
      <c r="C44"/>
      <c r="D44"/>
      <c r="E44"/>
      <c r="F44"/>
      <c r="H44"/>
      <c r="I44"/>
      <c r="J44" s="12"/>
    </row>
    <row r="45" spans="3:13" x14ac:dyDescent="0.25">
      <c r="C45"/>
      <c r="D45"/>
      <c r="E45"/>
      <c r="F45"/>
      <c r="H45"/>
      <c r="I45"/>
      <c r="J45" s="12"/>
    </row>
    <row r="46" spans="3:13" x14ac:dyDescent="0.25">
      <c r="C46"/>
      <c r="D46"/>
      <c r="E46"/>
      <c r="F46"/>
      <c r="H46"/>
      <c r="I46"/>
      <c r="J46" s="12"/>
    </row>
    <row r="47" spans="3:13" x14ac:dyDescent="0.25">
      <c r="C47"/>
      <c r="D47"/>
      <c r="E47"/>
      <c r="F47"/>
      <c r="H47"/>
      <c r="I47"/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39" x14ac:dyDescent="0.25">
      <c r="AD65"/>
    </row>
    <row r="66" spans="30:39" x14ac:dyDescent="0.25">
      <c r="AE66"/>
    </row>
    <row r="67" spans="30:39" x14ac:dyDescent="0.25">
      <c r="AF67"/>
    </row>
    <row r="68" spans="30:39" x14ac:dyDescent="0.25">
      <c r="AG68"/>
    </row>
    <row r="69" spans="30:39" x14ac:dyDescent="0.25">
      <c r="AH69"/>
    </row>
    <row r="70" spans="30:39" x14ac:dyDescent="0.25">
      <c r="AI70"/>
    </row>
    <row r="71" spans="30:39" x14ac:dyDescent="0.25">
      <c r="AJ71"/>
    </row>
    <row r="72" spans="30:39" x14ac:dyDescent="0.25">
      <c r="AK72"/>
    </row>
    <row r="73" spans="30:39" x14ac:dyDescent="0.25">
      <c r="AL73"/>
    </row>
    <row r="74" spans="30:39" x14ac:dyDescent="0.25">
      <c r="AM74"/>
    </row>
  </sheetData>
  <sheetProtection sheet="1" objects="1" scenarios="1" formatCells="0" formatColumns="0" formatRows="0" insertRows="0" sort="0" autoFilter="0"/>
  <hyperlinks>
    <hyperlink ref="D10" location="C3" tooltip=" " display="C3" xr:uid="{1DE29D81-A51C-4BA1-8E0B-FE37A8FBBEF5}"/>
    <hyperlink ref="H14" location="C3" tooltip=" " display="C3" xr:uid="{73AAA0D7-70B7-4054-96E2-09C0A4C308B1}"/>
    <hyperlink ref="I14" location="C3" tooltip=" " display="C3" xr:uid="{5FBD5DE0-0A98-4512-8F62-6CC55A1F7246}"/>
    <hyperlink ref="H15" location="C3" tooltip=" " display="C3" xr:uid="{33070D18-F34D-4385-B913-14ECE70433C1}"/>
    <hyperlink ref="H16" location="C3" tooltip=" " display="C3" xr:uid="{7E0FE4A8-AA15-4FBB-8990-727C6BA57B4F}"/>
    <hyperlink ref="H17" location="C3" tooltip=" " display="C3" xr:uid="{DFADEE2C-6446-4A3C-B46C-41700193A398}"/>
    <hyperlink ref="H18" location="C3" tooltip=" " display="C3" xr:uid="{3708639B-4D1E-488A-B697-2A0152FF2C71}"/>
    <hyperlink ref="H19" location="C3" tooltip=" " display="C3" xr:uid="{2F5EF6C9-1D6E-497A-AF08-483A594D4D8B}"/>
    <hyperlink ref="H20" location="C3" tooltip=" " display="C3" xr:uid="{CC24D9C7-BE79-443E-B095-1F10278A45E9}"/>
    <hyperlink ref="H21" location="C3" tooltip=" " display="C3" xr:uid="{C1D2778F-C2A5-40D9-B75A-4F8AE528C5C5}"/>
    <hyperlink ref="H22" location="C3" tooltip=" " display="C3" xr:uid="{DA370DF4-7751-4318-800A-DCBBBDFF4247}"/>
    <hyperlink ref="H23" location="C3" tooltip=" " display="C3" xr:uid="{EDADE107-018C-41DE-9B48-AE447F319C6C}"/>
    <hyperlink ref="H24" location="C3" tooltip=" " display="C3" xr:uid="{5F43C530-73FF-4158-B6A2-31936CFCC7C6}"/>
    <hyperlink ref="H25" location="C3" tooltip=" " display="C3" xr:uid="{C8A140E1-01E6-4796-81D6-F5FEAD5977B5}"/>
    <hyperlink ref="H26" location="C3" tooltip=" " display="C3" xr:uid="{BB3CD526-6C2C-4228-86B0-004D6EABDEDC}"/>
    <hyperlink ref="H27" location="C3" tooltip=" " display="C3" xr:uid="{C045D132-90E4-48A8-8394-496FD9F101BC}"/>
    <hyperlink ref="H28" location="C3" tooltip=" " display="C3" xr:uid="{AED9C615-0A80-4862-AB08-6791C2B42C45}"/>
    <hyperlink ref="H29" location="C3" tooltip=" " display="C3" xr:uid="{56670576-3FB1-4398-B762-8D6637997696}"/>
    <hyperlink ref="H30" location="C3" tooltip=" " display="C3" xr:uid="{C9367833-640A-4C0E-9A99-D775F7D4F13A}"/>
    <hyperlink ref="H31" location="C3" tooltip=" " display="C3" xr:uid="{DC62EEE2-0466-478D-8EC5-20F31F60EB1E}"/>
    <hyperlink ref="H32" location="C3" tooltip=" " display="C3" xr:uid="{DF36E661-A7E8-4ECF-9D31-92E96830FCE1}"/>
    <hyperlink ref="H33" location="C3" tooltip=" " display="C3" xr:uid="{2F6BF809-BD1A-4B99-91FC-AC7D05A56C98}"/>
    <hyperlink ref="H34" location="C3" tooltip=" " display="C3" xr:uid="{1820DDF9-6543-4DD3-8F05-7104D03A1D03}"/>
    <hyperlink ref="H35" location="C3" tooltip=" " display="C3" xr:uid="{E6D06402-96D4-4CA7-882D-81A86DD73400}"/>
    <hyperlink ref="H36" location="C3" tooltip=" " display="C3" xr:uid="{52FC2225-5C39-4E8B-81DA-AB3F13534DC6}"/>
    <hyperlink ref="H37" location="C3" tooltip=" " display="C3" xr:uid="{7F40F690-8503-4819-963D-817FE75D3300}"/>
    <hyperlink ref="H38" location="C3" tooltip=" " display="C3" xr:uid="{9A7FAF89-F392-439D-AEF4-FA652D0037D2}"/>
    <hyperlink ref="H39" location="C3" tooltip=" " display="C3" xr:uid="{895B274D-4CF7-48BB-AEF9-0F3BF0EA5E7A}"/>
    <hyperlink ref="H40" location="C3" tooltip=" " display="C3" xr:uid="{38A23251-53D2-427A-83AE-690FCF92033B}"/>
    <hyperlink ref="H41" location="C3" tooltip=" " display="C3" xr:uid="{2A813B80-0CDF-4764-9487-6BCF2F06CFE4}"/>
    <hyperlink ref="H42" location="C3" tooltip=" " display="C3" xr:uid="{C51003B5-08B6-4545-BA7C-6139AEB3ED18}"/>
    <hyperlink ref="I15" location="C3" tooltip=" " display="C3" xr:uid="{731BDD2F-CAA2-45BB-98B4-7AFBB0EF2C29}"/>
    <hyperlink ref="I16" location="C3" tooltip=" " display="C3" xr:uid="{9FF3BFE2-94D7-4294-B9A5-2D7E5C3EDE9A}"/>
    <hyperlink ref="I17" location="C3" tooltip=" " display="C3" xr:uid="{AFC9F7F0-DD42-42A3-8F15-D3EA893B51A1}"/>
    <hyperlink ref="I18" location="C3" tooltip=" " display="C3" xr:uid="{281AE4D4-DEEF-4299-AEB6-C1D3C12DAE99}"/>
    <hyperlink ref="I19" location="C3" tooltip=" " display="C3" xr:uid="{32A80E4B-DC4E-49FB-93F4-384205E1597A}"/>
    <hyperlink ref="I20" location="C3" tooltip=" " display="C3" xr:uid="{B2F3B411-71E3-4C5A-8378-10737B5C8EF8}"/>
    <hyperlink ref="I21" location="C3" tooltip=" " display="C3" xr:uid="{143AC72D-F1C6-4630-A43C-4B3DD0678AA9}"/>
    <hyperlink ref="I22" location="C3" tooltip=" " display="C3" xr:uid="{8EDC28F6-579A-438A-ABBA-26F4D516E695}"/>
    <hyperlink ref="I23" location="C3" tooltip=" " display="C3" xr:uid="{D800D576-6010-4300-8B11-B5E809F1929A}"/>
    <hyperlink ref="I24" location="C3" tooltip=" " display="C3" xr:uid="{874A9780-1D94-49B0-8B32-D2D10B2AACCE}"/>
    <hyperlink ref="I25" location="C3" tooltip=" " display="C3" xr:uid="{FE669EDE-3AF8-49B7-A870-063B0E890393}"/>
    <hyperlink ref="I26" location="C3" tooltip=" " display="C3" xr:uid="{6FBAF3F0-EA6C-4C0B-8940-DA356D51B1A2}"/>
    <hyperlink ref="I27" location="C3" tooltip=" " display="C3" xr:uid="{E67FB736-E94D-496C-94B3-F05BA1FDDC0D}"/>
    <hyperlink ref="I28" location="C3" tooltip=" " display="C3" xr:uid="{412209EB-A1FD-45CE-B83F-20D2A67EEE05}"/>
    <hyperlink ref="I29" location="C3" tooltip=" " display="C3" xr:uid="{9CA160AD-E9B9-456C-BF0F-5CB9E6F3822C}"/>
    <hyperlink ref="I30" location="C3" tooltip=" " display="C3" xr:uid="{6CA1D202-4E4D-4675-83A4-1307F4795549}"/>
    <hyperlink ref="I31" location="C3" tooltip=" " display="C3" xr:uid="{9F01608B-CC78-43D8-AFF4-FDF486C7235D}"/>
    <hyperlink ref="I32" location="C3" tooltip=" " display="C3" xr:uid="{2471442B-2D42-4C33-8604-6CB3C58B985F}"/>
    <hyperlink ref="I33" location="C3" tooltip=" " display="C3" xr:uid="{0B213293-B7E2-477A-B252-E4198EC6467D}"/>
    <hyperlink ref="I34" location="C3" tooltip=" " display="C3" xr:uid="{C81B93AC-FBFC-4DAE-9158-69B0F2E29796}"/>
    <hyperlink ref="I35" location="C3" tooltip=" " display="C3" xr:uid="{7D19B7FE-4988-46B4-80D8-D34766E2250D}"/>
    <hyperlink ref="I36" location="C3" tooltip=" " display="C3" xr:uid="{8BE8C9F2-4B0A-4304-B9E0-852658C448A7}"/>
    <hyperlink ref="I37" location="C3" tooltip=" " display="C3" xr:uid="{F2FE5598-4AA1-460C-83E3-62C9A32D49D0}"/>
    <hyperlink ref="I38" location="C3" tooltip=" " display="C3" xr:uid="{02AB21C6-8713-4A69-80FD-67D8B422DF57}"/>
    <hyperlink ref="I39" location="C3" tooltip=" " display="C3" xr:uid="{C8B51748-9880-41C8-9FFD-D42A58CAFDC7}"/>
    <hyperlink ref="I40" location="C3" tooltip=" " display="C3" xr:uid="{AC88008E-58D3-4EF7-916A-0A6DCB2C5EC9}"/>
    <hyperlink ref="I41" location="C3" tooltip=" " display="C3" xr:uid="{474E316A-AA77-40F2-989D-6E1F20641CE3}"/>
    <hyperlink ref="I42" location="C3" tooltip=" " display="C3" xr:uid="{A2CB9D8B-5119-497E-8915-7AA37BA5D320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78AEA-8C9D-40D2-BC6F-D2CFE12B43A7}">
  <sheetPr codeName="Feuil2">
    <outlinePr summaryRight="0"/>
  </sheetPr>
  <dimension ref="B2:CF6"/>
  <sheetViews>
    <sheetView showGridLines="0" tabSelected="1" workbookViewId="0">
      <selection activeCell="E6" sqref="E6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6.7109375" style="17"/>
  </cols>
  <sheetData>
    <row r="2" spans="2:84" x14ac:dyDescent="0.25">
      <c r="B2" s="51" t="e">
        <f>I18N_T(cellLanguage, "RF_Save")</f>
        <v>#VALUE!</v>
      </c>
    </row>
    <row r="3" spans="2:84" x14ac:dyDescent="0.25">
      <c r="C3" s="41">
        <f>SUBTOTAL(103, tReporting52428888[[ 2]])</f>
        <v>1</v>
      </c>
    </row>
    <row r="4" spans="2:84" hidden="1" x14ac:dyDescent="0.25">
      <c r="B4" s="46" t="e">
        <f>I18N_T(cellLanguage, "RF_Reporting")</f>
        <v>#VALUE!</v>
      </c>
      <c r="C4" s="47" t="e">
        <f>I18N_T(cellLanguage, "RF_Phase")</f>
        <v>#VALUE!</v>
      </c>
      <c r="D4" s="47" t="e">
        <f>I18N_T(cellLanguage, "RF_UpdatePeriod")</f>
        <v>#VALUE!</v>
      </c>
      <c r="E4" s="47" t="e">
        <f>I18N_T(cellLanguage, "RF_FrameworkVersion")</f>
        <v>#VALUE!</v>
      </c>
      <c r="F4" s="47" t="e">
        <f>I18N_T(cellLanguage, "RF_Start")</f>
        <v>#VALUE!</v>
      </c>
      <c r="G4" s="47" t="e">
        <f>I18N_T(cellLanguage, "RF_End")</f>
        <v>#VALUE!</v>
      </c>
      <c r="H4" s="47" t="e">
        <f>I18N_T(cellLanguage, "RF_RepDesc")</f>
        <v>#VALUE!</v>
      </c>
      <c r="I4" s="47" t="e">
        <f>I18N_T(cellLanguage, "RF_RepPack")</f>
        <v>#VALUE!</v>
      </c>
      <c r="J4" s="47" t="e">
        <f>I18N_T(cellLanguage, "RF_UseDefaultWindowsFolder")</f>
        <v>#VALUE!</v>
      </c>
      <c r="K4" s="47" t="e">
        <f>I18N_T(cellLanguage, "RF_WindowsFolder")</f>
        <v>#VALUE!</v>
      </c>
      <c r="L4" s="47" t="e">
        <f>I18N_T(cellLanguage, "RF_UseDefaultInternetFolder")</f>
        <v>#VALUE!</v>
      </c>
      <c r="M4" s="47" t="e">
        <f>I18N_T(cellLanguage, "RF_InternetFolder")</f>
        <v>#VALUE!</v>
      </c>
      <c r="N4" s="47" t="e">
        <f>I18N_T(cellLanguage, "RF_UseDefaultSetOfControls")</f>
        <v>#VALUE!</v>
      </c>
      <c r="O4" s="47" t="e">
        <f>I18N_T(cellLanguage, "RF_SetOfControls")</f>
        <v>#VALUE!</v>
      </c>
      <c r="P4" s="47" t="e">
        <f>I18N_T(cellLanguage, "RF_UseDefaultLevel")</f>
        <v>#VALUE!</v>
      </c>
      <c r="Q4" s="47" t="e">
        <f>I18N_T(cellLanguage, "RF_LevelToReach")</f>
        <v>#VALUE!</v>
      </c>
      <c r="R4" s="47" t="e">
        <f>I18N_T(cellLanguage, "RF_Blocking")</f>
        <v>#VALUE!</v>
      </c>
      <c r="S4" s="47" t="e">
        <f>I18N_T(cellLanguage, "RF_UseDefaultLock")</f>
        <v>#VALUE!</v>
      </c>
      <c r="T4" s="47" t="e">
        <f>I18N_T(cellLanguage, "RF_LockOnPublication")</f>
        <v>#VALUE!</v>
      </c>
      <c r="U4" s="47" t="e">
        <f>I18N_T(cellLanguage, "RF_UseDefaultRuleSet")</f>
        <v>#VALUE!</v>
      </c>
      <c r="V4" s="47" t="e">
        <f>I18N_T(cellLanguage, "RF_RuleSet")</f>
        <v>#VALUE!</v>
      </c>
      <c r="W4" s="47" t="e">
        <f>I18N_T(cellLanguage, "RF_UseDefaultOpbal")</f>
        <v>#VALUE!</v>
      </c>
      <c r="X4" s="47" t="e">
        <f>I18N_T(cellLanguage, "RF_HasOpBal")</f>
        <v>#VALUE!</v>
      </c>
      <c r="Y4" s="47" t="e">
        <f>I18N_T(cellLanguage, "RF_OpbPhase")</f>
        <v>#VALUE!</v>
      </c>
      <c r="Z4" s="47" t="e">
        <f>I18N_T(cellLanguage, "RF_OpbUpdatePeriod")</f>
        <v>#VALUE!</v>
      </c>
      <c r="AA4" s="47" t="e">
        <f>I18N_T(cellLanguage, "RF_OpbScope")</f>
        <v>#VALUE!</v>
      </c>
      <c r="AB4" s="47" t="e">
        <f>I18N_T(cellLanguage, "RF_OpbVariant")</f>
        <v>#VALUE!</v>
      </c>
      <c r="AC4" s="47" t="e">
        <f>I18N_T(cellLanguage, "RF_OpbConsCurrency")</f>
        <v>#VALUE!</v>
      </c>
      <c r="AD4" s="47" t="e">
        <f>I18N_T(cellLanguage, "RF_RepOp")</f>
        <v>#VALUE!</v>
      </c>
      <c r="AE4" s="47" t="e">
        <f>I18N_T(cellLanguage, "RF_CutoffDate")</f>
        <v>#VALUE!</v>
      </c>
      <c r="AF4" s="47" t="e">
        <f>I18N_T(cellLanguage, "RF_EarlyPublishing")</f>
        <v>#VALUE!</v>
      </c>
      <c r="AG4" s="47" t="e">
        <f>I18N_T(cellLanguage, "RF_RepOpAftPub")</f>
        <v>#VALUE!</v>
      </c>
      <c r="AH4" s="47" t="e">
        <f>I18N_T(cellLanguage, "RF_RepOpAftPubStd")</f>
        <v>#VALUE!</v>
      </c>
      <c r="AI4" s="47" t="e">
        <f>I18N_T(cellLanguage, "RF_RepOpAftPubSpe")</f>
        <v>#VALUE!</v>
      </c>
      <c r="AJ4" s="47" t="e">
        <f>I18N_T(cellLanguage, "RF_RepOpAftPubAdv")</f>
        <v>#VALUE!</v>
      </c>
      <c r="AK4" s="47" t="e">
        <f>I18N_T(cellLanguage, "RF_RepOpAftPubLvl")</f>
        <v>#VALUE!</v>
      </c>
      <c r="AL4" s="47" t="e">
        <f>I18N_T(cellLanguage, "RF_RepOpAftTran")</f>
        <v>#VALUE!</v>
      </c>
      <c r="AM4" s="47" t="e">
        <f>I18N_T(cellLanguage, "RF_RepOpAftTranStd")</f>
        <v>#VALUE!</v>
      </c>
      <c r="AN4" s="47" t="e">
        <f>I18N_T(cellLanguage, "RF_RepOpAftTranSpe")</f>
        <v>#VALUE!</v>
      </c>
      <c r="AO4" s="47" t="e">
        <f>I18N_T(cellLanguage, "RF_RepOpAftTranAdv")</f>
        <v>#VALUE!</v>
      </c>
      <c r="AP4" s="47" t="e">
        <f>I18N_T(cellLanguage, "RF_RepOpAftTranLvl")</f>
        <v>#VALUE!</v>
      </c>
      <c r="AQ4" s="47" t="e">
        <f>I18N_T(cellLanguage, "RF_Entity")</f>
        <v>#VALUE!</v>
      </c>
      <c r="AR4" s="47" t="e">
        <f>I18N_T(cellLanguage, "RF_Entity2")</f>
        <v>#VALUE!</v>
      </c>
      <c r="AS4" s="47" t="e">
        <f>I18N_T(cellLanguage, "RF_InputCurrency")</f>
        <v>#VALUE!</v>
      </c>
      <c r="AT4" s="47" t="e">
        <f>I18N_T(cellLanguage, "RF_InputSite")</f>
        <v>#VALUE!</v>
      </c>
      <c r="AU4" s="47" t="e">
        <f>I18N_T(cellLanguage, "RF_PublicationSite")</f>
        <v>#VALUE!</v>
      </c>
      <c r="AV4" s="47" t="e">
        <f>I18N_T(cellLanguage, "RF_EntPack")</f>
        <v>#VALUE!</v>
      </c>
      <c r="AW4" s="47" t="e">
        <f>I18N_T(cellLanguage, "RF_EntUseDefaultWindowsFolder")</f>
        <v>#VALUE!</v>
      </c>
      <c r="AX4" s="47" t="e">
        <f>I18N_T(cellLanguage, "RF_EntWindowsFolder")</f>
        <v>#VALUE!</v>
      </c>
      <c r="AY4" s="47" t="e">
        <f>I18N_T(cellLanguage, "RF_EntUseDefaultInternetFolder")</f>
        <v>#VALUE!</v>
      </c>
      <c r="AZ4" s="47" t="e">
        <f>I18N_T(cellLanguage, "RF_EntInternetFolder")</f>
        <v>#VALUE!</v>
      </c>
      <c r="BA4" s="47" t="e">
        <f>I18N_T(cellLanguage, "RF_EntUseDefaultSetOfControls")</f>
        <v>#VALUE!</v>
      </c>
      <c r="BB4" s="47" t="e">
        <f>I18N_T(cellLanguage, "RF_EntSetOfControls")</f>
        <v>#VALUE!</v>
      </c>
      <c r="BC4" s="47" t="e">
        <f>I18N_T(cellLanguage, "RF_EntUseDefaultLevel")</f>
        <v>#VALUE!</v>
      </c>
      <c r="BD4" s="47" t="e">
        <f>I18N_T(cellLanguage, "RF_EntLevelToReach")</f>
        <v>#VALUE!</v>
      </c>
      <c r="BE4" s="47" t="e">
        <f>I18N_T(cellLanguage, "RF_EntBlocking")</f>
        <v>#VALUE!</v>
      </c>
      <c r="BF4" s="47" t="e">
        <f>I18N_T(cellLanguage, "RF_EntUseDefaultLock")</f>
        <v>#VALUE!</v>
      </c>
      <c r="BG4" s="47" t="e">
        <f>I18N_T(cellLanguage, "RF_EntLockOnPublication")</f>
        <v>#VALUE!</v>
      </c>
      <c r="BH4" s="47" t="e">
        <f>I18N_T(cellLanguage, "RF_EntUseDefaultRuleSet")</f>
        <v>#VALUE!</v>
      </c>
      <c r="BI4" s="47" t="e">
        <f>I18N_T(cellLanguage, "RF_EntRuleSet")</f>
        <v>#VALUE!</v>
      </c>
      <c r="BJ4" s="47" t="e">
        <f>I18N_T(cellLanguage, "RF_EntUseDefaultOpbal")</f>
        <v>#VALUE!</v>
      </c>
      <c r="BK4" s="47" t="e">
        <f>I18N_T(cellLanguage, "RF_EntHasOpBal")</f>
        <v>#VALUE!</v>
      </c>
      <c r="BL4" s="47" t="e">
        <f>I18N_T(cellLanguage, "RF_EntOpbPhase")</f>
        <v>#VALUE!</v>
      </c>
      <c r="BM4" s="47" t="e">
        <f>I18N_T(cellLanguage, "RF_EntOpbUpdatePeriod")</f>
        <v>#VALUE!</v>
      </c>
      <c r="BN4" s="47" t="e">
        <f>I18N_T(cellLanguage, "RF_EntOpbScope")</f>
        <v>#VALUE!</v>
      </c>
      <c r="BO4" s="47" t="e">
        <f>I18N_T(cellLanguage, "RF_EntOpbVariant")</f>
        <v>#VALUE!</v>
      </c>
      <c r="BP4" s="47" t="e">
        <f>I18N_T(cellLanguage, "RF_EntOpbConsCurrency")</f>
        <v>#VALUE!</v>
      </c>
      <c r="BQ4" s="47" t="e">
        <f>I18N_T(cellLanguage, "RF_EntOp")</f>
        <v>#VALUE!</v>
      </c>
      <c r="BR4" s="47" t="e">
        <f>I18N_T(cellLanguage, "RF_EntUseDefaultPublish")</f>
        <v>#VALUE!</v>
      </c>
      <c r="BS4" s="47" t="e">
        <f>I18N_T(cellLanguage, "RF_EntPackPublishingCutOffDate")</f>
        <v>#VALUE!</v>
      </c>
      <c r="BT4" s="47" t="e">
        <f>I18N_T(cellLanguage, "RF_EntAllowEarlyPublishing")</f>
        <v>#VALUE!</v>
      </c>
      <c r="BU4" s="47" t="e">
        <f>I18N_T(cellLanguage, "RF_EntOpAftPub")</f>
        <v>#VALUE!</v>
      </c>
      <c r="BV4" s="47" t="e">
        <f>I18N_T(cellLanguage, "RF_EntUseDefaultAfterPub")</f>
        <v>#VALUE!</v>
      </c>
      <c r="BW4" s="47" t="e">
        <f>I18N_T(cellLanguage, "RF_EntAftPubStandard")</f>
        <v>#VALUE!</v>
      </c>
      <c r="BX4" s="47" t="e">
        <f>I18N_T(cellLanguage, "RF_EntAftPubSpecial")</f>
        <v>#VALUE!</v>
      </c>
      <c r="BY4" s="47" t="e">
        <f>I18N_T(cellLanguage, "RF_EntAftPubAdvanced")</f>
        <v>#VALUE!</v>
      </c>
      <c r="BZ4" s="47" t="e">
        <f>I18N_T(cellLanguage, "RF_EntAftPubLevel")</f>
        <v>#VALUE!</v>
      </c>
      <c r="CA4" s="47" t="e">
        <f>I18N_T(cellLanguage, "RF_EntOpAftTran")</f>
        <v>#VALUE!</v>
      </c>
      <c r="CB4" s="47" t="e">
        <f>I18N_T(cellLanguage, "RF_EntUseDefaultAfterTran")</f>
        <v>#VALUE!</v>
      </c>
      <c r="CC4" s="47" t="e">
        <f>I18N_T(cellLanguage, "RF_EntAftTranStandard")</f>
        <v>#VALUE!</v>
      </c>
      <c r="CD4" s="47" t="e">
        <f>I18N_T(cellLanguage, "RF_EntAftTranSpecial")</f>
        <v>#VALUE!</v>
      </c>
      <c r="CE4" s="47" t="e">
        <f>I18N_T(cellLanguage, "RF_EntAftTranAdvanced")</f>
        <v>#VALUE!</v>
      </c>
      <c r="CF4" s="48" t="e">
        <f>I18N_T(cellLanguage, "RF_EntAftTranLevel")</f>
        <v>#VALUE!</v>
      </c>
    </row>
    <row r="5" spans="2:84" ht="66" customHeight="1" x14ac:dyDescent="0.25">
      <c r="B5" s="45" t="s">
        <v>194</v>
      </c>
      <c r="C5" s="45" t="s">
        <v>195</v>
      </c>
      <c r="D5" s="45" t="s">
        <v>196</v>
      </c>
      <c r="E5" s="45" t="s">
        <v>197</v>
      </c>
      <c r="F5" s="45" t="s">
        <v>648</v>
      </c>
      <c r="G5" s="45" t="s">
        <v>649</v>
      </c>
      <c r="H5" s="45" t="s">
        <v>650</v>
      </c>
      <c r="I5" s="45" t="s">
        <v>651</v>
      </c>
      <c r="J5" s="45" t="s">
        <v>652</v>
      </c>
      <c r="K5" s="45" t="s">
        <v>653</v>
      </c>
      <c r="L5" s="45" t="s">
        <v>654</v>
      </c>
      <c r="M5" s="45" t="s">
        <v>655</v>
      </c>
      <c r="N5" s="45" t="s">
        <v>656</v>
      </c>
      <c r="O5" s="45" t="s">
        <v>657</v>
      </c>
      <c r="P5" s="45" t="s">
        <v>658</v>
      </c>
      <c r="Q5" s="45" t="s">
        <v>659</v>
      </c>
      <c r="R5" s="45" t="s">
        <v>660</v>
      </c>
      <c r="S5" s="45" t="s">
        <v>661</v>
      </c>
      <c r="T5" s="45" t="s">
        <v>662</v>
      </c>
      <c r="U5" s="45" t="s">
        <v>663</v>
      </c>
      <c r="V5" s="45" t="s">
        <v>664</v>
      </c>
      <c r="W5" s="45" t="s">
        <v>665</v>
      </c>
      <c r="X5" s="45" t="s">
        <v>666</v>
      </c>
      <c r="Y5" s="45" t="s">
        <v>667</v>
      </c>
      <c r="Z5" s="45" t="s">
        <v>668</v>
      </c>
      <c r="AA5" s="45" t="s">
        <v>669</v>
      </c>
      <c r="AB5" s="45" t="s">
        <v>670</v>
      </c>
      <c r="AC5" s="45" t="s">
        <v>671</v>
      </c>
      <c r="AD5" s="45" t="s">
        <v>672</v>
      </c>
      <c r="AE5" s="45" t="s">
        <v>673</v>
      </c>
      <c r="AF5" s="45" t="s">
        <v>674</v>
      </c>
      <c r="AG5" s="45" t="s">
        <v>675</v>
      </c>
      <c r="AH5" s="45" t="s">
        <v>676</v>
      </c>
      <c r="AI5" s="45" t="s">
        <v>677</v>
      </c>
      <c r="AJ5" s="45" t="s">
        <v>678</v>
      </c>
      <c r="AK5" s="45" t="s">
        <v>679</v>
      </c>
      <c r="AL5" s="45" t="s">
        <v>680</v>
      </c>
      <c r="AM5" s="45" t="s">
        <v>681</v>
      </c>
      <c r="AN5" s="45" t="s">
        <v>682</v>
      </c>
      <c r="AO5" s="45" t="s">
        <v>683</v>
      </c>
      <c r="AP5" s="45" t="s">
        <v>684</v>
      </c>
      <c r="AQ5" s="45" t="s">
        <v>685</v>
      </c>
      <c r="AR5" s="45" t="s">
        <v>686</v>
      </c>
      <c r="AS5" s="45" t="s">
        <v>687</v>
      </c>
      <c r="AT5" s="45" t="s">
        <v>688</v>
      </c>
      <c r="AU5" s="45" t="s">
        <v>689</v>
      </c>
      <c r="AV5" s="45" t="s">
        <v>690</v>
      </c>
      <c r="AW5" s="45" t="s">
        <v>691</v>
      </c>
      <c r="AX5" s="45" t="s">
        <v>692</v>
      </c>
      <c r="AY5" s="45" t="s">
        <v>693</v>
      </c>
      <c r="AZ5" s="45" t="s">
        <v>694</v>
      </c>
      <c r="BA5" s="45" t="s">
        <v>695</v>
      </c>
      <c r="BB5" s="45" t="s">
        <v>696</v>
      </c>
      <c r="BC5" s="45" t="s">
        <v>697</v>
      </c>
      <c r="BD5" s="45" t="s">
        <v>698</v>
      </c>
      <c r="BE5" s="45" t="s">
        <v>699</v>
      </c>
      <c r="BF5" s="45" t="s">
        <v>700</v>
      </c>
      <c r="BG5" s="45" t="s">
        <v>701</v>
      </c>
      <c r="BH5" s="45" t="s">
        <v>702</v>
      </c>
      <c r="BI5" s="45" t="s">
        <v>703</v>
      </c>
      <c r="BJ5" s="45" t="s">
        <v>704</v>
      </c>
      <c r="BK5" s="45" t="s">
        <v>705</v>
      </c>
      <c r="BL5" s="45" t="s">
        <v>706</v>
      </c>
      <c r="BM5" s="45" t="s">
        <v>707</v>
      </c>
      <c r="BN5" s="45" t="s">
        <v>708</v>
      </c>
      <c r="BO5" s="45" t="s">
        <v>709</v>
      </c>
      <c r="BP5" s="45" t="s">
        <v>710</v>
      </c>
      <c r="BQ5" s="45" t="s">
        <v>711</v>
      </c>
      <c r="BR5" s="45" t="s">
        <v>712</v>
      </c>
      <c r="BS5" s="45" t="s">
        <v>713</v>
      </c>
      <c r="BT5" s="45" t="s">
        <v>714</v>
      </c>
      <c r="BU5" s="45" t="s">
        <v>715</v>
      </c>
      <c r="BV5" s="45" t="s">
        <v>716</v>
      </c>
      <c r="BW5" s="45" t="s">
        <v>717</v>
      </c>
      <c r="BX5" s="45" t="s">
        <v>718</v>
      </c>
      <c r="BY5" s="45" t="s">
        <v>719</v>
      </c>
      <c r="BZ5" s="45" t="s">
        <v>720</v>
      </c>
      <c r="CA5" s="45" t="s">
        <v>721</v>
      </c>
      <c r="CB5" s="45" t="s">
        <v>722</v>
      </c>
      <c r="CC5" s="45" t="s">
        <v>723</v>
      </c>
      <c r="CD5" s="45" t="s">
        <v>724</v>
      </c>
      <c r="CE5" s="45" t="s">
        <v>725</v>
      </c>
      <c r="CF5" s="45" t="s">
        <v>726</v>
      </c>
    </row>
    <row r="6" spans="2:84" x14ac:dyDescent="0.25">
      <c r="B6" s="49"/>
      <c r="C6" s="49" t="s">
        <v>21</v>
      </c>
      <c r="D6" s="49" t="s">
        <v>592</v>
      </c>
      <c r="E6" s="49" t="s">
        <v>778</v>
      </c>
      <c r="F6" s="49" t="s">
        <v>729</v>
      </c>
      <c r="G6" s="49" t="s">
        <v>730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731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732</v>
      </c>
      <c r="AS6" s="49" t="s">
        <v>733</v>
      </c>
      <c r="AT6" s="49" t="s">
        <v>734</v>
      </c>
      <c r="AU6" s="49" t="s">
        <v>734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789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sheet="1" objects="1" scenarios="1" formatCells="0" formatColumns="0" formatRows="0" insertRows="0" sort="0" autoFilter="0"/>
  <hyperlinks>
    <hyperlink ref="B2" location="C3" tooltip=" " display="C3" xr:uid="{7EFB310C-64C5-418B-B7BE-4ADEE448F7D3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9E8F8-D072-47FC-AF8A-C4FA462EAC1A}">
  <sheetPr codeName="Feuil1">
    <outlinePr summaryRight="0"/>
  </sheetPr>
  <dimension ref="B2:CF6"/>
  <sheetViews>
    <sheetView showGridLines="0" workbookViewId="0">
      <selection activeCell="B6" sqref="B6"/>
    </sheetView>
  </sheetViews>
  <sheetFormatPr baseColWidth="10" defaultColWidth="16.7109375" defaultRowHeight="15" outlineLevelCol="3" x14ac:dyDescent="0.25"/>
  <cols>
    <col min="1" max="1" width="1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16.7109375" style="17"/>
  </cols>
  <sheetData>
    <row r="2" spans="2:84" x14ac:dyDescent="0.25">
      <c r="B2" s="51" t="e">
        <f>I18N_T(cellLanguage, "RF_Save")</f>
        <v>#VALUE!</v>
      </c>
    </row>
    <row r="3" spans="2:84" x14ac:dyDescent="0.25">
      <c r="C3" s="41">
        <f>SUBTOTAL(103, tReportingNew3[[ 2]])</f>
        <v>1</v>
      </c>
    </row>
    <row r="4" spans="2:84" hidden="1" x14ac:dyDescent="0.25">
      <c r="B4" s="46" t="e">
        <f>I18N_T(cellLanguage, "RF_Reporting")</f>
        <v>#VALUE!</v>
      </c>
      <c r="C4" s="47" t="e">
        <f>I18N_T(cellLanguage, "RF_Phase")</f>
        <v>#VALUE!</v>
      </c>
      <c r="D4" s="47" t="e">
        <f>I18N_T(cellLanguage, "RF_UpdatePeriod")</f>
        <v>#VALUE!</v>
      </c>
      <c r="E4" s="47" t="e">
        <f>I18N_T(cellLanguage, "RF_FrameworkVersion")</f>
        <v>#VALUE!</v>
      </c>
      <c r="F4" s="47" t="e">
        <f>I18N_T(cellLanguage, "RF_Start")</f>
        <v>#VALUE!</v>
      </c>
      <c r="G4" s="47" t="e">
        <f>I18N_T(cellLanguage, "RF_End")</f>
        <v>#VALUE!</v>
      </c>
      <c r="H4" s="47" t="e">
        <f>I18N_T(cellLanguage, "RF_RepDesc")</f>
        <v>#VALUE!</v>
      </c>
      <c r="I4" s="47" t="e">
        <f>I18N_T(cellLanguage, "RF_RepPack")</f>
        <v>#VALUE!</v>
      </c>
      <c r="J4" s="47" t="e">
        <f>I18N_T(cellLanguage, "RF_UseDefaultWindowsFolder")</f>
        <v>#VALUE!</v>
      </c>
      <c r="K4" s="47" t="e">
        <f>I18N_T(cellLanguage, "RF_WindowsFolder")</f>
        <v>#VALUE!</v>
      </c>
      <c r="L4" s="47" t="e">
        <f>I18N_T(cellLanguage, "RF_UseDefaultInternetFolder")</f>
        <v>#VALUE!</v>
      </c>
      <c r="M4" s="47" t="e">
        <f>I18N_T(cellLanguage, "RF_InternetFolder")</f>
        <v>#VALUE!</v>
      </c>
      <c r="N4" s="47" t="e">
        <f>I18N_T(cellLanguage, "RF_UseDefaultSetOfControls")</f>
        <v>#VALUE!</v>
      </c>
      <c r="O4" s="47" t="e">
        <f>I18N_T(cellLanguage, "RF_SetOfControls")</f>
        <v>#VALUE!</v>
      </c>
      <c r="P4" s="47" t="e">
        <f>I18N_T(cellLanguage, "RF_UseDefaultLevel")</f>
        <v>#VALUE!</v>
      </c>
      <c r="Q4" s="47" t="e">
        <f>I18N_T(cellLanguage, "RF_LevelToReach")</f>
        <v>#VALUE!</v>
      </c>
      <c r="R4" s="47" t="e">
        <f>I18N_T(cellLanguage, "RF_Blocking")</f>
        <v>#VALUE!</v>
      </c>
      <c r="S4" s="47" t="e">
        <f>I18N_T(cellLanguage, "RF_UseDefaultLock")</f>
        <v>#VALUE!</v>
      </c>
      <c r="T4" s="47" t="e">
        <f>I18N_T(cellLanguage, "RF_LockOnPublication")</f>
        <v>#VALUE!</v>
      </c>
      <c r="U4" s="47" t="e">
        <f>I18N_T(cellLanguage, "RF_UseDefaultRuleSet")</f>
        <v>#VALUE!</v>
      </c>
      <c r="V4" s="47" t="e">
        <f>I18N_T(cellLanguage, "RF_RuleSet")</f>
        <v>#VALUE!</v>
      </c>
      <c r="W4" s="47" t="e">
        <f>I18N_T(cellLanguage, "RF_UseDefaultOpbal")</f>
        <v>#VALUE!</v>
      </c>
      <c r="X4" s="47" t="e">
        <f>I18N_T(cellLanguage, "RF_HasOpBal")</f>
        <v>#VALUE!</v>
      </c>
      <c r="Y4" s="47" t="e">
        <f>I18N_T(cellLanguage, "RF_OpbPhase")</f>
        <v>#VALUE!</v>
      </c>
      <c r="Z4" s="47" t="e">
        <f>I18N_T(cellLanguage, "RF_OpbUpdatePeriod")</f>
        <v>#VALUE!</v>
      </c>
      <c r="AA4" s="47" t="e">
        <f>I18N_T(cellLanguage, "RF_OpbScope")</f>
        <v>#VALUE!</v>
      </c>
      <c r="AB4" s="47" t="e">
        <f>I18N_T(cellLanguage, "RF_OpbVariant")</f>
        <v>#VALUE!</v>
      </c>
      <c r="AC4" s="47" t="e">
        <f>I18N_T(cellLanguage, "RF_OpbConsCurrency")</f>
        <v>#VALUE!</v>
      </c>
      <c r="AD4" s="47" t="e">
        <f>I18N_T(cellLanguage, "RF_RepOp")</f>
        <v>#VALUE!</v>
      </c>
      <c r="AE4" s="47" t="e">
        <f>I18N_T(cellLanguage, "RF_CutoffDate")</f>
        <v>#VALUE!</v>
      </c>
      <c r="AF4" s="47" t="e">
        <f>I18N_T(cellLanguage, "RF_EarlyPublishing")</f>
        <v>#VALUE!</v>
      </c>
      <c r="AG4" s="47" t="e">
        <f>I18N_T(cellLanguage, "RF_RepOpAftPub")</f>
        <v>#VALUE!</v>
      </c>
      <c r="AH4" s="47" t="e">
        <f>I18N_T(cellLanguage, "RF_RepOpAftPubStd")</f>
        <v>#VALUE!</v>
      </c>
      <c r="AI4" s="47" t="e">
        <f>I18N_T(cellLanguage, "RF_RepOpAftPubSpe")</f>
        <v>#VALUE!</v>
      </c>
      <c r="AJ4" s="47" t="e">
        <f>I18N_T(cellLanguage, "RF_RepOpAftPubAdv")</f>
        <v>#VALUE!</v>
      </c>
      <c r="AK4" s="47" t="e">
        <f>I18N_T(cellLanguage, "RF_RepOpAftPubLvl")</f>
        <v>#VALUE!</v>
      </c>
      <c r="AL4" s="47" t="e">
        <f>I18N_T(cellLanguage, "RF_RepOpAftTran")</f>
        <v>#VALUE!</v>
      </c>
      <c r="AM4" s="47" t="e">
        <f>I18N_T(cellLanguage, "RF_RepOpAftTranStd")</f>
        <v>#VALUE!</v>
      </c>
      <c r="AN4" s="47" t="e">
        <f>I18N_T(cellLanguage, "RF_RepOpAftTranSpe")</f>
        <v>#VALUE!</v>
      </c>
      <c r="AO4" s="47" t="e">
        <f>I18N_T(cellLanguage, "RF_RepOpAftTranAdv")</f>
        <v>#VALUE!</v>
      </c>
      <c r="AP4" s="47" t="e">
        <f>I18N_T(cellLanguage, "RF_RepOpAftTranLvl")</f>
        <v>#VALUE!</v>
      </c>
      <c r="AQ4" s="47" t="e">
        <f>I18N_T(cellLanguage, "RF_Entity")</f>
        <v>#VALUE!</v>
      </c>
      <c r="AR4" s="47" t="e">
        <f>I18N_T(cellLanguage, "RF_Entity2")</f>
        <v>#VALUE!</v>
      </c>
      <c r="AS4" s="47" t="e">
        <f>I18N_T(cellLanguage, "RF_InputCurrency")</f>
        <v>#VALUE!</v>
      </c>
      <c r="AT4" s="47" t="e">
        <f>I18N_T(cellLanguage, "RF_InputSite")</f>
        <v>#VALUE!</v>
      </c>
      <c r="AU4" s="47" t="e">
        <f>I18N_T(cellLanguage, "RF_PublicationSite")</f>
        <v>#VALUE!</v>
      </c>
      <c r="AV4" s="47" t="e">
        <f>I18N_T(cellLanguage, "RF_EntPack")</f>
        <v>#VALUE!</v>
      </c>
      <c r="AW4" s="47" t="e">
        <f>I18N_T(cellLanguage, "RF_EntUseDefaultWindowsFolder")</f>
        <v>#VALUE!</v>
      </c>
      <c r="AX4" s="47" t="e">
        <f>I18N_T(cellLanguage, "RF_EntWindowsFolder")</f>
        <v>#VALUE!</v>
      </c>
      <c r="AY4" s="47" t="e">
        <f>I18N_T(cellLanguage, "RF_EntUseDefaultInternetFolder")</f>
        <v>#VALUE!</v>
      </c>
      <c r="AZ4" s="47" t="e">
        <f>I18N_T(cellLanguage, "RF_EntInternetFolder")</f>
        <v>#VALUE!</v>
      </c>
      <c r="BA4" s="47" t="e">
        <f>I18N_T(cellLanguage, "RF_EntUseDefaultSetOfControls")</f>
        <v>#VALUE!</v>
      </c>
      <c r="BB4" s="47" t="e">
        <f>I18N_T(cellLanguage, "RF_EntSetOfControls")</f>
        <v>#VALUE!</v>
      </c>
      <c r="BC4" s="47" t="e">
        <f>I18N_T(cellLanguage, "RF_EntUseDefaultLevel")</f>
        <v>#VALUE!</v>
      </c>
      <c r="BD4" s="47" t="e">
        <f>I18N_T(cellLanguage, "RF_EntLevelToReach")</f>
        <v>#VALUE!</v>
      </c>
      <c r="BE4" s="47" t="e">
        <f>I18N_T(cellLanguage, "RF_EntBlocking")</f>
        <v>#VALUE!</v>
      </c>
      <c r="BF4" s="47" t="e">
        <f>I18N_T(cellLanguage, "RF_EntUseDefaultLock")</f>
        <v>#VALUE!</v>
      </c>
      <c r="BG4" s="47" t="e">
        <f>I18N_T(cellLanguage, "RF_EntLockOnPublication")</f>
        <v>#VALUE!</v>
      </c>
      <c r="BH4" s="47" t="e">
        <f>I18N_T(cellLanguage, "RF_EntUseDefaultRuleSet")</f>
        <v>#VALUE!</v>
      </c>
      <c r="BI4" s="47" t="e">
        <f>I18N_T(cellLanguage, "RF_EntRuleSet")</f>
        <v>#VALUE!</v>
      </c>
      <c r="BJ4" s="47" t="e">
        <f>I18N_T(cellLanguage, "RF_EntUseDefaultOpbal")</f>
        <v>#VALUE!</v>
      </c>
      <c r="BK4" s="47" t="e">
        <f>I18N_T(cellLanguage, "RF_EntHasOpBal")</f>
        <v>#VALUE!</v>
      </c>
      <c r="BL4" s="47" t="e">
        <f>I18N_T(cellLanguage, "RF_EntOpbPhase")</f>
        <v>#VALUE!</v>
      </c>
      <c r="BM4" s="47" t="e">
        <f>I18N_T(cellLanguage, "RF_EntOpbUpdatePeriod")</f>
        <v>#VALUE!</v>
      </c>
      <c r="BN4" s="47" t="e">
        <f>I18N_T(cellLanguage, "RF_EntOpbScope")</f>
        <v>#VALUE!</v>
      </c>
      <c r="BO4" s="47" t="e">
        <f>I18N_T(cellLanguage, "RF_EntOpbVariant")</f>
        <v>#VALUE!</v>
      </c>
      <c r="BP4" s="47" t="e">
        <f>I18N_T(cellLanguage, "RF_EntOpbConsCurrency")</f>
        <v>#VALUE!</v>
      </c>
      <c r="BQ4" s="47" t="e">
        <f>I18N_T(cellLanguage, "RF_EntOp")</f>
        <v>#VALUE!</v>
      </c>
      <c r="BR4" s="47" t="e">
        <f>I18N_T(cellLanguage, "RF_EntUseDefaultPublish")</f>
        <v>#VALUE!</v>
      </c>
      <c r="BS4" s="47" t="e">
        <f>I18N_T(cellLanguage, "RF_EntPackPublishingCutOffDate")</f>
        <v>#VALUE!</v>
      </c>
      <c r="BT4" s="47" t="e">
        <f>I18N_T(cellLanguage, "RF_EntAllowEarlyPublishing")</f>
        <v>#VALUE!</v>
      </c>
      <c r="BU4" s="47" t="e">
        <f>I18N_T(cellLanguage, "RF_EntOpAftPub")</f>
        <v>#VALUE!</v>
      </c>
      <c r="BV4" s="47" t="e">
        <f>I18N_T(cellLanguage, "RF_EntUseDefaultAfterPub")</f>
        <v>#VALUE!</v>
      </c>
      <c r="BW4" s="47" t="e">
        <f>I18N_T(cellLanguage, "RF_EntAftPubStandard")</f>
        <v>#VALUE!</v>
      </c>
      <c r="BX4" s="47" t="e">
        <f>I18N_T(cellLanguage, "RF_EntAftPubSpecial")</f>
        <v>#VALUE!</v>
      </c>
      <c r="BY4" s="47" t="e">
        <f>I18N_T(cellLanguage, "RF_EntAftPubAdvanced")</f>
        <v>#VALUE!</v>
      </c>
      <c r="BZ4" s="47" t="e">
        <f>I18N_T(cellLanguage, "RF_EntAftPubLevel")</f>
        <v>#VALUE!</v>
      </c>
      <c r="CA4" s="47" t="e">
        <f>I18N_T(cellLanguage, "RF_EntOpAftTran")</f>
        <v>#VALUE!</v>
      </c>
      <c r="CB4" s="47" t="e">
        <f>I18N_T(cellLanguage, "RF_EntUseDefaultAfterTran")</f>
        <v>#VALUE!</v>
      </c>
      <c r="CC4" s="47" t="e">
        <f>I18N_T(cellLanguage, "RF_EntAftTranStandard")</f>
        <v>#VALUE!</v>
      </c>
      <c r="CD4" s="47" t="e">
        <f>I18N_T(cellLanguage, "RF_EntAftTranSpecial")</f>
        <v>#VALUE!</v>
      </c>
      <c r="CE4" s="47" t="e">
        <f>I18N_T(cellLanguage, "RF_EntAftTranAdvanced")</f>
        <v>#VALUE!</v>
      </c>
      <c r="CF4" s="48" t="e">
        <f>I18N_T(cellLanguage, "RF_EntAftTranLevel")</f>
        <v>#VALUE!</v>
      </c>
    </row>
    <row r="5" spans="2:84" ht="66" customHeight="1" x14ac:dyDescent="0.25">
      <c r="B5" s="45" t="s">
        <v>194</v>
      </c>
      <c r="C5" s="45" t="s">
        <v>195</v>
      </c>
      <c r="D5" s="45" t="s">
        <v>196</v>
      </c>
      <c r="E5" s="45" t="s">
        <v>197</v>
      </c>
      <c r="F5" s="45" t="s">
        <v>648</v>
      </c>
      <c r="G5" s="45" t="s">
        <v>649</v>
      </c>
      <c r="H5" s="45" t="s">
        <v>650</v>
      </c>
      <c r="I5" s="45" t="s">
        <v>651</v>
      </c>
      <c r="J5" s="45" t="s">
        <v>652</v>
      </c>
      <c r="K5" s="45" t="s">
        <v>653</v>
      </c>
      <c r="L5" s="45" t="s">
        <v>654</v>
      </c>
      <c r="M5" s="45" t="s">
        <v>655</v>
      </c>
      <c r="N5" s="45" t="s">
        <v>656</v>
      </c>
      <c r="O5" s="45" t="s">
        <v>657</v>
      </c>
      <c r="P5" s="45" t="s">
        <v>658</v>
      </c>
      <c r="Q5" s="45" t="s">
        <v>659</v>
      </c>
      <c r="R5" s="45" t="s">
        <v>660</v>
      </c>
      <c r="S5" s="45" t="s">
        <v>661</v>
      </c>
      <c r="T5" s="45" t="s">
        <v>662</v>
      </c>
      <c r="U5" s="45" t="s">
        <v>663</v>
      </c>
      <c r="V5" s="45" t="s">
        <v>664</v>
      </c>
      <c r="W5" s="45" t="s">
        <v>665</v>
      </c>
      <c r="X5" s="45" t="s">
        <v>666</v>
      </c>
      <c r="Y5" s="45" t="s">
        <v>667</v>
      </c>
      <c r="Z5" s="45" t="s">
        <v>668</v>
      </c>
      <c r="AA5" s="45" t="s">
        <v>669</v>
      </c>
      <c r="AB5" s="45" t="s">
        <v>670</v>
      </c>
      <c r="AC5" s="45" t="s">
        <v>671</v>
      </c>
      <c r="AD5" s="45" t="s">
        <v>672</v>
      </c>
      <c r="AE5" s="45" t="s">
        <v>673</v>
      </c>
      <c r="AF5" s="45" t="s">
        <v>674</v>
      </c>
      <c r="AG5" s="45" t="s">
        <v>675</v>
      </c>
      <c r="AH5" s="45" t="s">
        <v>676</v>
      </c>
      <c r="AI5" s="45" t="s">
        <v>677</v>
      </c>
      <c r="AJ5" s="45" t="s">
        <v>678</v>
      </c>
      <c r="AK5" s="45" t="s">
        <v>679</v>
      </c>
      <c r="AL5" s="45" t="s">
        <v>680</v>
      </c>
      <c r="AM5" s="45" t="s">
        <v>681</v>
      </c>
      <c r="AN5" s="45" t="s">
        <v>682</v>
      </c>
      <c r="AO5" s="45" t="s">
        <v>683</v>
      </c>
      <c r="AP5" s="45" t="s">
        <v>684</v>
      </c>
      <c r="AQ5" s="45" t="s">
        <v>685</v>
      </c>
      <c r="AR5" s="45" t="s">
        <v>686</v>
      </c>
      <c r="AS5" s="45" t="s">
        <v>687</v>
      </c>
      <c r="AT5" s="45" t="s">
        <v>688</v>
      </c>
      <c r="AU5" s="45" t="s">
        <v>689</v>
      </c>
      <c r="AV5" s="45" t="s">
        <v>690</v>
      </c>
      <c r="AW5" s="45" t="s">
        <v>691</v>
      </c>
      <c r="AX5" s="45" t="s">
        <v>692</v>
      </c>
      <c r="AY5" s="45" t="s">
        <v>693</v>
      </c>
      <c r="AZ5" s="45" t="s">
        <v>694</v>
      </c>
      <c r="BA5" s="45" t="s">
        <v>695</v>
      </c>
      <c r="BB5" s="45" t="s">
        <v>696</v>
      </c>
      <c r="BC5" s="45" t="s">
        <v>697</v>
      </c>
      <c r="BD5" s="45" t="s">
        <v>698</v>
      </c>
      <c r="BE5" s="45" t="s">
        <v>699</v>
      </c>
      <c r="BF5" s="45" t="s">
        <v>700</v>
      </c>
      <c r="BG5" s="45" t="s">
        <v>701</v>
      </c>
      <c r="BH5" s="45" t="s">
        <v>702</v>
      </c>
      <c r="BI5" s="45" t="s">
        <v>703</v>
      </c>
      <c r="BJ5" s="45" t="s">
        <v>704</v>
      </c>
      <c r="BK5" s="45" t="s">
        <v>705</v>
      </c>
      <c r="BL5" s="45" t="s">
        <v>706</v>
      </c>
      <c r="BM5" s="45" t="s">
        <v>707</v>
      </c>
      <c r="BN5" s="45" t="s">
        <v>708</v>
      </c>
      <c r="BO5" s="45" t="s">
        <v>709</v>
      </c>
      <c r="BP5" s="45" t="s">
        <v>710</v>
      </c>
      <c r="BQ5" s="45" t="s">
        <v>711</v>
      </c>
      <c r="BR5" s="45" t="s">
        <v>712</v>
      </c>
      <c r="BS5" s="45" t="s">
        <v>713</v>
      </c>
      <c r="BT5" s="45" t="s">
        <v>714</v>
      </c>
      <c r="BU5" s="45" t="s">
        <v>715</v>
      </c>
      <c r="BV5" s="45" t="s">
        <v>716</v>
      </c>
      <c r="BW5" s="45" t="s">
        <v>717</v>
      </c>
      <c r="BX5" s="45" t="s">
        <v>718</v>
      </c>
      <c r="BY5" s="45" t="s">
        <v>719</v>
      </c>
      <c r="BZ5" s="45" t="s">
        <v>720</v>
      </c>
      <c r="CA5" s="45" t="s">
        <v>721</v>
      </c>
      <c r="CB5" s="45" t="s">
        <v>722</v>
      </c>
      <c r="CC5" s="45" t="s">
        <v>723</v>
      </c>
      <c r="CD5" s="45" t="s">
        <v>724</v>
      </c>
      <c r="CE5" s="45" t="s">
        <v>725</v>
      </c>
      <c r="CF5" s="45" t="s">
        <v>726</v>
      </c>
    </row>
    <row r="6" spans="2:84" x14ac:dyDescent="0.25">
      <c r="B6" s="49"/>
      <c r="C6" s="49" t="s">
        <v>21</v>
      </c>
      <c r="D6" s="49" t="s">
        <v>777</v>
      </c>
      <c r="E6" s="49" t="s">
        <v>778</v>
      </c>
      <c r="F6" s="49" t="s">
        <v>779</v>
      </c>
      <c r="G6" s="49" t="s">
        <v>730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731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732</v>
      </c>
      <c r="AS6" s="49" t="s">
        <v>733</v>
      </c>
      <c r="AT6" s="49" t="s">
        <v>734</v>
      </c>
      <c r="AU6" s="49" t="s">
        <v>734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731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sheet="1" objects="1" scenarios="1" formatCells="0" formatColumns="0" formatRows="0" insertRows="0" sort="0" autoFilter="0"/>
  <hyperlinks>
    <hyperlink ref="B2" location="C3" tooltip=" " display="C3" xr:uid="{93E60D42-2CA1-4F23-9DAB-80263B3826C8}"/>
  </hyperlink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6484E-FC6E-40A0-827D-88C02A439A57}">
  <sheetPr codeName="Feuil3">
    <outlinePr summaryRight="0"/>
  </sheetPr>
  <dimension ref="B2:CF6"/>
  <sheetViews>
    <sheetView showGridLines="0" workbookViewId="0">
      <selection activeCell="E13" sqref="E13"/>
    </sheetView>
  </sheetViews>
  <sheetFormatPr baseColWidth="10" defaultColWidth="16.7109375" defaultRowHeight="15" outlineLevelCol="3" x14ac:dyDescent="0.25"/>
  <cols>
    <col min="1" max="1" width="1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16.7109375" style="17"/>
  </cols>
  <sheetData>
    <row r="2" spans="2:84" x14ac:dyDescent="0.25">
      <c r="B2" s="51" t="e">
        <f>I18N_T(cellLanguage, "RF_Save")</f>
        <v>#VALUE!</v>
      </c>
    </row>
    <row r="3" spans="2:84" x14ac:dyDescent="0.25">
      <c r="C3" s="41">
        <f>SUBTOTAL(103, tReportingNew2[[ 2]])</f>
        <v>1</v>
      </c>
    </row>
    <row r="4" spans="2:84" hidden="1" x14ac:dyDescent="0.25">
      <c r="B4" s="46" t="e">
        <f>I18N_T(cellLanguage, "RF_Reporting")</f>
        <v>#VALUE!</v>
      </c>
      <c r="C4" s="47" t="e">
        <f>I18N_T(cellLanguage, "RF_Phase")</f>
        <v>#VALUE!</v>
      </c>
      <c r="D4" s="47" t="e">
        <f>I18N_T(cellLanguage, "RF_UpdatePeriod")</f>
        <v>#VALUE!</v>
      </c>
      <c r="E4" s="47" t="e">
        <f>I18N_T(cellLanguage, "RF_FrameworkVersion")</f>
        <v>#VALUE!</v>
      </c>
      <c r="F4" s="47" t="e">
        <f>I18N_T(cellLanguage, "RF_Start")</f>
        <v>#VALUE!</v>
      </c>
      <c r="G4" s="47" t="e">
        <f>I18N_T(cellLanguage, "RF_End")</f>
        <v>#VALUE!</v>
      </c>
      <c r="H4" s="47" t="e">
        <f>I18N_T(cellLanguage, "RF_RepDesc")</f>
        <v>#VALUE!</v>
      </c>
      <c r="I4" s="47" t="e">
        <f>I18N_T(cellLanguage, "RF_RepPack")</f>
        <v>#VALUE!</v>
      </c>
      <c r="J4" s="47" t="e">
        <f>I18N_T(cellLanguage, "RF_UseDefaultWindowsFolder")</f>
        <v>#VALUE!</v>
      </c>
      <c r="K4" s="47" t="e">
        <f>I18N_T(cellLanguage, "RF_WindowsFolder")</f>
        <v>#VALUE!</v>
      </c>
      <c r="L4" s="47" t="e">
        <f>I18N_T(cellLanguage, "RF_UseDefaultInternetFolder")</f>
        <v>#VALUE!</v>
      </c>
      <c r="M4" s="47" t="e">
        <f>I18N_T(cellLanguage, "RF_InternetFolder")</f>
        <v>#VALUE!</v>
      </c>
      <c r="N4" s="47" t="e">
        <f>I18N_T(cellLanguage, "RF_UseDefaultSetOfControls")</f>
        <v>#VALUE!</v>
      </c>
      <c r="O4" s="47" t="e">
        <f>I18N_T(cellLanguage, "RF_SetOfControls")</f>
        <v>#VALUE!</v>
      </c>
      <c r="P4" s="47" t="e">
        <f>I18N_T(cellLanguage, "RF_UseDefaultLevel")</f>
        <v>#VALUE!</v>
      </c>
      <c r="Q4" s="47" t="e">
        <f>I18N_T(cellLanguage, "RF_LevelToReach")</f>
        <v>#VALUE!</v>
      </c>
      <c r="R4" s="47" t="e">
        <f>I18N_T(cellLanguage, "RF_Blocking")</f>
        <v>#VALUE!</v>
      </c>
      <c r="S4" s="47" t="e">
        <f>I18N_T(cellLanguage, "RF_UseDefaultLock")</f>
        <v>#VALUE!</v>
      </c>
      <c r="T4" s="47" t="e">
        <f>I18N_T(cellLanguage, "RF_LockOnPublication")</f>
        <v>#VALUE!</v>
      </c>
      <c r="U4" s="47" t="e">
        <f>I18N_T(cellLanguage, "RF_UseDefaultRuleSet")</f>
        <v>#VALUE!</v>
      </c>
      <c r="V4" s="47" t="e">
        <f>I18N_T(cellLanguage, "RF_RuleSet")</f>
        <v>#VALUE!</v>
      </c>
      <c r="W4" s="47" t="e">
        <f>I18N_T(cellLanguage, "RF_UseDefaultOpbal")</f>
        <v>#VALUE!</v>
      </c>
      <c r="X4" s="47" t="e">
        <f>I18N_T(cellLanguage, "RF_HasOpBal")</f>
        <v>#VALUE!</v>
      </c>
      <c r="Y4" s="47" t="e">
        <f>I18N_T(cellLanguage, "RF_OpbPhase")</f>
        <v>#VALUE!</v>
      </c>
      <c r="Z4" s="47" t="e">
        <f>I18N_T(cellLanguage, "RF_OpbUpdatePeriod")</f>
        <v>#VALUE!</v>
      </c>
      <c r="AA4" s="47" t="e">
        <f>I18N_T(cellLanguage, "RF_OpbScope")</f>
        <v>#VALUE!</v>
      </c>
      <c r="AB4" s="47" t="e">
        <f>I18N_T(cellLanguage, "RF_OpbVariant")</f>
        <v>#VALUE!</v>
      </c>
      <c r="AC4" s="47" t="e">
        <f>I18N_T(cellLanguage, "RF_OpbConsCurrency")</f>
        <v>#VALUE!</v>
      </c>
      <c r="AD4" s="47" t="e">
        <f>I18N_T(cellLanguage, "RF_RepOp")</f>
        <v>#VALUE!</v>
      </c>
      <c r="AE4" s="47" t="e">
        <f>I18N_T(cellLanguage, "RF_CutoffDate")</f>
        <v>#VALUE!</v>
      </c>
      <c r="AF4" s="47" t="e">
        <f>I18N_T(cellLanguage, "RF_EarlyPublishing")</f>
        <v>#VALUE!</v>
      </c>
      <c r="AG4" s="47" t="e">
        <f>I18N_T(cellLanguage, "RF_RepOpAftPub")</f>
        <v>#VALUE!</v>
      </c>
      <c r="AH4" s="47" t="e">
        <f>I18N_T(cellLanguage, "RF_RepOpAftPubStd")</f>
        <v>#VALUE!</v>
      </c>
      <c r="AI4" s="47" t="e">
        <f>I18N_T(cellLanguage, "RF_RepOpAftPubSpe")</f>
        <v>#VALUE!</v>
      </c>
      <c r="AJ4" s="47" t="e">
        <f>I18N_T(cellLanguage, "RF_RepOpAftPubAdv")</f>
        <v>#VALUE!</v>
      </c>
      <c r="AK4" s="47" t="e">
        <f>I18N_T(cellLanguage, "RF_RepOpAftPubLvl")</f>
        <v>#VALUE!</v>
      </c>
      <c r="AL4" s="47" t="e">
        <f>I18N_T(cellLanguage, "RF_RepOpAftTran")</f>
        <v>#VALUE!</v>
      </c>
      <c r="AM4" s="47" t="e">
        <f>I18N_T(cellLanguage, "RF_RepOpAftTranStd")</f>
        <v>#VALUE!</v>
      </c>
      <c r="AN4" s="47" t="e">
        <f>I18N_T(cellLanguage, "RF_RepOpAftTranSpe")</f>
        <v>#VALUE!</v>
      </c>
      <c r="AO4" s="47" t="e">
        <f>I18N_T(cellLanguage, "RF_RepOpAftTranAdv")</f>
        <v>#VALUE!</v>
      </c>
      <c r="AP4" s="47" t="e">
        <f>I18N_T(cellLanguage, "RF_RepOpAftTranLvl")</f>
        <v>#VALUE!</v>
      </c>
      <c r="AQ4" s="47" t="e">
        <f>I18N_T(cellLanguage, "RF_Entity")</f>
        <v>#VALUE!</v>
      </c>
      <c r="AR4" s="47" t="e">
        <f>I18N_T(cellLanguage, "RF_Entity2")</f>
        <v>#VALUE!</v>
      </c>
      <c r="AS4" s="47" t="e">
        <f>I18N_T(cellLanguage, "RF_InputCurrency")</f>
        <v>#VALUE!</v>
      </c>
      <c r="AT4" s="47" t="e">
        <f>I18N_T(cellLanguage, "RF_InputSite")</f>
        <v>#VALUE!</v>
      </c>
      <c r="AU4" s="47" t="e">
        <f>I18N_T(cellLanguage, "RF_PublicationSite")</f>
        <v>#VALUE!</v>
      </c>
      <c r="AV4" s="47" t="e">
        <f>I18N_T(cellLanguage, "RF_EntPack")</f>
        <v>#VALUE!</v>
      </c>
      <c r="AW4" s="47" t="e">
        <f>I18N_T(cellLanguage, "RF_EntUseDefaultWindowsFolder")</f>
        <v>#VALUE!</v>
      </c>
      <c r="AX4" s="47" t="e">
        <f>I18N_T(cellLanguage, "RF_EntWindowsFolder")</f>
        <v>#VALUE!</v>
      </c>
      <c r="AY4" s="47" t="e">
        <f>I18N_T(cellLanguage, "RF_EntUseDefaultInternetFolder")</f>
        <v>#VALUE!</v>
      </c>
      <c r="AZ4" s="47" t="e">
        <f>I18N_T(cellLanguage, "RF_EntInternetFolder")</f>
        <v>#VALUE!</v>
      </c>
      <c r="BA4" s="47" t="e">
        <f>I18N_T(cellLanguage, "RF_EntUseDefaultSetOfControls")</f>
        <v>#VALUE!</v>
      </c>
      <c r="BB4" s="47" t="e">
        <f>I18N_T(cellLanguage, "RF_EntSetOfControls")</f>
        <v>#VALUE!</v>
      </c>
      <c r="BC4" s="47" t="e">
        <f>I18N_T(cellLanguage, "RF_EntUseDefaultLevel")</f>
        <v>#VALUE!</v>
      </c>
      <c r="BD4" s="47" t="e">
        <f>I18N_T(cellLanguage, "RF_EntLevelToReach")</f>
        <v>#VALUE!</v>
      </c>
      <c r="BE4" s="47" t="e">
        <f>I18N_T(cellLanguage, "RF_EntBlocking")</f>
        <v>#VALUE!</v>
      </c>
      <c r="BF4" s="47" t="e">
        <f>I18N_T(cellLanguage, "RF_EntUseDefaultLock")</f>
        <v>#VALUE!</v>
      </c>
      <c r="BG4" s="47" t="e">
        <f>I18N_T(cellLanguage, "RF_EntLockOnPublication")</f>
        <v>#VALUE!</v>
      </c>
      <c r="BH4" s="47" t="e">
        <f>I18N_T(cellLanguage, "RF_EntUseDefaultRuleSet")</f>
        <v>#VALUE!</v>
      </c>
      <c r="BI4" s="47" t="e">
        <f>I18N_T(cellLanguage, "RF_EntRuleSet")</f>
        <v>#VALUE!</v>
      </c>
      <c r="BJ4" s="47" t="e">
        <f>I18N_T(cellLanguage, "RF_EntUseDefaultOpbal")</f>
        <v>#VALUE!</v>
      </c>
      <c r="BK4" s="47" t="e">
        <f>I18N_T(cellLanguage, "RF_EntHasOpBal")</f>
        <v>#VALUE!</v>
      </c>
      <c r="BL4" s="47" t="e">
        <f>I18N_T(cellLanguage, "RF_EntOpbPhase")</f>
        <v>#VALUE!</v>
      </c>
      <c r="BM4" s="47" t="e">
        <f>I18N_T(cellLanguage, "RF_EntOpbUpdatePeriod")</f>
        <v>#VALUE!</v>
      </c>
      <c r="BN4" s="47" t="e">
        <f>I18N_T(cellLanguage, "RF_EntOpbScope")</f>
        <v>#VALUE!</v>
      </c>
      <c r="BO4" s="47" t="e">
        <f>I18N_T(cellLanguage, "RF_EntOpbVariant")</f>
        <v>#VALUE!</v>
      </c>
      <c r="BP4" s="47" t="e">
        <f>I18N_T(cellLanguage, "RF_EntOpbConsCurrency")</f>
        <v>#VALUE!</v>
      </c>
      <c r="BQ4" s="47" t="e">
        <f>I18N_T(cellLanguage, "RF_EntOp")</f>
        <v>#VALUE!</v>
      </c>
      <c r="BR4" s="47" t="e">
        <f>I18N_T(cellLanguage, "RF_EntUseDefaultPublish")</f>
        <v>#VALUE!</v>
      </c>
      <c r="BS4" s="47" t="e">
        <f>I18N_T(cellLanguage, "RF_EntPackPublishingCutOffDate")</f>
        <v>#VALUE!</v>
      </c>
      <c r="BT4" s="47" t="e">
        <f>I18N_T(cellLanguage, "RF_EntAllowEarlyPublishing")</f>
        <v>#VALUE!</v>
      </c>
      <c r="BU4" s="47" t="e">
        <f>I18N_T(cellLanguage, "RF_EntOpAftPub")</f>
        <v>#VALUE!</v>
      </c>
      <c r="BV4" s="47" t="e">
        <f>I18N_T(cellLanguage, "RF_EntUseDefaultAfterPub")</f>
        <v>#VALUE!</v>
      </c>
      <c r="BW4" s="47" t="e">
        <f>I18N_T(cellLanguage, "RF_EntAftPubStandard")</f>
        <v>#VALUE!</v>
      </c>
      <c r="BX4" s="47" t="e">
        <f>I18N_T(cellLanguage, "RF_EntAftPubSpecial")</f>
        <v>#VALUE!</v>
      </c>
      <c r="BY4" s="47" t="e">
        <f>I18N_T(cellLanguage, "RF_EntAftPubAdvanced")</f>
        <v>#VALUE!</v>
      </c>
      <c r="BZ4" s="47" t="e">
        <f>I18N_T(cellLanguage, "RF_EntAftPubLevel")</f>
        <v>#VALUE!</v>
      </c>
      <c r="CA4" s="47" t="e">
        <f>I18N_T(cellLanguage, "RF_EntOpAftTran")</f>
        <v>#VALUE!</v>
      </c>
      <c r="CB4" s="47" t="e">
        <f>I18N_T(cellLanguage, "RF_EntUseDefaultAfterTran")</f>
        <v>#VALUE!</v>
      </c>
      <c r="CC4" s="47" t="e">
        <f>I18N_T(cellLanguage, "RF_EntAftTranStandard")</f>
        <v>#VALUE!</v>
      </c>
      <c r="CD4" s="47" t="e">
        <f>I18N_T(cellLanguage, "RF_EntAftTranSpecial")</f>
        <v>#VALUE!</v>
      </c>
      <c r="CE4" s="47" t="e">
        <f>I18N_T(cellLanguage, "RF_EntAftTranAdvanced")</f>
        <v>#VALUE!</v>
      </c>
      <c r="CF4" s="48" t="e">
        <f>I18N_T(cellLanguage, "RF_EntAftTranLevel")</f>
        <v>#VALUE!</v>
      </c>
    </row>
    <row r="5" spans="2:84" ht="66" customHeight="1" x14ac:dyDescent="0.25">
      <c r="B5" s="45" t="s">
        <v>194</v>
      </c>
      <c r="C5" s="45" t="s">
        <v>195</v>
      </c>
      <c r="D5" s="45" t="s">
        <v>196</v>
      </c>
      <c r="E5" s="45" t="s">
        <v>197</v>
      </c>
      <c r="F5" s="45" t="s">
        <v>648</v>
      </c>
      <c r="G5" s="45" t="s">
        <v>649</v>
      </c>
      <c r="H5" s="45" t="s">
        <v>650</v>
      </c>
      <c r="I5" s="45" t="s">
        <v>651</v>
      </c>
      <c r="J5" s="45" t="s">
        <v>652</v>
      </c>
      <c r="K5" s="45" t="s">
        <v>653</v>
      </c>
      <c r="L5" s="45" t="s">
        <v>654</v>
      </c>
      <c r="M5" s="45" t="s">
        <v>655</v>
      </c>
      <c r="N5" s="45" t="s">
        <v>656</v>
      </c>
      <c r="O5" s="45" t="s">
        <v>657</v>
      </c>
      <c r="P5" s="45" t="s">
        <v>658</v>
      </c>
      <c r="Q5" s="45" t="s">
        <v>659</v>
      </c>
      <c r="R5" s="45" t="s">
        <v>660</v>
      </c>
      <c r="S5" s="45" t="s">
        <v>661</v>
      </c>
      <c r="T5" s="45" t="s">
        <v>662</v>
      </c>
      <c r="U5" s="45" t="s">
        <v>663</v>
      </c>
      <c r="V5" s="45" t="s">
        <v>664</v>
      </c>
      <c r="W5" s="45" t="s">
        <v>665</v>
      </c>
      <c r="X5" s="45" t="s">
        <v>666</v>
      </c>
      <c r="Y5" s="45" t="s">
        <v>667</v>
      </c>
      <c r="Z5" s="45" t="s">
        <v>668</v>
      </c>
      <c r="AA5" s="45" t="s">
        <v>669</v>
      </c>
      <c r="AB5" s="45" t="s">
        <v>670</v>
      </c>
      <c r="AC5" s="45" t="s">
        <v>671</v>
      </c>
      <c r="AD5" s="45" t="s">
        <v>672</v>
      </c>
      <c r="AE5" s="45" t="s">
        <v>673</v>
      </c>
      <c r="AF5" s="45" t="s">
        <v>674</v>
      </c>
      <c r="AG5" s="45" t="s">
        <v>675</v>
      </c>
      <c r="AH5" s="45" t="s">
        <v>676</v>
      </c>
      <c r="AI5" s="45" t="s">
        <v>677</v>
      </c>
      <c r="AJ5" s="45" t="s">
        <v>678</v>
      </c>
      <c r="AK5" s="45" t="s">
        <v>679</v>
      </c>
      <c r="AL5" s="45" t="s">
        <v>680</v>
      </c>
      <c r="AM5" s="45" t="s">
        <v>681</v>
      </c>
      <c r="AN5" s="45" t="s">
        <v>682</v>
      </c>
      <c r="AO5" s="45" t="s">
        <v>683</v>
      </c>
      <c r="AP5" s="45" t="s">
        <v>684</v>
      </c>
      <c r="AQ5" s="45" t="s">
        <v>685</v>
      </c>
      <c r="AR5" s="45" t="s">
        <v>686</v>
      </c>
      <c r="AS5" s="45" t="s">
        <v>687</v>
      </c>
      <c r="AT5" s="45" t="s">
        <v>688</v>
      </c>
      <c r="AU5" s="45" t="s">
        <v>689</v>
      </c>
      <c r="AV5" s="45" t="s">
        <v>690</v>
      </c>
      <c r="AW5" s="45" t="s">
        <v>691</v>
      </c>
      <c r="AX5" s="45" t="s">
        <v>692</v>
      </c>
      <c r="AY5" s="45" t="s">
        <v>693</v>
      </c>
      <c r="AZ5" s="45" t="s">
        <v>694</v>
      </c>
      <c r="BA5" s="45" t="s">
        <v>695</v>
      </c>
      <c r="BB5" s="45" t="s">
        <v>696</v>
      </c>
      <c r="BC5" s="45" t="s">
        <v>697</v>
      </c>
      <c r="BD5" s="45" t="s">
        <v>698</v>
      </c>
      <c r="BE5" s="45" t="s">
        <v>699</v>
      </c>
      <c r="BF5" s="45" t="s">
        <v>700</v>
      </c>
      <c r="BG5" s="45" t="s">
        <v>701</v>
      </c>
      <c r="BH5" s="45" t="s">
        <v>702</v>
      </c>
      <c r="BI5" s="45" t="s">
        <v>703</v>
      </c>
      <c r="BJ5" s="45" t="s">
        <v>704</v>
      </c>
      <c r="BK5" s="45" t="s">
        <v>705</v>
      </c>
      <c r="BL5" s="45" t="s">
        <v>706</v>
      </c>
      <c r="BM5" s="45" t="s">
        <v>707</v>
      </c>
      <c r="BN5" s="45" t="s">
        <v>708</v>
      </c>
      <c r="BO5" s="45" t="s">
        <v>709</v>
      </c>
      <c r="BP5" s="45" t="s">
        <v>710</v>
      </c>
      <c r="BQ5" s="45" t="s">
        <v>711</v>
      </c>
      <c r="BR5" s="45" t="s">
        <v>712</v>
      </c>
      <c r="BS5" s="45" t="s">
        <v>713</v>
      </c>
      <c r="BT5" s="45" t="s">
        <v>714</v>
      </c>
      <c r="BU5" s="45" t="s">
        <v>715</v>
      </c>
      <c r="BV5" s="45" t="s">
        <v>716</v>
      </c>
      <c r="BW5" s="45" t="s">
        <v>717</v>
      </c>
      <c r="BX5" s="45" t="s">
        <v>718</v>
      </c>
      <c r="BY5" s="45" t="s">
        <v>719</v>
      </c>
      <c r="BZ5" s="45" t="s">
        <v>720</v>
      </c>
      <c r="CA5" s="45" t="s">
        <v>721</v>
      </c>
      <c r="CB5" s="45" t="s">
        <v>722</v>
      </c>
      <c r="CC5" s="45" t="s">
        <v>723</v>
      </c>
      <c r="CD5" s="45" t="s">
        <v>724</v>
      </c>
      <c r="CE5" s="45" t="s">
        <v>725</v>
      </c>
      <c r="CF5" s="45" t="s">
        <v>726</v>
      </c>
    </row>
    <row r="6" spans="2:84" x14ac:dyDescent="0.25">
      <c r="B6" s="49"/>
      <c r="C6" s="49" t="s">
        <v>22</v>
      </c>
      <c r="D6" s="49" t="s">
        <v>762</v>
      </c>
      <c r="E6" s="49" t="s">
        <v>758</v>
      </c>
      <c r="F6" s="49" t="s">
        <v>729</v>
      </c>
      <c r="G6" s="49" t="s">
        <v>730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731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732</v>
      </c>
      <c r="AS6" s="49" t="s">
        <v>733</v>
      </c>
      <c r="AT6" s="49" t="s">
        <v>734</v>
      </c>
      <c r="AU6" s="49" t="s">
        <v>734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731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formatCells="0" formatColumns="0" formatRows="0" insertRows="0" sort="0" autoFilter="0"/>
  <hyperlinks>
    <hyperlink ref="B2" location="C3" tooltip=" " display="C3" xr:uid="{98000DDF-2D4D-48EB-AAC2-E77378451643}"/>
  </hyperlink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12"/>
  <sheetViews>
    <sheetView workbookViewId="0">
      <selection activeCell="A11" sqref="A11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221</v>
      </c>
      <c r="C1" s="31">
        <v>3</v>
      </c>
      <c r="F1" s="37" t="s">
        <v>489</v>
      </c>
      <c r="G1" s="37" t="s">
        <v>490</v>
      </c>
      <c r="H1" s="37" t="s">
        <v>491</v>
      </c>
      <c r="I1" s="37" t="s">
        <v>492</v>
      </c>
      <c r="J1" s="37" t="s">
        <v>493</v>
      </c>
      <c r="K1" s="37" t="s">
        <v>494</v>
      </c>
    </row>
    <row r="3" spans="1:11" x14ac:dyDescent="0.25">
      <c r="A3" s="2" t="s">
        <v>220</v>
      </c>
      <c r="B3" s="2" t="s">
        <v>228</v>
      </c>
      <c r="C3" s="2" t="s">
        <v>225</v>
      </c>
      <c r="D3" s="30" t="s">
        <v>226</v>
      </c>
      <c r="E3" s="2" t="s">
        <v>219</v>
      </c>
    </row>
    <row r="4" spans="1:11" x14ac:dyDescent="0.25">
      <c r="A4" s="2" t="s">
        <v>485</v>
      </c>
      <c r="B4" s="2" t="s">
        <v>105</v>
      </c>
      <c r="C4" s="2" t="s">
        <v>591</v>
      </c>
      <c r="D4" s="30">
        <v>44271.780405092592</v>
      </c>
      <c r="E4" s="2" t="s">
        <v>759</v>
      </c>
    </row>
    <row r="5" spans="1:11" x14ac:dyDescent="0.25">
      <c r="A5" s="2" t="s">
        <v>736</v>
      </c>
      <c r="B5" s="2" t="s">
        <v>737</v>
      </c>
      <c r="C5" s="2" t="s">
        <v>591</v>
      </c>
      <c r="D5" s="30">
        <v>44271.780451388891</v>
      </c>
      <c r="E5" s="2" t="s">
        <v>757</v>
      </c>
    </row>
    <row r="6" spans="1:11" x14ac:dyDescent="0.25">
      <c r="A6" s="2" t="s">
        <v>727</v>
      </c>
      <c r="B6" s="2" t="s">
        <v>728</v>
      </c>
      <c r="C6" s="2" t="s">
        <v>591</v>
      </c>
      <c r="D6" s="30">
        <v>44271.780486111114</v>
      </c>
      <c r="E6" s="2" t="s">
        <v>735</v>
      </c>
    </row>
    <row r="7" spans="1:11" x14ac:dyDescent="0.25">
      <c r="A7" s="2" t="s">
        <v>738</v>
      </c>
      <c r="B7" s="2" t="s">
        <v>739</v>
      </c>
      <c r="C7" s="2" t="s">
        <v>591</v>
      </c>
      <c r="D7" s="30">
        <v>44271.781006944446</v>
      </c>
      <c r="E7" s="2" t="s">
        <v>761</v>
      </c>
    </row>
    <row r="8" spans="1:11" x14ac:dyDescent="0.25">
      <c r="A8" s="2" t="s">
        <v>740</v>
      </c>
      <c r="B8" s="2" t="s">
        <v>741</v>
      </c>
      <c r="C8" s="2" t="s">
        <v>742</v>
      </c>
      <c r="D8" s="30">
        <v>44271.781053240738</v>
      </c>
      <c r="E8" s="2" t="s">
        <v>763</v>
      </c>
    </row>
    <row r="9" spans="1:11" x14ac:dyDescent="0.25">
      <c r="A9" s="2" t="s">
        <v>740</v>
      </c>
      <c r="B9" s="2" t="s">
        <v>741</v>
      </c>
      <c r="C9" s="2" t="s">
        <v>742</v>
      </c>
      <c r="D9" s="30">
        <v>44271.781192129631</v>
      </c>
      <c r="E9" s="2" t="s">
        <v>763</v>
      </c>
    </row>
    <row r="10" spans="1:11" x14ac:dyDescent="0.25">
      <c r="A10" s="2" t="s">
        <v>740</v>
      </c>
      <c r="B10" s="2" t="s">
        <v>743</v>
      </c>
      <c r="C10" s="2" t="s">
        <v>591</v>
      </c>
      <c r="D10" s="30">
        <v>44271.781238425923</v>
      </c>
      <c r="E10" s="2" t="s">
        <v>764</v>
      </c>
    </row>
    <row r="11" spans="1:11" x14ac:dyDescent="0.25">
      <c r="A11" s="2" t="s">
        <v>485</v>
      </c>
      <c r="B11" s="2" t="s">
        <v>105</v>
      </c>
      <c r="C11" s="2" t="s">
        <v>591</v>
      </c>
      <c r="D11" s="30">
        <v>44271.781342592592</v>
      </c>
      <c r="E11" s="2" t="s">
        <v>765</v>
      </c>
    </row>
    <row r="12" spans="1:11" x14ac:dyDescent="0.25">
      <c r="A12" s="2" t="s">
        <v>774</v>
      </c>
      <c r="B12" s="2" t="s">
        <v>775</v>
      </c>
      <c r="C12" s="2" t="s">
        <v>591</v>
      </c>
      <c r="D12" s="30">
        <v>44272.817523148151</v>
      </c>
      <c r="E12" s="2" t="s">
        <v>776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M74"/>
  <sheetViews>
    <sheetView zoomScaleNormal="100" workbookViewId="0">
      <selection activeCell="M4" sqref="M4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3" x14ac:dyDescent="0.25">
      <c r="A3" t="s">
        <v>29</v>
      </c>
      <c r="C3" t="s">
        <v>56</v>
      </c>
      <c r="D3" t="s">
        <v>58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44273</v>
      </c>
    </row>
    <row r="4" spans="1:13" hidden="1" x14ac:dyDescent="0.25">
      <c r="B4" t="s">
        <v>62</v>
      </c>
      <c r="D4">
        <v>1</v>
      </c>
      <c r="F4" s="17" t="s">
        <v>130</v>
      </c>
      <c r="G4" t="s">
        <v>130</v>
      </c>
      <c r="H4" t="s">
        <v>130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</row>
    <row r="5" spans="1:13" hidden="1" x14ac:dyDescent="0.25">
      <c r="B5" t="s">
        <v>57</v>
      </c>
      <c r="C5">
        <v>0.25</v>
      </c>
      <c r="D5">
        <v>0.25</v>
      </c>
      <c r="F5" s="17" t="s">
        <v>130</v>
      </c>
      <c r="G5" t="s">
        <v>130</v>
      </c>
      <c r="H5" t="s">
        <v>130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</row>
    <row r="6" spans="1:13" hidden="1" x14ac:dyDescent="0.25">
      <c r="B6" t="s">
        <v>77</v>
      </c>
      <c r="D6">
        <v>0.25</v>
      </c>
      <c r="G6" t="s">
        <v>130</v>
      </c>
      <c r="H6" t="s">
        <v>130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</row>
    <row r="7" spans="1:13" hidden="1" x14ac:dyDescent="0.25">
      <c r="B7" t="s">
        <v>144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</row>
    <row r="8" spans="1:13" hidden="1" x14ac:dyDescent="0.25">
      <c r="B8" t="s">
        <v>145</v>
      </c>
      <c r="G8" t="s">
        <v>130</v>
      </c>
      <c r="H8" t="s">
        <v>130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</row>
    <row r="9" spans="1:13" x14ac:dyDescent="0.25">
      <c r="B9" t="s">
        <v>78</v>
      </c>
      <c r="D9">
        <v>0.25</v>
      </c>
    </row>
    <row r="10" spans="1:13" hidden="1" x14ac:dyDescent="0.25">
      <c r="B10" t="s">
        <v>208</v>
      </c>
      <c r="H10">
        <v>0.25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</row>
    <row r="11" spans="1:13" x14ac:dyDescent="0.25">
      <c r="B11" t="s">
        <v>198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</row>
    <row r="12" spans="1:13" hidden="1" x14ac:dyDescent="0.25">
      <c r="B12" t="s">
        <v>209</v>
      </c>
      <c r="H12">
        <v>0.25</v>
      </c>
      <c r="I12">
        <v>0.25</v>
      </c>
      <c r="J12" t="s">
        <v>130</v>
      </c>
      <c r="K12" t="s">
        <v>130</v>
      </c>
      <c r="L12" t="s">
        <v>130</v>
      </c>
      <c r="M12" t="s">
        <v>130</v>
      </c>
    </row>
    <row r="13" spans="1:13" hidden="1" x14ac:dyDescent="0.25">
      <c r="B13" t="s">
        <v>218</v>
      </c>
      <c r="I13">
        <v>0.25</v>
      </c>
      <c r="J13" t="s">
        <v>130</v>
      </c>
      <c r="K13" t="s">
        <v>130</v>
      </c>
      <c r="L13" t="s">
        <v>130</v>
      </c>
      <c r="M13" t="s">
        <v>130</v>
      </c>
    </row>
    <row r="14" spans="1:13" x14ac:dyDescent="0.25">
      <c r="B14" t="s">
        <v>168</v>
      </c>
      <c r="D14">
        <v>0.25</v>
      </c>
    </row>
    <row r="15" spans="1:13" hidden="1" x14ac:dyDescent="0.25">
      <c r="B15" t="s">
        <v>135</v>
      </c>
      <c r="I15">
        <v>0.25</v>
      </c>
      <c r="J15">
        <v>0.25</v>
      </c>
      <c r="K15" t="s">
        <v>130</v>
      </c>
      <c r="L15" t="s">
        <v>130</v>
      </c>
      <c r="M15" t="s">
        <v>130</v>
      </c>
    </row>
    <row r="16" spans="1:13" hidden="1" x14ac:dyDescent="0.25">
      <c r="B16" t="s">
        <v>133</v>
      </c>
      <c r="D16">
        <v>0.25</v>
      </c>
      <c r="G16" t="s">
        <v>130</v>
      </c>
      <c r="H16" t="s">
        <v>130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</row>
    <row r="17" spans="2:13" hidden="1" x14ac:dyDescent="0.25">
      <c r="B17" t="s">
        <v>136</v>
      </c>
      <c r="D17">
        <v>0.25</v>
      </c>
      <c r="M17" t="s">
        <v>130</v>
      </c>
    </row>
    <row r="18" spans="2:13" hidden="1" x14ac:dyDescent="0.25">
      <c r="B18" t="s">
        <v>134</v>
      </c>
      <c r="D18">
        <v>0.25</v>
      </c>
      <c r="G18" t="s">
        <v>130</v>
      </c>
      <c r="H18" t="s">
        <v>130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</row>
    <row r="19" spans="2:13" hidden="1" x14ac:dyDescent="0.25">
      <c r="B19" t="s">
        <v>171</v>
      </c>
      <c r="H19">
        <v>0.25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</row>
    <row r="20" spans="2:13" hidden="1" x14ac:dyDescent="0.25">
      <c r="B20" t="s">
        <v>193</v>
      </c>
      <c r="H20">
        <v>0.25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</row>
    <row r="21" spans="2:13" x14ac:dyDescent="0.25">
      <c r="B21" t="s">
        <v>59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>
        <v>0.5</v>
      </c>
    </row>
    <row r="22" spans="2:13" hidden="1" x14ac:dyDescent="0.25">
      <c r="B22" t="s">
        <v>60</v>
      </c>
      <c r="C22">
        <v>0.25</v>
      </c>
      <c r="D22">
        <v>0.25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</row>
    <row r="23" spans="2:13" x14ac:dyDescent="0.25">
      <c r="B23" t="s">
        <v>24</v>
      </c>
      <c r="C23">
        <v>0.25</v>
      </c>
    </row>
    <row r="24" spans="2:13" hidden="1" x14ac:dyDescent="0.25">
      <c r="B24" t="s">
        <v>30</v>
      </c>
      <c r="D24">
        <v>0.5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</row>
    <row r="25" spans="2:13" hidden="1" x14ac:dyDescent="0.25">
      <c r="B25" t="s">
        <v>31</v>
      </c>
      <c r="D25">
        <v>0.5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</row>
    <row r="26" spans="2:13" x14ac:dyDescent="0.25">
      <c r="B26" t="s">
        <v>28</v>
      </c>
      <c r="D26">
        <v>0.5</v>
      </c>
    </row>
    <row r="27" spans="2:13" hidden="1" x14ac:dyDescent="0.25">
      <c r="B27" t="s">
        <v>32</v>
      </c>
      <c r="D27">
        <v>0.5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</row>
    <row r="28" spans="2:13" x14ac:dyDescent="0.25">
      <c r="B28" t="s">
        <v>25</v>
      </c>
      <c r="C28">
        <v>0.25</v>
      </c>
    </row>
    <row r="29" spans="2:13" x14ac:dyDescent="0.25">
      <c r="B29" t="s">
        <v>33</v>
      </c>
    </row>
    <row r="30" spans="2:13" x14ac:dyDescent="0.25">
      <c r="B30" t="s">
        <v>26</v>
      </c>
      <c r="C30">
        <v>0.25</v>
      </c>
    </row>
    <row r="31" spans="2:13" x14ac:dyDescent="0.25">
      <c r="B31" t="s">
        <v>34</v>
      </c>
      <c r="C31">
        <v>0.25</v>
      </c>
    </row>
    <row r="32" spans="2:13" x14ac:dyDescent="0.25">
      <c r="B32" t="s">
        <v>35</v>
      </c>
      <c r="D32">
        <v>0.5</v>
      </c>
    </row>
    <row r="33" spans="2:13" x14ac:dyDescent="0.25">
      <c r="B33" t="s">
        <v>36</v>
      </c>
      <c r="C33">
        <v>0.25</v>
      </c>
    </row>
    <row r="34" spans="2:13" x14ac:dyDescent="0.25">
      <c r="B34" t="s">
        <v>37</v>
      </c>
      <c r="C34">
        <v>0.25</v>
      </c>
    </row>
    <row r="35" spans="2:13" hidden="1" x14ac:dyDescent="0.25">
      <c r="B35" t="s">
        <v>61</v>
      </c>
      <c r="C35">
        <v>2</v>
      </c>
      <c r="D35">
        <v>0.5</v>
      </c>
      <c r="I35">
        <v>2</v>
      </c>
      <c r="J35" t="s">
        <v>130</v>
      </c>
      <c r="K35" t="s">
        <v>130</v>
      </c>
      <c r="L35" t="s">
        <v>130</v>
      </c>
      <c r="M35" t="s">
        <v>130</v>
      </c>
    </row>
    <row r="36" spans="2:13" hidden="1" x14ac:dyDescent="0.25">
      <c r="B36" t="s">
        <v>63</v>
      </c>
      <c r="C36">
        <v>4</v>
      </c>
      <c r="D36">
        <v>4</v>
      </c>
      <c r="J36" t="s">
        <v>130</v>
      </c>
      <c r="K36" t="s">
        <v>130</v>
      </c>
      <c r="L36" t="s">
        <v>130</v>
      </c>
      <c r="M36" t="s">
        <v>130</v>
      </c>
    </row>
    <row r="37" spans="2:13" hidden="1" x14ac:dyDescent="0.25">
      <c r="B37" t="s">
        <v>500</v>
      </c>
      <c r="J37" t="s">
        <v>130</v>
      </c>
      <c r="K37" t="s">
        <v>130</v>
      </c>
      <c r="L37" t="s">
        <v>130</v>
      </c>
      <c r="M37" t="s">
        <v>130</v>
      </c>
    </row>
    <row r="38" spans="2:13" hidden="1" x14ac:dyDescent="0.25">
      <c r="B38" t="s">
        <v>573</v>
      </c>
      <c r="K38">
        <v>0.3</v>
      </c>
      <c r="L38" t="s">
        <v>130</v>
      </c>
      <c r="M38" t="s">
        <v>130</v>
      </c>
    </row>
    <row r="39" spans="2:13" hidden="1" x14ac:dyDescent="0.25">
      <c r="B39" t="s">
        <v>507</v>
      </c>
      <c r="J39">
        <v>0.25</v>
      </c>
      <c r="K39" t="s">
        <v>130</v>
      </c>
      <c r="L39" t="s">
        <v>130</v>
      </c>
      <c r="M39" t="s">
        <v>130</v>
      </c>
    </row>
    <row r="40" spans="2:13" hidden="1" x14ac:dyDescent="0.25">
      <c r="B40" t="s">
        <v>515</v>
      </c>
      <c r="K40" t="s">
        <v>130</v>
      </c>
      <c r="L40" t="s">
        <v>130</v>
      </c>
      <c r="M40" t="s">
        <v>130</v>
      </c>
    </row>
    <row r="41" spans="2:13" hidden="1" x14ac:dyDescent="0.25">
      <c r="B41" t="s">
        <v>508</v>
      </c>
      <c r="J41">
        <v>0.25</v>
      </c>
      <c r="K41" t="s">
        <v>130</v>
      </c>
      <c r="L41" t="s">
        <v>130</v>
      </c>
      <c r="M41" t="s">
        <v>130</v>
      </c>
    </row>
    <row r="42" spans="2:13" hidden="1" x14ac:dyDescent="0.25">
      <c r="B42" t="s">
        <v>513</v>
      </c>
      <c r="K42" t="s">
        <v>130</v>
      </c>
      <c r="L42" t="s">
        <v>130</v>
      </c>
      <c r="M42" t="s">
        <v>130</v>
      </c>
    </row>
    <row r="43" spans="2:13" hidden="1" x14ac:dyDescent="0.25">
      <c r="B43" t="s">
        <v>514</v>
      </c>
      <c r="K43" t="s">
        <v>130</v>
      </c>
      <c r="L43" t="s">
        <v>130</v>
      </c>
      <c r="M43" t="s">
        <v>130</v>
      </c>
    </row>
    <row r="44" spans="2:13" x14ac:dyDescent="0.25">
      <c r="B44" t="s">
        <v>577</v>
      </c>
      <c r="K44">
        <v>0.2</v>
      </c>
      <c r="L44">
        <v>0.2</v>
      </c>
      <c r="M44">
        <v>0.2</v>
      </c>
    </row>
    <row r="45" spans="2:13" x14ac:dyDescent="0.25">
      <c r="B45" t="s">
        <v>504</v>
      </c>
      <c r="J45">
        <v>0.5</v>
      </c>
      <c r="K45">
        <v>0.3</v>
      </c>
      <c r="L45">
        <v>0.3</v>
      </c>
      <c r="M45">
        <v>1</v>
      </c>
    </row>
    <row r="46" spans="2:13" x14ac:dyDescent="0.25">
      <c r="B46" t="s">
        <v>501</v>
      </c>
      <c r="J46">
        <v>0.25</v>
      </c>
      <c r="K46">
        <v>0.2</v>
      </c>
      <c r="L46">
        <v>0.2</v>
      </c>
      <c r="M46">
        <v>0.2</v>
      </c>
    </row>
    <row r="47" spans="2:13" x14ac:dyDescent="0.25">
      <c r="B47" t="s">
        <v>506</v>
      </c>
      <c r="J47">
        <v>0.25</v>
      </c>
      <c r="K47">
        <v>0.2</v>
      </c>
      <c r="L47">
        <v>0.2</v>
      </c>
      <c r="M47">
        <v>0.2</v>
      </c>
    </row>
    <row r="48" spans="2:13" x14ac:dyDescent="0.25">
      <c r="B48" t="s">
        <v>745</v>
      </c>
      <c r="M48">
        <v>0.1</v>
      </c>
    </row>
    <row r="49" spans="1:13" x14ac:dyDescent="0.25">
      <c r="B49" t="s">
        <v>766</v>
      </c>
      <c r="M49">
        <v>0.1</v>
      </c>
    </row>
    <row r="50" spans="1:13" x14ac:dyDescent="0.25">
      <c r="B50" t="s">
        <v>769</v>
      </c>
      <c r="J50">
        <v>0.25</v>
      </c>
      <c r="K50">
        <v>0.1</v>
      </c>
      <c r="L50">
        <v>0.1</v>
      </c>
      <c r="M50">
        <v>0.1</v>
      </c>
    </row>
    <row r="51" spans="1:13" x14ac:dyDescent="0.25">
      <c r="B51" t="s">
        <v>499</v>
      </c>
      <c r="J51">
        <v>1</v>
      </c>
      <c r="K51">
        <v>1</v>
      </c>
      <c r="L51">
        <v>1</v>
      </c>
      <c r="M51">
        <v>1</v>
      </c>
    </row>
    <row r="52" spans="1:13" x14ac:dyDescent="0.25">
      <c r="B52" t="s">
        <v>784</v>
      </c>
      <c r="M52">
        <v>0.3</v>
      </c>
    </row>
    <row r="53" spans="1:13" x14ac:dyDescent="0.25">
      <c r="B53" t="s">
        <v>783</v>
      </c>
      <c r="M53">
        <v>0.2</v>
      </c>
    </row>
    <row r="54" spans="1:13" x14ac:dyDescent="0.25">
      <c r="B54" t="s">
        <v>782</v>
      </c>
      <c r="M54">
        <v>0.1</v>
      </c>
    </row>
    <row r="55" spans="1:13" x14ac:dyDescent="0.25">
      <c r="B55" t="s">
        <v>770</v>
      </c>
      <c r="M55">
        <v>0.3</v>
      </c>
    </row>
    <row r="56" spans="1:13" x14ac:dyDescent="0.25">
      <c r="B56" t="s">
        <v>64</v>
      </c>
      <c r="C56">
        <v>3</v>
      </c>
      <c r="D56">
        <v>3</v>
      </c>
      <c r="J56">
        <v>2</v>
      </c>
      <c r="K56">
        <v>2</v>
      </c>
      <c r="L56">
        <v>2</v>
      </c>
      <c r="M56">
        <v>2</v>
      </c>
    </row>
    <row r="57" spans="1:13" x14ac:dyDescent="0.25">
      <c r="A57" t="s">
        <v>767</v>
      </c>
    </row>
    <row r="58" spans="1:13" x14ac:dyDescent="0.25">
      <c r="B58" t="s">
        <v>503</v>
      </c>
      <c r="J58">
        <v>0.25</v>
      </c>
      <c r="K58">
        <v>0.25</v>
      </c>
      <c r="L58">
        <v>0.25</v>
      </c>
      <c r="M58">
        <v>0.25</v>
      </c>
    </row>
    <row r="59" spans="1:13" x14ac:dyDescent="0.25">
      <c r="B59" t="s">
        <v>780</v>
      </c>
      <c r="M59">
        <v>0.2</v>
      </c>
    </row>
    <row r="60" spans="1:13" x14ac:dyDescent="0.25">
      <c r="B60" t="s">
        <v>781</v>
      </c>
      <c r="M60">
        <v>0.1</v>
      </c>
    </row>
    <row r="61" spans="1:13" x14ac:dyDescent="0.25">
      <c r="B61" t="s">
        <v>788</v>
      </c>
      <c r="M61">
        <v>0.1</v>
      </c>
    </row>
    <row r="62" spans="1:13" x14ac:dyDescent="0.25">
      <c r="B62" t="s">
        <v>231</v>
      </c>
      <c r="I62">
        <v>0.5</v>
      </c>
      <c r="J62">
        <v>0.5</v>
      </c>
      <c r="K62">
        <v>0.5</v>
      </c>
      <c r="L62">
        <v>0.5</v>
      </c>
      <c r="M62">
        <v>0.5</v>
      </c>
    </row>
    <row r="63" spans="1:13" x14ac:dyDescent="0.25">
      <c r="B63" t="s">
        <v>137</v>
      </c>
      <c r="D63">
        <v>0.5</v>
      </c>
    </row>
    <row r="64" spans="1:13" x14ac:dyDescent="0.25">
      <c r="B64" t="s">
        <v>785</v>
      </c>
      <c r="M64">
        <v>0.2</v>
      </c>
    </row>
    <row r="65" spans="2:13" x14ac:dyDescent="0.25">
      <c r="B65" t="s">
        <v>768</v>
      </c>
      <c r="M65">
        <v>0.1</v>
      </c>
    </row>
    <row r="66" spans="2:13" x14ac:dyDescent="0.25">
      <c r="B66" t="s">
        <v>588</v>
      </c>
      <c r="L66">
        <v>0.2</v>
      </c>
      <c r="M66">
        <v>0.2</v>
      </c>
    </row>
    <row r="67" spans="2:13" x14ac:dyDescent="0.25">
      <c r="B67" t="s">
        <v>522</v>
      </c>
      <c r="K67">
        <v>0.2</v>
      </c>
      <c r="L67">
        <v>0.2</v>
      </c>
      <c r="M67">
        <v>0.2</v>
      </c>
    </row>
    <row r="68" spans="2:13" x14ac:dyDescent="0.25">
      <c r="B68" t="s">
        <v>498</v>
      </c>
      <c r="J68">
        <v>0.5</v>
      </c>
      <c r="K68">
        <v>0.5</v>
      </c>
      <c r="L68">
        <v>0.5</v>
      </c>
      <c r="M68">
        <v>0.5</v>
      </c>
    </row>
    <row r="69" spans="2:13" x14ac:dyDescent="0.25">
      <c r="B69" t="s">
        <v>502</v>
      </c>
      <c r="J69">
        <v>0.5</v>
      </c>
      <c r="K69">
        <v>0.5</v>
      </c>
      <c r="L69">
        <v>0.5</v>
      </c>
      <c r="M69">
        <v>0.5</v>
      </c>
    </row>
    <row r="71" spans="2:13" x14ac:dyDescent="0.25">
      <c r="B71" s="27">
        <f>0+C71+D71</f>
        <v>26</v>
      </c>
      <c r="C71" s="28">
        <f>SUM(C4:C69)</f>
        <v>11.5</v>
      </c>
      <c r="D71" s="29">
        <f>SUM(D4:D69)</f>
        <v>14.5</v>
      </c>
      <c r="F71" s="17">
        <f t="shared" ref="F71:M71" si="0">SUMIF(F4:F70,"",$C4:$C70)+SUMIF(F4:F70,"",$D4:$D70)+SUBTOTAL(109,F4:F70)</f>
        <v>24.5</v>
      </c>
      <c r="G71" s="17">
        <f t="shared" si="0"/>
        <v>23.75</v>
      </c>
      <c r="H71" s="17">
        <f t="shared" si="0"/>
        <v>24</v>
      </c>
      <c r="I71" s="17">
        <f t="shared" si="0"/>
        <v>19</v>
      </c>
      <c r="J71" s="17">
        <f t="shared" si="0"/>
        <v>10.5</v>
      </c>
      <c r="K71" s="17">
        <f t="shared" si="0"/>
        <v>10.45</v>
      </c>
      <c r="L71" s="17">
        <f t="shared" si="0"/>
        <v>10.65</v>
      </c>
      <c r="M71" s="17">
        <f t="shared" si="0"/>
        <v>12.899999999999999</v>
      </c>
    </row>
    <row r="74" spans="2:13" x14ac:dyDescent="0.25">
      <c r="B74" t="s">
        <v>38</v>
      </c>
    </row>
  </sheetData>
  <autoFilter ref="F3:M71" xr:uid="{00379212-E3CF-4218-9FEE-9E59D27F5740}">
    <filterColumn colId="7">
      <filters blank="1">
        <filter val="0,1"/>
        <filter val="0,2"/>
        <filter val="0,25"/>
        <filter val="0,3"/>
        <filter val="0,5"/>
        <filter val="1"/>
        <filter val="12,9"/>
        <filter val="2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76</v>
      </c>
    </row>
    <row r="4" spans="1:3" outlineLevel="1" x14ac:dyDescent="0.25">
      <c r="B4" t="s">
        <v>210</v>
      </c>
    </row>
    <row r="5" spans="1:3" outlineLevel="1" x14ac:dyDescent="0.25">
      <c r="B5" t="s">
        <v>211</v>
      </c>
    </row>
    <row r="6" spans="1:3" outlineLevel="1" x14ac:dyDescent="0.25">
      <c r="B6" t="s">
        <v>212</v>
      </c>
    </row>
    <row r="7" spans="1:3" outlineLevel="1" x14ac:dyDescent="0.25">
      <c r="B7" t="s">
        <v>497</v>
      </c>
    </row>
    <row r="8" spans="1:3" outlineLevel="1" x14ac:dyDescent="0.25"/>
    <row r="11" spans="1:3" x14ac:dyDescent="0.25">
      <c r="A11" t="s">
        <v>510</v>
      </c>
      <c r="B11" t="s">
        <v>511</v>
      </c>
      <c r="C11" t="s">
        <v>512</v>
      </c>
    </row>
    <row r="12" spans="1:3" outlineLevel="1" x14ac:dyDescent="0.25">
      <c r="B12" t="s">
        <v>486</v>
      </c>
    </row>
    <row r="13" spans="1:3" outlineLevel="1" x14ac:dyDescent="0.25">
      <c r="B13" t="s">
        <v>487</v>
      </c>
    </row>
    <row r="14" spans="1:3" outlineLevel="1" x14ac:dyDescent="0.25">
      <c r="B14" t="s">
        <v>488</v>
      </c>
    </row>
    <row r="15" spans="1:3" outlineLevel="1" x14ac:dyDescent="0.25"/>
    <row r="16" spans="1:3" outlineLevel="1" x14ac:dyDescent="0.25"/>
    <row r="19" spans="1:3" collapsed="1" x14ac:dyDescent="0.25">
      <c r="A19" t="s">
        <v>237</v>
      </c>
      <c r="B19" t="s">
        <v>238</v>
      </c>
      <c r="C19" t="s">
        <v>239</v>
      </c>
    </row>
    <row r="20" spans="1:3" hidden="1" outlineLevel="1" x14ac:dyDescent="0.25">
      <c r="B20" t="s">
        <v>486</v>
      </c>
    </row>
    <row r="21" spans="1:3" hidden="1" outlineLevel="1" x14ac:dyDescent="0.25">
      <c r="B21" t="s">
        <v>487</v>
      </c>
    </row>
    <row r="22" spans="1:3" hidden="1" outlineLevel="1" x14ac:dyDescent="0.25">
      <c r="B22" t="s">
        <v>488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236</v>
      </c>
      <c r="B26" t="s">
        <v>217</v>
      </c>
      <c r="C26" t="s">
        <v>233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232</v>
      </c>
      <c r="B31" t="s">
        <v>217</v>
      </c>
      <c r="C31" t="s">
        <v>233</v>
      </c>
    </row>
    <row r="32" spans="1:3" hidden="1" outlineLevel="1" x14ac:dyDescent="0.25">
      <c r="B32" t="s">
        <v>234</v>
      </c>
    </row>
    <row r="33" spans="1:3" hidden="1" outlineLevel="1" x14ac:dyDescent="0.25">
      <c r="B33" t="s">
        <v>235</v>
      </c>
    </row>
    <row r="34" spans="1:3" hidden="1" outlineLevel="1" x14ac:dyDescent="0.25"/>
    <row r="36" spans="1:3" collapsed="1" x14ac:dyDescent="0.25">
      <c r="A36" t="s">
        <v>216</v>
      </c>
      <c r="B36" t="s">
        <v>217</v>
      </c>
      <c r="C36" t="s">
        <v>72</v>
      </c>
    </row>
    <row r="37" spans="1:3" hidden="1" outlineLevel="1" x14ac:dyDescent="0.25">
      <c r="B37" t="s">
        <v>222</v>
      </c>
    </row>
    <row r="38" spans="1:3" hidden="1" outlineLevel="1" x14ac:dyDescent="0.25">
      <c r="B38" t="s">
        <v>223</v>
      </c>
    </row>
    <row r="39" spans="1:3" hidden="1" outlineLevel="1" x14ac:dyDescent="0.25">
      <c r="B39" t="s">
        <v>224</v>
      </c>
    </row>
    <row r="40" spans="1:3" hidden="1" outlineLevel="1" x14ac:dyDescent="0.25">
      <c r="B40" t="s">
        <v>230</v>
      </c>
    </row>
    <row r="41" spans="1:3" hidden="1" outlineLevel="1" x14ac:dyDescent="0.25"/>
    <row r="43" spans="1:3" collapsed="1" x14ac:dyDescent="0.25">
      <c r="A43" t="s">
        <v>200</v>
      </c>
      <c r="B43" t="s">
        <v>201</v>
      </c>
      <c r="C43" t="s">
        <v>214</v>
      </c>
    </row>
    <row r="44" spans="1:3" hidden="1" outlineLevel="1" x14ac:dyDescent="0.25">
      <c r="B44" t="s">
        <v>204</v>
      </c>
    </row>
    <row r="45" spans="1:3" hidden="1" outlineLevel="1" x14ac:dyDescent="0.25">
      <c r="B45" t="s">
        <v>202</v>
      </c>
    </row>
    <row r="46" spans="1:3" hidden="1" outlineLevel="1" x14ac:dyDescent="0.25">
      <c r="B46" t="s">
        <v>203</v>
      </c>
    </row>
    <row r="47" spans="1:3" hidden="1" outlineLevel="1" x14ac:dyDescent="0.25"/>
    <row r="49" spans="1:3" collapsed="1" x14ac:dyDescent="0.25">
      <c r="A49" t="s">
        <v>205</v>
      </c>
      <c r="B49" t="s">
        <v>206</v>
      </c>
      <c r="C49" t="s">
        <v>215</v>
      </c>
    </row>
    <row r="50" spans="1:3" hidden="1" outlineLevel="1" x14ac:dyDescent="0.25">
      <c r="B50" t="s">
        <v>207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131</v>
      </c>
    </row>
    <row r="57" spans="1:3" hidden="1" outlineLevel="1" collapsed="1" x14ac:dyDescent="0.25">
      <c r="B57" t="s">
        <v>213</v>
      </c>
    </row>
    <row r="58" spans="1:3" hidden="1" outlineLevel="2" x14ac:dyDescent="0.25">
      <c r="B58" t="s">
        <v>109</v>
      </c>
    </row>
    <row r="59" spans="1:3" hidden="1" outlineLevel="2" x14ac:dyDescent="0.25"/>
    <row r="60" spans="1:3" hidden="1" outlineLevel="2" x14ac:dyDescent="0.25">
      <c r="B60" t="s">
        <v>110</v>
      </c>
    </row>
    <row r="61" spans="1:3" hidden="1" outlineLevel="2" x14ac:dyDescent="0.25"/>
    <row r="62" spans="1:3" hidden="1" outlineLevel="2" x14ac:dyDescent="0.25">
      <c r="B62" t="s">
        <v>111</v>
      </c>
    </row>
    <row r="63" spans="1:3" hidden="1" outlineLevel="2" x14ac:dyDescent="0.25">
      <c r="B63" t="s">
        <v>112</v>
      </c>
    </row>
    <row r="64" spans="1:3" hidden="1" outlineLevel="2" x14ac:dyDescent="0.25">
      <c r="B64" t="s">
        <v>113</v>
      </c>
    </row>
    <row r="65" spans="2:2" hidden="1" outlineLevel="2" x14ac:dyDescent="0.25">
      <c r="B65" t="s">
        <v>114</v>
      </c>
    </row>
    <row r="66" spans="2:2" hidden="1" outlineLevel="2" x14ac:dyDescent="0.25">
      <c r="B66" t="s">
        <v>115</v>
      </c>
    </row>
    <row r="67" spans="2:2" hidden="1" outlineLevel="2" x14ac:dyDescent="0.25">
      <c r="B67" t="s">
        <v>116</v>
      </c>
    </row>
    <row r="68" spans="2:2" hidden="1" outlineLevel="2" x14ac:dyDescent="0.25"/>
    <row r="69" spans="2:2" hidden="1" outlineLevel="2" x14ac:dyDescent="0.25">
      <c r="B69" t="s">
        <v>117</v>
      </c>
    </row>
    <row r="70" spans="2:2" hidden="1" outlineLevel="2" x14ac:dyDescent="0.25">
      <c r="B70" t="s">
        <v>118</v>
      </c>
    </row>
    <row r="71" spans="2:2" hidden="1" outlineLevel="2" x14ac:dyDescent="0.25"/>
    <row r="72" spans="2:2" hidden="1" outlineLevel="2" x14ac:dyDescent="0.25">
      <c r="B72" t="s">
        <v>119</v>
      </c>
    </row>
    <row r="73" spans="2:2" hidden="1" outlineLevel="2" x14ac:dyDescent="0.25">
      <c r="B73" t="s">
        <v>120</v>
      </c>
    </row>
    <row r="74" spans="2:2" hidden="1" outlineLevel="2" x14ac:dyDescent="0.25">
      <c r="B74" t="s">
        <v>121</v>
      </c>
    </row>
    <row r="75" spans="2:2" hidden="1" outlineLevel="2" x14ac:dyDescent="0.25">
      <c r="B75" t="s">
        <v>122</v>
      </c>
    </row>
    <row r="76" spans="2:2" hidden="1" outlineLevel="2" x14ac:dyDescent="0.25">
      <c r="B76" t="s">
        <v>123</v>
      </c>
    </row>
    <row r="77" spans="2:2" hidden="1" outlineLevel="2" x14ac:dyDescent="0.25">
      <c r="B77" t="s">
        <v>124</v>
      </c>
    </row>
    <row r="78" spans="2:2" hidden="1" outlineLevel="2" x14ac:dyDescent="0.25">
      <c r="B78" t="s">
        <v>125</v>
      </c>
    </row>
    <row r="79" spans="2:2" hidden="1" outlineLevel="1" x14ac:dyDescent="0.25"/>
    <row r="80" spans="2:2" hidden="1" outlineLevel="1" collapsed="1" x14ac:dyDescent="0.25">
      <c r="B80" t="s">
        <v>132</v>
      </c>
    </row>
    <row r="81" spans="3:3" hidden="1" outlineLevel="2" x14ac:dyDescent="0.25">
      <c r="C81" t="s">
        <v>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8"/>
  <sheetViews>
    <sheetView topLeftCell="A36" workbookViewId="0">
      <selection activeCell="G43" sqref="G43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48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149</v>
      </c>
      <c r="B6" s="2"/>
      <c r="C6" s="3"/>
      <c r="D6" s="3"/>
      <c r="E6" s="2" t="s">
        <v>55</v>
      </c>
      <c r="F6" s="2" t="s">
        <v>55</v>
      </c>
      <c r="G6" s="2" t="s">
        <v>150</v>
      </c>
      <c r="H6" s="2" t="s">
        <v>151</v>
      </c>
    </row>
    <row r="7" spans="1:12" x14ac:dyDescent="0.25">
      <c r="A7" s="2" t="s">
        <v>152</v>
      </c>
      <c r="B7" s="2"/>
      <c r="C7" s="3"/>
      <c r="D7" s="3"/>
      <c r="E7" s="2"/>
      <c r="F7" s="2"/>
      <c r="G7" s="2" t="s">
        <v>153</v>
      </c>
      <c r="H7" s="2" t="s">
        <v>160</v>
      </c>
    </row>
    <row r="8" spans="1:12" x14ac:dyDescent="0.25">
      <c r="A8" s="2" t="s">
        <v>154</v>
      </c>
      <c r="B8" s="2"/>
      <c r="C8" s="3"/>
      <c r="D8" s="3"/>
      <c r="E8" s="2"/>
      <c r="F8" s="2"/>
      <c r="G8" s="2" t="s">
        <v>155</v>
      </c>
      <c r="H8" s="2" t="s">
        <v>156</v>
      </c>
    </row>
    <row r="9" spans="1:12" x14ac:dyDescent="0.25">
      <c r="A9" s="2" t="s">
        <v>159</v>
      </c>
      <c r="B9" s="2"/>
      <c r="C9" s="3"/>
      <c r="D9" s="3"/>
      <c r="E9" s="2"/>
      <c r="F9" s="2"/>
      <c r="G9" s="2" t="s">
        <v>161</v>
      </c>
      <c r="H9" s="2" t="s">
        <v>162</v>
      </c>
    </row>
    <row r="10" spans="1:12" x14ac:dyDescent="0.25">
      <c r="A10" s="2" t="s">
        <v>45</v>
      </c>
      <c r="B10" s="2" t="s">
        <v>157</v>
      </c>
      <c r="C10" s="3" t="s">
        <v>158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49</v>
      </c>
      <c r="B11" s="2" t="s">
        <v>55</v>
      </c>
      <c r="C11" s="2" t="s">
        <v>55</v>
      </c>
      <c r="D11" s="2" t="s">
        <v>55</v>
      </c>
      <c r="E11" s="2" t="s">
        <v>55</v>
      </c>
      <c r="F11" s="2" t="s">
        <v>55</v>
      </c>
      <c r="G11" s="2" t="s">
        <v>50</v>
      </c>
      <c r="H11" s="2" t="s">
        <v>51</v>
      </c>
    </row>
    <row r="12" spans="1:12" x14ac:dyDescent="0.25">
      <c r="A12" s="2" t="s">
        <v>52</v>
      </c>
      <c r="B12" s="2" t="s">
        <v>55</v>
      </c>
      <c r="C12" s="2" t="s">
        <v>55</v>
      </c>
      <c r="D12" s="2" t="s">
        <v>55</v>
      </c>
      <c r="E12" s="2" t="s">
        <v>55</v>
      </c>
      <c r="F12" s="2" t="s">
        <v>55</v>
      </c>
      <c r="G12" s="2" t="s">
        <v>54</v>
      </c>
      <c r="H12" s="2" t="s">
        <v>53</v>
      </c>
    </row>
    <row r="13" spans="1:12" x14ac:dyDescent="0.25">
      <c r="A13" s="2" t="s">
        <v>41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42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43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44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163</v>
      </c>
      <c r="B18" s="2"/>
      <c r="C18" s="2"/>
      <c r="D18" s="2"/>
      <c r="E18" s="2"/>
      <c r="F18" s="2"/>
      <c r="G18" s="2" t="s">
        <v>483</v>
      </c>
      <c r="H18" s="2" t="s">
        <v>227</v>
      </c>
    </row>
    <row r="19" spans="1:8" x14ac:dyDescent="0.25">
      <c r="A19" s="2" t="s">
        <v>164</v>
      </c>
      <c r="B19" s="2"/>
      <c r="C19" s="2"/>
      <c r="D19" s="2"/>
      <c r="E19" s="2"/>
      <c r="F19" s="2"/>
      <c r="G19" s="2" t="s">
        <v>166</v>
      </c>
      <c r="H19" s="2" t="s">
        <v>165</v>
      </c>
    </row>
    <row r="20" spans="1:8" x14ac:dyDescent="0.25">
      <c r="A20" s="2" t="s">
        <v>167</v>
      </c>
      <c r="B20" s="2"/>
      <c r="C20" s="2"/>
      <c r="D20" s="2"/>
      <c r="E20" s="2"/>
      <c r="F20" s="2"/>
      <c r="G20" s="2" t="s">
        <v>107</v>
      </c>
      <c r="H20" s="2" t="s">
        <v>57</v>
      </c>
    </row>
    <row r="21" spans="1:8" x14ac:dyDescent="0.25">
      <c r="A21" s="2" t="s">
        <v>67</v>
      </c>
      <c r="B21" s="2"/>
      <c r="C21" s="2"/>
      <c r="D21" s="2"/>
      <c r="E21" s="2"/>
      <c r="F21" s="2"/>
      <c r="G21" s="2" t="s">
        <v>68</v>
      </c>
      <c r="H21" s="2" t="s">
        <v>69</v>
      </c>
    </row>
    <row r="22" spans="1:8" x14ac:dyDescent="0.25">
      <c r="A22" s="2" t="s">
        <v>85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65</v>
      </c>
      <c r="B23" s="2"/>
      <c r="C23" s="2"/>
      <c r="D23" s="2"/>
      <c r="E23" s="2"/>
      <c r="F23" s="2"/>
      <c r="G23" s="2" t="s">
        <v>20</v>
      </c>
      <c r="H23" s="2" t="s">
        <v>39</v>
      </c>
    </row>
    <row r="24" spans="1:8" x14ac:dyDescent="0.25">
      <c r="A24" s="2" t="s">
        <v>97</v>
      </c>
      <c r="B24" s="2"/>
      <c r="C24" s="2"/>
      <c r="D24" s="2"/>
      <c r="E24" s="2"/>
      <c r="F24" s="2"/>
      <c r="G24" s="2" t="s">
        <v>23</v>
      </c>
      <c r="H24" s="2" t="s">
        <v>99</v>
      </c>
    </row>
    <row r="25" spans="1:8" x14ac:dyDescent="0.25">
      <c r="A25" s="2" t="s">
        <v>95</v>
      </c>
      <c r="B25" s="2"/>
      <c r="C25" s="2"/>
      <c r="D25" s="2"/>
      <c r="E25" s="2"/>
      <c r="F25" s="2"/>
      <c r="G25" s="2" t="s">
        <v>96</v>
      </c>
      <c r="H25" s="2" t="s">
        <v>40</v>
      </c>
    </row>
    <row r="26" spans="1:8" x14ac:dyDescent="0.25">
      <c r="A26" s="2" t="s">
        <v>66</v>
      </c>
      <c r="B26" s="2"/>
      <c r="C26" s="2"/>
      <c r="D26" s="2"/>
      <c r="E26" s="2"/>
      <c r="F26" s="2"/>
      <c r="G26" s="2" t="s">
        <v>46</v>
      </c>
      <c r="H26" s="2" t="s">
        <v>47</v>
      </c>
    </row>
    <row r="27" spans="1:8" x14ac:dyDescent="0.25">
      <c r="A27" s="2" t="s">
        <v>79</v>
      </c>
      <c r="B27" s="2"/>
      <c r="C27" s="2"/>
      <c r="D27" s="2"/>
      <c r="E27" s="2"/>
      <c r="F27" s="2"/>
      <c r="G27" s="50" t="s">
        <v>80</v>
      </c>
      <c r="H27" s="50" t="s">
        <v>81</v>
      </c>
    </row>
    <row r="28" spans="1:8" x14ac:dyDescent="0.25">
      <c r="A28" s="2" t="s">
        <v>744</v>
      </c>
      <c r="B28" s="2"/>
      <c r="C28" s="2"/>
      <c r="D28" s="2"/>
      <c r="E28" s="2"/>
      <c r="F28" s="2"/>
      <c r="G28" s="2" t="s">
        <v>755</v>
      </c>
      <c r="H28" s="2" t="s">
        <v>756</v>
      </c>
    </row>
    <row r="29" spans="1:8" x14ac:dyDescent="0.25">
      <c r="A29" s="2" t="s">
        <v>75</v>
      </c>
      <c r="B29" s="2"/>
      <c r="C29" s="2"/>
      <c r="D29" s="2"/>
      <c r="E29" s="2"/>
      <c r="F29" s="2"/>
      <c r="G29" s="2" t="s">
        <v>71</v>
      </c>
      <c r="H29" s="2" t="s">
        <v>73</v>
      </c>
    </row>
    <row r="30" spans="1:8" x14ac:dyDescent="0.25">
      <c r="A30" s="2" t="s">
        <v>746</v>
      </c>
      <c r="B30" s="2"/>
      <c r="C30" s="2"/>
      <c r="D30" s="2"/>
      <c r="E30" s="2"/>
      <c r="F30" s="2"/>
      <c r="G30" s="2" t="s">
        <v>747</v>
      </c>
      <c r="H30" s="2" t="s">
        <v>748</v>
      </c>
    </row>
    <row r="31" spans="1:8" x14ac:dyDescent="0.25">
      <c r="A31" s="2" t="s">
        <v>70</v>
      </c>
      <c r="B31" s="2"/>
      <c r="C31" s="2"/>
      <c r="D31" s="2"/>
      <c r="E31" s="2"/>
      <c r="F31" s="2"/>
      <c r="G31" s="2" t="s">
        <v>72</v>
      </c>
      <c r="H31" s="2" t="s">
        <v>74</v>
      </c>
    </row>
    <row r="32" spans="1:8" x14ac:dyDescent="0.25">
      <c r="A32" s="2" t="s">
        <v>749</v>
      </c>
      <c r="B32" s="2"/>
      <c r="C32" s="2"/>
      <c r="D32" s="2"/>
      <c r="E32" s="2"/>
      <c r="F32" s="2"/>
      <c r="G32" s="2" t="s">
        <v>750</v>
      </c>
      <c r="H32" s="2" t="s">
        <v>751</v>
      </c>
    </row>
    <row r="33" spans="1:8" x14ac:dyDescent="0.25">
      <c r="A33" s="26" t="s">
        <v>138</v>
      </c>
      <c r="B33" s="2"/>
      <c r="C33" s="2"/>
      <c r="D33" s="2"/>
      <c r="E33" s="2"/>
      <c r="F33" s="2"/>
      <c r="G33" s="2" t="s">
        <v>173</v>
      </c>
      <c r="H33" s="2" t="s">
        <v>174</v>
      </c>
    </row>
    <row r="34" spans="1:8" x14ac:dyDescent="0.25">
      <c r="A34" s="26" t="s">
        <v>139</v>
      </c>
      <c r="B34" s="2"/>
      <c r="C34" s="2"/>
      <c r="D34" s="2"/>
      <c r="E34" s="2"/>
      <c r="F34" s="2"/>
      <c r="G34" s="2" t="s">
        <v>37</v>
      </c>
      <c r="H34" s="2" t="s">
        <v>175</v>
      </c>
    </row>
    <row r="35" spans="1:8" x14ac:dyDescent="0.25">
      <c r="A35" s="26" t="s">
        <v>140</v>
      </c>
      <c r="B35" s="2"/>
      <c r="C35" s="2"/>
      <c r="D35" s="2"/>
      <c r="E35" s="2"/>
      <c r="F35" s="2"/>
      <c r="G35" s="2" t="s">
        <v>176</v>
      </c>
      <c r="H35" s="2" t="s">
        <v>177</v>
      </c>
    </row>
    <row r="36" spans="1:8" x14ac:dyDescent="0.25">
      <c r="A36" s="26" t="s">
        <v>172</v>
      </c>
      <c r="B36" s="2"/>
      <c r="C36" s="2"/>
      <c r="D36" s="2"/>
      <c r="E36" s="2"/>
      <c r="F36" s="2"/>
      <c r="G36" s="2" t="s">
        <v>571</v>
      </c>
      <c r="H36" s="2" t="s">
        <v>572</v>
      </c>
    </row>
    <row r="37" spans="1:8" x14ac:dyDescent="0.25">
      <c r="A37" s="26" t="s">
        <v>142</v>
      </c>
      <c r="B37" s="2"/>
      <c r="C37" s="2"/>
      <c r="D37" s="2"/>
      <c r="E37" s="2"/>
      <c r="F37" s="2"/>
      <c r="G37" s="2" t="s">
        <v>178</v>
      </c>
      <c r="H37" s="2" t="s">
        <v>180</v>
      </c>
    </row>
    <row r="38" spans="1:8" x14ac:dyDescent="0.25">
      <c r="A38" s="26" t="s">
        <v>143</v>
      </c>
      <c r="B38" s="2"/>
      <c r="C38" s="2"/>
      <c r="D38" s="2"/>
      <c r="E38" s="2"/>
      <c r="F38" s="2"/>
      <c r="G38" s="2" t="s">
        <v>179</v>
      </c>
      <c r="H38" s="2" t="s">
        <v>181</v>
      </c>
    </row>
    <row r="39" spans="1:8" x14ac:dyDescent="0.25">
      <c r="A39" s="2" t="s">
        <v>126</v>
      </c>
      <c r="B39" s="2"/>
      <c r="C39" s="2"/>
      <c r="D39" s="2"/>
      <c r="E39" s="2"/>
      <c r="F39" s="2"/>
      <c r="G39" s="2" t="s">
        <v>199</v>
      </c>
      <c r="H39" s="2" t="s">
        <v>182</v>
      </c>
    </row>
    <row r="40" spans="1:8" x14ac:dyDescent="0.25">
      <c r="A40" s="2" t="s">
        <v>752</v>
      </c>
      <c r="B40" s="2"/>
      <c r="C40" s="2"/>
      <c r="D40" s="2"/>
      <c r="E40" s="2"/>
      <c r="F40" s="2"/>
      <c r="G40" s="2" t="s">
        <v>753</v>
      </c>
      <c r="H40" s="2" t="s">
        <v>754</v>
      </c>
    </row>
    <row r="41" spans="1:8" x14ac:dyDescent="0.25">
      <c r="A41" s="26" t="s">
        <v>191</v>
      </c>
      <c r="B41" s="2"/>
      <c r="C41" s="2"/>
      <c r="D41" s="2"/>
      <c r="E41" s="2"/>
      <c r="F41" s="2"/>
      <c r="G41" s="2" t="s">
        <v>19</v>
      </c>
      <c r="H41" s="2" t="s">
        <v>19</v>
      </c>
    </row>
    <row r="42" spans="1:8" x14ac:dyDescent="0.25">
      <c r="A42" s="26" t="s">
        <v>189</v>
      </c>
      <c r="B42" s="2"/>
      <c r="C42" s="2"/>
      <c r="D42" s="2"/>
      <c r="E42" s="2"/>
      <c r="F42" s="2"/>
      <c r="G42" s="2" t="s">
        <v>786</v>
      </c>
      <c r="H42" s="2" t="s">
        <v>787</v>
      </c>
    </row>
    <row r="43" spans="1:8" x14ac:dyDescent="0.25">
      <c r="A43" s="26" t="s">
        <v>190</v>
      </c>
      <c r="B43" s="2"/>
      <c r="C43" s="2"/>
      <c r="D43" s="2"/>
      <c r="E43" s="2"/>
      <c r="F43" s="2"/>
      <c r="G43" s="2" t="s">
        <v>27</v>
      </c>
      <c r="H43" s="2" t="s">
        <v>192</v>
      </c>
    </row>
    <row r="44" spans="1:8" x14ac:dyDescent="0.25">
      <c r="A44" s="36" t="s">
        <v>362</v>
      </c>
      <c r="B44" s="2"/>
      <c r="C44" s="2"/>
      <c r="D44" s="2"/>
      <c r="E44" s="2"/>
      <c r="F44" s="2"/>
      <c r="G44" s="2" t="s">
        <v>460</v>
      </c>
      <c r="H44" s="2" t="s">
        <v>17</v>
      </c>
    </row>
    <row r="45" spans="1:8" x14ac:dyDescent="0.25">
      <c r="A45" s="36" t="s">
        <v>363</v>
      </c>
      <c r="B45" s="2"/>
      <c r="C45" s="2"/>
      <c r="D45" s="2"/>
      <c r="E45" s="2"/>
      <c r="F45" s="2"/>
      <c r="G45" s="2" t="s">
        <v>461</v>
      </c>
      <c r="H45" s="2" t="s">
        <v>462</v>
      </c>
    </row>
    <row r="46" spans="1:8" x14ac:dyDescent="0.25">
      <c r="A46" s="35" t="s">
        <v>313</v>
      </c>
      <c r="B46" s="2"/>
      <c r="C46" s="2"/>
      <c r="D46" s="2"/>
      <c r="E46" s="2"/>
      <c r="F46" s="2"/>
      <c r="G46" s="2" t="s">
        <v>463</v>
      </c>
      <c r="H46" s="2" t="s">
        <v>464</v>
      </c>
    </row>
    <row r="47" spans="1:8" x14ac:dyDescent="0.25">
      <c r="A47" s="36" t="s">
        <v>440</v>
      </c>
      <c r="B47" s="2"/>
      <c r="C47" s="2"/>
      <c r="D47" s="2"/>
      <c r="E47" s="2"/>
      <c r="F47" s="2"/>
      <c r="G47" s="2" t="s">
        <v>465</v>
      </c>
      <c r="H47" s="38" t="s">
        <v>473</v>
      </c>
    </row>
    <row r="48" spans="1:8" x14ac:dyDescent="0.25">
      <c r="A48" s="36" t="s">
        <v>441</v>
      </c>
      <c r="B48" s="2"/>
      <c r="C48" s="2"/>
      <c r="D48" s="2"/>
      <c r="E48" s="2"/>
      <c r="F48" s="2"/>
      <c r="G48" s="2" t="s">
        <v>469</v>
      </c>
      <c r="H48" s="2" t="s">
        <v>471</v>
      </c>
    </row>
    <row r="49" spans="1:8" x14ac:dyDescent="0.25">
      <c r="A49" s="36" t="s">
        <v>442</v>
      </c>
      <c r="B49" s="2"/>
      <c r="C49" s="2"/>
      <c r="D49" s="2"/>
      <c r="E49" s="2"/>
      <c r="F49" s="2"/>
      <c r="G49" s="2" t="s">
        <v>466</v>
      </c>
      <c r="H49" s="38" t="s">
        <v>474</v>
      </c>
    </row>
    <row r="50" spans="1:8" x14ac:dyDescent="0.25">
      <c r="A50" s="36" t="s">
        <v>443</v>
      </c>
      <c r="B50" s="2"/>
      <c r="C50" s="2"/>
      <c r="D50" s="2"/>
      <c r="E50" s="2"/>
      <c r="F50" s="2"/>
      <c r="G50" s="2" t="s">
        <v>470</v>
      </c>
      <c r="H50" s="2" t="s">
        <v>472</v>
      </c>
    </row>
    <row r="51" spans="1:8" x14ac:dyDescent="0.25">
      <c r="A51" s="36" t="s">
        <v>444</v>
      </c>
      <c r="B51" s="2"/>
      <c r="C51" s="2"/>
      <c r="D51" s="2"/>
      <c r="E51" s="2"/>
      <c r="F51" s="2"/>
      <c r="G51" s="2" t="s">
        <v>475</v>
      </c>
      <c r="H51" s="2" t="s">
        <v>476</v>
      </c>
    </row>
    <row r="52" spans="1:8" x14ac:dyDescent="0.25">
      <c r="A52" s="36" t="s">
        <v>445</v>
      </c>
      <c r="B52" s="2"/>
      <c r="C52" s="2"/>
      <c r="D52" s="2"/>
      <c r="E52" s="2"/>
      <c r="F52" s="2"/>
      <c r="G52" s="2" t="s">
        <v>477</v>
      </c>
      <c r="H52" s="2" t="s">
        <v>478</v>
      </c>
    </row>
    <row r="53" spans="1:8" x14ac:dyDescent="0.25">
      <c r="A53" s="36" t="s">
        <v>446</v>
      </c>
      <c r="B53" s="2"/>
      <c r="C53" s="2"/>
      <c r="D53" s="2"/>
      <c r="E53" s="2"/>
      <c r="F53" s="2"/>
      <c r="G53" s="2" t="s">
        <v>467</v>
      </c>
      <c r="H53" s="2" t="s">
        <v>479</v>
      </c>
    </row>
    <row r="54" spans="1:8" x14ac:dyDescent="0.25">
      <c r="A54" s="36" t="s">
        <v>447</v>
      </c>
      <c r="B54" s="2"/>
      <c r="C54" s="2"/>
      <c r="D54" s="2"/>
      <c r="E54" s="2"/>
      <c r="F54" s="2"/>
      <c r="G54" s="2" t="s">
        <v>480</v>
      </c>
      <c r="H54" s="2" t="s">
        <v>481</v>
      </c>
    </row>
    <row r="55" spans="1:8" x14ac:dyDescent="0.25">
      <c r="A55" s="36" t="s">
        <v>448</v>
      </c>
      <c r="B55" s="2"/>
      <c r="C55" s="2"/>
      <c r="D55" s="2"/>
      <c r="E55" s="2"/>
      <c r="F55" s="2"/>
      <c r="G55" s="2" t="s">
        <v>468</v>
      </c>
      <c r="H55" s="2" t="s">
        <v>482</v>
      </c>
    </row>
    <row r="56" spans="1:8" x14ac:dyDescent="0.25">
      <c r="A56" s="36" t="s">
        <v>449</v>
      </c>
      <c r="B56" s="2"/>
      <c r="C56" s="2"/>
      <c r="D56" s="2"/>
      <c r="E56" s="2"/>
      <c r="F56" s="2"/>
      <c r="G56" s="36" t="s">
        <v>516</v>
      </c>
      <c r="H56" s="36" t="s">
        <v>517</v>
      </c>
    </row>
    <row r="57" spans="1:8" x14ac:dyDescent="0.25">
      <c r="A57" s="36" t="s">
        <v>450</v>
      </c>
      <c r="B57" s="2"/>
      <c r="C57" s="2"/>
      <c r="D57" s="2"/>
      <c r="E57" s="2"/>
      <c r="F57" s="2"/>
      <c r="G57" s="36" t="s">
        <v>519</v>
      </c>
      <c r="H57" s="36" t="s">
        <v>518</v>
      </c>
    </row>
    <row r="58" spans="1:8" x14ac:dyDescent="0.25">
      <c r="A58" s="36" t="s">
        <v>451</v>
      </c>
      <c r="B58" s="2"/>
      <c r="C58" s="2"/>
      <c r="D58" s="2"/>
      <c r="E58" s="2"/>
      <c r="F58" s="2"/>
      <c r="G58" s="36" t="s">
        <v>520</v>
      </c>
      <c r="H58" s="36" t="s">
        <v>521</v>
      </c>
    </row>
    <row r="59" spans="1:8" x14ac:dyDescent="0.25">
      <c r="A59" s="36" t="s">
        <v>452</v>
      </c>
      <c r="B59" s="2"/>
      <c r="C59" s="2"/>
      <c r="D59" s="2"/>
      <c r="E59" s="2"/>
      <c r="F59" s="2"/>
      <c r="G59" s="36" t="s">
        <v>523</v>
      </c>
      <c r="H59" s="36" t="s">
        <v>524</v>
      </c>
    </row>
    <row r="60" spans="1:8" x14ac:dyDescent="0.25">
      <c r="A60" s="36" t="s">
        <v>453</v>
      </c>
      <c r="B60" s="2"/>
      <c r="C60" s="2"/>
      <c r="D60" s="2"/>
      <c r="E60" s="2"/>
      <c r="F60" s="2"/>
      <c r="G60" s="36" t="s">
        <v>525</v>
      </c>
      <c r="H60" s="36" t="s">
        <v>527</v>
      </c>
    </row>
    <row r="61" spans="1:8" x14ac:dyDescent="0.25">
      <c r="A61" s="36" t="s">
        <v>454</v>
      </c>
      <c r="B61" s="2"/>
      <c r="C61" s="2"/>
      <c r="D61" s="2"/>
      <c r="E61" s="2"/>
      <c r="F61" s="2"/>
      <c r="G61" s="36" t="s">
        <v>526</v>
      </c>
      <c r="H61" s="36" t="s">
        <v>528</v>
      </c>
    </row>
    <row r="62" spans="1:8" x14ac:dyDescent="0.25">
      <c r="A62" s="36" t="s">
        <v>455</v>
      </c>
      <c r="B62" s="2"/>
      <c r="C62" s="2"/>
      <c r="D62" s="2"/>
      <c r="E62" s="2"/>
      <c r="F62" s="2"/>
      <c r="G62" s="36" t="s">
        <v>529</v>
      </c>
      <c r="H62" s="36" t="s">
        <v>530</v>
      </c>
    </row>
    <row r="63" spans="1:8" x14ac:dyDescent="0.25">
      <c r="A63" s="36" t="s">
        <v>456</v>
      </c>
      <c r="B63" s="2"/>
      <c r="C63" s="2"/>
      <c r="D63" s="2"/>
      <c r="E63" s="2"/>
      <c r="F63" s="2"/>
      <c r="G63" s="36" t="s">
        <v>531</v>
      </c>
      <c r="H63" s="36" t="s">
        <v>532</v>
      </c>
    </row>
    <row r="64" spans="1:8" x14ac:dyDescent="0.25">
      <c r="A64" s="36" t="s">
        <v>457</v>
      </c>
      <c r="B64" s="2"/>
      <c r="C64" s="2"/>
      <c r="D64" s="2"/>
      <c r="E64" s="2"/>
      <c r="F64" s="2"/>
      <c r="G64" s="36" t="s">
        <v>533</v>
      </c>
      <c r="H64" s="36" t="s">
        <v>534</v>
      </c>
    </row>
    <row r="65" spans="1:8" x14ac:dyDescent="0.25">
      <c r="A65" s="36" t="s">
        <v>458</v>
      </c>
      <c r="B65" s="2"/>
      <c r="C65" s="2"/>
      <c r="D65" s="2"/>
      <c r="E65" s="2"/>
      <c r="F65" s="2"/>
      <c r="G65" s="36" t="s">
        <v>535</v>
      </c>
      <c r="H65" s="36" t="s">
        <v>536</v>
      </c>
    </row>
    <row r="66" spans="1:8" x14ac:dyDescent="0.25">
      <c r="A66" s="36" t="s">
        <v>459</v>
      </c>
      <c r="B66" s="2"/>
      <c r="C66" s="2"/>
      <c r="D66" s="2"/>
      <c r="E66" s="2"/>
      <c r="F66" s="2"/>
      <c r="G66" s="36" t="s">
        <v>537</v>
      </c>
      <c r="H66" s="36" t="s">
        <v>538</v>
      </c>
    </row>
    <row r="67" spans="1:8" x14ac:dyDescent="0.25">
      <c r="A67" s="35" t="s">
        <v>314</v>
      </c>
      <c r="B67" s="2"/>
      <c r="C67" s="2"/>
      <c r="D67" s="2"/>
      <c r="E67" s="2"/>
      <c r="F67" s="2"/>
      <c r="G67" s="35" t="s">
        <v>27</v>
      </c>
      <c r="H67" s="35" t="s">
        <v>192</v>
      </c>
    </row>
    <row r="68" spans="1:8" x14ac:dyDescent="0.25">
      <c r="A68" s="35" t="s">
        <v>315</v>
      </c>
      <c r="B68" s="2"/>
      <c r="C68" s="2"/>
      <c r="D68" s="2"/>
      <c r="E68" s="2"/>
      <c r="F68" s="2"/>
      <c r="G68" s="35" t="s">
        <v>539</v>
      </c>
      <c r="H68" s="35" t="s">
        <v>540</v>
      </c>
    </row>
    <row r="69" spans="1:8" x14ac:dyDescent="0.25">
      <c r="A69" s="36" t="s">
        <v>397</v>
      </c>
      <c r="B69" s="2"/>
      <c r="C69" s="2"/>
      <c r="D69" s="2"/>
      <c r="E69" s="2"/>
      <c r="F69" s="2"/>
      <c r="G69" s="36" t="s">
        <v>541</v>
      </c>
      <c r="H69" s="36" t="s">
        <v>542</v>
      </c>
    </row>
    <row r="70" spans="1:8" x14ac:dyDescent="0.25">
      <c r="A70" s="36" t="s">
        <v>398</v>
      </c>
      <c r="B70" s="2"/>
      <c r="C70" s="2"/>
      <c r="D70" s="2"/>
      <c r="E70" s="2"/>
      <c r="F70" s="2"/>
      <c r="G70" s="36" t="s">
        <v>543</v>
      </c>
      <c r="H70" s="36" t="s">
        <v>544</v>
      </c>
    </row>
    <row r="71" spans="1:8" x14ac:dyDescent="0.25">
      <c r="A71" s="36" t="s">
        <v>399</v>
      </c>
      <c r="B71" s="2"/>
      <c r="C71" s="2"/>
      <c r="D71" s="2"/>
      <c r="E71" s="2"/>
      <c r="F71" s="2"/>
      <c r="G71" s="36" t="s">
        <v>545</v>
      </c>
      <c r="H71" s="36" t="s">
        <v>546</v>
      </c>
    </row>
    <row r="72" spans="1:8" x14ac:dyDescent="0.25">
      <c r="A72" s="36" t="s">
        <v>400</v>
      </c>
      <c r="B72" s="2"/>
      <c r="C72" s="2"/>
      <c r="D72" s="2"/>
      <c r="E72" s="2"/>
      <c r="F72" s="2"/>
      <c r="G72" s="36" t="s">
        <v>547</v>
      </c>
      <c r="H72" s="36" t="s">
        <v>548</v>
      </c>
    </row>
    <row r="73" spans="1:8" x14ac:dyDescent="0.25">
      <c r="A73" s="35" t="s">
        <v>316</v>
      </c>
      <c r="B73" s="2"/>
      <c r="C73" s="2"/>
      <c r="D73" s="2"/>
      <c r="E73" s="2"/>
      <c r="F73" s="2"/>
      <c r="G73" s="35" t="s">
        <v>549</v>
      </c>
      <c r="H73" s="35" t="s">
        <v>550</v>
      </c>
    </row>
    <row r="74" spans="1:8" x14ac:dyDescent="0.25">
      <c r="A74" s="36" t="s">
        <v>401</v>
      </c>
      <c r="B74" s="2"/>
      <c r="C74" s="2"/>
      <c r="D74" s="2"/>
      <c r="E74" s="2"/>
      <c r="F74" s="2"/>
      <c r="G74" s="36" t="s">
        <v>551</v>
      </c>
      <c r="H74" s="36" t="s">
        <v>557</v>
      </c>
    </row>
    <row r="75" spans="1:8" x14ac:dyDescent="0.25">
      <c r="A75" s="36" t="s">
        <v>402</v>
      </c>
      <c r="B75" s="2"/>
      <c r="C75" s="2"/>
      <c r="D75" s="2"/>
      <c r="E75" s="2"/>
      <c r="F75" s="2"/>
      <c r="G75" s="36" t="s">
        <v>554</v>
      </c>
      <c r="H75" s="36" t="s">
        <v>558</v>
      </c>
    </row>
    <row r="76" spans="1:8" x14ac:dyDescent="0.25">
      <c r="A76" s="36" t="s">
        <v>403</v>
      </c>
      <c r="B76" s="2"/>
      <c r="C76" s="2"/>
      <c r="D76" s="2"/>
      <c r="E76" s="2"/>
      <c r="F76" s="2"/>
      <c r="G76" s="36" t="s">
        <v>555</v>
      </c>
      <c r="H76" s="36" t="s">
        <v>559</v>
      </c>
    </row>
    <row r="77" spans="1:8" x14ac:dyDescent="0.25">
      <c r="A77" s="36" t="s">
        <v>404</v>
      </c>
      <c r="B77" s="2"/>
      <c r="C77" s="2"/>
      <c r="D77" s="2"/>
      <c r="E77" s="2"/>
      <c r="F77" s="2"/>
      <c r="G77" s="36" t="s">
        <v>556</v>
      </c>
      <c r="H77" s="36" t="s">
        <v>560</v>
      </c>
    </row>
    <row r="78" spans="1:8" x14ac:dyDescent="0.25">
      <c r="A78" s="35" t="s">
        <v>317</v>
      </c>
      <c r="B78" s="2"/>
      <c r="C78" s="2"/>
      <c r="D78" s="2"/>
      <c r="E78" s="2"/>
      <c r="F78" s="2"/>
      <c r="G78" s="35" t="s">
        <v>552</v>
      </c>
      <c r="H78" s="35" t="s">
        <v>553</v>
      </c>
    </row>
    <row r="79" spans="1:8" x14ac:dyDescent="0.25">
      <c r="A79" s="36" t="s">
        <v>241</v>
      </c>
      <c r="B79" s="2"/>
      <c r="C79" s="2"/>
      <c r="D79" s="2"/>
      <c r="E79" s="2"/>
      <c r="F79" s="2"/>
      <c r="G79" s="36" t="s">
        <v>241</v>
      </c>
      <c r="H79" s="36" t="s">
        <v>241</v>
      </c>
    </row>
    <row r="80" spans="1:8" x14ac:dyDescent="0.25">
      <c r="A80" s="36" t="s">
        <v>405</v>
      </c>
      <c r="B80" s="2"/>
      <c r="C80" s="2"/>
      <c r="D80" s="2"/>
      <c r="E80" s="2"/>
      <c r="F80" s="2"/>
      <c r="G80" s="36" t="s">
        <v>561</v>
      </c>
      <c r="H80" s="36" t="s">
        <v>562</v>
      </c>
    </row>
    <row r="81" spans="1:8" x14ac:dyDescent="0.25">
      <c r="A81" s="36" t="s">
        <v>406</v>
      </c>
      <c r="B81" s="2"/>
      <c r="C81" s="2"/>
      <c r="D81" s="2"/>
      <c r="E81" s="2"/>
      <c r="F81" s="2"/>
      <c r="G81" s="36" t="s">
        <v>563</v>
      </c>
      <c r="H81" s="36" t="s">
        <v>564</v>
      </c>
    </row>
    <row r="82" spans="1:8" x14ac:dyDescent="0.25">
      <c r="A82" s="35" t="s">
        <v>354</v>
      </c>
      <c r="B82" s="2"/>
      <c r="C82" s="2"/>
      <c r="D82" s="2"/>
      <c r="E82" s="2"/>
      <c r="F82" s="2"/>
      <c r="G82" s="35" t="s">
        <v>463</v>
      </c>
      <c r="H82" s="35" t="s">
        <v>464</v>
      </c>
    </row>
    <row r="83" spans="1:8" x14ac:dyDescent="0.25">
      <c r="A83" s="36" t="s">
        <v>407</v>
      </c>
      <c r="B83" s="2"/>
      <c r="C83" s="2"/>
      <c r="D83" s="2"/>
      <c r="E83" s="2"/>
      <c r="F83" s="2"/>
      <c r="G83" s="2" t="s">
        <v>465</v>
      </c>
      <c r="H83" s="38" t="s">
        <v>473</v>
      </c>
    </row>
    <row r="84" spans="1:8" x14ac:dyDescent="0.25">
      <c r="A84" s="36" t="s">
        <v>426</v>
      </c>
      <c r="B84" s="2"/>
      <c r="C84" s="2"/>
      <c r="D84" s="2"/>
      <c r="E84" s="2"/>
      <c r="F84" s="2"/>
      <c r="G84" s="2" t="s">
        <v>469</v>
      </c>
      <c r="H84" s="2" t="s">
        <v>471</v>
      </c>
    </row>
    <row r="85" spans="1:8" x14ac:dyDescent="0.25">
      <c r="A85" s="36" t="s">
        <v>408</v>
      </c>
      <c r="B85" s="2"/>
      <c r="C85" s="2"/>
      <c r="D85" s="2"/>
      <c r="E85" s="2"/>
      <c r="F85" s="2"/>
      <c r="G85" s="2" t="s">
        <v>466</v>
      </c>
      <c r="H85" s="38" t="s">
        <v>474</v>
      </c>
    </row>
    <row r="86" spans="1:8" x14ac:dyDescent="0.25">
      <c r="A86" s="36" t="s">
        <v>439</v>
      </c>
      <c r="B86" s="2"/>
      <c r="C86" s="2"/>
      <c r="D86" s="2"/>
      <c r="E86" s="2"/>
      <c r="F86" s="2"/>
      <c r="G86" s="2" t="s">
        <v>470</v>
      </c>
      <c r="H86" s="2" t="s">
        <v>472</v>
      </c>
    </row>
    <row r="87" spans="1:8" x14ac:dyDescent="0.25">
      <c r="A87" s="36" t="s">
        <v>409</v>
      </c>
      <c r="B87" s="2"/>
      <c r="C87" s="2"/>
      <c r="D87" s="2"/>
      <c r="E87" s="2"/>
      <c r="F87" s="2"/>
      <c r="G87" s="2" t="s">
        <v>475</v>
      </c>
      <c r="H87" s="2" t="s">
        <v>476</v>
      </c>
    </row>
    <row r="88" spans="1:8" x14ac:dyDescent="0.25">
      <c r="A88" s="36" t="s">
        <v>427</v>
      </c>
      <c r="B88" s="2"/>
      <c r="C88" s="2"/>
      <c r="D88" s="2"/>
      <c r="E88" s="2"/>
      <c r="F88" s="2"/>
      <c r="G88" s="2" t="s">
        <v>477</v>
      </c>
      <c r="H88" s="2" t="s">
        <v>478</v>
      </c>
    </row>
    <row r="89" spans="1:8" x14ac:dyDescent="0.25">
      <c r="A89" s="36" t="s">
        <v>410</v>
      </c>
      <c r="B89" s="2"/>
      <c r="C89" s="2"/>
      <c r="D89" s="2"/>
      <c r="E89" s="2"/>
      <c r="F89" s="2"/>
      <c r="G89" s="2" t="s">
        <v>467</v>
      </c>
      <c r="H89" s="2" t="s">
        <v>479</v>
      </c>
    </row>
    <row r="90" spans="1:8" x14ac:dyDescent="0.25">
      <c r="A90" s="36" t="s">
        <v>411</v>
      </c>
      <c r="B90" s="2"/>
      <c r="C90" s="2"/>
      <c r="D90" s="2"/>
      <c r="E90" s="2"/>
      <c r="F90" s="2"/>
      <c r="G90" s="2" t="s">
        <v>480</v>
      </c>
      <c r="H90" s="2" t="s">
        <v>481</v>
      </c>
    </row>
    <row r="91" spans="1:8" x14ac:dyDescent="0.25">
      <c r="A91" s="36" t="s">
        <v>412</v>
      </c>
      <c r="B91" s="2"/>
      <c r="C91" s="2"/>
      <c r="D91" s="2"/>
      <c r="E91" s="2"/>
      <c r="F91" s="2"/>
      <c r="G91" s="2" t="s">
        <v>468</v>
      </c>
      <c r="H91" s="2" t="s">
        <v>482</v>
      </c>
    </row>
    <row r="92" spans="1:8" x14ac:dyDescent="0.25">
      <c r="A92" s="36" t="s">
        <v>413</v>
      </c>
      <c r="B92" s="2"/>
      <c r="C92" s="2"/>
      <c r="D92" s="2"/>
      <c r="E92" s="2"/>
      <c r="F92" s="2"/>
      <c r="G92" s="36" t="s">
        <v>516</v>
      </c>
      <c r="H92" s="36" t="s">
        <v>517</v>
      </c>
    </row>
    <row r="93" spans="1:8" x14ac:dyDescent="0.25">
      <c r="A93" s="36" t="s">
        <v>428</v>
      </c>
      <c r="B93" s="2"/>
      <c r="C93" s="2"/>
      <c r="D93" s="2"/>
      <c r="E93" s="2"/>
      <c r="F93" s="2"/>
      <c r="G93" s="36" t="s">
        <v>519</v>
      </c>
      <c r="H93" s="36" t="s">
        <v>518</v>
      </c>
    </row>
    <row r="94" spans="1:8" x14ac:dyDescent="0.25">
      <c r="A94" s="36" t="s">
        <v>414</v>
      </c>
      <c r="B94" s="2"/>
      <c r="C94" s="2"/>
      <c r="D94" s="2"/>
      <c r="E94" s="2"/>
      <c r="F94" s="2"/>
      <c r="G94" s="36" t="s">
        <v>520</v>
      </c>
      <c r="H94" s="36" t="s">
        <v>521</v>
      </c>
    </row>
    <row r="95" spans="1:8" x14ac:dyDescent="0.25">
      <c r="A95" s="36" t="s">
        <v>429</v>
      </c>
      <c r="B95" s="2"/>
      <c r="C95" s="2"/>
      <c r="D95" s="2"/>
      <c r="E95" s="2"/>
      <c r="F95" s="2"/>
      <c r="G95" s="36" t="s">
        <v>523</v>
      </c>
      <c r="H95" s="36" t="s">
        <v>524</v>
      </c>
    </row>
    <row r="96" spans="1:8" x14ac:dyDescent="0.25">
      <c r="A96" s="36" t="s">
        <v>415</v>
      </c>
      <c r="B96" s="2"/>
      <c r="C96" s="2"/>
      <c r="D96" s="2"/>
      <c r="E96" s="2"/>
      <c r="F96" s="2"/>
      <c r="G96" s="36" t="s">
        <v>525</v>
      </c>
      <c r="H96" s="36" t="s">
        <v>527</v>
      </c>
    </row>
    <row r="97" spans="1:8" x14ac:dyDescent="0.25">
      <c r="A97" s="36" t="s">
        <v>416</v>
      </c>
      <c r="B97" s="2"/>
      <c r="C97" s="2"/>
      <c r="D97" s="2"/>
      <c r="E97" s="2"/>
      <c r="F97" s="2"/>
      <c r="G97" s="36" t="s">
        <v>526</v>
      </c>
      <c r="H97" s="36" t="s">
        <v>528</v>
      </c>
    </row>
    <row r="98" spans="1:8" x14ac:dyDescent="0.25">
      <c r="A98" s="36" t="s">
        <v>430</v>
      </c>
      <c r="B98" s="2"/>
      <c r="C98" s="2"/>
      <c r="D98" s="2"/>
      <c r="E98" s="2"/>
      <c r="F98" s="2"/>
      <c r="G98" s="36" t="s">
        <v>529</v>
      </c>
      <c r="H98" s="36" t="s">
        <v>530</v>
      </c>
    </row>
    <row r="99" spans="1:8" x14ac:dyDescent="0.25">
      <c r="A99" s="36" t="s">
        <v>417</v>
      </c>
      <c r="B99" s="2"/>
      <c r="C99" s="2"/>
      <c r="D99" s="2"/>
      <c r="E99" s="2"/>
      <c r="F99" s="2"/>
      <c r="G99" s="36" t="s">
        <v>531</v>
      </c>
      <c r="H99" s="36" t="s">
        <v>532</v>
      </c>
    </row>
    <row r="100" spans="1:8" x14ac:dyDescent="0.25">
      <c r="A100" s="36" t="s">
        <v>418</v>
      </c>
      <c r="B100" s="2"/>
      <c r="C100" s="2"/>
      <c r="D100" s="2"/>
      <c r="E100" s="2"/>
      <c r="F100" s="2"/>
      <c r="G100" s="36" t="s">
        <v>533</v>
      </c>
      <c r="H100" s="36" t="s">
        <v>534</v>
      </c>
    </row>
    <row r="101" spans="1:8" x14ac:dyDescent="0.25">
      <c r="A101" s="36" t="s">
        <v>419</v>
      </c>
      <c r="B101" s="2"/>
      <c r="C101" s="2"/>
      <c r="D101" s="2"/>
      <c r="E101" s="2"/>
      <c r="F101" s="2"/>
      <c r="G101" s="36" t="s">
        <v>535</v>
      </c>
      <c r="H101" s="36" t="s">
        <v>536</v>
      </c>
    </row>
    <row r="102" spans="1:8" x14ac:dyDescent="0.25">
      <c r="A102" s="36" t="s">
        <v>420</v>
      </c>
      <c r="B102" s="2"/>
      <c r="C102" s="2"/>
      <c r="D102" s="2"/>
      <c r="E102" s="2"/>
      <c r="F102" s="2"/>
      <c r="G102" s="36" t="s">
        <v>537</v>
      </c>
      <c r="H102" s="36" t="s">
        <v>538</v>
      </c>
    </row>
    <row r="103" spans="1:8" x14ac:dyDescent="0.25">
      <c r="A103" s="35" t="s">
        <v>355</v>
      </c>
      <c r="B103" s="2"/>
      <c r="C103" s="2"/>
      <c r="D103" s="2"/>
      <c r="E103" s="2"/>
      <c r="F103" s="2"/>
      <c r="G103" s="35" t="s">
        <v>27</v>
      </c>
      <c r="H103" s="35" t="s">
        <v>192</v>
      </c>
    </row>
    <row r="104" spans="1:8" x14ac:dyDescent="0.25">
      <c r="A104" s="36" t="s">
        <v>421</v>
      </c>
      <c r="B104" s="2"/>
      <c r="C104" s="2"/>
      <c r="D104" s="2"/>
      <c r="E104" s="2"/>
      <c r="F104" s="2"/>
      <c r="G104" s="35" t="s">
        <v>569</v>
      </c>
      <c r="H104" s="35" t="s">
        <v>570</v>
      </c>
    </row>
    <row r="105" spans="1:8" x14ac:dyDescent="0.25">
      <c r="A105" s="36" t="s">
        <v>422</v>
      </c>
      <c r="B105" s="2"/>
      <c r="C105" s="2"/>
      <c r="D105" s="2"/>
      <c r="E105" s="2"/>
      <c r="F105" s="2"/>
      <c r="G105" s="36" t="s">
        <v>176</v>
      </c>
      <c r="H105" s="36" t="s">
        <v>177</v>
      </c>
    </row>
    <row r="106" spans="1:8" x14ac:dyDescent="0.25">
      <c r="A106" s="36" t="s">
        <v>423</v>
      </c>
      <c r="B106" s="2"/>
      <c r="C106" s="2"/>
      <c r="D106" s="2"/>
      <c r="E106" s="2"/>
      <c r="F106" s="2"/>
      <c r="G106" s="36" t="s">
        <v>571</v>
      </c>
      <c r="H106" s="36" t="s">
        <v>572</v>
      </c>
    </row>
    <row r="107" spans="1:8" x14ac:dyDescent="0.25">
      <c r="A107" s="35" t="s">
        <v>356</v>
      </c>
      <c r="B107" s="2"/>
      <c r="C107" s="2"/>
      <c r="D107" s="2"/>
      <c r="E107" s="2"/>
      <c r="F107" s="2"/>
      <c r="G107" s="35" t="s">
        <v>539</v>
      </c>
      <c r="H107" s="35" t="s">
        <v>540</v>
      </c>
    </row>
    <row r="108" spans="1:8" x14ac:dyDescent="0.25">
      <c r="A108" s="36" t="s">
        <v>424</v>
      </c>
      <c r="B108" s="2"/>
      <c r="C108" s="2"/>
      <c r="D108" s="2"/>
      <c r="E108" s="2"/>
      <c r="F108" s="2"/>
      <c r="G108" s="35" t="s">
        <v>567</v>
      </c>
      <c r="H108" s="35" t="s">
        <v>568</v>
      </c>
    </row>
    <row r="109" spans="1:8" x14ac:dyDescent="0.25">
      <c r="A109" s="36" t="s">
        <v>431</v>
      </c>
      <c r="B109" s="2"/>
      <c r="C109" s="2"/>
      <c r="D109" s="2"/>
      <c r="E109" s="2"/>
      <c r="F109" s="2"/>
      <c r="G109" s="36" t="s">
        <v>541</v>
      </c>
      <c r="H109" s="36" t="s">
        <v>542</v>
      </c>
    </row>
    <row r="110" spans="1:8" x14ac:dyDescent="0.25">
      <c r="A110" s="36" t="s">
        <v>437</v>
      </c>
      <c r="B110" s="2"/>
      <c r="C110" s="2"/>
      <c r="D110" s="2"/>
      <c r="E110" s="2"/>
      <c r="F110" s="2"/>
      <c r="G110" s="36" t="s">
        <v>543</v>
      </c>
      <c r="H110" s="36" t="s">
        <v>544</v>
      </c>
    </row>
    <row r="111" spans="1:8" x14ac:dyDescent="0.25">
      <c r="A111" s="36" t="s">
        <v>438</v>
      </c>
      <c r="B111" s="2"/>
      <c r="C111" s="2"/>
      <c r="D111" s="2"/>
      <c r="E111" s="2"/>
      <c r="F111" s="2"/>
      <c r="G111" s="36" t="s">
        <v>545</v>
      </c>
      <c r="H111" s="36" t="s">
        <v>546</v>
      </c>
    </row>
    <row r="112" spans="1:8" x14ac:dyDescent="0.25">
      <c r="A112" s="36" t="s">
        <v>432</v>
      </c>
      <c r="B112" s="2"/>
      <c r="C112" s="2"/>
      <c r="D112" s="2"/>
      <c r="E112" s="2"/>
      <c r="F112" s="2"/>
      <c r="G112" s="36" t="s">
        <v>547</v>
      </c>
      <c r="H112" s="36" t="s">
        <v>548</v>
      </c>
    </row>
    <row r="113" spans="1:8" x14ac:dyDescent="0.25">
      <c r="A113" s="35" t="s">
        <v>357</v>
      </c>
      <c r="B113" s="2"/>
      <c r="C113" s="2"/>
      <c r="D113" s="2"/>
      <c r="E113" s="2"/>
      <c r="F113" s="2"/>
      <c r="G113" s="35" t="s">
        <v>549</v>
      </c>
      <c r="H113" s="35" t="s">
        <v>550</v>
      </c>
    </row>
    <row r="114" spans="1:8" x14ac:dyDescent="0.25">
      <c r="A114" s="36" t="s">
        <v>425</v>
      </c>
      <c r="B114" s="2"/>
      <c r="C114" s="2"/>
      <c r="D114" s="2"/>
      <c r="E114" s="2"/>
      <c r="F114" s="2"/>
      <c r="G114" s="35" t="s">
        <v>565</v>
      </c>
      <c r="H114" s="35" t="s">
        <v>566</v>
      </c>
    </row>
    <row r="115" spans="1:8" x14ac:dyDescent="0.25">
      <c r="A115" s="36" t="s">
        <v>433</v>
      </c>
      <c r="B115" s="2"/>
      <c r="C115" s="2"/>
      <c r="D115" s="2"/>
      <c r="E115" s="2"/>
      <c r="F115" s="2"/>
      <c r="G115" s="36" t="s">
        <v>551</v>
      </c>
      <c r="H115" s="36" t="s">
        <v>557</v>
      </c>
    </row>
    <row r="116" spans="1:8" x14ac:dyDescent="0.25">
      <c r="A116" s="36" t="s">
        <v>434</v>
      </c>
      <c r="B116" s="2"/>
      <c r="C116" s="2"/>
      <c r="D116" s="2"/>
      <c r="E116" s="2"/>
      <c r="F116" s="2"/>
      <c r="G116" s="36" t="s">
        <v>554</v>
      </c>
      <c r="H116" s="36" t="s">
        <v>558</v>
      </c>
    </row>
    <row r="117" spans="1:8" x14ac:dyDescent="0.25">
      <c r="A117" s="36" t="s">
        <v>435</v>
      </c>
      <c r="B117" s="2"/>
      <c r="C117" s="2"/>
      <c r="D117" s="2"/>
      <c r="E117" s="2"/>
      <c r="F117" s="2"/>
      <c r="G117" s="36" t="s">
        <v>555</v>
      </c>
      <c r="H117" s="36" t="s">
        <v>559</v>
      </c>
    </row>
    <row r="118" spans="1:8" x14ac:dyDescent="0.25">
      <c r="A118" s="36" t="s">
        <v>436</v>
      </c>
      <c r="B118" s="2"/>
      <c r="C118" s="2"/>
      <c r="D118" s="2"/>
      <c r="E118" s="2"/>
      <c r="F118" s="2"/>
      <c r="G118" s="36" t="s">
        <v>556</v>
      </c>
      <c r="H118" s="36" t="s">
        <v>560</v>
      </c>
    </row>
  </sheetData>
  <phoneticPr fontId="1" type="noConversion"/>
  <dataValidations count="1">
    <dataValidation type="list" showInputMessage="1" promptTitle="Langue" prompt="Choisir une langue" sqref="J1" xr:uid="{BED1F060-62AB-4127-B4EA-A4BF0EBF4FDB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zoomScale="82" zoomScaleNormal="82" workbookViewId="0">
      <selection activeCell="K79" sqref="K79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106</v>
      </c>
      <c r="J1" s="9"/>
      <c r="P1" s="44" t="s">
        <v>578</v>
      </c>
      <c r="Q1" s="9" t="s">
        <v>589</v>
      </c>
    </row>
    <row r="3" spans="2:19" x14ac:dyDescent="0.25">
      <c r="B3" t="s">
        <v>82</v>
      </c>
      <c r="C3" t="s">
        <v>104</v>
      </c>
      <c r="D3" t="s">
        <v>102</v>
      </c>
      <c r="E3" t="s">
        <v>128</v>
      </c>
      <c r="F3" t="s">
        <v>574</v>
      </c>
      <c r="G3" t="s">
        <v>89</v>
      </c>
      <c r="H3" t="s">
        <v>92</v>
      </c>
      <c r="I3" t="s">
        <v>127</v>
      </c>
      <c r="J3" t="s">
        <v>83</v>
      </c>
      <c r="K3" t="s">
        <v>147</v>
      </c>
      <c r="L3" t="s">
        <v>146</v>
      </c>
      <c r="M3" t="s">
        <v>188</v>
      </c>
      <c r="N3" t="s">
        <v>576</v>
      </c>
      <c r="O3" t="s">
        <v>84</v>
      </c>
      <c r="P3" t="s">
        <v>103</v>
      </c>
      <c r="Q3" s="39" t="s">
        <v>108</v>
      </c>
      <c r="R3" t="s">
        <v>100</v>
      </c>
      <c r="S3" t="s">
        <v>312</v>
      </c>
    </row>
    <row r="4" spans="2:19" ht="30" x14ac:dyDescent="0.25">
      <c r="B4" s="13" t="s">
        <v>485</v>
      </c>
      <c r="C4" s="14" t="s">
        <v>105</v>
      </c>
      <c r="D4" s="14" t="s">
        <v>86</v>
      </c>
      <c r="E4" s="14" t="s">
        <v>129</v>
      </c>
      <c r="F4" s="14" t="s">
        <v>88</v>
      </c>
      <c r="G4" s="14" t="s">
        <v>0</v>
      </c>
      <c r="H4" s="14" t="s">
        <v>90</v>
      </c>
      <c r="I4" s="14" t="s">
        <v>86</v>
      </c>
      <c r="J4" s="14" t="s">
        <v>85</v>
      </c>
      <c r="K4" s="14"/>
      <c r="L4" s="14"/>
      <c r="M4" s="14">
        <v>1</v>
      </c>
      <c r="N4" s="14">
        <v>14</v>
      </c>
      <c r="O4" s="14" t="s">
        <v>86</v>
      </c>
      <c r="P4" s="14" t="s">
        <v>79</v>
      </c>
      <c r="Q4" s="15" t="s">
        <v>169</v>
      </c>
      <c r="R4" s="14" t="s">
        <v>98</v>
      </c>
      <c r="S4" s="14"/>
    </row>
    <row r="5" spans="2:19" ht="30" x14ac:dyDescent="0.25">
      <c r="B5" s="14"/>
      <c r="C5" s="14"/>
      <c r="D5" s="14"/>
      <c r="E5" s="14"/>
      <c r="F5" s="14"/>
      <c r="G5" s="14" t="s">
        <v>39</v>
      </c>
      <c r="H5" s="14" t="s">
        <v>93</v>
      </c>
      <c r="I5" s="14" t="s">
        <v>86</v>
      </c>
      <c r="J5" s="14" t="s">
        <v>65</v>
      </c>
      <c r="K5" s="14"/>
      <c r="L5" s="14"/>
      <c r="M5" s="14">
        <v>1</v>
      </c>
      <c r="N5" s="14">
        <v>14</v>
      </c>
      <c r="O5" s="14" t="s">
        <v>88</v>
      </c>
      <c r="P5" s="14" t="s">
        <v>75</v>
      </c>
      <c r="Q5" s="15" t="s">
        <v>170</v>
      </c>
      <c r="R5" s="14" t="s">
        <v>101</v>
      </c>
      <c r="S5" s="14"/>
    </row>
    <row r="6" spans="2:19" ht="30" x14ac:dyDescent="0.25">
      <c r="B6" s="14"/>
      <c r="C6" s="14"/>
      <c r="D6" s="14"/>
      <c r="E6" s="14"/>
      <c r="F6" s="14"/>
      <c r="G6" s="14" t="s">
        <v>94</v>
      </c>
      <c r="H6" s="14" t="s">
        <v>93</v>
      </c>
      <c r="I6" s="14" t="s">
        <v>86</v>
      </c>
      <c r="J6" s="14" t="s">
        <v>95</v>
      </c>
      <c r="K6" s="14"/>
      <c r="L6" s="14"/>
      <c r="M6" s="14">
        <v>1</v>
      </c>
      <c r="N6" s="14">
        <v>14</v>
      </c>
      <c r="O6" s="14" t="s">
        <v>88</v>
      </c>
      <c r="P6" s="14" t="s">
        <v>70</v>
      </c>
      <c r="Q6" s="15" t="s">
        <v>170</v>
      </c>
      <c r="R6" s="14" t="s">
        <v>101</v>
      </c>
      <c r="S6" s="14"/>
    </row>
    <row r="7" spans="2:19" x14ac:dyDescent="0.25">
      <c r="B7" s="14"/>
      <c r="C7" s="14"/>
      <c r="D7" s="14"/>
      <c r="E7" s="14"/>
      <c r="F7" s="14"/>
      <c r="G7" s="14" t="s">
        <v>87</v>
      </c>
      <c r="H7" s="14" t="s">
        <v>91</v>
      </c>
      <c r="I7" s="14" t="s">
        <v>88</v>
      </c>
      <c r="J7" s="14" t="s">
        <v>66</v>
      </c>
      <c r="K7" s="14"/>
      <c r="L7" s="14" t="s">
        <v>148</v>
      </c>
      <c r="M7" s="14">
        <v>1</v>
      </c>
      <c r="N7" s="14">
        <v>28</v>
      </c>
      <c r="O7" s="14" t="s">
        <v>88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484</v>
      </c>
      <c r="C9" s="14" t="s">
        <v>229</v>
      </c>
      <c r="D9" s="14" t="s">
        <v>86</v>
      </c>
      <c r="E9" s="15" t="s">
        <v>505</v>
      </c>
      <c r="F9" s="15" t="s">
        <v>86</v>
      </c>
      <c r="G9" s="14" t="s">
        <v>575</v>
      </c>
      <c r="H9" s="14"/>
      <c r="I9" s="14"/>
      <c r="J9" s="14" t="s">
        <v>191</v>
      </c>
      <c r="K9" s="14"/>
      <c r="L9" s="14"/>
      <c r="M9" s="14">
        <v>1</v>
      </c>
      <c r="N9" s="14">
        <v>5</v>
      </c>
      <c r="O9" s="14"/>
      <c r="P9" s="14" t="s">
        <v>126</v>
      </c>
      <c r="Q9" s="15" t="s">
        <v>509</v>
      </c>
      <c r="R9" s="14" t="s">
        <v>98</v>
      </c>
      <c r="S9" s="14"/>
    </row>
    <row r="10" spans="2:19" x14ac:dyDescent="0.25">
      <c r="B10" s="14"/>
      <c r="C10" s="14"/>
      <c r="D10" s="14"/>
      <c r="E10" s="14"/>
      <c r="F10" s="14"/>
      <c r="G10" s="33" t="s">
        <v>183</v>
      </c>
      <c r="H10" s="33" t="s">
        <v>93</v>
      </c>
      <c r="I10" s="33" t="s">
        <v>86</v>
      </c>
      <c r="J10" s="32" t="s">
        <v>65</v>
      </c>
      <c r="K10" s="32" t="s">
        <v>579</v>
      </c>
      <c r="L10" s="33"/>
      <c r="M10" s="33">
        <v>4</v>
      </c>
      <c r="N10" s="33">
        <v>9</v>
      </c>
      <c r="O10" s="33" t="s">
        <v>88</v>
      </c>
      <c r="P10" s="34"/>
      <c r="Q10" s="40"/>
      <c r="R10" s="34"/>
      <c r="S10" s="33" t="s">
        <v>240</v>
      </c>
    </row>
    <row r="11" spans="2:19" x14ac:dyDescent="0.25">
      <c r="B11" s="14"/>
      <c r="C11" s="14"/>
      <c r="D11" s="14"/>
      <c r="E11" s="14"/>
      <c r="F11" s="14"/>
      <c r="G11" s="33" t="s">
        <v>184</v>
      </c>
      <c r="H11" s="33" t="s">
        <v>93</v>
      </c>
      <c r="I11" s="33" t="s">
        <v>86</v>
      </c>
      <c r="J11" s="32" t="s">
        <v>95</v>
      </c>
      <c r="K11" s="33" t="s">
        <v>590</v>
      </c>
      <c r="L11" s="33"/>
      <c r="M11" s="33">
        <v>4</v>
      </c>
      <c r="N11" s="33">
        <v>9</v>
      </c>
      <c r="O11" s="33" t="s">
        <v>88</v>
      </c>
      <c r="P11" s="34"/>
      <c r="Q11" s="40"/>
      <c r="R11" s="34"/>
      <c r="S11" s="33" t="s">
        <v>271</v>
      </c>
    </row>
    <row r="12" spans="2:19" x14ac:dyDescent="0.25">
      <c r="B12" s="14"/>
      <c r="C12" s="14"/>
      <c r="D12" s="14"/>
      <c r="E12" s="14"/>
      <c r="F12" s="14"/>
      <c r="G12" s="33" t="s">
        <v>185</v>
      </c>
      <c r="H12" s="33" t="s">
        <v>93</v>
      </c>
      <c r="I12" s="33" t="s">
        <v>86</v>
      </c>
      <c r="J12" s="32" t="s">
        <v>97</v>
      </c>
      <c r="K12" s="33" t="s">
        <v>580</v>
      </c>
      <c r="L12" s="33"/>
      <c r="M12" s="33">
        <v>4</v>
      </c>
      <c r="N12" s="33">
        <v>9</v>
      </c>
      <c r="O12" s="33" t="s">
        <v>88</v>
      </c>
      <c r="P12" s="34"/>
      <c r="Q12" s="40"/>
      <c r="R12" s="34"/>
      <c r="S12" s="33" t="s">
        <v>272</v>
      </c>
    </row>
    <row r="13" spans="2:19" x14ac:dyDescent="0.25">
      <c r="B13" s="14"/>
      <c r="C13" s="14"/>
      <c r="D13" s="14"/>
      <c r="E13" s="14"/>
      <c r="F13" s="14"/>
      <c r="G13" s="33" t="s">
        <v>364</v>
      </c>
      <c r="H13" s="33" t="s">
        <v>91</v>
      </c>
      <c r="I13" s="33" t="s">
        <v>86</v>
      </c>
      <c r="J13" s="33" t="s">
        <v>362</v>
      </c>
      <c r="K13" s="33" t="s">
        <v>771</v>
      </c>
      <c r="L13" s="32" t="s">
        <v>186</v>
      </c>
      <c r="M13" s="33">
        <v>4</v>
      </c>
      <c r="N13" s="33">
        <v>21</v>
      </c>
      <c r="O13" s="33" t="s">
        <v>88</v>
      </c>
      <c r="P13" s="34"/>
      <c r="Q13" s="40"/>
      <c r="R13" s="34"/>
      <c r="S13" s="33" t="s">
        <v>273</v>
      </c>
    </row>
    <row r="14" spans="2:19" x14ac:dyDescent="0.25">
      <c r="B14" s="14"/>
      <c r="C14" s="14"/>
      <c r="D14" s="14"/>
      <c r="E14" s="14"/>
      <c r="F14" s="14"/>
      <c r="G14" s="33" t="s">
        <v>365</v>
      </c>
      <c r="H14" s="33" t="s">
        <v>91</v>
      </c>
      <c r="I14" s="33" t="s">
        <v>86</v>
      </c>
      <c r="J14" s="33" t="s">
        <v>363</v>
      </c>
      <c r="K14" s="33" t="s">
        <v>772</v>
      </c>
      <c r="L14" s="32" t="s">
        <v>186</v>
      </c>
      <c r="M14" s="33">
        <v>4</v>
      </c>
      <c r="N14" s="33">
        <v>21</v>
      </c>
      <c r="O14" s="33" t="s">
        <v>88</v>
      </c>
      <c r="P14" s="34"/>
      <c r="Q14" s="40"/>
      <c r="R14" s="34"/>
      <c r="S14" s="33" t="s">
        <v>274</v>
      </c>
    </row>
    <row r="15" spans="2:19" x14ac:dyDescent="0.25">
      <c r="B15" s="14"/>
      <c r="C15" s="14"/>
      <c r="D15" s="14"/>
      <c r="E15" s="14"/>
      <c r="F15" s="14"/>
      <c r="G15" s="32" t="s">
        <v>187</v>
      </c>
      <c r="H15" s="32"/>
      <c r="I15" s="33"/>
      <c r="J15" s="32" t="s">
        <v>317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187</v>
      </c>
      <c r="H16" s="32"/>
      <c r="I16" s="33"/>
      <c r="J16" s="32" t="s">
        <v>313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366</v>
      </c>
      <c r="H17" s="33" t="s">
        <v>141</v>
      </c>
      <c r="I17" s="33" t="s">
        <v>88</v>
      </c>
      <c r="J17" s="33" t="s">
        <v>440</v>
      </c>
      <c r="K17" s="33"/>
      <c r="L17" s="33"/>
      <c r="M17" s="33">
        <v>4</v>
      </c>
      <c r="N17" s="33">
        <v>9</v>
      </c>
      <c r="O17" s="33" t="s">
        <v>88</v>
      </c>
      <c r="P17" s="34"/>
      <c r="Q17" s="40"/>
      <c r="R17" s="34"/>
      <c r="S17" s="33" t="s">
        <v>242</v>
      </c>
    </row>
    <row r="18" spans="2:19" x14ac:dyDescent="0.25">
      <c r="B18" s="14"/>
      <c r="C18" s="14"/>
      <c r="D18" s="14"/>
      <c r="E18" s="14"/>
      <c r="F18" s="14"/>
      <c r="G18" s="33" t="s">
        <v>367</v>
      </c>
      <c r="H18" s="33" t="s">
        <v>93</v>
      </c>
      <c r="I18" s="33" t="s">
        <v>88</v>
      </c>
      <c r="J18" s="33" t="s">
        <v>441</v>
      </c>
      <c r="K18" s="33" t="s">
        <v>358</v>
      </c>
      <c r="L18" s="33"/>
      <c r="M18" s="33">
        <v>4</v>
      </c>
      <c r="N18" s="33">
        <v>9</v>
      </c>
      <c r="O18" s="33" t="s">
        <v>88</v>
      </c>
      <c r="P18" s="34"/>
      <c r="Q18" s="40"/>
      <c r="R18" s="34"/>
      <c r="S18" s="33" t="s">
        <v>243</v>
      </c>
    </row>
    <row r="19" spans="2:19" x14ac:dyDescent="0.25">
      <c r="B19" s="14"/>
      <c r="C19" s="14"/>
      <c r="D19" s="14"/>
      <c r="E19" s="14"/>
      <c r="F19" s="14"/>
      <c r="G19" s="33" t="s">
        <v>368</v>
      </c>
      <c r="H19" s="33" t="s">
        <v>141</v>
      </c>
      <c r="I19" s="33" t="s">
        <v>88</v>
      </c>
      <c r="J19" s="33" t="s">
        <v>442</v>
      </c>
      <c r="K19" s="33"/>
      <c r="L19" s="33"/>
      <c r="M19" s="33">
        <v>4</v>
      </c>
      <c r="N19" s="33">
        <v>9</v>
      </c>
      <c r="O19" s="33" t="s">
        <v>88</v>
      </c>
      <c r="P19" s="34"/>
      <c r="Q19" s="40"/>
      <c r="R19" s="34"/>
      <c r="S19" s="33" t="s">
        <v>244</v>
      </c>
    </row>
    <row r="20" spans="2:19" x14ac:dyDescent="0.25">
      <c r="B20" s="14"/>
      <c r="C20" s="14"/>
      <c r="D20" s="14"/>
      <c r="E20" s="14"/>
      <c r="F20" s="14"/>
      <c r="G20" s="33" t="s">
        <v>369</v>
      </c>
      <c r="H20" s="33" t="s">
        <v>93</v>
      </c>
      <c r="I20" s="33" t="s">
        <v>88</v>
      </c>
      <c r="J20" s="33" t="s">
        <v>443</v>
      </c>
      <c r="K20" s="33" t="s">
        <v>358</v>
      </c>
      <c r="L20" s="33"/>
      <c r="M20" s="33">
        <v>4</v>
      </c>
      <c r="N20" s="33">
        <v>9</v>
      </c>
      <c r="O20" s="33" t="s">
        <v>88</v>
      </c>
      <c r="P20" s="34"/>
      <c r="Q20" s="40"/>
      <c r="R20" s="34"/>
      <c r="S20" s="33" t="s">
        <v>245</v>
      </c>
    </row>
    <row r="21" spans="2:19" x14ac:dyDescent="0.25">
      <c r="B21" s="14"/>
      <c r="C21" s="14"/>
      <c r="D21" s="14"/>
      <c r="E21" s="14"/>
      <c r="F21" s="14"/>
      <c r="G21" s="33" t="s">
        <v>370</v>
      </c>
      <c r="H21" s="33" t="s">
        <v>141</v>
      </c>
      <c r="I21" s="33" t="s">
        <v>88</v>
      </c>
      <c r="J21" s="33" t="s">
        <v>444</v>
      </c>
      <c r="K21" s="33"/>
      <c r="L21" s="33"/>
      <c r="M21" s="33">
        <v>4</v>
      </c>
      <c r="N21" s="33">
        <v>9</v>
      </c>
      <c r="O21" s="33" t="s">
        <v>88</v>
      </c>
      <c r="P21" s="34"/>
      <c r="Q21" s="40"/>
      <c r="R21" s="34"/>
      <c r="S21" s="33" t="s">
        <v>246</v>
      </c>
    </row>
    <row r="22" spans="2:19" x14ac:dyDescent="0.25">
      <c r="B22" s="14"/>
      <c r="C22" s="14"/>
      <c r="D22" s="14"/>
      <c r="E22" s="14"/>
      <c r="F22" s="14"/>
      <c r="G22" s="33" t="s">
        <v>371</v>
      </c>
      <c r="H22" s="33" t="s">
        <v>93</v>
      </c>
      <c r="I22" s="33" t="s">
        <v>88</v>
      </c>
      <c r="J22" s="33" t="s">
        <v>445</v>
      </c>
      <c r="K22" s="33" t="s">
        <v>586</v>
      </c>
      <c r="L22" s="33"/>
      <c r="M22" s="33">
        <v>4</v>
      </c>
      <c r="N22" s="33">
        <v>9</v>
      </c>
      <c r="O22" s="33" t="s">
        <v>88</v>
      </c>
      <c r="P22" s="34"/>
      <c r="Q22" s="40"/>
      <c r="R22" s="34"/>
      <c r="S22" s="33" t="s">
        <v>247</v>
      </c>
    </row>
    <row r="23" spans="2:19" x14ac:dyDescent="0.25">
      <c r="B23" s="14"/>
      <c r="C23" s="14"/>
      <c r="D23" s="14"/>
      <c r="E23" s="14"/>
      <c r="F23" s="14"/>
      <c r="G23" s="33" t="s">
        <v>372</v>
      </c>
      <c r="H23" s="33" t="s">
        <v>141</v>
      </c>
      <c r="I23" s="33" t="s">
        <v>88</v>
      </c>
      <c r="J23" s="33" t="s">
        <v>446</v>
      </c>
      <c r="K23" s="33"/>
      <c r="L23" s="33"/>
      <c r="M23" s="33">
        <v>4</v>
      </c>
      <c r="N23" s="33">
        <v>9</v>
      </c>
      <c r="O23" s="33" t="s">
        <v>88</v>
      </c>
      <c r="P23" s="34"/>
      <c r="Q23" s="40"/>
      <c r="R23" s="34"/>
      <c r="S23" s="33" t="s">
        <v>248</v>
      </c>
    </row>
    <row r="24" spans="2:19" x14ac:dyDescent="0.25">
      <c r="B24" s="14"/>
      <c r="C24" s="14"/>
      <c r="D24" s="14"/>
      <c r="E24" s="14"/>
      <c r="F24" s="14"/>
      <c r="G24" s="33" t="s">
        <v>373</v>
      </c>
      <c r="H24" s="33" t="s">
        <v>90</v>
      </c>
      <c r="I24" s="33" t="s">
        <v>88</v>
      </c>
      <c r="J24" s="33" t="s">
        <v>447</v>
      </c>
      <c r="K24" s="33" t="s">
        <v>587</v>
      </c>
      <c r="L24" s="33"/>
      <c r="M24" s="33">
        <v>4</v>
      </c>
      <c r="N24" s="33">
        <v>9</v>
      </c>
      <c r="O24" s="33" t="s">
        <v>88</v>
      </c>
      <c r="P24" s="34"/>
      <c r="Q24" s="40"/>
      <c r="R24" s="34"/>
      <c r="S24" s="33" t="s">
        <v>249</v>
      </c>
    </row>
    <row r="25" spans="2:19" x14ac:dyDescent="0.25">
      <c r="B25" s="14"/>
      <c r="C25" s="14"/>
      <c r="D25" s="14"/>
      <c r="E25" s="14"/>
      <c r="F25" s="14"/>
      <c r="G25" s="33" t="s">
        <v>374</v>
      </c>
      <c r="H25" s="33" t="s">
        <v>141</v>
      </c>
      <c r="I25" s="33" t="s">
        <v>88</v>
      </c>
      <c r="J25" s="33" t="s">
        <v>448</v>
      </c>
      <c r="K25" s="33"/>
      <c r="L25" s="33"/>
      <c r="M25" s="33">
        <v>4</v>
      </c>
      <c r="N25" s="33">
        <v>9</v>
      </c>
      <c r="O25" s="33" t="s">
        <v>88</v>
      </c>
      <c r="P25" s="34"/>
      <c r="Q25" s="40"/>
      <c r="R25" s="34"/>
      <c r="S25" s="33" t="s">
        <v>250</v>
      </c>
    </row>
    <row r="26" spans="2:19" x14ac:dyDescent="0.25">
      <c r="B26" s="14"/>
      <c r="C26" s="14"/>
      <c r="D26" s="14"/>
      <c r="E26" s="14"/>
      <c r="F26" s="14"/>
      <c r="G26" s="33" t="s">
        <v>375</v>
      </c>
      <c r="H26" s="33" t="s">
        <v>141</v>
      </c>
      <c r="I26" s="33" t="s">
        <v>88</v>
      </c>
      <c r="J26" s="33" t="s">
        <v>449</v>
      </c>
      <c r="K26" s="33"/>
      <c r="L26" s="33"/>
      <c r="M26" s="33">
        <v>4</v>
      </c>
      <c r="N26" s="33">
        <v>9</v>
      </c>
      <c r="O26" s="33" t="s">
        <v>88</v>
      </c>
      <c r="P26" s="34"/>
      <c r="Q26" s="40"/>
      <c r="R26" s="34"/>
      <c r="S26" s="33" t="s">
        <v>251</v>
      </c>
    </row>
    <row r="27" spans="2:19" x14ac:dyDescent="0.25">
      <c r="B27" s="14"/>
      <c r="C27" s="14"/>
      <c r="D27" s="14"/>
      <c r="E27" s="14"/>
      <c r="F27" s="14"/>
      <c r="G27" s="33" t="s">
        <v>376</v>
      </c>
      <c r="H27" s="33" t="s">
        <v>90</v>
      </c>
      <c r="I27" s="33" t="s">
        <v>88</v>
      </c>
      <c r="J27" s="33" t="s">
        <v>450</v>
      </c>
      <c r="K27" s="33" t="s">
        <v>359</v>
      </c>
      <c r="L27" s="33"/>
      <c r="M27" s="33">
        <v>4</v>
      </c>
      <c r="N27" s="33">
        <v>9</v>
      </c>
      <c r="O27" s="33" t="s">
        <v>88</v>
      </c>
      <c r="P27" s="34"/>
      <c r="Q27" s="40"/>
      <c r="R27" s="34"/>
      <c r="S27" s="33" t="s">
        <v>252</v>
      </c>
    </row>
    <row r="28" spans="2:19" x14ac:dyDescent="0.25">
      <c r="B28" s="14"/>
      <c r="C28" s="14"/>
      <c r="D28" s="14"/>
      <c r="E28" s="14"/>
      <c r="F28" s="14"/>
      <c r="G28" s="33" t="s">
        <v>377</v>
      </c>
      <c r="H28" s="33" t="s">
        <v>141</v>
      </c>
      <c r="I28" s="33" t="s">
        <v>88</v>
      </c>
      <c r="J28" s="33" t="s">
        <v>451</v>
      </c>
      <c r="K28" s="33"/>
      <c r="L28" s="33"/>
      <c r="M28" s="33">
        <v>4</v>
      </c>
      <c r="N28" s="33">
        <v>9</v>
      </c>
      <c r="O28" s="33" t="s">
        <v>88</v>
      </c>
      <c r="P28" s="34"/>
      <c r="Q28" s="40"/>
      <c r="R28" s="34"/>
      <c r="S28" s="33" t="s">
        <v>253</v>
      </c>
    </row>
    <row r="29" spans="2:19" x14ac:dyDescent="0.25">
      <c r="B29" s="14"/>
      <c r="C29" s="14"/>
      <c r="D29" s="14"/>
      <c r="E29" s="14"/>
      <c r="F29" s="14"/>
      <c r="G29" s="33" t="s">
        <v>378</v>
      </c>
      <c r="H29" s="33" t="s">
        <v>93</v>
      </c>
      <c r="I29" s="33" t="s">
        <v>88</v>
      </c>
      <c r="J29" s="33" t="s">
        <v>452</v>
      </c>
      <c r="K29" s="33" t="s">
        <v>360</v>
      </c>
      <c r="L29" s="33"/>
      <c r="M29" s="33">
        <v>4</v>
      </c>
      <c r="N29" s="33">
        <v>9</v>
      </c>
      <c r="O29" s="33" t="s">
        <v>88</v>
      </c>
      <c r="P29" s="34"/>
      <c r="Q29" s="40"/>
      <c r="R29" s="34"/>
      <c r="S29" s="33" t="s">
        <v>254</v>
      </c>
    </row>
    <row r="30" spans="2:19" x14ac:dyDescent="0.25">
      <c r="B30" s="14"/>
      <c r="C30" s="14"/>
      <c r="D30" s="14"/>
      <c r="E30" s="14"/>
      <c r="F30" s="14"/>
      <c r="G30" s="33" t="s">
        <v>379</v>
      </c>
      <c r="H30" s="33" t="s">
        <v>141</v>
      </c>
      <c r="I30" s="33" t="s">
        <v>88</v>
      </c>
      <c r="J30" s="33" t="s">
        <v>453</v>
      </c>
      <c r="K30" s="33"/>
      <c r="L30" s="33"/>
      <c r="M30" s="33">
        <v>4</v>
      </c>
      <c r="N30" s="33">
        <v>9</v>
      </c>
      <c r="O30" s="33" t="s">
        <v>88</v>
      </c>
      <c r="P30" s="34"/>
      <c r="Q30" s="40"/>
      <c r="R30" s="34"/>
      <c r="S30" s="33" t="s">
        <v>255</v>
      </c>
    </row>
    <row r="31" spans="2:19" x14ac:dyDescent="0.25">
      <c r="B31" s="14"/>
      <c r="C31" s="14"/>
      <c r="D31" s="14"/>
      <c r="E31" s="14"/>
      <c r="F31" s="14"/>
      <c r="G31" s="33" t="s">
        <v>380</v>
      </c>
      <c r="H31" s="33" t="s">
        <v>141</v>
      </c>
      <c r="I31" s="33" t="s">
        <v>88</v>
      </c>
      <c r="J31" s="33" t="s">
        <v>454</v>
      </c>
      <c r="K31" s="33"/>
      <c r="L31" s="33"/>
      <c r="M31" s="33">
        <v>4</v>
      </c>
      <c r="N31" s="33">
        <v>9</v>
      </c>
      <c r="O31" s="33" t="s">
        <v>88</v>
      </c>
      <c r="P31" s="34"/>
      <c r="Q31" s="40"/>
      <c r="R31" s="34"/>
      <c r="S31" s="33" t="s">
        <v>256</v>
      </c>
    </row>
    <row r="32" spans="2:19" x14ac:dyDescent="0.25">
      <c r="B32" s="14"/>
      <c r="C32" s="14"/>
      <c r="D32" s="14"/>
      <c r="E32" s="14"/>
      <c r="F32" s="14"/>
      <c r="G32" s="33" t="s">
        <v>381</v>
      </c>
      <c r="H32" s="33" t="s">
        <v>93</v>
      </c>
      <c r="I32" s="33" t="s">
        <v>88</v>
      </c>
      <c r="J32" s="33" t="s">
        <v>455</v>
      </c>
      <c r="K32" s="33" t="s">
        <v>581</v>
      </c>
      <c r="L32" s="33"/>
      <c r="M32" s="33">
        <v>4</v>
      </c>
      <c r="N32" s="33">
        <v>9</v>
      </c>
      <c r="O32" s="33" t="s">
        <v>88</v>
      </c>
      <c r="P32" s="34"/>
      <c r="Q32" s="40"/>
      <c r="R32" s="34"/>
      <c r="S32" s="33" t="s">
        <v>257</v>
      </c>
    </row>
    <row r="33" spans="2:19" x14ac:dyDescent="0.25">
      <c r="B33" s="14"/>
      <c r="C33" s="14"/>
      <c r="D33" s="14"/>
      <c r="E33" s="14"/>
      <c r="F33" s="14"/>
      <c r="G33" s="33" t="s">
        <v>382</v>
      </c>
      <c r="H33" s="33" t="s">
        <v>93</v>
      </c>
      <c r="I33" s="33" t="s">
        <v>88</v>
      </c>
      <c r="J33" s="33" t="s">
        <v>456</v>
      </c>
      <c r="K33" s="33" t="s">
        <v>582</v>
      </c>
      <c r="L33" s="33"/>
      <c r="M33" s="33">
        <v>4</v>
      </c>
      <c r="N33" s="33">
        <v>9</v>
      </c>
      <c r="O33" s="33" t="s">
        <v>88</v>
      </c>
      <c r="P33" s="34"/>
      <c r="Q33" s="40"/>
      <c r="R33" s="34"/>
      <c r="S33" s="33" t="s">
        <v>258</v>
      </c>
    </row>
    <row r="34" spans="2:19" x14ac:dyDescent="0.25">
      <c r="B34" s="14"/>
      <c r="C34" s="14"/>
      <c r="D34" s="14"/>
      <c r="E34" s="14"/>
      <c r="F34" s="14"/>
      <c r="G34" s="33" t="s">
        <v>383</v>
      </c>
      <c r="H34" s="33" t="s">
        <v>93</v>
      </c>
      <c r="I34" s="33" t="s">
        <v>88</v>
      </c>
      <c r="J34" s="33" t="s">
        <v>457</v>
      </c>
      <c r="K34" s="33" t="s">
        <v>583</v>
      </c>
      <c r="L34" s="33"/>
      <c r="M34" s="33">
        <v>4</v>
      </c>
      <c r="N34" s="33">
        <v>9</v>
      </c>
      <c r="O34" s="33" t="s">
        <v>88</v>
      </c>
      <c r="P34" s="34"/>
      <c r="Q34" s="40"/>
      <c r="R34" s="34"/>
      <c r="S34" s="33" t="s">
        <v>259</v>
      </c>
    </row>
    <row r="35" spans="2:19" x14ac:dyDescent="0.25">
      <c r="B35" s="14"/>
      <c r="C35" s="14"/>
      <c r="D35" s="14"/>
      <c r="E35" s="14"/>
      <c r="F35" s="14"/>
      <c r="G35" s="33" t="s">
        <v>384</v>
      </c>
      <c r="H35" s="33" t="s">
        <v>93</v>
      </c>
      <c r="I35" s="33" t="s">
        <v>88</v>
      </c>
      <c r="J35" s="33" t="s">
        <v>458</v>
      </c>
      <c r="K35" s="33" t="s">
        <v>584</v>
      </c>
      <c r="L35" s="33"/>
      <c r="M35" s="33">
        <v>4</v>
      </c>
      <c r="N35" s="33">
        <v>9</v>
      </c>
      <c r="O35" s="33" t="s">
        <v>88</v>
      </c>
      <c r="P35" s="34"/>
      <c r="Q35" s="40"/>
      <c r="R35" s="34"/>
      <c r="S35" s="33" t="s">
        <v>260</v>
      </c>
    </row>
    <row r="36" spans="2:19" x14ac:dyDescent="0.25">
      <c r="B36" s="14"/>
      <c r="C36" s="14"/>
      <c r="D36" s="14"/>
      <c r="E36" s="14"/>
      <c r="F36" s="14"/>
      <c r="G36" s="33" t="s">
        <v>385</v>
      </c>
      <c r="H36" s="33" t="s">
        <v>93</v>
      </c>
      <c r="I36" s="33" t="s">
        <v>88</v>
      </c>
      <c r="J36" s="33" t="s">
        <v>459</v>
      </c>
      <c r="K36" s="33" t="s">
        <v>585</v>
      </c>
      <c r="L36" s="33"/>
      <c r="M36" s="33">
        <v>4</v>
      </c>
      <c r="N36" s="33">
        <v>9</v>
      </c>
      <c r="O36" s="33" t="s">
        <v>88</v>
      </c>
      <c r="P36" s="34"/>
      <c r="Q36" s="40"/>
      <c r="R36" s="34"/>
      <c r="S36" s="33" t="s">
        <v>261</v>
      </c>
    </row>
    <row r="37" spans="2:19" x14ac:dyDescent="0.25">
      <c r="B37" s="14"/>
      <c r="C37" s="14"/>
      <c r="D37" s="14"/>
      <c r="E37" s="14"/>
      <c r="F37" s="14"/>
      <c r="G37" s="32" t="s">
        <v>575</v>
      </c>
      <c r="H37" s="32"/>
      <c r="I37" s="33"/>
      <c r="J37" s="32" t="s">
        <v>314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386</v>
      </c>
      <c r="H38" s="33" t="s">
        <v>91</v>
      </c>
      <c r="I38" s="33" t="s">
        <v>88</v>
      </c>
      <c r="J38" s="32" t="s">
        <v>140</v>
      </c>
      <c r="K38" s="33" t="s">
        <v>773</v>
      </c>
      <c r="L38" s="32" t="s">
        <v>186</v>
      </c>
      <c r="M38" s="33">
        <v>4</v>
      </c>
      <c r="N38" s="33">
        <v>21</v>
      </c>
      <c r="O38" s="33" t="s">
        <v>88</v>
      </c>
      <c r="P38" s="34"/>
      <c r="Q38" s="40"/>
      <c r="R38" s="34"/>
      <c r="S38" s="33" t="s">
        <v>262</v>
      </c>
    </row>
    <row r="39" spans="2:19" x14ac:dyDescent="0.25">
      <c r="B39" s="14"/>
      <c r="C39" s="14"/>
      <c r="D39" s="14"/>
      <c r="E39" s="14"/>
      <c r="F39" s="14"/>
      <c r="G39" s="33" t="s">
        <v>387</v>
      </c>
      <c r="H39" s="33" t="s">
        <v>141</v>
      </c>
      <c r="I39" s="33" t="s">
        <v>88</v>
      </c>
      <c r="J39" s="32" t="s">
        <v>172</v>
      </c>
      <c r="K39" s="33"/>
      <c r="L39" s="33"/>
      <c r="M39" s="33">
        <v>4</v>
      </c>
      <c r="N39" s="33">
        <v>10</v>
      </c>
      <c r="O39" s="33" t="s">
        <v>88</v>
      </c>
      <c r="P39" s="34"/>
      <c r="Q39" s="40"/>
      <c r="R39" s="34"/>
      <c r="S39" s="33" t="s">
        <v>130</v>
      </c>
    </row>
    <row r="40" spans="2:19" x14ac:dyDescent="0.25">
      <c r="B40" s="14"/>
      <c r="C40" s="14"/>
      <c r="D40" s="14"/>
      <c r="E40" s="14"/>
      <c r="F40" s="14"/>
      <c r="G40" s="32" t="s">
        <v>187</v>
      </c>
      <c r="H40" s="32"/>
      <c r="I40" s="33"/>
      <c r="J40" s="32" t="s">
        <v>315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388</v>
      </c>
      <c r="H41" s="33" t="s">
        <v>141</v>
      </c>
      <c r="I41" s="33" t="s">
        <v>88</v>
      </c>
      <c r="J41" s="33" t="s">
        <v>397</v>
      </c>
      <c r="K41" s="33"/>
      <c r="L41" s="33"/>
      <c r="M41" s="33">
        <v>4</v>
      </c>
      <c r="N41" s="33">
        <v>9</v>
      </c>
      <c r="O41" s="33" t="s">
        <v>88</v>
      </c>
      <c r="P41" s="34"/>
      <c r="Q41" s="40"/>
      <c r="R41" s="34"/>
      <c r="S41" s="33" t="s">
        <v>263</v>
      </c>
    </row>
    <row r="42" spans="2:19" x14ac:dyDescent="0.25">
      <c r="B42" s="14"/>
      <c r="C42" s="14"/>
      <c r="D42" s="14"/>
      <c r="E42" s="14"/>
      <c r="F42" s="14"/>
      <c r="G42" s="33" t="s">
        <v>389</v>
      </c>
      <c r="H42" s="33" t="s">
        <v>141</v>
      </c>
      <c r="I42" s="33" t="s">
        <v>88</v>
      </c>
      <c r="J42" s="33" t="s">
        <v>398</v>
      </c>
      <c r="K42" s="33"/>
      <c r="L42" s="33"/>
      <c r="M42" s="33">
        <v>4</v>
      </c>
      <c r="N42" s="33">
        <v>9</v>
      </c>
      <c r="O42" s="33" t="s">
        <v>88</v>
      </c>
      <c r="P42" s="34"/>
      <c r="Q42" s="40"/>
      <c r="R42" s="34"/>
      <c r="S42" s="33" t="s">
        <v>264</v>
      </c>
    </row>
    <row r="43" spans="2:19" x14ac:dyDescent="0.25">
      <c r="B43" s="14"/>
      <c r="C43" s="14"/>
      <c r="D43" s="14"/>
      <c r="E43" s="14"/>
      <c r="F43" s="14"/>
      <c r="G43" s="33" t="s">
        <v>390</v>
      </c>
      <c r="H43" s="33" t="s">
        <v>141</v>
      </c>
      <c r="I43" s="33" t="s">
        <v>88</v>
      </c>
      <c r="J43" s="33" t="s">
        <v>399</v>
      </c>
      <c r="K43" s="33"/>
      <c r="L43" s="33"/>
      <c r="M43" s="33">
        <v>4</v>
      </c>
      <c r="N43" s="33">
        <v>9</v>
      </c>
      <c r="O43" s="33" t="s">
        <v>88</v>
      </c>
      <c r="P43" s="34"/>
      <c r="Q43" s="40"/>
      <c r="R43" s="34"/>
      <c r="S43" s="33" t="s">
        <v>265</v>
      </c>
    </row>
    <row r="44" spans="2:19" x14ac:dyDescent="0.25">
      <c r="B44" s="14"/>
      <c r="C44" s="14"/>
      <c r="D44" s="14"/>
      <c r="E44" s="14"/>
      <c r="F44" s="14"/>
      <c r="G44" s="33" t="s">
        <v>391</v>
      </c>
      <c r="H44" s="33" t="s">
        <v>90</v>
      </c>
      <c r="I44" s="33" t="s">
        <v>88</v>
      </c>
      <c r="J44" s="33" t="s">
        <v>400</v>
      </c>
      <c r="K44" s="33" t="s">
        <v>587</v>
      </c>
      <c r="L44" s="33"/>
      <c r="M44" s="33">
        <v>4</v>
      </c>
      <c r="N44" s="33">
        <v>9</v>
      </c>
      <c r="O44" s="33" t="s">
        <v>88</v>
      </c>
      <c r="P44" s="34"/>
      <c r="Q44" s="40"/>
      <c r="R44" s="34"/>
      <c r="S44" s="33" t="s">
        <v>266</v>
      </c>
    </row>
    <row r="45" spans="2:19" x14ac:dyDescent="0.25">
      <c r="B45" s="14"/>
      <c r="C45" s="14"/>
      <c r="D45" s="14"/>
      <c r="E45" s="14"/>
      <c r="F45" s="14"/>
      <c r="G45" s="32" t="s">
        <v>187</v>
      </c>
      <c r="H45" s="32"/>
      <c r="I45" s="33"/>
      <c r="J45" s="32" t="s">
        <v>316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392</v>
      </c>
      <c r="H46" s="33" t="s">
        <v>141</v>
      </c>
      <c r="I46" s="33" t="s">
        <v>88</v>
      </c>
      <c r="J46" s="33" t="s">
        <v>401</v>
      </c>
      <c r="K46" s="33"/>
      <c r="L46" s="33"/>
      <c r="M46" s="33">
        <v>4</v>
      </c>
      <c r="N46" s="33">
        <v>9</v>
      </c>
      <c r="O46" s="33" t="s">
        <v>88</v>
      </c>
      <c r="P46" s="34"/>
      <c r="Q46" s="40"/>
      <c r="R46" s="34"/>
      <c r="S46" s="33" t="s">
        <v>267</v>
      </c>
    </row>
    <row r="47" spans="2:19" x14ac:dyDescent="0.25">
      <c r="B47" s="14"/>
      <c r="C47" s="14"/>
      <c r="D47" s="14"/>
      <c r="E47" s="14"/>
      <c r="F47" s="14"/>
      <c r="G47" s="33" t="s">
        <v>393</v>
      </c>
      <c r="H47" s="33" t="s">
        <v>141</v>
      </c>
      <c r="I47" s="33" t="s">
        <v>88</v>
      </c>
      <c r="J47" s="33" t="s">
        <v>402</v>
      </c>
      <c r="K47" s="33"/>
      <c r="L47" s="33"/>
      <c r="M47" s="33">
        <v>4</v>
      </c>
      <c r="N47" s="33">
        <v>9</v>
      </c>
      <c r="O47" s="33" t="s">
        <v>88</v>
      </c>
      <c r="P47" s="34"/>
      <c r="Q47" s="40"/>
      <c r="R47" s="34"/>
      <c r="S47" s="33" t="s">
        <v>268</v>
      </c>
    </row>
    <row r="48" spans="2:19" x14ac:dyDescent="0.25">
      <c r="B48" s="14"/>
      <c r="C48" s="14"/>
      <c r="D48" s="14"/>
      <c r="E48" s="14"/>
      <c r="F48" s="14"/>
      <c r="G48" s="33" t="s">
        <v>394</v>
      </c>
      <c r="H48" s="33" t="s">
        <v>141</v>
      </c>
      <c r="I48" s="33" t="s">
        <v>88</v>
      </c>
      <c r="J48" s="33" t="s">
        <v>403</v>
      </c>
      <c r="K48" s="33"/>
      <c r="L48" s="33"/>
      <c r="M48" s="33">
        <v>4</v>
      </c>
      <c r="N48" s="33">
        <v>9</v>
      </c>
      <c r="O48" s="33" t="s">
        <v>88</v>
      </c>
      <c r="P48" s="34"/>
      <c r="Q48" s="40"/>
      <c r="R48" s="34"/>
      <c r="S48" s="33" t="s">
        <v>269</v>
      </c>
    </row>
    <row r="49" spans="2:19" x14ac:dyDescent="0.25">
      <c r="B49" s="14"/>
      <c r="C49" s="14"/>
      <c r="D49" s="14"/>
      <c r="E49" s="14"/>
      <c r="F49" s="14"/>
      <c r="G49" s="33" t="s">
        <v>395</v>
      </c>
      <c r="H49" s="33" t="s">
        <v>90</v>
      </c>
      <c r="I49" s="33" t="s">
        <v>88</v>
      </c>
      <c r="J49" s="33" t="s">
        <v>404</v>
      </c>
      <c r="K49" s="33" t="s">
        <v>587</v>
      </c>
      <c r="L49" s="33"/>
      <c r="M49" s="33">
        <v>4</v>
      </c>
      <c r="N49" s="33">
        <v>9</v>
      </c>
      <c r="O49" s="33" t="s">
        <v>88</v>
      </c>
      <c r="P49" s="34"/>
      <c r="Q49" s="40"/>
      <c r="R49" s="34"/>
      <c r="S49" s="33" t="s">
        <v>270</v>
      </c>
    </row>
    <row r="50" spans="2:19" x14ac:dyDescent="0.25">
      <c r="B50" s="14"/>
      <c r="C50" s="14"/>
      <c r="D50" s="14"/>
      <c r="E50" s="14"/>
      <c r="F50" s="14"/>
      <c r="G50" s="32" t="s">
        <v>575</v>
      </c>
      <c r="H50" s="32"/>
      <c r="I50" s="33"/>
      <c r="J50" s="32" t="s">
        <v>138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173</v>
      </c>
      <c r="H51" s="33" t="s">
        <v>93</v>
      </c>
      <c r="I51" s="33" t="s">
        <v>86</v>
      </c>
      <c r="J51" s="32" t="s">
        <v>189</v>
      </c>
      <c r="K51" s="33" t="s">
        <v>173</v>
      </c>
      <c r="L51" s="33"/>
      <c r="M51" s="33">
        <v>4</v>
      </c>
      <c r="N51" s="33">
        <v>9</v>
      </c>
      <c r="O51" s="33" t="s">
        <v>88</v>
      </c>
      <c r="P51" s="34"/>
      <c r="Q51" s="40"/>
      <c r="R51" s="34"/>
      <c r="S51" s="33" t="s">
        <v>275</v>
      </c>
    </row>
    <row r="52" spans="2:19" x14ac:dyDescent="0.25">
      <c r="B52" s="14"/>
      <c r="C52" s="14"/>
      <c r="D52" s="14"/>
      <c r="E52" s="14"/>
      <c r="F52" s="14"/>
      <c r="G52" s="33" t="s">
        <v>318</v>
      </c>
      <c r="H52" s="33" t="s">
        <v>93</v>
      </c>
      <c r="I52" s="33" t="s">
        <v>86</v>
      </c>
      <c r="J52" s="32" t="s">
        <v>139</v>
      </c>
      <c r="K52" s="33" t="s">
        <v>37</v>
      </c>
      <c r="L52" s="33"/>
      <c r="M52" s="33">
        <v>4</v>
      </c>
      <c r="N52" s="33">
        <v>9</v>
      </c>
      <c r="O52" s="33" t="s">
        <v>88</v>
      </c>
      <c r="P52" s="34"/>
      <c r="Q52" s="40"/>
      <c r="R52" s="34"/>
      <c r="S52" s="33" t="s">
        <v>276</v>
      </c>
    </row>
    <row r="53" spans="2:19" x14ac:dyDescent="0.25">
      <c r="B53" s="14"/>
      <c r="C53" s="14"/>
      <c r="D53" s="14"/>
      <c r="E53" s="14"/>
      <c r="F53" s="14"/>
      <c r="G53" s="33" t="s">
        <v>319</v>
      </c>
      <c r="H53" s="33" t="s">
        <v>93</v>
      </c>
      <c r="I53" s="33" t="s">
        <v>86</v>
      </c>
      <c r="J53" s="33" t="s">
        <v>405</v>
      </c>
      <c r="K53" s="33" t="s">
        <v>361</v>
      </c>
      <c r="L53" s="33"/>
      <c r="M53" s="33">
        <v>4</v>
      </c>
      <c r="N53" s="33">
        <v>9</v>
      </c>
      <c r="O53" s="33" t="s">
        <v>88</v>
      </c>
      <c r="P53" s="34"/>
      <c r="Q53" s="40"/>
      <c r="R53" s="34"/>
      <c r="S53" s="33" t="s">
        <v>277</v>
      </c>
    </row>
    <row r="54" spans="2:19" x14ac:dyDescent="0.25">
      <c r="B54" s="14"/>
      <c r="C54" s="14"/>
      <c r="D54" s="14"/>
      <c r="E54" s="14"/>
      <c r="F54" s="14"/>
      <c r="G54" s="33" t="s">
        <v>320</v>
      </c>
      <c r="H54" s="33" t="s">
        <v>93</v>
      </c>
      <c r="I54" s="33" t="s">
        <v>86</v>
      </c>
      <c r="J54" s="33" t="s">
        <v>406</v>
      </c>
      <c r="K54" s="33" t="s">
        <v>361</v>
      </c>
      <c r="L54" s="33"/>
      <c r="M54" s="33">
        <v>4</v>
      </c>
      <c r="N54" s="33">
        <v>10</v>
      </c>
      <c r="O54" s="33" t="s">
        <v>88</v>
      </c>
      <c r="P54" s="34"/>
      <c r="Q54" s="40"/>
      <c r="R54" s="34"/>
      <c r="S54" s="33" t="s">
        <v>278</v>
      </c>
    </row>
    <row r="55" spans="2:19" x14ac:dyDescent="0.25">
      <c r="B55" s="14"/>
      <c r="C55" s="14"/>
      <c r="D55" s="14"/>
      <c r="E55" s="14"/>
      <c r="F55" s="14"/>
      <c r="G55" s="32" t="s">
        <v>187</v>
      </c>
      <c r="H55" s="32"/>
      <c r="I55" s="33"/>
      <c r="J55" s="32" t="s">
        <v>354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321</v>
      </c>
      <c r="H56" s="33" t="s">
        <v>141</v>
      </c>
      <c r="I56" s="33" t="s">
        <v>88</v>
      </c>
      <c r="J56" s="33" t="s">
        <v>407</v>
      </c>
      <c r="K56" s="33"/>
      <c r="L56" s="33"/>
      <c r="M56" s="33">
        <v>4</v>
      </c>
      <c r="N56" s="33">
        <v>9</v>
      </c>
      <c r="O56" s="33" t="s">
        <v>88</v>
      </c>
      <c r="P56" s="34"/>
      <c r="Q56" s="40"/>
      <c r="R56" s="34"/>
      <c r="S56" s="33" t="s">
        <v>279</v>
      </c>
    </row>
    <row r="57" spans="2:19" x14ac:dyDescent="0.25">
      <c r="B57" s="14"/>
      <c r="C57" s="14"/>
      <c r="D57" s="14"/>
      <c r="E57" s="14"/>
      <c r="F57" s="14"/>
      <c r="G57" s="33" t="s">
        <v>322</v>
      </c>
      <c r="H57" s="33" t="s">
        <v>93</v>
      </c>
      <c r="I57" s="33" t="s">
        <v>88</v>
      </c>
      <c r="J57" s="33" t="s">
        <v>426</v>
      </c>
      <c r="K57" s="33" t="s">
        <v>358</v>
      </c>
      <c r="L57" s="33"/>
      <c r="M57" s="33">
        <v>4</v>
      </c>
      <c r="N57" s="33">
        <v>9</v>
      </c>
      <c r="O57" s="33" t="s">
        <v>88</v>
      </c>
      <c r="P57" s="34"/>
      <c r="Q57" s="40"/>
      <c r="R57" s="34"/>
      <c r="S57" s="33" t="s">
        <v>280</v>
      </c>
    </row>
    <row r="58" spans="2:19" x14ac:dyDescent="0.25">
      <c r="B58" s="14"/>
      <c r="C58" s="14"/>
      <c r="D58" s="14"/>
      <c r="E58" s="14"/>
      <c r="F58" s="14"/>
      <c r="G58" s="33" t="s">
        <v>323</v>
      </c>
      <c r="H58" s="33" t="s">
        <v>141</v>
      </c>
      <c r="I58" s="33" t="s">
        <v>88</v>
      </c>
      <c r="J58" s="33" t="s">
        <v>408</v>
      </c>
      <c r="K58" s="33"/>
      <c r="L58" s="33"/>
      <c r="M58" s="33">
        <v>4</v>
      </c>
      <c r="N58" s="33">
        <v>9</v>
      </c>
      <c r="O58" s="33" t="s">
        <v>88</v>
      </c>
      <c r="P58" s="34"/>
      <c r="Q58" s="40"/>
      <c r="R58" s="34"/>
      <c r="S58" s="33" t="s">
        <v>281</v>
      </c>
    </row>
    <row r="59" spans="2:19" x14ac:dyDescent="0.25">
      <c r="B59" s="14"/>
      <c r="C59" s="14"/>
      <c r="D59" s="14"/>
      <c r="E59" s="14"/>
      <c r="F59" s="14"/>
      <c r="G59" s="33" t="s">
        <v>324</v>
      </c>
      <c r="H59" s="33" t="s">
        <v>93</v>
      </c>
      <c r="I59" s="33" t="s">
        <v>88</v>
      </c>
      <c r="J59" s="33" t="s">
        <v>439</v>
      </c>
      <c r="K59" s="33" t="s">
        <v>358</v>
      </c>
      <c r="L59" s="33"/>
      <c r="M59" s="33">
        <v>4</v>
      </c>
      <c r="N59" s="33">
        <v>9</v>
      </c>
      <c r="O59" s="33" t="s">
        <v>88</v>
      </c>
      <c r="P59" s="34"/>
      <c r="Q59" s="40"/>
      <c r="R59" s="34"/>
      <c r="S59" s="33" t="s">
        <v>282</v>
      </c>
    </row>
    <row r="60" spans="2:19" x14ac:dyDescent="0.25">
      <c r="B60" s="14"/>
      <c r="C60" s="14"/>
      <c r="D60" s="14"/>
      <c r="E60" s="14"/>
      <c r="F60" s="14"/>
      <c r="G60" s="33" t="s">
        <v>325</v>
      </c>
      <c r="H60" s="33" t="s">
        <v>141</v>
      </c>
      <c r="I60" s="33" t="s">
        <v>88</v>
      </c>
      <c r="J60" s="33" t="s">
        <v>409</v>
      </c>
      <c r="K60" s="33"/>
      <c r="L60" s="33"/>
      <c r="M60" s="33">
        <v>4</v>
      </c>
      <c r="N60" s="33">
        <v>9</v>
      </c>
      <c r="O60" s="33" t="s">
        <v>88</v>
      </c>
      <c r="P60" s="34"/>
      <c r="Q60" s="40"/>
      <c r="R60" s="34"/>
      <c r="S60" s="33" t="s">
        <v>283</v>
      </c>
    </row>
    <row r="61" spans="2:19" x14ac:dyDescent="0.25">
      <c r="B61" s="14"/>
      <c r="C61" s="14"/>
      <c r="D61" s="14"/>
      <c r="E61" s="14"/>
      <c r="F61" s="14"/>
      <c r="G61" s="33" t="s">
        <v>326</v>
      </c>
      <c r="H61" s="33" t="s">
        <v>93</v>
      </c>
      <c r="I61" s="33" t="s">
        <v>88</v>
      </c>
      <c r="J61" s="33" t="s">
        <v>427</v>
      </c>
      <c r="K61" s="33" t="s">
        <v>586</v>
      </c>
      <c r="L61" s="33"/>
      <c r="M61" s="33">
        <v>4</v>
      </c>
      <c r="N61" s="33">
        <v>9</v>
      </c>
      <c r="O61" s="33" t="s">
        <v>88</v>
      </c>
      <c r="P61" s="34"/>
      <c r="Q61" s="40"/>
      <c r="R61" s="34"/>
      <c r="S61" s="33" t="s">
        <v>284</v>
      </c>
    </row>
    <row r="62" spans="2:19" x14ac:dyDescent="0.25">
      <c r="B62" s="14"/>
      <c r="C62" s="14"/>
      <c r="D62" s="14"/>
      <c r="E62" s="14"/>
      <c r="F62" s="14"/>
      <c r="G62" s="33" t="s">
        <v>327</v>
      </c>
      <c r="H62" s="33" t="s">
        <v>141</v>
      </c>
      <c r="I62" s="33" t="s">
        <v>88</v>
      </c>
      <c r="J62" s="33" t="s">
        <v>410</v>
      </c>
      <c r="K62" s="33"/>
      <c r="L62" s="33"/>
      <c r="M62" s="33">
        <v>4</v>
      </c>
      <c r="N62" s="33">
        <v>9</v>
      </c>
      <c r="O62" s="33" t="s">
        <v>88</v>
      </c>
      <c r="P62" s="34"/>
      <c r="Q62" s="40"/>
      <c r="R62" s="34"/>
      <c r="S62" s="33" t="s">
        <v>285</v>
      </c>
    </row>
    <row r="63" spans="2:19" x14ac:dyDescent="0.25">
      <c r="B63" s="14"/>
      <c r="C63" s="14"/>
      <c r="D63" s="14"/>
      <c r="E63" s="14"/>
      <c r="F63" s="14"/>
      <c r="G63" s="33" t="s">
        <v>328</v>
      </c>
      <c r="H63" s="33" t="s">
        <v>90</v>
      </c>
      <c r="I63" s="33" t="s">
        <v>88</v>
      </c>
      <c r="J63" s="33" t="s">
        <v>411</v>
      </c>
      <c r="K63" s="33" t="s">
        <v>587</v>
      </c>
      <c r="L63" s="33"/>
      <c r="M63" s="33">
        <v>4</v>
      </c>
      <c r="N63" s="33">
        <v>9</v>
      </c>
      <c r="O63" s="33" t="s">
        <v>88</v>
      </c>
      <c r="P63" s="34"/>
      <c r="Q63" s="40"/>
      <c r="R63" s="34"/>
      <c r="S63" s="33" t="s">
        <v>286</v>
      </c>
    </row>
    <row r="64" spans="2:19" x14ac:dyDescent="0.25">
      <c r="B64" s="14"/>
      <c r="C64" s="14"/>
      <c r="D64" s="14"/>
      <c r="E64" s="14"/>
      <c r="F64" s="14"/>
      <c r="G64" s="33" t="s">
        <v>329</v>
      </c>
      <c r="H64" s="33" t="s">
        <v>141</v>
      </c>
      <c r="I64" s="33" t="s">
        <v>88</v>
      </c>
      <c r="J64" s="33" t="s">
        <v>412</v>
      </c>
      <c r="K64" s="33"/>
      <c r="L64" s="33"/>
      <c r="M64" s="33">
        <v>4</v>
      </c>
      <c r="N64" s="33">
        <v>9</v>
      </c>
      <c r="O64" s="33" t="s">
        <v>88</v>
      </c>
      <c r="P64" s="34"/>
      <c r="Q64" s="40"/>
      <c r="R64" s="34"/>
      <c r="S64" s="33" t="s">
        <v>287</v>
      </c>
    </row>
    <row r="65" spans="2:19" x14ac:dyDescent="0.25">
      <c r="B65" s="14"/>
      <c r="C65" s="14"/>
      <c r="D65" s="14"/>
      <c r="E65" s="14"/>
      <c r="F65" s="14"/>
      <c r="G65" s="33" t="s">
        <v>330</v>
      </c>
      <c r="H65" s="33" t="s">
        <v>141</v>
      </c>
      <c r="I65" s="33" t="s">
        <v>88</v>
      </c>
      <c r="J65" s="33" t="s">
        <v>413</v>
      </c>
      <c r="K65" s="33"/>
      <c r="L65" s="33"/>
      <c r="M65" s="33">
        <v>4</v>
      </c>
      <c r="N65" s="33">
        <v>9</v>
      </c>
      <c r="O65" s="33" t="s">
        <v>88</v>
      </c>
      <c r="P65" s="34"/>
      <c r="Q65" s="40"/>
      <c r="R65" s="34"/>
      <c r="S65" s="33" t="s">
        <v>288</v>
      </c>
    </row>
    <row r="66" spans="2:19" x14ac:dyDescent="0.25">
      <c r="B66" s="14"/>
      <c r="C66" s="14"/>
      <c r="D66" s="14"/>
      <c r="E66" s="14"/>
      <c r="F66" s="14"/>
      <c r="G66" s="33" t="s">
        <v>331</v>
      </c>
      <c r="H66" s="33" t="s">
        <v>90</v>
      </c>
      <c r="I66" s="33" t="s">
        <v>88</v>
      </c>
      <c r="J66" s="33" t="s">
        <v>428</v>
      </c>
      <c r="K66" s="33" t="s">
        <v>359</v>
      </c>
      <c r="L66" s="33"/>
      <c r="M66" s="33">
        <v>4</v>
      </c>
      <c r="N66" s="33">
        <v>9</v>
      </c>
      <c r="O66" s="33" t="s">
        <v>88</v>
      </c>
      <c r="P66" s="34"/>
      <c r="Q66" s="40"/>
      <c r="R66" s="34"/>
      <c r="S66" s="33" t="s">
        <v>289</v>
      </c>
    </row>
    <row r="67" spans="2:19" x14ac:dyDescent="0.25">
      <c r="B67" s="14"/>
      <c r="C67" s="14"/>
      <c r="D67" s="14"/>
      <c r="E67" s="14"/>
      <c r="F67" s="14"/>
      <c r="G67" s="33" t="s">
        <v>332</v>
      </c>
      <c r="H67" s="33" t="s">
        <v>141</v>
      </c>
      <c r="I67" s="33" t="s">
        <v>88</v>
      </c>
      <c r="J67" s="33" t="s">
        <v>414</v>
      </c>
      <c r="K67" s="33"/>
      <c r="L67" s="33"/>
      <c r="M67" s="33">
        <v>4</v>
      </c>
      <c r="N67" s="33">
        <v>9</v>
      </c>
      <c r="O67" s="33" t="s">
        <v>88</v>
      </c>
      <c r="P67" s="34"/>
      <c r="Q67" s="40"/>
      <c r="R67" s="34"/>
      <c r="S67" s="33" t="s">
        <v>290</v>
      </c>
    </row>
    <row r="68" spans="2:19" x14ac:dyDescent="0.25">
      <c r="B68" s="14"/>
      <c r="C68" s="14"/>
      <c r="D68" s="14"/>
      <c r="E68" s="14"/>
      <c r="F68" s="14"/>
      <c r="G68" s="33" t="s">
        <v>333</v>
      </c>
      <c r="H68" s="33" t="s">
        <v>93</v>
      </c>
      <c r="I68" s="33" t="s">
        <v>88</v>
      </c>
      <c r="J68" s="33" t="s">
        <v>429</v>
      </c>
      <c r="K68" s="33" t="s">
        <v>360</v>
      </c>
      <c r="L68" s="33"/>
      <c r="M68" s="33">
        <v>4</v>
      </c>
      <c r="N68" s="33">
        <v>9</v>
      </c>
      <c r="O68" s="33" t="s">
        <v>88</v>
      </c>
      <c r="P68" s="34"/>
      <c r="Q68" s="40"/>
      <c r="R68" s="34"/>
      <c r="S68" s="33" t="s">
        <v>291</v>
      </c>
    </row>
    <row r="69" spans="2:19" x14ac:dyDescent="0.25">
      <c r="B69" s="14"/>
      <c r="C69" s="14"/>
      <c r="D69" s="14"/>
      <c r="E69" s="14"/>
      <c r="F69" s="14"/>
      <c r="G69" s="33" t="s">
        <v>334</v>
      </c>
      <c r="H69" s="33" t="s">
        <v>141</v>
      </c>
      <c r="I69" s="33" t="s">
        <v>88</v>
      </c>
      <c r="J69" s="33" t="s">
        <v>415</v>
      </c>
      <c r="K69" s="33"/>
      <c r="L69" s="33"/>
      <c r="M69" s="33">
        <v>4</v>
      </c>
      <c r="N69" s="33">
        <v>9</v>
      </c>
      <c r="O69" s="33" t="s">
        <v>88</v>
      </c>
      <c r="P69" s="34"/>
      <c r="Q69" s="40"/>
      <c r="R69" s="34"/>
      <c r="S69" s="33" t="s">
        <v>292</v>
      </c>
    </row>
    <row r="70" spans="2:19" x14ac:dyDescent="0.25">
      <c r="B70" s="14"/>
      <c r="C70" s="14"/>
      <c r="D70" s="14"/>
      <c r="E70" s="14"/>
      <c r="F70" s="14"/>
      <c r="G70" s="33" t="s">
        <v>335</v>
      </c>
      <c r="H70" s="33" t="s">
        <v>141</v>
      </c>
      <c r="I70" s="33" t="s">
        <v>88</v>
      </c>
      <c r="J70" s="33" t="s">
        <v>416</v>
      </c>
      <c r="K70" s="33"/>
      <c r="L70" s="33"/>
      <c r="M70" s="33">
        <v>4</v>
      </c>
      <c r="N70" s="33">
        <v>9</v>
      </c>
      <c r="O70" s="33" t="s">
        <v>88</v>
      </c>
      <c r="P70" s="34"/>
      <c r="Q70" s="40"/>
      <c r="R70" s="34"/>
      <c r="S70" s="33" t="s">
        <v>293</v>
      </c>
    </row>
    <row r="71" spans="2:19" x14ac:dyDescent="0.25">
      <c r="B71" s="14"/>
      <c r="C71" s="14"/>
      <c r="D71" s="14"/>
      <c r="E71" s="14"/>
      <c r="F71" s="14"/>
      <c r="G71" s="33" t="s">
        <v>336</v>
      </c>
      <c r="H71" s="33" t="s">
        <v>93</v>
      </c>
      <c r="I71" s="33" t="s">
        <v>88</v>
      </c>
      <c r="J71" s="33" t="s">
        <v>430</v>
      </c>
      <c r="K71" s="33" t="s">
        <v>581</v>
      </c>
      <c r="L71" s="33"/>
      <c r="M71" s="33">
        <v>4</v>
      </c>
      <c r="N71" s="33">
        <v>9</v>
      </c>
      <c r="O71" s="33" t="s">
        <v>88</v>
      </c>
      <c r="P71" s="34"/>
      <c r="Q71" s="40"/>
      <c r="R71" s="34"/>
      <c r="S71" s="33" t="s">
        <v>294</v>
      </c>
    </row>
    <row r="72" spans="2:19" x14ac:dyDescent="0.25">
      <c r="B72" s="14"/>
      <c r="C72" s="14"/>
      <c r="D72" s="14"/>
      <c r="E72" s="14"/>
      <c r="F72" s="14"/>
      <c r="G72" s="33" t="s">
        <v>337</v>
      </c>
      <c r="H72" s="33" t="s">
        <v>93</v>
      </c>
      <c r="I72" s="33" t="s">
        <v>88</v>
      </c>
      <c r="J72" s="33" t="s">
        <v>417</v>
      </c>
      <c r="K72" s="33" t="s">
        <v>582</v>
      </c>
      <c r="L72" s="33"/>
      <c r="M72" s="33">
        <v>4</v>
      </c>
      <c r="N72" s="33">
        <v>9</v>
      </c>
      <c r="O72" s="33" t="s">
        <v>88</v>
      </c>
      <c r="P72" s="34"/>
      <c r="Q72" s="40"/>
      <c r="R72" s="34"/>
      <c r="S72" s="33" t="s">
        <v>295</v>
      </c>
    </row>
    <row r="73" spans="2:19" x14ac:dyDescent="0.25">
      <c r="B73" s="14"/>
      <c r="C73" s="14"/>
      <c r="D73" s="14"/>
      <c r="E73" s="14"/>
      <c r="F73" s="14"/>
      <c r="G73" s="33" t="s">
        <v>338</v>
      </c>
      <c r="H73" s="33" t="s">
        <v>93</v>
      </c>
      <c r="I73" s="33" t="s">
        <v>88</v>
      </c>
      <c r="J73" s="33" t="s">
        <v>418</v>
      </c>
      <c r="K73" s="33" t="s">
        <v>583</v>
      </c>
      <c r="L73" s="33"/>
      <c r="M73" s="33">
        <v>4</v>
      </c>
      <c r="N73" s="33">
        <v>9</v>
      </c>
      <c r="O73" s="33" t="s">
        <v>88</v>
      </c>
      <c r="P73" s="34"/>
      <c r="Q73" s="40"/>
      <c r="R73" s="34"/>
      <c r="S73" s="33" t="s">
        <v>296</v>
      </c>
    </row>
    <row r="74" spans="2:19" x14ac:dyDescent="0.25">
      <c r="B74" s="14"/>
      <c r="C74" s="14"/>
      <c r="D74" s="14"/>
      <c r="E74" s="14"/>
      <c r="F74" s="14"/>
      <c r="G74" s="33" t="s">
        <v>339</v>
      </c>
      <c r="H74" s="33" t="s">
        <v>93</v>
      </c>
      <c r="I74" s="33" t="s">
        <v>88</v>
      </c>
      <c r="J74" s="33" t="s">
        <v>419</v>
      </c>
      <c r="K74" s="33" t="s">
        <v>584</v>
      </c>
      <c r="L74" s="33"/>
      <c r="M74" s="33">
        <v>4</v>
      </c>
      <c r="N74" s="33">
        <v>9</v>
      </c>
      <c r="O74" s="33" t="s">
        <v>88</v>
      </c>
      <c r="P74" s="34"/>
      <c r="Q74" s="40"/>
      <c r="R74" s="34"/>
      <c r="S74" s="33" t="s">
        <v>297</v>
      </c>
    </row>
    <row r="75" spans="2:19" x14ac:dyDescent="0.25">
      <c r="B75" s="14"/>
      <c r="C75" s="14"/>
      <c r="D75" s="14"/>
      <c r="E75" s="14"/>
      <c r="F75" s="14"/>
      <c r="G75" s="33" t="s">
        <v>340</v>
      </c>
      <c r="H75" s="33" t="s">
        <v>93</v>
      </c>
      <c r="I75" s="33" t="s">
        <v>88</v>
      </c>
      <c r="J75" s="33" t="s">
        <v>420</v>
      </c>
      <c r="K75" s="33" t="s">
        <v>585</v>
      </c>
      <c r="L75" s="33"/>
      <c r="M75" s="33">
        <v>4</v>
      </c>
      <c r="N75" s="33">
        <v>9</v>
      </c>
      <c r="O75" s="33" t="s">
        <v>88</v>
      </c>
      <c r="P75" s="34"/>
      <c r="Q75" s="40"/>
      <c r="R75" s="34"/>
      <c r="S75" s="33" t="s">
        <v>298</v>
      </c>
    </row>
    <row r="76" spans="2:19" x14ac:dyDescent="0.25">
      <c r="B76" s="14"/>
      <c r="C76" s="14"/>
      <c r="D76" s="14"/>
      <c r="E76" s="14"/>
      <c r="F76" s="14"/>
      <c r="G76" s="32" t="s">
        <v>575</v>
      </c>
      <c r="H76" s="32"/>
      <c r="I76" s="33"/>
      <c r="J76" s="32" t="s">
        <v>355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341</v>
      </c>
      <c r="H77" s="33" t="s">
        <v>141</v>
      </c>
      <c r="I77" s="33" t="s">
        <v>88</v>
      </c>
      <c r="J77" s="33" t="s">
        <v>421</v>
      </c>
      <c r="K77" s="33"/>
      <c r="L77" s="33"/>
      <c r="M77" s="33">
        <v>4</v>
      </c>
      <c r="N77" s="33">
        <v>10</v>
      </c>
      <c r="O77" s="33" t="s">
        <v>88</v>
      </c>
      <c r="P77" s="34"/>
      <c r="Q77" s="40"/>
      <c r="R77" s="34"/>
      <c r="S77" s="33" t="s">
        <v>299</v>
      </c>
    </row>
    <row r="78" spans="2:19" x14ac:dyDescent="0.25">
      <c r="B78" s="14"/>
      <c r="C78" s="14"/>
      <c r="D78" s="14"/>
      <c r="E78" s="14"/>
      <c r="F78" s="14"/>
      <c r="G78" s="33" t="s">
        <v>342</v>
      </c>
      <c r="H78" s="33" t="s">
        <v>91</v>
      </c>
      <c r="I78" s="33" t="s">
        <v>88</v>
      </c>
      <c r="J78" s="33" t="s">
        <v>422</v>
      </c>
      <c r="K78" s="33" t="s">
        <v>773</v>
      </c>
      <c r="L78" s="32" t="s">
        <v>186</v>
      </c>
      <c r="M78" s="33">
        <v>4</v>
      </c>
      <c r="N78" s="33">
        <v>21</v>
      </c>
      <c r="O78" s="33" t="s">
        <v>88</v>
      </c>
      <c r="P78" s="34"/>
      <c r="Q78" s="40"/>
      <c r="R78" s="34"/>
      <c r="S78" s="33" t="s">
        <v>300</v>
      </c>
    </row>
    <row r="79" spans="2:19" x14ac:dyDescent="0.25">
      <c r="B79" s="14"/>
      <c r="C79" s="14"/>
      <c r="D79" s="14"/>
      <c r="E79" s="14"/>
      <c r="F79" s="14"/>
      <c r="G79" s="33" t="s">
        <v>343</v>
      </c>
      <c r="H79" s="33" t="s">
        <v>141</v>
      </c>
      <c r="I79" s="33" t="s">
        <v>88</v>
      </c>
      <c r="J79" s="33" t="s">
        <v>423</v>
      </c>
      <c r="K79" s="33"/>
      <c r="L79" s="33"/>
      <c r="M79" s="33">
        <v>4</v>
      </c>
      <c r="N79" s="33">
        <v>10</v>
      </c>
      <c r="O79" s="33" t="s">
        <v>88</v>
      </c>
      <c r="P79" s="34"/>
      <c r="Q79" s="40"/>
      <c r="R79" s="34"/>
      <c r="S79" s="33" t="s">
        <v>301</v>
      </c>
    </row>
    <row r="80" spans="2:19" x14ac:dyDescent="0.25">
      <c r="B80" s="14"/>
      <c r="C80" s="14"/>
      <c r="D80" s="14"/>
      <c r="E80" s="14"/>
      <c r="F80" s="14"/>
      <c r="G80" s="32" t="s">
        <v>187</v>
      </c>
      <c r="H80" s="32"/>
      <c r="I80" s="33"/>
      <c r="J80" s="32" t="s">
        <v>356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344</v>
      </c>
      <c r="H81" s="33" t="s">
        <v>141</v>
      </c>
      <c r="I81" s="33" t="s">
        <v>88</v>
      </c>
      <c r="J81" s="33" t="s">
        <v>424</v>
      </c>
      <c r="K81" s="33"/>
      <c r="L81" s="33"/>
      <c r="M81" s="33">
        <v>4</v>
      </c>
      <c r="N81" s="33">
        <v>9</v>
      </c>
      <c r="O81" s="33" t="s">
        <v>88</v>
      </c>
      <c r="P81" s="34"/>
      <c r="Q81" s="40"/>
      <c r="R81" s="34"/>
      <c r="S81" s="33" t="s">
        <v>302</v>
      </c>
    </row>
    <row r="82" spans="2:19" x14ac:dyDescent="0.25">
      <c r="B82" s="14"/>
      <c r="C82" s="14"/>
      <c r="D82" s="14"/>
      <c r="E82" s="14"/>
      <c r="F82" s="14"/>
      <c r="G82" s="33" t="s">
        <v>345</v>
      </c>
      <c r="H82" s="33" t="s">
        <v>141</v>
      </c>
      <c r="I82" s="33" t="s">
        <v>88</v>
      </c>
      <c r="J82" s="33" t="s">
        <v>431</v>
      </c>
      <c r="K82" s="33"/>
      <c r="L82" s="33"/>
      <c r="M82" s="33">
        <v>4</v>
      </c>
      <c r="N82" s="33">
        <v>9</v>
      </c>
      <c r="O82" s="33" t="s">
        <v>88</v>
      </c>
      <c r="P82" s="34"/>
      <c r="Q82" s="40"/>
      <c r="R82" s="34"/>
      <c r="S82" s="33" t="s">
        <v>303</v>
      </c>
    </row>
    <row r="83" spans="2:19" x14ac:dyDescent="0.25">
      <c r="B83" s="14"/>
      <c r="C83" s="14"/>
      <c r="D83" s="14"/>
      <c r="E83" s="14"/>
      <c r="F83" s="14"/>
      <c r="G83" s="33" t="s">
        <v>346</v>
      </c>
      <c r="H83" s="33" t="s">
        <v>141</v>
      </c>
      <c r="I83" s="33" t="s">
        <v>88</v>
      </c>
      <c r="J83" s="33" t="s">
        <v>437</v>
      </c>
      <c r="K83" s="33"/>
      <c r="L83" s="33"/>
      <c r="M83" s="33">
        <v>4</v>
      </c>
      <c r="N83" s="33">
        <v>9</v>
      </c>
      <c r="O83" s="33" t="s">
        <v>88</v>
      </c>
      <c r="P83" s="34"/>
      <c r="Q83" s="40"/>
      <c r="R83" s="34"/>
      <c r="S83" s="33" t="s">
        <v>304</v>
      </c>
    </row>
    <row r="84" spans="2:19" x14ac:dyDescent="0.25">
      <c r="B84" s="14"/>
      <c r="C84" s="14"/>
      <c r="D84" s="14"/>
      <c r="E84" s="14"/>
      <c r="F84" s="14"/>
      <c r="G84" s="33" t="s">
        <v>347</v>
      </c>
      <c r="H84" s="33" t="s">
        <v>141</v>
      </c>
      <c r="I84" s="33" t="s">
        <v>88</v>
      </c>
      <c r="J84" s="33" t="s">
        <v>438</v>
      </c>
      <c r="K84" s="33"/>
      <c r="L84" s="33"/>
      <c r="M84" s="33">
        <v>4</v>
      </c>
      <c r="N84" s="33">
        <v>9</v>
      </c>
      <c r="O84" s="33" t="s">
        <v>88</v>
      </c>
      <c r="P84" s="34"/>
      <c r="Q84" s="40"/>
      <c r="R84" s="34"/>
      <c r="S84" s="33" t="s">
        <v>305</v>
      </c>
    </row>
    <row r="85" spans="2:19" x14ac:dyDescent="0.25">
      <c r="B85" s="14"/>
      <c r="C85" s="14"/>
      <c r="D85" s="14"/>
      <c r="E85" s="14"/>
      <c r="F85" s="14"/>
      <c r="G85" s="33" t="s">
        <v>348</v>
      </c>
      <c r="H85" s="33" t="s">
        <v>90</v>
      </c>
      <c r="I85" s="33" t="s">
        <v>88</v>
      </c>
      <c r="J85" s="33" t="s">
        <v>432</v>
      </c>
      <c r="K85" s="33" t="s">
        <v>587</v>
      </c>
      <c r="L85" s="33"/>
      <c r="M85" s="33">
        <v>4</v>
      </c>
      <c r="N85" s="33">
        <v>9</v>
      </c>
      <c r="O85" s="33" t="s">
        <v>88</v>
      </c>
      <c r="P85" s="34"/>
      <c r="Q85" s="40"/>
      <c r="R85" s="34"/>
      <c r="S85" s="33" t="s">
        <v>306</v>
      </c>
    </row>
    <row r="86" spans="2:19" x14ac:dyDescent="0.25">
      <c r="B86" s="14"/>
      <c r="C86" s="14"/>
      <c r="D86" s="14"/>
      <c r="E86" s="14"/>
      <c r="F86" s="14"/>
      <c r="G86" s="32" t="s">
        <v>187</v>
      </c>
      <c r="H86" s="32"/>
      <c r="I86" s="33"/>
      <c r="J86" s="32" t="s">
        <v>357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349</v>
      </c>
      <c r="H87" s="33" t="s">
        <v>141</v>
      </c>
      <c r="I87" s="33" t="s">
        <v>88</v>
      </c>
      <c r="J87" s="33" t="s">
        <v>425</v>
      </c>
      <c r="K87" s="33"/>
      <c r="L87" s="33"/>
      <c r="M87" s="33">
        <v>4</v>
      </c>
      <c r="N87" s="33">
        <v>9</v>
      </c>
      <c r="O87" s="33" t="s">
        <v>88</v>
      </c>
      <c r="P87" s="34"/>
      <c r="Q87" s="40"/>
      <c r="R87" s="34"/>
      <c r="S87" s="33" t="s">
        <v>307</v>
      </c>
    </row>
    <row r="88" spans="2:19" x14ac:dyDescent="0.25">
      <c r="B88" s="14"/>
      <c r="C88" s="14"/>
      <c r="D88" s="14"/>
      <c r="E88" s="14"/>
      <c r="F88" s="14"/>
      <c r="G88" s="33" t="s">
        <v>350</v>
      </c>
      <c r="H88" s="33" t="s">
        <v>141</v>
      </c>
      <c r="I88" s="33" t="s">
        <v>88</v>
      </c>
      <c r="J88" s="33" t="s">
        <v>433</v>
      </c>
      <c r="K88" s="33"/>
      <c r="L88" s="33"/>
      <c r="M88" s="33">
        <v>4</v>
      </c>
      <c r="N88" s="33">
        <v>9</v>
      </c>
      <c r="O88" s="33" t="s">
        <v>88</v>
      </c>
      <c r="P88" s="34"/>
      <c r="Q88" s="40"/>
      <c r="R88" s="34"/>
      <c r="S88" s="33" t="s">
        <v>308</v>
      </c>
    </row>
    <row r="89" spans="2:19" x14ac:dyDescent="0.25">
      <c r="B89" s="14"/>
      <c r="C89" s="14"/>
      <c r="D89" s="14"/>
      <c r="E89" s="14"/>
      <c r="F89" s="14"/>
      <c r="G89" s="33" t="s">
        <v>351</v>
      </c>
      <c r="H89" s="33" t="s">
        <v>141</v>
      </c>
      <c r="I89" s="33" t="s">
        <v>88</v>
      </c>
      <c r="J89" s="33" t="s">
        <v>434</v>
      </c>
      <c r="K89" s="33"/>
      <c r="L89" s="33"/>
      <c r="M89" s="33">
        <v>4</v>
      </c>
      <c r="N89" s="33">
        <v>9</v>
      </c>
      <c r="O89" s="33" t="s">
        <v>88</v>
      </c>
      <c r="P89" s="34"/>
      <c r="Q89" s="40"/>
      <c r="R89" s="34"/>
      <c r="S89" s="33" t="s">
        <v>309</v>
      </c>
    </row>
    <row r="90" spans="2:19" x14ac:dyDescent="0.25">
      <c r="B90" s="14"/>
      <c r="C90" s="14"/>
      <c r="D90" s="14"/>
      <c r="E90" s="14"/>
      <c r="F90" s="14"/>
      <c r="G90" s="33" t="s">
        <v>352</v>
      </c>
      <c r="H90" s="33" t="s">
        <v>141</v>
      </c>
      <c r="I90" s="33" t="s">
        <v>88</v>
      </c>
      <c r="J90" s="33" t="s">
        <v>435</v>
      </c>
      <c r="K90" s="33"/>
      <c r="L90" s="33"/>
      <c r="M90" s="33">
        <v>4</v>
      </c>
      <c r="N90" s="33">
        <v>9</v>
      </c>
      <c r="O90" s="33" t="s">
        <v>88</v>
      </c>
      <c r="P90" s="34"/>
      <c r="Q90" s="40"/>
      <c r="R90" s="34"/>
      <c r="S90" s="33" t="s">
        <v>310</v>
      </c>
    </row>
    <row r="91" spans="2:19" x14ac:dyDescent="0.25">
      <c r="B91" s="14"/>
      <c r="C91" s="14"/>
      <c r="D91" s="14"/>
      <c r="E91" s="14"/>
      <c r="F91" s="14"/>
      <c r="G91" s="33" t="s">
        <v>353</v>
      </c>
      <c r="H91" s="33" t="s">
        <v>90</v>
      </c>
      <c r="I91" s="33" t="s">
        <v>88</v>
      </c>
      <c r="J91" s="33" t="s">
        <v>436</v>
      </c>
      <c r="K91" s="33" t="s">
        <v>587</v>
      </c>
      <c r="L91" s="33"/>
      <c r="M91" s="33">
        <v>4</v>
      </c>
      <c r="N91" s="33">
        <v>9</v>
      </c>
      <c r="O91" s="33" t="s">
        <v>88</v>
      </c>
      <c r="P91" s="34"/>
      <c r="Q91" s="40"/>
      <c r="R91" s="34"/>
      <c r="S91" s="33" t="s">
        <v>311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106</v>
      </c>
      <c r="I1" s="9"/>
    </row>
    <row r="3" spans="2:17" x14ac:dyDescent="0.25">
      <c r="B3" t="s">
        <v>82</v>
      </c>
      <c r="C3" t="s">
        <v>104</v>
      </c>
      <c r="D3" t="s">
        <v>102</v>
      </c>
      <c r="E3" t="s">
        <v>128</v>
      </c>
      <c r="F3" t="s">
        <v>89</v>
      </c>
      <c r="G3" t="s">
        <v>92</v>
      </c>
      <c r="H3" t="s">
        <v>127</v>
      </c>
      <c r="I3" t="s">
        <v>83</v>
      </c>
      <c r="J3" t="s">
        <v>147</v>
      </c>
      <c r="K3" t="s">
        <v>146</v>
      </c>
      <c r="L3" t="s">
        <v>188</v>
      </c>
      <c r="M3" t="s">
        <v>84</v>
      </c>
      <c r="N3" t="s">
        <v>103</v>
      </c>
      <c r="O3" t="s">
        <v>108</v>
      </c>
      <c r="P3" t="s">
        <v>100</v>
      </c>
      <c r="Q3" t="s">
        <v>312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396</v>
      </c>
      <c r="G7" s="33" t="s">
        <v>93</v>
      </c>
      <c r="H7" s="33" t="s">
        <v>88</v>
      </c>
      <c r="I7" s="33" t="s">
        <v>496</v>
      </c>
      <c r="J7" s="33"/>
      <c r="K7" s="33"/>
      <c r="L7" s="33">
        <v>3</v>
      </c>
      <c r="M7" s="33" t="s">
        <v>88</v>
      </c>
      <c r="N7" s="34"/>
      <c r="O7" s="34"/>
      <c r="P7" s="34"/>
      <c r="Q7" s="33" t="s">
        <v>495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9</vt:i4>
      </vt:variant>
    </vt:vector>
  </HeadingPairs>
  <TitlesOfParts>
    <vt:vector size="19" baseType="lpstr">
      <vt:lpstr>Liste des reportings</vt:lpstr>
      <vt:lpstr>A - 2000.12</vt:lpstr>
      <vt:lpstr>A - 2000.06</vt:lpstr>
      <vt:lpstr>B - 2000.09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tReporting52428888___RF_Save</vt:lpstr>
      <vt:lpstr>tReportingNew2___RF_Save</vt:lpstr>
      <vt:lpstr>tReportingNew3___RF_Save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2021-03-19T06:53:17Z</dcterms:modified>
</cp:coreProperties>
</file>