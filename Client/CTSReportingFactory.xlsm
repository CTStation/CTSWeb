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1_{A9776065-0DB1-4B8B-9A21-54EB5B3446AA}" xr6:coauthVersionLast="46" xr6:coauthVersionMax="46" xr10:uidLastSave="{00000000-0000-0000-0000-000000000000}"/>
  <bookViews>
    <workbookView xWindow="-120" yWindow="-120" windowWidth="29040" windowHeight="17640" tabRatio="723" activeTab="6" xr2:uid="{00000000-000D-0000-FFFF-FFFF00000000}"/>
  </bookViews>
  <sheets>
    <sheet name="Liste des reportings" sheetId="6" r:id="rId1"/>
    <sheet name="A - 2000.03" sheetId="16" r:id="rId2"/>
    <sheet name="CACHE" sheetId="10" r:id="rId3"/>
    <sheet name="Planning" sheetId="4" r:id="rId4"/>
    <sheet name="History" sheetId="7" r:id="rId5"/>
    <sheet name="I18N" sheetId="2" r:id="rId6"/>
    <sheet name="JSON" sheetId="8" r:id="rId7"/>
    <sheet name="JSON (2)" sheetId="13" r:id="rId8"/>
  </sheets>
  <functionGroups builtInGroupCount="19"/>
  <definedNames>
    <definedName name="_xlnm._FilterDatabase" localSheetId="0" hidden="1">'Liste des reportings'!$C$10:$E$14</definedName>
    <definedName name="_xlnm._FilterDatabase" localSheetId="3" hidden="1">Planning!$F$3:$M$76</definedName>
    <definedName name="cell_JSON_Param" localSheetId="7">'JSON (2)'!$I$1</definedName>
    <definedName name="cell_JSON_Param">JSON!$J$1</definedName>
    <definedName name="cellLanguage">I18N!$J$1</definedName>
    <definedName name="JSON_MetadataQuery">JSON!$R$1</definedName>
    <definedName name="tReporting52428894___RF_Save">'A - 2000.03'!$B$2</definedName>
    <definedName name="tReportings____ROWS_">'Liste des reportings'!$H$15:$I$47</definedName>
    <definedName name="tReportings___RF_Refresh">'Liste des reportings'!$D$10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6" l="1"/>
  <c r="C3" i="16"/>
  <c r="F162" i="13"/>
  <c r="F159" i="13"/>
  <c r="F160" i="13"/>
  <c r="F158" i="13"/>
  <c r="L76" i="4"/>
  <c r="K76" i="4"/>
  <c r="CF4" i="16"/>
  <c r="CE4" i="16"/>
  <c r="CD4" i="16"/>
  <c r="CC4" i="16"/>
  <c r="CB4" i="16"/>
  <c r="CA4" i="16"/>
  <c r="BZ4" i="16"/>
  <c r="BY4" i="16"/>
  <c r="BX4" i="16"/>
  <c r="BW4" i="16"/>
  <c r="BV4" i="16"/>
  <c r="BU4" i="16"/>
  <c r="BT4" i="16"/>
  <c r="BS4" i="16"/>
  <c r="BR4" i="16"/>
  <c r="BQ4" i="16"/>
  <c r="BP4" i="16"/>
  <c r="BO4" i="16"/>
  <c r="BN4" i="16"/>
  <c r="BM4" i="16"/>
  <c r="BL4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C4" i="16"/>
  <c r="B4" i="16"/>
  <c r="B2" i="16"/>
  <c r="I4" i="6" a="1"/>
  <c r="I47" i="6"/>
  <c r="I43" i="6"/>
  <c r="I39" i="6"/>
  <c r="I35" i="6"/>
  <c r="I31" i="6"/>
  <c r="I27" i="6"/>
  <c r="I23" i="6"/>
  <c r="I19" i="6"/>
  <c r="H23" i="6"/>
  <c r="I46" i="6"/>
  <c r="I38" i="6"/>
  <c r="I30" i="6"/>
  <c r="I22" i="6"/>
  <c r="H46" i="6"/>
  <c r="H38" i="6"/>
  <c r="H30" i="6"/>
  <c r="H22" i="6"/>
  <c r="H47" i="6"/>
  <c r="H43" i="6"/>
  <c r="H39" i="6"/>
  <c r="H35" i="6"/>
  <c r="H31" i="6"/>
  <c r="H27" i="6"/>
  <c r="H19" i="6"/>
  <c r="I42" i="6"/>
  <c r="I34" i="6"/>
  <c r="I26" i="6"/>
  <c r="I18" i="6"/>
  <c r="H42" i="6"/>
  <c r="H34" i="6"/>
  <c r="H26" i="6"/>
  <c r="H18" i="6"/>
  <c r="I45" i="6"/>
  <c r="I41" i="6"/>
  <c r="I37" i="6"/>
  <c r="I33" i="6"/>
  <c r="I29" i="6"/>
  <c r="I25" i="6"/>
  <c r="I21" i="6"/>
  <c r="I17" i="6"/>
  <c r="I44" i="6"/>
  <c r="I36" i="6"/>
  <c r="I28" i="6"/>
  <c r="I20" i="6"/>
  <c r="H40" i="6"/>
  <c r="H32" i="6"/>
  <c r="H24" i="6"/>
  <c r="H16" i="6"/>
  <c r="H45" i="6"/>
  <c r="H41" i="6"/>
  <c r="H37" i="6"/>
  <c r="H33" i="6"/>
  <c r="H29" i="6"/>
  <c r="H25" i="6"/>
  <c r="H21" i="6"/>
  <c r="H17" i="6"/>
  <c r="I40" i="6"/>
  <c r="I32" i="6"/>
  <c r="I24" i="6"/>
  <c r="I16" i="6"/>
  <c r="H44" i="6"/>
  <c r="H36" i="6"/>
  <c r="H28" i="6"/>
  <c r="H20" i="6"/>
  <c r="I15" i="6"/>
  <c r="H15" i="6"/>
  <c r="F12" i="6"/>
  <c r="E12" i="6"/>
  <c r="D12" i="6"/>
  <c r="C12" i="6"/>
  <c r="D10" i="6"/>
  <c r="I4" i="6" l="1"/>
  <c r="M76" i="4"/>
  <c r="J76" i="4"/>
  <c r="I76" i="4" l="1"/>
  <c r="H76" i="4"/>
  <c r="F76" i="4" l="1"/>
  <c r="G76" i="4"/>
  <c r="D76" i="4"/>
  <c r="C76" i="4"/>
  <c r="B76" i="4" l="1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<sst xmlns="http://schemas.openxmlformats.org/spreadsheetml/2006/main" count="20891" uniqueCount="18229">
  <si>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</si>
  <si>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</si>
  <si>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</si>
  <si>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</si>
  <si>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</si>
  <si>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</si>
  <si>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</si>
  <si>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</si>
  <si>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</si>
  <si>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</si>
  <si>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</si>
  <si>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</si>
  <si>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</si>
  <si>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</si>
  <si>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</si>
  <si>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</si>
  <si>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</si>
  <si>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</si>
  <si>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</si>
  <si>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</si>
  <si>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</si>
  <si>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</si>
  <si>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B</t>
  </si>
  <si>
    <t>Category version</t>
  </si>
  <si>
    <t>Folders</t>
  </si>
  <si>
    <t>Set of controls</t>
  </si>
  <si>
    <t>Restrictions</t>
  </si>
  <si>
    <t>Operation</t>
  </si>
  <si>
    <t>List of entities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</si>
  <si>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</si>
  <si>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</si>
  <si>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</si>
  <si>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</si>
  <si>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</si>
  <si>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</si>
  <si>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</si>
  <si>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</si>
  <si>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</si>
  <si>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</si>
  <si>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</si>
  <si>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</si>
  <si>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</si>
  <si>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</si>
  <si>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</si>
  <si>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</si>
  <si>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</si>
  <si>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</si>
  <si>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</si>
  <si>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</si>
  <si>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</si>
  <si>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</si>
  <si>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</si>
  <si>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</si>
  <si>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</si>
  <si>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</si>
  <si>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</si>
  <si>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</si>
  <si>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</si>
  <si>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</si>
  <si>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</si>
  <si>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</si>
  <si>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</si>
  <si>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</si>
  <si>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</si>
  <si>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</si>
  <si>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</si>
  <si>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</si>
  <si>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</si>
  <si>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</si>
  <si>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</si>
  <si>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</si>
  <si>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</si>
  <si>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</si>
  <si>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</si>
  <si>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</si>
  <si>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</si>
  <si>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</si>
  <si>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</si>
  <si>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</si>
  <si>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</si>
  <si>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</si>
  <si>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</si>
  <si>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</si>
  <si>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</si>
  <si>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</si>
  <si>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</si>
  <si>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</si>
  <si>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</si>
  <si>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</si>
  <si>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</si>
  <si>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</si>
  <si>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</si>
  <si>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</si>
  <si>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</si>
  <si>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</si>
  <si>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</si>
  <si>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</si>
  <si>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</si>
  <si>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</si>
  <si>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</si>
  <si>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</si>
  <si>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</si>
  <si>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</si>
  <si>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</si>
  <si>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</si>
  <si>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</si>
  <si>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</si>
  <si>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</si>
  <si>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</si>
  <si>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</si>
  <si>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</si>
  <si>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</si>
  <si>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</si>
  <si>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</si>
  <si>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</si>
  <si>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</si>
  <si>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</si>
  <si>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</si>
  <si>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</si>
  <si>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</si>
  <si>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</si>
  <si>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</si>
  <si>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</si>
  <si>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</si>
  <si>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</si>
  <si>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</si>
  <si>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</si>
  <si>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</si>
  <si>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</si>
  <si>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</si>
  <si>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</si>
  <si>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</si>
  <si>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</si>
  <si>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</si>
  <si>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</si>
  <si>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</si>
  <si>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</si>
  <si>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</si>
  <si>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</si>
  <si>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</si>
  <si>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</si>
  <si>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</si>
  <si>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</si>
  <si>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</si>
  <si>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</si>
  <si>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</si>
  <si>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</si>
  <si>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</si>
  <si>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</si>
  <si>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</si>
  <si>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</si>
  <si>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</si>
  <si>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</si>
  <si>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</si>
  <si>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</si>
  <si>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</si>
  <si>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</si>
  <si>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</si>
  <si>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</si>
  <si>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</si>
  <si>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</si>
  <si>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</si>
  <si>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</si>
  <si>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</si>
  <si>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</si>
  <si>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</si>
  <si>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</si>
  <si>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</si>
  <si>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</si>
  <si>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</si>
  <si>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</si>
  <si>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</si>
  <si>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</si>
  <si>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</si>
  <si>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</si>
  <si>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</si>
  <si>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</si>
  <si>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</si>
  <si>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</si>
  <si>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</si>
  <si>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</si>
  <si>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</si>
  <si>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</si>
  <si>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</si>
  <si>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</si>
  <si>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</si>
  <si>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</si>
  <si>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</si>
  <si>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</si>
  <si>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</si>
  <si>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</si>
  <si>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</si>
  <si>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</si>
  <si>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</si>
  <si>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</si>
  <si>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</si>
  <si>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</si>
  <si>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</si>
  <si>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</si>
  <si>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</si>
  <si>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</si>
  <si>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</si>
  <si>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</si>
  <si>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</si>
  <si>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</si>
  <si>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</si>
  <si>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</si>
  <si>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</si>
  <si>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</si>
  <si>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</si>
  <si>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</si>
  <si>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</si>
  <si>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</si>
  <si>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</si>
  <si>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</si>
  <si>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</si>
  <si>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</si>
  <si>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</si>
  <si>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</si>
  <si>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</si>
  <si>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</si>
  <si>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</si>
  <si>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</si>
  <si>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</si>
  <si>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</si>
  <si>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</si>
  <si>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</si>
  <si>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</si>
  <si>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</si>
  <si>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</si>
  <si>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</si>
  <si>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</si>
  <si>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</si>
  <si>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</si>
  <si>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</si>
  <si>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</si>
  <si>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</si>
  <si>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</si>
  <si>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</si>
  <si>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</si>
  <si>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</si>
  <si>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</si>
  <si>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</si>
  <si>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</si>
  <si>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</si>
  <si>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</si>
  <si>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</si>
  <si>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</si>
  <si>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</si>
  <si>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</si>
  <si>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</si>
  <si>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</si>
  <si>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</si>
  <si>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</si>
  <si>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</si>
  <si>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</si>
  <si>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</si>
  <si>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</si>
  <si>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</si>
  <si>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</si>
  <si>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</si>
  <si>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</si>
  <si>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</si>
  <si>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</si>
  <si>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</si>
  <si>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</si>
  <si>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</si>
  <si>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</si>
  <si>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</si>
  <si>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</si>
  <si>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</si>
  <si>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</si>
  <si>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</si>
  <si>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</si>
  <si>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</si>
  <si>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</si>
  <si>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</si>
  <si>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</si>
  <si>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</si>
  <si>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</si>
  <si>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</si>
  <si>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</si>
  <si>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</si>
  <si>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</si>
  <si>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</si>
  <si>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</si>
  <si>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</si>
  <si>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</si>
  <si>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</si>
  <si>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</si>
  <si>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</si>
  <si>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</si>
  <si>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</si>
  <si>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</si>
  <si>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</si>
  <si>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</si>
  <si>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</si>
  <si>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</si>
  <si>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</si>
  <si>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</si>
  <si>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</si>
  <si>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</si>
  <si>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</si>
  <si>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</si>
  <si>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</si>
  <si>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</si>
  <si>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</si>
  <si>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</si>
  <si>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</si>
  <si>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</si>
  <si>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</si>
  <si>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</si>
  <si>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</si>
  <si>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</si>
  <si>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</si>
  <si>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</si>
  <si>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</si>
  <si>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</si>
  <si>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</si>
  <si>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</si>
  <si>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</si>
  <si>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</si>
  <si>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</si>
  <si>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</si>
  <si>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</si>
  <si>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</si>
  <si>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</si>
  <si>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</si>
  <si>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</si>
  <si>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</si>
  <si>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</si>
  <si>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</si>
  <si>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</si>
  <si>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</si>
  <si>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</si>
  <si>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</si>
  <si>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</si>
  <si>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</si>
  <si>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</si>
  <si>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</si>
  <si>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</si>
  <si>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</si>
  <si>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</si>
  <si>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</si>
  <si>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</si>
  <si>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</si>
  <si>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</si>
  <si>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</si>
  <si>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</si>
  <si>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</si>
  <si>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</si>
  <si>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</si>
  <si>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</si>
  <si>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</si>
  <si>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</si>
  <si>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</si>
  <si>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</si>
  <si>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</si>
  <si>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</si>
  <si>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</si>
  <si>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</si>
  <si>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</si>
  <si>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</si>
  <si>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</si>
  <si>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</si>
  <si>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</si>
  <si>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</si>
  <si>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</si>
  <si>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</si>
  <si>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</si>
  <si>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</si>
  <si>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</si>
  <si>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</si>
  <si>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</si>
  <si>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</si>
  <si>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</si>
  <si>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</si>
  <si>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</si>
  <si>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</si>
  <si>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</si>
  <si>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</si>
  <si>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</si>
  <si>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</si>
  <si>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</si>
  <si>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</si>
  <si>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</si>
  <si>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</si>
  <si>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</si>
  <si>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</si>
  <si>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</si>
  <si>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</si>
  <si>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</si>
  <si>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</si>
  <si>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</si>
  <si>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</si>
  <si>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</si>
  <si>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</si>
  <si>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</si>
  <si>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</si>
  <si>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</si>
  <si>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</si>
  <si>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</si>
  <si>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</si>
  <si>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</si>
  <si>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</si>
  <si>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</si>
  <si>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</si>
  <si>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</si>
  <si>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</si>
  <si>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</si>
  <si>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</si>
  <si>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</si>
  <si>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</si>
  <si>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</si>
  <si>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</si>
  <si>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</si>
  <si>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</si>
  <si>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</si>
  <si>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</si>
  <si>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</si>
  <si>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</si>
  <si>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</si>
  <si>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</si>
  <si>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</si>
  <si>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</si>
  <si>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</si>
  <si>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</si>
  <si>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</si>
  <si>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</si>
  <si>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</si>
  <si>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</si>
  <si>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</si>
  <si>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</si>
  <si>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</si>
  <si>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</si>
  <si>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</si>
  <si>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</si>
  <si>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</si>
  <si>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</si>
  <si>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</si>
  <si>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</si>
  <si>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</si>
  <si>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</si>
  <si>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</si>
  <si>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</si>
  <si>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</si>
  <si>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</si>
  <si>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</si>
  <si>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</si>
  <si>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</si>
  <si>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</si>
  <si>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</si>
  <si>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</si>
  <si>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</si>
  <si>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</si>
  <si>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</si>
  <si>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</si>
  <si>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</si>
  <si>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</si>
  <si>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</si>
  <si>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</si>
  <si>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</si>
  <si>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</si>
  <si>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</si>
  <si>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</si>
  <si>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</si>
  <si>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</si>
  <si>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</si>
  <si>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</si>
  <si>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</si>
  <si>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</si>
  <si>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</si>
  <si>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</si>
  <si>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</si>
  <si>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</si>
  <si>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</si>
  <si>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</si>
  <si>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</si>
  <si>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</si>
  <si>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</si>
  <si>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</si>
  <si>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</si>
  <si>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</si>
  <si>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</si>
  <si>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</si>
  <si>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</si>
  <si>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</si>
  <si>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</si>
  <si>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</si>
  <si>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</si>
  <si>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</si>
  <si>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</si>
  <si>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</si>
  <si>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</si>
  <si>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</si>
  <si>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</si>
  <si>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</si>
  <si>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Serveur: Nettoyer le Save</t>
  </si>
  <si>
    <t>Serveur: A nouveaux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</si>
  <si>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</si>
  <si>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</si>
  <si>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</si>
  <si>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</si>
  <si>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</si>
  <si>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</si>
  <si>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</si>
  <si>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</si>
  <si>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</si>
  <si>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</si>
  <si>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</si>
  <si>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</si>
  <si>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</si>
  <si>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</si>
  <si>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</si>
  <si>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</si>
  <si>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</si>
  <si>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</si>
  <si>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</si>
  <si>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</si>
  <si>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</si>
  <si>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</si>
  <si>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</si>
  <si>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</si>
  <si>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</si>
  <si>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</si>
  <si>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</si>
  <si>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</si>
  <si>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</si>
  <si>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</si>
  <si>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</si>
  <si>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</si>
  <si>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</si>
  <si>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</si>
  <si>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</si>
  <si>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</si>
  <si>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</si>
  <si>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</si>
  <si>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</si>
  <si>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</si>
  <si>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</si>
  <si>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</si>
  <si>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</si>
  <si>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</si>
  <si>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</si>
  <si>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</si>
  <si>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</si>
  <si>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</si>
  <si>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</si>
  <si>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</si>
  <si>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</si>
  <si>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</si>
  <si>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</si>
  <si>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</si>
  <si>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</si>
  <si>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</si>
  <si>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</si>
  <si>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</si>
  <si>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</si>
  <si>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</si>
  <si>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</si>
  <si>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</si>
  <si>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</si>
  <si>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</si>
  <si>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</si>
  <si>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</si>
  <si>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</si>
  <si>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</si>
  <si>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</si>
  <si>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</si>
  <si>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</si>
  <si>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</si>
  <si>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</si>
  <si>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</si>
  <si>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</si>
  <si>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</si>
  <si>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</si>
  <si>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Commande Add entities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</si>
  <si>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</si>
  <si>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</si>
  <si>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</si>
  <si>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</si>
  <si>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</si>
  <si>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</si>
  <si>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</si>
  <si>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</si>
  <si>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MDPicker: ajouter les libellés</t>
  </si>
  <si>
    <t>/api/metadata/{ID}</t>
  </si>
  <si>
    <t>UpdPer</t>
  </si>
  <si>
    <t>In</t>
  </si>
  <si>
    <t>2000.12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</si>
  <si>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</si>
  <si>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</si>
  <si>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</si>
  <si>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</si>
  <si>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</si>
  <si>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</si>
  <si>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</si>
  <si>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</si>
  <si>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</si>
  <si>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</si>
  <si>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</si>
  <si>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</si>
  <si>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</si>
  <si>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</si>
  <si>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</si>
  <si>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</si>
  <si>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</si>
  <si>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</si>
  <si>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</si>
  <si>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</si>
  <si>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</si>
  <si>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</si>
  <si>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</si>
  <si>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</si>
  <si>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</si>
  <si>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</si>
  <si>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</si>
  <si>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</si>
  <si>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</si>
  <si>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</si>
  <si>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</si>
  <si>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</si>
  <si>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</si>
  <si>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</si>
  <si>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</si>
  <si>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</si>
  <si>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</si>
  <si>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</si>
  <si>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</si>
  <si>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</si>
  <si>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</si>
  <si>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</si>
  <si>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</si>
  <si>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</si>
  <si>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</si>
  <si>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</si>
  <si>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</si>
  <si>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</si>
  <si>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</si>
  <si>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</si>
  <si>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</si>
  <si>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</si>
  <si>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</si>
  <si>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</si>
  <si>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</si>
  <si>
    <t>RF_Refreshing</t>
  </si>
  <si>
    <t>Change metadat when language changes</t>
  </si>
  <si>
    <t>RF_Modifying</t>
  </si>
  <si>
    <t>Opening reporting…</t>
  </si>
  <si>
    <t>Ouverture du reporting…</t>
  </si>
  <si>
    <t>RF_Duplicating</t>
  </si>
  <si>
    <t>Duplicating…</t>
  </si>
  <si>
    <t>Duplication du reporting…</t>
  </si>
  <si>
    <t>RF_Saving</t>
  </si>
  <si>
    <t>Saving reporting…</t>
  </si>
  <si>
    <t>Enregistrement du reporting…</t>
  </si>
  <si>
    <t>Listing reportings…</t>
  </si>
  <si>
    <t>Lecture des reportings…</t>
  </si>
  <si>
    <t>3/16/2021  6:09:38 PM</t>
  </si>
  <si>
    <t>2000.09</t>
  </si>
  <si>
    <t>Changer la langue de travail dans les headers</t>
  </si>
  <si>
    <t>Nice to have</t>
  </si>
  <si>
    <t>Afficher la barre de formule suivant la feuille</t>
  </si>
  <si>
    <t>Vider le cache à chaque connexion</t>
  </si>
  <si>
    <t>Confirmation avant sauvegarde</t>
  </si>
  <si>
    <t>RepDate_1</t>
  </si>
  <si>
    <t>RepDate_2</t>
  </si>
  <si>
    <t>RepDate_3</t>
  </si>
  <si>
    <t>2000.06</t>
  </si>
  <si>
    <t>Fichier de config pour les tests unitaires</t>
  </si>
  <si>
    <t>Sortir le reporting 71 de tests</t>
  </si>
  <si>
    <t>Mettre les unités en 1er</t>
  </si>
  <si>
    <t>Tri dans l'autre sens: phase asc ex desc</t>
  </si>
  <si>
    <t>Recherche dans les reportings</t>
  </si>
  <si>
    <t>Checkbox pour les boolean</t>
  </si>
  <si>
    <t>Entity name</t>
  </si>
  <si>
    <t>Code entité</t>
  </si>
  <si>
    <t>Mettre une string dans le test du recipient</t>
  </si>
  <si>
    <t>2000.03</t>
  </si>
  <si>
    <t>3/18/2021  3:24:09 PM</t>
  </si>
  <si>
    <t>3/16/2021  6:44:58 PM</t>
  </si>
  <si>
    <t>3/19/2021  12:28:23 PM</t>
  </si>
  <si>
    <t>PublishedFramework_3</t>
  </si>
  <si>
    <t>PublishedFramework_4</t>
  </si>
  <si>
    <t>"d"</t>
  </si>
  <si>
    <t>"e"</t>
  </si>
  <si>
    <t>"f"</t>
  </si>
  <si>
    <t>"g"</t>
  </si>
  <si>
    <t>"h"</t>
  </si>
  <si>
    <t>"i"</t>
  </si>
  <si>
    <t>"j"</t>
  </si>
  <si>
    <t>"k"</t>
  </si>
  <si>
    <t>"l"</t>
  </si>
  <si>
    <t>"m"</t>
  </si>
  <si>
    <t>"n"</t>
  </si>
  <si>
    <t>"o"</t>
  </si>
  <si>
    <t>"p"</t>
  </si>
  <si>
    <t>"q"</t>
  </si>
  <si>
    <t>"r"</t>
  </si>
  <si>
    <t>"s"</t>
  </si>
  <si>
    <t>"t"</t>
  </si>
  <si>
    <t>"u"</t>
  </si>
  <si>
    <t>"v"</t>
  </si>
  <si>
    <t>"w"</t>
  </si>
  <si>
    <t>"x"</t>
  </si>
  <si>
    <t>"y"</t>
  </si>
  <si>
    <t>"z"</t>
  </si>
  <si>
    <t>"{"</t>
  </si>
  <si>
    <t>"|"</t>
  </si>
  <si>
    <t>"}"</t>
  </si>
  <si>
    <t>"~"</t>
  </si>
  <si>
    <t>""</t>
  </si>
  <si>
    <t>""</t>
  </si>
  <si>
    <t>""</t>
  </si>
  <si>
    <t>""</t>
  </si>
  <si>
    <t>""</t>
  </si>
  <si>
    <t>""</t>
  </si>
  <si>
    <t>""</t>
  </si>
  <si>
    <t>""</t>
  </si>
  <si>
    <t>""</t>
  </si>
  <si>
    <t>""</t>
  </si>
  <si>
    <t>""</t>
  </si>
  <si>
    <t>""</t>
  </si>
  <si>
    <t>""</t>
  </si>
  <si>
    <t>""</t>
  </si>
  <si>
    <t>""</t>
  </si>
  <si>
    <t>""</t>
  </si>
  <si>
    <t>""</t>
  </si>
  <si>
    <t>""</t>
  </si>
  <si>
    <t>""</t>
  </si>
  <si>
    <t>""</t>
  </si>
  <si>
    <t>""</t>
  </si>
  <si>
    <t>""</t>
  </si>
  <si>
    <t>""</t>
  </si>
  <si>
    <t>""</t>
  </si>
  <si>
    <t>""</t>
  </si>
  <si>
    <t>""</t>
  </si>
  <si>
    <t>""</t>
  </si>
  <si>
    <t>""</t>
  </si>
  <si>
    <t>""</t>
  </si>
  <si>
    <t>""</t>
  </si>
  <si>
    <t>""</t>
  </si>
  <si>
    <t>""</t>
  </si>
  <si>
    <t>""</t>
  </si>
  <si>
    <t>" "</t>
  </si>
  <si>
    <t>"¡"</t>
  </si>
  <si>
    <t>"¢"</t>
  </si>
  <si>
    <t>"£"</t>
  </si>
  <si>
    <t>"¤"</t>
  </si>
  <si>
    <t>"¥"</t>
  </si>
  <si>
    <t>"¦"</t>
  </si>
  <si>
    <t>"§"</t>
  </si>
  <si>
    <t>"¨"</t>
  </si>
  <si>
    <t>"©"</t>
  </si>
  <si>
    <t>"ª"</t>
  </si>
  <si>
    <t>"«"</t>
  </si>
  <si>
    <t>"¬"</t>
  </si>
  <si>
    <t>"­"</t>
  </si>
  <si>
    <t>"®"</t>
  </si>
  <si>
    <t>"¯"</t>
  </si>
  <si>
    <t>"°"</t>
  </si>
  <si>
    <t>"±"</t>
  </si>
  <si>
    <t>"²"</t>
  </si>
  <si>
    <t>"³"</t>
  </si>
  <si>
    <t>"´"</t>
  </si>
  <si>
    <t>"µ"</t>
  </si>
  <si>
    <t>"¶"</t>
  </si>
  <si>
    <t>"·"</t>
  </si>
  <si>
    <t>"¸"</t>
  </si>
  <si>
    <t>"¹"</t>
  </si>
  <si>
    <t>"º"</t>
  </si>
  <si>
    <t>"»"</t>
  </si>
  <si>
    <t>"¼"</t>
  </si>
  <si>
    <t>"½"</t>
  </si>
  <si>
    <t>"¾"</t>
  </si>
  <si>
    <t>"¿"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</si>
  <si>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</si>
  <si>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</si>
  <si>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</si>
  <si>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</si>
  <si>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</si>
  <si>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</si>
  <si>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</si>
  <si>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</si>
  <si>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</si>
  <si>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</si>
  <si>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</si>
  <si>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</si>
  <si>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</si>
  <si>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</si>
  <si>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</si>
  <si>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</si>
  <si>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</si>
  <si>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</si>
  <si>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</si>
  <si>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</si>
  <si>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</si>
  <si>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</si>
  <si>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</si>
  <si>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"×"</t>
  </si>
  <si>
    <t>"Ø"</t>
  </si>
  <si>
    <t>"Ù"</t>
  </si>
  <si>
    <t>"Ú"</t>
  </si>
  <si>
    <t>"Û"</t>
  </si>
  <si>
    <t>"Ü"</t>
  </si>
  <si>
    <t>"Ý"</t>
  </si>
  <si>
    <t>"Þ"</t>
  </si>
  <si>
    <t>"ß"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</si>
  <si>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</si>
  <si>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</si>
  <si>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</si>
  <si>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</si>
  <si>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</si>
  <si>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</si>
  <si>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</si>
  <si>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</si>
  <si>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</si>
  <si>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</si>
  <si>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</si>
  <si>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</si>
  <si>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</si>
  <si>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</si>
  <si>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</si>
  <si>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</si>
  <si>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</si>
  <si>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</si>
  <si>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</si>
  <si>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</si>
  <si>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</si>
  <si>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</si>
  <si>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</si>
  <si>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"÷"</t>
  </si>
  <si>
    <t>"ø"</t>
  </si>
  <si>
    <t>"ù"</t>
  </si>
  <si>
    <t>"ú"</t>
  </si>
  <si>
    <t>"û"</t>
  </si>
  <si>
    <t>"ü"</t>
  </si>
  <si>
    <t>"ý"</t>
  </si>
  <si>
    <t>"þ"</t>
  </si>
  <si>
    <t>"ÿ"</t>
  </si>
  <si>
    <t>"Ā"</t>
  </si>
  <si>
    <t>"ā"</t>
  </si>
  <si>
    <t>"Ă"</t>
  </si>
  <si>
    <t>"ă"</t>
  </si>
  <si>
    <t>"Ą"</t>
  </si>
  <si>
    <t>"ą"</t>
  </si>
  <si>
    <t>"Ć"</t>
  </si>
  <si>
    <t>"ć"</t>
  </si>
  <si>
    <t>"Ĉ"</t>
  </si>
  <si>
    <t>"ĉ"</t>
  </si>
  <si>
    <t>"Ċ"</t>
  </si>
  <si>
    <t>"ċ"</t>
  </si>
  <si>
    <t>"Č"</t>
  </si>
  <si>
    <t>"č"</t>
  </si>
  <si>
    <t>"Ď"</t>
  </si>
  <si>
    <t>"ď"</t>
  </si>
  <si>
    <t>"Đ"</t>
  </si>
  <si>
    <t>"đ"</t>
  </si>
  <si>
    <t>"Ē"</t>
  </si>
  <si>
    <t>"ē"</t>
  </si>
  <si>
    <t>"Ĕ"</t>
  </si>
  <si>
    <t>"ĕ"</t>
  </si>
  <si>
    <t>"Ė"</t>
  </si>
  <si>
    <t>"ė"</t>
  </si>
  <si>
    <t>"Ę"</t>
  </si>
  <si>
    <t>"ę"</t>
  </si>
  <si>
    <t>"Ě"</t>
  </si>
  <si>
    <t>"ě"</t>
  </si>
  <si>
    <t>"Ĝ"</t>
  </si>
  <si>
    <t>"ĝ"</t>
  </si>
  <si>
    <t>"Ğ"</t>
  </si>
  <si>
    <t>"ğ"</t>
  </si>
  <si>
    <t>"Ġ"</t>
  </si>
  <si>
    <t>"ġ"</t>
  </si>
  <si>
    <t>"Ģ"</t>
  </si>
  <si>
    <t>"ģ"</t>
  </si>
  <si>
    <t>"Ĥ"</t>
  </si>
  <si>
    <t>"ĥ"</t>
  </si>
  <si>
    <t>"Ħ"</t>
  </si>
  <si>
    <t>"ħ"</t>
  </si>
  <si>
    <t>"Ĩ"</t>
  </si>
  <si>
    <t>"ĩ"</t>
  </si>
  <si>
    <t>"Ī"</t>
  </si>
  <si>
    <t>"ī"</t>
  </si>
  <si>
    <t>"Ĭ"</t>
  </si>
  <si>
    <t>"ĭ"</t>
  </si>
  <si>
    <t>"Į"</t>
  </si>
  <si>
    <t>"į"</t>
  </si>
  <si>
    <t>"İ"</t>
  </si>
  <si>
    <t>"ı"</t>
  </si>
  <si>
    <t>"Ĳ"</t>
  </si>
  <si>
    <t>"ĳ"</t>
  </si>
  <si>
    <t>"Ĵ"</t>
  </si>
  <si>
    <t>"ĵ"</t>
  </si>
  <si>
    <t>"Ķ"</t>
  </si>
  <si>
    <t>"ķ"</t>
  </si>
  <si>
    <t>"ĸ"</t>
  </si>
  <si>
    <t>"Ĺ"</t>
  </si>
  <si>
    <t>"ĺ"</t>
  </si>
  <si>
    <t>"Ļ"</t>
  </si>
  <si>
    <t>"ļ"</t>
  </si>
  <si>
    <t>"Ľ"</t>
  </si>
  <si>
    <t>"ľ"</t>
  </si>
  <si>
    <t>"Ŀ"</t>
  </si>
  <si>
    <t>"ŀ"</t>
  </si>
  <si>
    <t>"Ł"</t>
  </si>
  <si>
    <t>"ł"</t>
  </si>
  <si>
    <t>"Ń"</t>
  </si>
  <si>
    <t>"ń"</t>
  </si>
  <si>
    <t>"Ņ"</t>
  </si>
  <si>
    <t>"ņ"</t>
  </si>
  <si>
    <t>"Ň"</t>
  </si>
  <si>
    <t>"ň"</t>
  </si>
  <si>
    <t>"ŉ"</t>
  </si>
  <si>
    <t>"Ŋ"</t>
  </si>
  <si>
    <t>"ŋ"</t>
  </si>
  <si>
    <t>"Ō"</t>
  </si>
  <si>
    <t>"ō"</t>
  </si>
  <si>
    <t>"Ŏ"</t>
  </si>
  <si>
    <t>"ŏ"</t>
  </si>
  <si>
    <t>"Ő"</t>
  </si>
  <si>
    <t>"ő"</t>
  </si>
  <si>
    <t>"Œ"</t>
  </si>
  <si>
    <t>"œ"</t>
  </si>
  <si>
    <t>"Ŕ"</t>
  </si>
  <si>
    <t>"ŕ"</t>
  </si>
  <si>
    <t>"Ŗ"</t>
  </si>
  <si>
    <t>"ŗ"</t>
  </si>
  <si>
    <t>"Ř"</t>
  </si>
  <si>
    <t>"ř"</t>
  </si>
  <si>
    <t>"Ś"</t>
  </si>
  <si>
    <t>"ś"</t>
  </si>
  <si>
    <t>"Ŝ"</t>
  </si>
  <si>
    <t>"ŝ"</t>
  </si>
  <si>
    <t>"Ş"</t>
  </si>
  <si>
    <t>"ş"</t>
  </si>
  <si>
    <t>"Š"</t>
  </si>
  <si>
    <t>"š"</t>
  </si>
  <si>
    <t>"Ţ"</t>
  </si>
  <si>
    <t>"ţ"</t>
  </si>
  <si>
    <t>"Ť"</t>
  </si>
  <si>
    <t>"ť"</t>
  </si>
  <si>
    <t>"Ŧ"</t>
  </si>
  <si>
    <t>"ŧ"</t>
  </si>
  <si>
    <t>"Ũ"</t>
  </si>
  <si>
    <t>"ũ"</t>
  </si>
  <si>
    <t>"Ū"</t>
  </si>
  <si>
    <t>"ū"</t>
  </si>
  <si>
    <t>"Ŭ"</t>
  </si>
  <si>
    <t>"ŭ"</t>
  </si>
  <si>
    <t>"Ů"</t>
  </si>
  <si>
    <t>"ů"</t>
  </si>
  <si>
    <t>"Ű"</t>
  </si>
  <si>
    <t>"ű"</t>
  </si>
  <si>
    <t>"Ų"</t>
  </si>
  <si>
    <t>"ų"</t>
  </si>
  <si>
    <t>"Ŵ"</t>
  </si>
  <si>
    <t>"ŵ"</t>
  </si>
  <si>
    <t>"Ŷ"</t>
  </si>
  <si>
    <t>"ŷ"</t>
  </si>
  <si>
    <t>"Ÿ"</t>
  </si>
  <si>
    <t>"Ź"</t>
  </si>
  <si>
    <t>"ź"</t>
  </si>
  <si>
    <t>"Ż"</t>
  </si>
  <si>
    <t>"ż"</t>
  </si>
  <si>
    <t>"Ž"</t>
  </si>
  <si>
    <t>"ž"</t>
  </si>
  <si>
    <t>"ſ"</t>
  </si>
  <si>
    <t>"ƀ"</t>
  </si>
  <si>
    <t>"Ɓ"</t>
  </si>
  <si>
    <t>"Ƃ"</t>
  </si>
  <si>
    <t>"ƃ"</t>
  </si>
  <si>
    <t>"Ƅ"</t>
  </si>
  <si>
    <t>"ƅ"</t>
  </si>
  <si>
    <t>"Ɔ"</t>
  </si>
  <si>
    <t>"Ƈ"</t>
  </si>
  <si>
    <t>"ƈ"</t>
  </si>
  <si>
    <t>"Ɖ"</t>
  </si>
  <si>
    <t>"Ɗ"</t>
  </si>
  <si>
    <t>"Ƌ"</t>
  </si>
  <si>
    <t>"ƌ"</t>
  </si>
  <si>
    <t>"ƍ"</t>
  </si>
  <si>
    <t>"Ǝ"</t>
  </si>
  <si>
    <t>"Ə"</t>
  </si>
  <si>
    <t>"Ɛ"</t>
  </si>
  <si>
    <t>"Ƒ"</t>
  </si>
  <si>
    <t>"ƒ"</t>
  </si>
  <si>
    <t>"Ɠ"</t>
  </si>
  <si>
    <t>"Ɣ"</t>
  </si>
  <si>
    <t>"ƕ"</t>
  </si>
  <si>
    <t>"Ɩ"</t>
  </si>
  <si>
    <t>"Ɨ"</t>
  </si>
  <si>
    <t>"Ƙ"</t>
  </si>
  <si>
    <t>"ƙ"</t>
  </si>
  <si>
    <t>"ƚ"</t>
  </si>
  <si>
    <t>"ƛ"</t>
  </si>
  <si>
    <t>"Ɯ"</t>
  </si>
  <si>
    <t>"Ɲ"</t>
  </si>
  <si>
    <t>"ƞ"</t>
  </si>
  <si>
    <t>"Ɵ"</t>
  </si>
  <si>
    <t>"Ơ"</t>
  </si>
  <si>
    <t>"ơ"</t>
  </si>
  <si>
    <t>"Ƣ"</t>
  </si>
  <si>
    <t>"ƣ"</t>
  </si>
  <si>
    <t>"Ƥ"</t>
  </si>
  <si>
    <t>"ƥ"</t>
  </si>
  <si>
    <t>"Ʀ"</t>
  </si>
  <si>
    <t>"Ƨ"</t>
  </si>
  <si>
    <t>"ƨ"</t>
  </si>
  <si>
    <t>"Ʃ"</t>
  </si>
  <si>
    <t>"ƪ"</t>
  </si>
  <si>
    <t>"ƫ"</t>
  </si>
  <si>
    <t>"Ƭ"</t>
  </si>
  <si>
    <t>"ƭ"</t>
  </si>
  <si>
    <t>"Ʈ"</t>
  </si>
  <si>
    <t>"Ư"</t>
  </si>
  <si>
    <t>"ư"</t>
  </si>
  <si>
    <t>"Ʊ"</t>
  </si>
  <si>
    <t>"Ʋ"</t>
  </si>
  <si>
    <t>"Ƴ"</t>
  </si>
  <si>
    <t>"ƴ"</t>
  </si>
  <si>
    <t>"Ƶ"</t>
  </si>
  <si>
    <t>"ƶ"</t>
  </si>
  <si>
    <t>"Ʒ"</t>
  </si>
  <si>
    <t>"Ƹ"</t>
  </si>
  <si>
    <t>"ƹ"</t>
  </si>
  <si>
    <t>"ƺ"</t>
  </si>
  <si>
    <t>"ƻ"</t>
  </si>
  <si>
    <t>"Ƽ"</t>
  </si>
  <si>
    <t>"ƽ"</t>
  </si>
  <si>
    <t>"ƾ"</t>
  </si>
  <si>
    <t>"ƿ"</t>
  </si>
  <si>
    <t>"ǀ"</t>
  </si>
  <si>
    <t>"ǁ"</t>
  </si>
  <si>
    <t>"ǂ"</t>
  </si>
  <si>
    <t>"ǃ"</t>
  </si>
  <si>
    <t>"Ǆ"</t>
  </si>
  <si>
    <t>"ǅ"</t>
  </si>
  <si>
    <t>"ǆ"</t>
  </si>
  <si>
    <t>"Ǉ"</t>
  </si>
  <si>
    <t>"ǈ"</t>
  </si>
  <si>
    <t>"ǉ"</t>
  </si>
  <si>
    <t>"Ǌ"</t>
  </si>
  <si>
    <t>"ǋ"</t>
  </si>
  <si>
    <t>"ǌ"</t>
  </si>
  <si>
    <t>"Ǎ"</t>
  </si>
  <si>
    <t>"ǎ"</t>
  </si>
  <si>
    <t>"Ǐ"</t>
  </si>
  <si>
    <t>"ǐ"</t>
  </si>
  <si>
    <t>"Ǒ"</t>
  </si>
  <si>
    <t>"ǒ"</t>
  </si>
  <si>
    <t>"Ǔ"</t>
  </si>
  <si>
    <t>"ǔ"</t>
  </si>
  <si>
    <t>"Ǖ"</t>
  </si>
  <si>
    <t>"ǖ"</t>
  </si>
  <si>
    <t>"Ǘ"</t>
  </si>
  <si>
    <t>"ǘ"</t>
  </si>
  <si>
    <t>"Ǚ"</t>
  </si>
  <si>
    <t>"ǚ"</t>
  </si>
  <si>
    <t>"Ǜ"</t>
  </si>
  <si>
    <t>"ǜ"</t>
  </si>
  <si>
    <t>"ǝ"</t>
  </si>
  <si>
    <t>"Ǟ"</t>
  </si>
  <si>
    <t>"ǟ"</t>
  </si>
  <si>
    <t>"Ǡ"</t>
  </si>
  <si>
    <t>"ǡ"</t>
  </si>
  <si>
    <t>"Ǣ"</t>
  </si>
  <si>
    <t>"ǣ"</t>
  </si>
  <si>
    <t>"Ǥ"</t>
  </si>
  <si>
    <t>"ǥ"</t>
  </si>
  <si>
    <t>"Ǧ"</t>
  </si>
  <si>
    <t>"ǧ"</t>
  </si>
  <si>
    <t>"Ǩ"</t>
  </si>
  <si>
    <t>"ǩ"</t>
  </si>
  <si>
    <t>"Ǫ"</t>
  </si>
  <si>
    <t>"ǫ"</t>
  </si>
  <si>
    <t>"Ǭ"</t>
  </si>
  <si>
    <t>"ǭ"</t>
  </si>
  <si>
    <t>"Ǯ"</t>
  </si>
  <si>
    <t>"ǯ"</t>
  </si>
  <si>
    <t>"ǰ"</t>
  </si>
  <si>
    <t>"Ǳ"</t>
  </si>
  <si>
    <t>"ǲ"</t>
  </si>
  <si>
    <t>"ǳ"</t>
  </si>
  <si>
    <t>"Ǵ"</t>
  </si>
  <si>
    <t>"ǵ"</t>
  </si>
  <si>
    <t>"Ƕ"</t>
  </si>
  <si>
    <t>"Ƿ"</t>
  </si>
  <si>
    <t>"Ǹ"</t>
  </si>
  <si>
    <t>"ǹ"</t>
  </si>
  <si>
    <t>"Ǻ"</t>
  </si>
  <si>
    <t>"ǻ"</t>
  </si>
  <si>
    <t>"Ǽ"</t>
  </si>
  <si>
    <t>"ǽ"</t>
  </si>
  <si>
    <t>"Ǿ"</t>
  </si>
  <si>
    <t>"ǿ"</t>
  </si>
  <si>
    <t>"Ȁ"</t>
  </si>
  <si>
    <t>"ȁ"</t>
  </si>
  <si>
    <t>"Ȃ"</t>
  </si>
  <si>
    <t>"ȃ"</t>
  </si>
  <si>
    <t>"Ȅ"</t>
  </si>
  <si>
    <t>"ȅ"</t>
  </si>
  <si>
    <t>"Ȇ"</t>
  </si>
  <si>
    <t>"ȇ"</t>
  </si>
  <si>
    <t>"Ȉ"</t>
  </si>
  <si>
    <t>"ȉ"</t>
  </si>
  <si>
    <t>"Ȋ"</t>
  </si>
  <si>
    <t>"ȋ"</t>
  </si>
  <si>
    <t>"Ȍ"</t>
  </si>
  <si>
    <t>"ȍ"</t>
  </si>
  <si>
    <t>"Ȏ"</t>
  </si>
  <si>
    <t>"ȏ"</t>
  </si>
  <si>
    <t>"Ȑ"</t>
  </si>
  <si>
    <t>"ȑ"</t>
  </si>
  <si>
    <t>"Ȓ"</t>
  </si>
  <si>
    <t>"ȓ"</t>
  </si>
  <si>
    <t>"Ȕ"</t>
  </si>
  <si>
    <t>"ȕ"</t>
  </si>
  <si>
    <t>"Ȗ"</t>
  </si>
  <si>
    <t>"ȗ"</t>
  </si>
  <si>
    <t>"Ș"</t>
  </si>
  <si>
    <t>"ș"</t>
  </si>
  <si>
    <t>"Ț"</t>
  </si>
  <si>
    <t>"ț"</t>
  </si>
  <si>
    <t>"Ȝ"</t>
  </si>
  <si>
    <t>"ȝ"</t>
  </si>
  <si>
    <t>"Ȟ"</t>
  </si>
  <si>
    <t>"ȟ"</t>
  </si>
  <si>
    <t>"Ƞ"</t>
  </si>
  <si>
    <t>"ȡ"</t>
  </si>
  <si>
    <t>"Ȣ"</t>
  </si>
  <si>
    <t>"ȣ"</t>
  </si>
  <si>
    <t>"Ȥ"</t>
  </si>
  <si>
    <t>"ȥ"</t>
  </si>
  <si>
    <t>"Ȧ"</t>
  </si>
  <si>
    <t>"ȧ"</t>
  </si>
  <si>
    <t>"Ȩ"</t>
  </si>
  <si>
    <t>"ȩ"</t>
  </si>
  <si>
    <t>"Ȫ"</t>
  </si>
  <si>
    <t>"ȫ"</t>
  </si>
  <si>
    <t>"Ȭ"</t>
  </si>
  <si>
    <t>"ȭ"</t>
  </si>
  <si>
    <t>"Ȯ"</t>
  </si>
  <si>
    <t>"ȯ"</t>
  </si>
  <si>
    <t>"Ȱ"</t>
  </si>
  <si>
    <t>"ȱ"</t>
  </si>
  <si>
    <t>"Ȳ"</t>
  </si>
  <si>
    <t>"ȳ"</t>
  </si>
  <si>
    <t>"ȴ"</t>
  </si>
  <si>
    <t>"ȵ"</t>
  </si>
  <si>
    <t>"ȶ"</t>
  </si>
  <si>
    <t>"ȷ"</t>
  </si>
  <si>
    <t>"ȸ"</t>
  </si>
  <si>
    <t>"ȹ"</t>
  </si>
  <si>
    <t>"Ⱥ"</t>
  </si>
  <si>
    <t>"Ȼ"</t>
  </si>
  <si>
    <t>"ȼ"</t>
  </si>
  <si>
    <t>"Ƚ"</t>
  </si>
  <si>
    <t>"Ⱦ"</t>
  </si>
  <si>
    <t>"ȿ"</t>
  </si>
  <si>
    <t>"ɀ"</t>
  </si>
  <si>
    <t>"Ɂ"</t>
  </si>
  <si>
    <t>"ɂ"</t>
  </si>
  <si>
    <t>"Ƀ"</t>
  </si>
  <si>
    <t>"Ʉ"</t>
  </si>
  <si>
    <t>"Ʌ"</t>
  </si>
  <si>
    <t>"Ɇ"</t>
  </si>
  <si>
    <t>"ɇ"</t>
  </si>
  <si>
    <t>"Ɉ"</t>
  </si>
  <si>
    <t>"ɉ"</t>
  </si>
  <si>
    <t>"Ɋ"</t>
  </si>
  <si>
    <t>"ɋ"</t>
  </si>
  <si>
    <t>"Ɍ"</t>
  </si>
  <si>
    <t>"ɍ"</t>
  </si>
  <si>
    <t>"Ɏ"</t>
  </si>
  <si>
    <t>"ɏ"</t>
  </si>
  <si>
    <t>"ɐ"</t>
  </si>
  <si>
    <t>"ɑ"</t>
  </si>
  <si>
    <t>"ɒ"</t>
  </si>
  <si>
    <t>"ɓ"</t>
  </si>
  <si>
    <t>"ɔ"</t>
  </si>
  <si>
    <t>"ɕ"</t>
  </si>
  <si>
    <t>"ɖ"</t>
  </si>
  <si>
    <t>"ɗ"</t>
  </si>
  <si>
    <t>"ɘ"</t>
  </si>
  <si>
    <t>"ə"</t>
  </si>
  <si>
    <t>"ɚ"</t>
  </si>
  <si>
    <t>"ɛ"</t>
  </si>
  <si>
    <t>"ɜ"</t>
  </si>
  <si>
    <t>"ɝ"</t>
  </si>
  <si>
    <t>"ɞ"</t>
  </si>
  <si>
    <t>"ɟ"</t>
  </si>
  <si>
    <t>"ɠ"</t>
  </si>
  <si>
    <t>"ɡ"</t>
  </si>
  <si>
    <t>"ɢ"</t>
  </si>
  <si>
    <t>"ɣ"</t>
  </si>
  <si>
    <t>"ɤ"</t>
  </si>
  <si>
    <t>"ɥ"</t>
  </si>
  <si>
    <t>"ɦ"</t>
  </si>
  <si>
    <t>"ɧ"</t>
  </si>
  <si>
    <t>"ɨ"</t>
  </si>
  <si>
    <t>"ɩ"</t>
  </si>
  <si>
    <t>"ɪ"</t>
  </si>
  <si>
    <t>"ɫ"</t>
  </si>
  <si>
    <t>"ɬ"</t>
  </si>
  <si>
    <t>"ɭ"</t>
  </si>
  <si>
    <t>"ɮ"</t>
  </si>
  <si>
    <t>"ɯ"</t>
  </si>
  <si>
    <t>"ɰ"</t>
  </si>
  <si>
    <t>"ɱ"</t>
  </si>
  <si>
    <t>"ɲ"</t>
  </si>
  <si>
    <t>"ɳ"</t>
  </si>
  <si>
    <t>"ɴ"</t>
  </si>
  <si>
    <t>"ɵ"</t>
  </si>
  <si>
    <t>"ɶ"</t>
  </si>
  <si>
    <t>"ɷ"</t>
  </si>
  <si>
    <t>"ɸ"</t>
  </si>
  <si>
    <t>"ɹ"</t>
  </si>
  <si>
    <t>"ɺ"</t>
  </si>
  <si>
    <t>"ɻ"</t>
  </si>
  <si>
    <t>"ɼ"</t>
  </si>
  <si>
    <t>"ɽ"</t>
  </si>
  <si>
    <t>"ɾ"</t>
  </si>
  <si>
    <t>"ɿ"</t>
  </si>
  <si>
    <t>"ʀ"</t>
  </si>
  <si>
    <t>"ʁ"</t>
  </si>
  <si>
    <t>"ʂ"</t>
  </si>
  <si>
    <t>"ʃ"</t>
  </si>
  <si>
    <t>"ʄ"</t>
  </si>
  <si>
    <t>"ʅ"</t>
  </si>
  <si>
    <t>"ʆ"</t>
  </si>
  <si>
    <t>"ʇ"</t>
  </si>
  <si>
    <t>"ʈ"</t>
  </si>
  <si>
    <t>"ʉ"</t>
  </si>
  <si>
    <t>"ʊ"</t>
  </si>
  <si>
    <t>"ʋ"</t>
  </si>
  <si>
    <t>"ʌ"</t>
  </si>
  <si>
    <t>"ʍ"</t>
  </si>
  <si>
    <t>"ʎ"</t>
  </si>
  <si>
    <t>"ʏ"</t>
  </si>
  <si>
    <t>"ʐ"</t>
  </si>
  <si>
    <t>"ʑ"</t>
  </si>
  <si>
    <t>"ʒ"</t>
  </si>
  <si>
    <t>"ʓ"</t>
  </si>
  <si>
    <t>"ʔ"</t>
  </si>
  <si>
    <t>"ʕ"</t>
  </si>
  <si>
    <t>"ʖ"</t>
  </si>
  <si>
    <t>"ʗ"</t>
  </si>
  <si>
    <t>"ʘ"</t>
  </si>
  <si>
    <t>"ʙ"</t>
  </si>
  <si>
    <t>"ʚ"</t>
  </si>
  <si>
    <t>"ʛ"</t>
  </si>
  <si>
    <t>"ʜ"</t>
  </si>
  <si>
    <t>"ʝ"</t>
  </si>
  <si>
    <t>"ʞ"</t>
  </si>
  <si>
    <t>"ʟ"</t>
  </si>
  <si>
    <t>"ʠ"</t>
  </si>
  <si>
    <t>"ʡ"</t>
  </si>
  <si>
    <t>"ʢ"</t>
  </si>
  <si>
    <t>"ʣ"</t>
  </si>
  <si>
    <t>"ʤ"</t>
  </si>
  <si>
    <t>"ʥ"</t>
  </si>
  <si>
    <t>"ʦ"</t>
  </si>
  <si>
    <t>"ʧ"</t>
  </si>
  <si>
    <t>"ʨ"</t>
  </si>
  <si>
    <t>"ʩ"</t>
  </si>
  <si>
    <t>"ʪ"</t>
  </si>
  <si>
    <t>"ʫ"</t>
  </si>
  <si>
    <t>"ʬ"</t>
  </si>
  <si>
    <t>"ʭ"</t>
  </si>
  <si>
    <t>"ʮ"</t>
  </si>
  <si>
    <t>"ʯ"</t>
  </si>
  <si>
    <t>"ʰ"</t>
  </si>
  <si>
    <t>"ʱ"</t>
  </si>
  <si>
    <t>"ʲ"</t>
  </si>
  <si>
    <t>"ʳ"</t>
  </si>
  <si>
    <t>"ʴ"</t>
  </si>
  <si>
    <t>"ʵ"</t>
  </si>
  <si>
    <t>"ʶ"</t>
  </si>
  <si>
    <t>"ʷ"</t>
  </si>
  <si>
    <t>"ʸ"</t>
  </si>
  <si>
    <t>"ʹ"</t>
  </si>
  <si>
    <t>"ʺ"</t>
  </si>
  <si>
    <t>"ʻ"</t>
  </si>
  <si>
    <t>"ʼ"</t>
  </si>
  <si>
    <t>"ʽ"</t>
  </si>
  <si>
    <t>"ʾ"</t>
  </si>
  <si>
    <t>"ʿ"</t>
  </si>
  <si>
    <t>"ˀ"</t>
  </si>
  <si>
    <t>"ˁ"</t>
  </si>
  <si>
    <t>"˂"</t>
  </si>
  <si>
    <t>"˃"</t>
  </si>
  <si>
    <t>"˄"</t>
  </si>
  <si>
    <t>"˅"</t>
  </si>
  <si>
    <t>"ˆ"</t>
  </si>
  <si>
    <t>"ˇ"</t>
  </si>
  <si>
    <t>"ˈ"</t>
  </si>
  <si>
    <t>"ˉ"</t>
  </si>
  <si>
    <t>"ˊ"</t>
  </si>
  <si>
    <t>"ˋ"</t>
  </si>
  <si>
    <t>"ˌ"</t>
  </si>
  <si>
    <t>"ˍ"</t>
  </si>
  <si>
    <t>"ˎ"</t>
  </si>
  <si>
    <t>"ˏ"</t>
  </si>
  <si>
    <t>"ː"</t>
  </si>
  <si>
    <t>"ˑ"</t>
  </si>
  <si>
    <t>"˒"</t>
  </si>
  <si>
    <t>"˓"</t>
  </si>
  <si>
    <t>"˔"</t>
  </si>
  <si>
    <t>"˕"</t>
  </si>
  <si>
    <t>"˖"</t>
  </si>
  <si>
    <t>"˗"</t>
  </si>
  <si>
    <t>"˘"</t>
  </si>
  <si>
    <t>"˙"</t>
  </si>
  <si>
    <t>"˚"</t>
  </si>
  <si>
    <t>"˛"</t>
  </si>
  <si>
    <t>"˜"</t>
  </si>
  <si>
    <t>"˝"</t>
  </si>
  <si>
    <t>"˞"</t>
  </si>
  <si>
    <t>"˟"</t>
  </si>
  <si>
    <t>"ˠ"</t>
  </si>
  <si>
    <t>"ˡ"</t>
  </si>
  <si>
    <t>"ˢ"</t>
  </si>
  <si>
    <t>"ˣ"</t>
  </si>
  <si>
    <t>"ˤ"</t>
  </si>
  <si>
    <t>"˥"</t>
  </si>
  <si>
    <t>"˦"</t>
  </si>
  <si>
    <t>"˧"</t>
  </si>
  <si>
    <t>"˨"</t>
  </si>
  <si>
    <t>"˩"</t>
  </si>
  <si>
    <t>"˪"</t>
  </si>
  <si>
    <t>"˫"</t>
  </si>
  <si>
    <t>"ˬ"</t>
  </si>
  <si>
    <t>"˭"</t>
  </si>
  <si>
    <t>"ˮ"</t>
  </si>
  <si>
    <t>"˯"</t>
  </si>
  <si>
    <t>"˰"</t>
  </si>
  <si>
    <t>"˱"</t>
  </si>
  <si>
    <t>"˲"</t>
  </si>
  <si>
    <t>"˳"</t>
  </si>
  <si>
    <t>"˴"</t>
  </si>
  <si>
    <t>"˵"</t>
  </si>
  <si>
    <t>"˶"</t>
  </si>
  <si>
    <t>"˷"</t>
  </si>
  <si>
    <t>"˸"</t>
  </si>
  <si>
    <t>"˹"</t>
  </si>
  <si>
    <t>"˺"</t>
  </si>
  <si>
    <t>"˻"</t>
  </si>
  <si>
    <t>"˼"</t>
  </si>
  <si>
    <t>"˽"</t>
  </si>
  <si>
    <t>"˾"</t>
  </si>
  <si>
    <t>"˿"</t>
  </si>
  <si>
    <t>"̀"</t>
  </si>
  <si>
    <t>"́"</t>
  </si>
  <si>
    <t>"̂"</t>
  </si>
  <si>
    <t>"̃"</t>
  </si>
  <si>
    <t>"̄"</t>
  </si>
  <si>
    <t>"̅"</t>
  </si>
  <si>
    <t>"̆"</t>
  </si>
  <si>
    <t>"̇"</t>
  </si>
  <si>
    <t>"̈"</t>
  </si>
  <si>
    <t>"̉"</t>
  </si>
  <si>
    <t>"̊"</t>
  </si>
  <si>
    <t>"̋"</t>
  </si>
  <si>
    <t>"̌"</t>
  </si>
  <si>
    <t>"̍"</t>
  </si>
  <si>
    <t>"̎"</t>
  </si>
  <si>
    <t>"̏"</t>
  </si>
  <si>
    <t>"̐"</t>
  </si>
  <si>
    <t>"̑"</t>
  </si>
  <si>
    <t>"̒"</t>
  </si>
  <si>
    <t>"̓"</t>
  </si>
  <si>
    <t>"̔"</t>
  </si>
  <si>
    <t>"̕"</t>
  </si>
  <si>
    <t>"̖"</t>
  </si>
  <si>
    <t>"̗"</t>
  </si>
  <si>
    <t>"̘"</t>
  </si>
  <si>
    <t>"̙"</t>
  </si>
  <si>
    <t>"̚"</t>
  </si>
  <si>
    <t>"̛"</t>
  </si>
  <si>
    <t>"̜"</t>
  </si>
  <si>
    <t>"̝"</t>
  </si>
  <si>
    <t>"̞"</t>
  </si>
  <si>
    <t>"̟"</t>
  </si>
  <si>
    <t>"̠"</t>
  </si>
  <si>
    <t>"̡"</t>
  </si>
  <si>
    <t>"̢"</t>
  </si>
  <si>
    <t>"̣"</t>
  </si>
  <si>
    <t>"̤"</t>
  </si>
  <si>
    <t>"̥"</t>
  </si>
  <si>
    <t>"̦"</t>
  </si>
  <si>
    <t>"̧"</t>
  </si>
  <si>
    <t>"̨"</t>
  </si>
  <si>
    <t>"̩"</t>
  </si>
  <si>
    <t>"̪"</t>
  </si>
  <si>
    <t>"̫"</t>
  </si>
  <si>
    <t>"̬"</t>
  </si>
  <si>
    <t>"̭"</t>
  </si>
  <si>
    <t>"̮"</t>
  </si>
  <si>
    <t>"̯"</t>
  </si>
  <si>
    <t>"̰"</t>
  </si>
  <si>
    <t>"̱"</t>
  </si>
  <si>
    <t>"̲"</t>
  </si>
  <si>
    <t>"̳"</t>
  </si>
  <si>
    <t>"̴"</t>
  </si>
  <si>
    <t>"̵"</t>
  </si>
  <si>
    <t>"̶"</t>
  </si>
  <si>
    <t>"̷"</t>
  </si>
  <si>
    <t>"̸"</t>
  </si>
  <si>
    <t>"̹"</t>
  </si>
  <si>
    <t>"̺"</t>
  </si>
  <si>
    <t>"̻"</t>
  </si>
  <si>
    <t>"̼"</t>
  </si>
  <si>
    <t>"̽"</t>
  </si>
  <si>
    <t>"̾"</t>
  </si>
  <si>
    <t>"̿"</t>
  </si>
  <si>
    <t>"̀"</t>
  </si>
  <si>
    <t>"́"</t>
  </si>
  <si>
    <t>"͂"</t>
  </si>
  <si>
    <t>"̓"</t>
  </si>
  <si>
    <t>"̈́"</t>
  </si>
  <si>
    <t>"ͅ"</t>
  </si>
  <si>
    <t>"͆"</t>
  </si>
  <si>
    <t>"͇"</t>
  </si>
  <si>
    <t>"͈"</t>
  </si>
  <si>
    <t>"͉"</t>
  </si>
  <si>
    <t>"͊"</t>
  </si>
  <si>
    <t>"͋"</t>
  </si>
  <si>
    <t>"͌"</t>
  </si>
  <si>
    <t>"͍"</t>
  </si>
  <si>
    <t>"͎"</t>
  </si>
  <si>
    <t>"͏"</t>
  </si>
  <si>
    <t>"͐"</t>
  </si>
  <si>
    <t>"͑"</t>
  </si>
  <si>
    <t>"͒"</t>
  </si>
  <si>
    <t>"͓"</t>
  </si>
  <si>
    <t>"͔"</t>
  </si>
  <si>
    <t>"͕"</t>
  </si>
  <si>
    <t>"͖"</t>
  </si>
  <si>
    <t>"͗"</t>
  </si>
  <si>
    <t>"͘"</t>
  </si>
  <si>
    <t>"͙"</t>
  </si>
  <si>
    <t>"͚"</t>
  </si>
  <si>
    <t>"͛"</t>
  </si>
  <si>
    <t>"͜"</t>
  </si>
  <si>
    <t>"͝"</t>
  </si>
  <si>
    <t>"͞"</t>
  </si>
  <si>
    <t>"͟"</t>
  </si>
  <si>
    <t>"͠"</t>
  </si>
  <si>
    <t>"͡"</t>
  </si>
  <si>
    <t>"͢"</t>
  </si>
  <si>
    <t>"ͣ"</t>
  </si>
  <si>
    <t>"ͤ"</t>
  </si>
  <si>
    <t>"ͥ"</t>
  </si>
  <si>
    <t>"ͦ"</t>
  </si>
  <si>
    <t>"ͧ"</t>
  </si>
  <si>
    <t>"ͨ"</t>
  </si>
  <si>
    <t>"ͩ"</t>
  </si>
  <si>
    <t>"ͪ"</t>
  </si>
  <si>
    <t>"ͫ"</t>
  </si>
  <si>
    <t>"ͬ"</t>
  </si>
  <si>
    <t>"ͭ"</t>
  </si>
  <si>
    <t>"ͮ"</t>
  </si>
  <si>
    <t>"ͯ"</t>
  </si>
  <si>
    <t>"Ͱ"</t>
  </si>
  <si>
    <t>"ͱ"</t>
  </si>
  <si>
    <t>"Ͳ"</t>
  </si>
  <si>
    <t>"ͳ"</t>
  </si>
  <si>
    <t>"ʹ"</t>
  </si>
  <si>
    <t>"͵"</t>
  </si>
  <si>
    <t>"Ͷ"</t>
  </si>
  <si>
    <t>"ͷ"</t>
  </si>
  <si>
    <t>"͸"</t>
  </si>
  <si>
    <t>"͹"</t>
  </si>
  <si>
    <t>"ͺ"</t>
  </si>
  <si>
    <t>"ͻ"</t>
  </si>
  <si>
    <t>"ͼ"</t>
  </si>
  <si>
    <t>"ͽ"</t>
  </si>
  <si>
    <t>";"</t>
  </si>
  <si>
    <t>"Ϳ"</t>
  </si>
  <si>
    <t>"΀"</t>
  </si>
  <si>
    <t>"΁"</t>
  </si>
  <si>
    <t>"΂"</t>
  </si>
  <si>
    <t>"΃"</t>
  </si>
  <si>
    <t>"΄"</t>
  </si>
  <si>
    <t>"΅"</t>
  </si>
  <si>
    <t>"Ά"</t>
  </si>
  <si>
    <t>"·"</t>
  </si>
  <si>
    <t>"Έ"</t>
  </si>
  <si>
    <t>"Ή"</t>
  </si>
  <si>
    <t>"Ί"</t>
  </si>
  <si>
    <t>"΋"</t>
  </si>
  <si>
    <t>"Ό"</t>
  </si>
  <si>
    <t>"΍"</t>
  </si>
  <si>
    <t>"Ύ"</t>
  </si>
  <si>
    <t>"Ώ"</t>
  </si>
  <si>
    <t>"ΐ"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</si>
  <si>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</si>
  <si>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</si>
  <si>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</si>
  <si>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</si>
  <si>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</si>
  <si>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</si>
  <si>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</si>
  <si>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</si>
  <si>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</si>
  <si>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</si>
  <si>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</si>
  <si>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</si>
  <si>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</si>
  <si>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</si>
  <si>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</si>
  <si>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</si>
  <si>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</si>
  <si>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"΢"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</si>
  <si>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</si>
  <si>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</si>
  <si>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</si>
  <si>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</si>
  <si>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</si>
  <si>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</si>
  <si>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</si>
  <si>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</si>
  <si>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</si>
  <si>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"ά"</t>
  </si>
  <si>
    <t>"έ"</t>
  </si>
  <si>
    <t>"ή"</t>
  </si>
  <si>
    <t>"ί"</t>
  </si>
  <si>
    <t>"ΰ"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</si>
  <si>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</si>
  <si>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</si>
  <si>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</si>
  <si>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</si>
  <si>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</si>
  <si>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</si>
  <si>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</si>
  <si>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</si>
  <si>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</si>
  <si>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</si>
  <si>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</si>
  <si>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</si>
  <si>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</si>
  <si>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</si>
  <si>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</si>
  <si>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</si>
  <si>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</si>
  <si>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"ς"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</si>
  <si>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</si>
  <si>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</si>
  <si>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</si>
  <si>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</si>
  <si>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</si>
  <si>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</si>
  <si>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</si>
  <si>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</si>
  <si>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</si>
  <si>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"ό"</t>
  </si>
  <si>
    <t>"ύ"</t>
  </si>
  <si>
    <t>"ώ"</t>
  </si>
  <si>
    <t>"Ϗ"</t>
  </si>
  <si>
    <t>"ϐ"</t>
  </si>
  <si>
    <t>"ϑ"</t>
  </si>
  <si>
    <t>"ϒ"</t>
  </si>
  <si>
    <t>"ϓ"</t>
  </si>
  <si>
    <t>"ϔ"</t>
  </si>
  <si>
    <t>"ϕ"</t>
  </si>
  <si>
    <t>"ϖ"</t>
  </si>
  <si>
    <t>"ϗ"</t>
  </si>
  <si>
    <t>"Ϙ"</t>
  </si>
  <si>
    <t>"ϙ"</t>
  </si>
  <si>
    <t>"Ϛ"</t>
  </si>
  <si>
    <t>"ϛ"</t>
  </si>
  <si>
    <t>"Ϝ"</t>
  </si>
  <si>
    <t>"ϝ"</t>
  </si>
  <si>
    <t>"Ϟ"</t>
  </si>
  <si>
    <t>"ϟ"</t>
  </si>
  <si>
    <t>"Ϡ"</t>
  </si>
  <si>
    <t>"ϡ"</t>
  </si>
  <si>
    <t>"Ϣ"</t>
  </si>
  <si>
    <t>"ϣ"</t>
  </si>
  <si>
    <t>"Ϥ"</t>
  </si>
  <si>
    <t>"ϥ"</t>
  </si>
  <si>
    <t>"Ϧ"</t>
  </si>
  <si>
    <t>"ϧ"</t>
  </si>
  <si>
    <t>"Ϩ"</t>
  </si>
  <si>
    <t>"ϩ"</t>
  </si>
  <si>
    <t>"Ϫ"</t>
  </si>
  <si>
    <t>"ϫ"</t>
  </si>
  <si>
    <t>"Ϭ"</t>
  </si>
  <si>
    <t>"ϭ"</t>
  </si>
  <si>
    <t>"Ϯ"</t>
  </si>
  <si>
    <t>"ϯ"</t>
  </si>
  <si>
    <t>"ϰ"</t>
  </si>
  <si>
    <t>"ϱ"</t>
  </si>
  <si>
    <t>"ϲ"</t>
  </si>
  <si>
    <t>"ϳ"</t>
  </si>
  <si>
    <t>"ϴ"</t>
  </si>
  <si>
    <t>"ϵ"</t>
  </si>
  <si>
    <t>"϶"</t>
  </si>
  <si>
    <t>"Ϸ"</t>
  </si>
  <si>
    <t>"ϸ"</t>
  </si>
  <si>
    <t>"Ϲ"</t>
  </si>
  <si>
    <t>"Ϻ"</t>
  </si>
  <si>
    <t>"ϻ"</t>
  </si>
  <si>
    <t>"ϼ"</t>
  </si>
  <si>
    <t>"Ͻ"</t>
  </si>
  <si>
    <t>"Ͼ"</t>
  </si>
  <si>
    <t>"Ͽ"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</si>
  <si>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</si>
  <si>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</si>
  <si>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</si>
  <si>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</si>
  <si>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</si>
  <si>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</si>
  <si>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</si>
  <si>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</si>
  <si>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</si>
  <si>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</si>
  <si>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</si>
  <si>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</si>
  <si>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</si>
  <si>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</si>
  <si>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</si>
  <si>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</si>
  <si>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</si>
  <si>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</si>
  <si>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</si>
  <si>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</si>
  <si>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</si>
  <si>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</si>
  <si>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</si>
  <si>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</si>
  <si>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</si>
  <si>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</si>
  <si>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</si>
  <si>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</si>
  <si>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</si>
  <si>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</si>
  <si>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</si>
  <si>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</si>
  <si>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</si>
  <si>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</si>
  <si>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</si>
  <si>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</si>
  <si>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</si>
  <si>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</si>
  <si>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</si>
  <si>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</si>
  <si>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</si>
  <si>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</si>
  <si>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</si>
  <si>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</si>
  <si>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</si>
  <si>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</si>
  <si>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</si>
  <si>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</si>
  <si>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</si>
  <si>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</si>
  <si>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</si>
  <si>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</si>
  <si>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</si>
  <si>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</si>
  <si>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</si>
  <si>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</si>
  <si>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</si>
  <si>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</si>
  <si>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</si>
  <si>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</si>
  <si>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</si>
  <si>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</si>
  <si>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</si>
  <si>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</si>
  <si>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</si>
  <si>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</si>
  <si>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</si>
  <si>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</si>
  <si>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</si>
  <si>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</si>
  <si>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</si>
  <si>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</si>
  <si>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</si>
  <si>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</si>
  <si>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</si>
  <si>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</si>
  <si>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</si>
  <si>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</si>
  <si>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</si>
  <si>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</si>
  <si>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</si>
  <si>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</si>
  <si>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</si>
  <si>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</si>
  <si>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</si>
  <si>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</si>
  <si>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</si>
  <si>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</si>
  <si>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</si>
  <si>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</si>
  <si>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</si>
  <si>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</si>
  <si>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</si>
  <si>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</si>
  <si>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</si>
  <si>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</si>
  <si>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"Ѡ"</t>
  </si>
  <si>
    <t>"ѡ"</t>
  </si>
  <si>
    <t>"Ѣ"</t>
  </si>
  <si>
    <t>"ѣ"</t>
  </si>
  <si>
    <t>"Ѥ"</t>
  </si>
  <si>
    <t>"ѥ"</t>
  </si>
  <si>
    <t>"Ѧ"</t>
  </si>
  <si>
    <t>"ѧ"</t>
  </si>
  <si>
    <t>"Ѩ"</t>
  </si>
  <si>
    <t>"ѩ"</t>
  </si>
  <si>
    <t>"Ѫ"</t>
  </si>
  <si>
    <t>"ѫ"</t>
  </si>
  <si>
    <t>"Ѭ"</t>
  </si>
  <si>
    <t>"ѭ"</t>
  </si>
  <si>
    <t>"Ѯ"</t>
  </si>
  <si>
    <t>"ѯ"</t>
  </si>
  <si>
    <t>"Ѱ"</t>
  </si>
  <si>
    <t>"ѱ"</t>
  </si>
  <si>
    <t>"Ѳ"</t>
  </si>
  <si>
    <t>"ѳ"</t>
  </si>
  <si>
    <t>"Ѵ"</t>
  </si>
  <si>
    <t>"ѵ"</t>
  </si>
  <si>
    <t>"Ѷ"</t>
  </si>
  <si>
    <t>"ѷ"</t>
  </si>
  <si>
    <t>"Ѹ"</t>
  </si>
  <si>
    <t>"ѹ"</t>
  </si>
  <si>
    <t>"Ѻ"</t>
  </si>
  <si>
    <t>"ѻ"</t>
  </si>
  <si>
    <t>"Ѽ"</t>
  </si>
  <si>
    <t>"ѽ"</t>
  </si>
  <si>
    <t>"Ѿ"</t>
  </si>
  <si>
    <t>"ѿ"</t>
  </si>
  <si>
    <t>"Ҁ"</t>
  </si>
  <si>
    <t>"ҁ"</t>
  </si>
  <si>
    <t>"҂"</t>
  </si>
  <si>
    <t>"҃"</t>
  </si>
  <si>
    <t>"҄"</t>
  </si>
  <si>
    <t>"҅"</t>
  </si>
  <si>
    <t>"҆"</t>
  </si>
  <si>
    <t>"҇"</t>
  </si>
  <si>
    <t>"҈"</t>
  </si>
  <si>
    <t>"҉"</t>
  </si>
  <si>
    <t>"Ҋ"</t>
  </si>
  <si>
    <t>"ҋ"</t>
  </si>
  <si>
    <t>"Ҍ"</t>
  </si>
  <si>
    <t>"ҍ"</t>
  </si>
  <si>
    <t>"Ҏ"</t>
  </si>
  <si>
    <t>"ҏ"</t>
  </si>
  <si>
    <t>"Ґ"</t>
  </si>
  <si>
    <t>"ґ"</t>
  </si>
  <si>
    <t>"Ғ"</t>
  </si>
  <si>
    <t>"ғ"</t>
  </si>
  <si>
    <t>"Ҕ"</t>
  </si>
  <si>
    <t>"ҕ"</t>
  </si>
  <si>
    <t>"Җ"</t>
  </si>
  <si>
    <t>"җ"</t>
  </si>
  <si>
    <t>"Ҙ"</t>
  </si>
  <si>
    <t>"ҙ"</t>
  </si>
  <si>
    <t>"Қ"</t>
  </si>
  <si>
    <t>"қ"</t>
  </si>
  <si>
    <t>"Ҝ"</t>
  </si>
  <si>
    <t>"ҝ"</t>
  </si>
  <si>
    <t>"Ҟ"</t>
  </si>
  <si>
    <t>"ҟ"</t>
  </si>
  <si>
    <t>"Ҡ"</t>
  </si>
  <si>
    <t>"ҡ"</t>
  </si>
  <si>
    <t>"Ң"</t>
  </si>
  <si>
    <t>"ң"</t>
  </si>
  <si>
    <t>"Ҥ"</t>
  </si>
  <si>
    <t>"ҥ"</t>
  </si>
  <si>
    <t>"Ҧ"</t>
  </si>
  <si>
    <t>"ҧ"</t>
  </si>
  <si>
    <t>"Ҩ"</t>
  </si>
  <si>
    <t>"ҩ"</t>
  </si>
  <si>
    <t>"Ҫ"</t>
  </si>
  <si>
    <t>"ҫ"</t>
  </si>
  <si>
    <t>"Ҭ"</t>
  </si>
  <si>
    <t>"ҭ"</t>
  </si>
  <si>
    <t>"Ү"</t>
  </si>
  <si>
    <t>"ү"</t>
  </si>
  <si>
    <t>"Ұ"</t>
  </si>
  <si>
    <t>"ұ"</t>
  </si>
  <si>
    <t>"Ҳ"</t>
  </si>
  <si>
    <t>"ҳ"</t>
  </si>
  <si>
    <t>"Ҵ"</t>
  </si>
  <si>
    <t>"ҵ"</t>
  </si>
  <si>
    <t>"Ҷ"</t>
  </si>
  <si>
    <t>"ҷ"</t>
  </si>
  <si>
    <t>"Ҹ"</t>
  </si>
  <si>
    <t>"ҹ"</t>
  </si>
  <si>
    <t>"Һ"</t>
  </si>
  <si>
    <t>"һ"</t>
  </si>
  <si>
    <t>"Ҽ"</t>
  </si>
  <si>
    <t>"ҽ"</t>
  </si>
  <si>
    <t>"Ҿ"</t>
  </si>
  <si>
    <t>"ҿ"</t>
  </si>
  <si>
    <t>"Ӏ"</t>
  </si>
  <si>
    <t>"Ӂ"</t>
  </si>
  <si>
    <t>"ӂ"</t>
  </si>
  <si>
    <t>"Ӄ"</t>
  </si>
  <si>
    <t>"ӄ"</t>
  </si>
  <si>
    <t>"Ӆ"</t>
  </si>
  <si>
    <t>"ӆ"</t>
  </si>
  <si>
    <t>"Ӈ"</t>
  </si>
  <si>
    <t>"ӈ"</t>
  </si>
  <si>
    <t>"Ӊ"</t>
  </si>
  <si>
    <t>"ӊ"</t>
  </si>
  <si>
    <t>"Ӌ"</t>
  </si>
  <si>
    <t>"ӌ"</t>
  </si>
  <si>
    <t>"Ӎ"</t>
  </si>
  <si>
    <t>"ӎ"</t>
  </si>
  <si>
    <t>"ӏ"</t>
  </si>
  <si>
    <t>"Ӑ"</t>
  </si>
  <si>
    <t>"ӑ"</t>
  </si>
  <si>
    <t>"Ӓ"</t>
  </si>
  <si>
    <t>"ӓ"</t>
  </si>
  <si>
    <t>"Ӕ"</t>
  </si>
  <si>
    <t>"ӕ"</t>
  </si>
  <si>
    <t>"Ӗ"</t>
  </si>
  <si>
    <t>"ӗ"</t>
  </si>
  <si>
    <t>"Ә"</t>
  </si>
  <si>
    <t>"ә"</t>
  </si>
  <si>
    <t>"Ӛ"</t>
  </si>
  <si>
    <t>"ӛ"</t>
  </si>
  <si>
    <t>"Ӝ"</t>
  </si>
  <si>
    <t>"ӝ"</t>
  </si>
  <si>
    <t>"Ӟ"</t>
  </si>
  <si>
    <t>"ӟ"</t>
  </si>
  <si>
    <t>"Ӡ"</t>
  </si>
  <si>
    <t>"ӡ"</t>
  </si>
  <si>
    <t>"Ӣ"</t>
  </si>
  <si>
    <t>"ӣ"</t>
  </si>
  <si>
    <t>"Ӥ"</t>
  </si>
  <si>
    <t>"ӥ"</t>
  </si>
  <si>
    <t>"Ӧ"</t>
  </si>
  <si>
    <t>"ӧ"</t>
  </si>
  <si>
    <t>"Ө"</t>
  </si>
  <si>
    <t>"ө"</t>
  </si>
  <si>
    <t>"Ӫ"</t>
  </si>
  <si>
    <t>"ӫ"</t>
  </si>
  <si>
    <t>"Ӭ"</t>
  </si>
  <si>
    <t>"ӭ"</t>
  </si>
  <si>
    <t>"Ӯ"</t>
  </si>
  <si>
    <t>"ӯ"</t>
  </si>
  <si>
    <t>"Ӱ"</t>
  </si>
  <si>
    <t>"ӱ"</t>
  </si>
  <si>
    <t>"Ӳ"</t>
  </si>
  <si>
    <t>"ӳ"</t>
  </si>
  <si>
    <t>"Ӵ"</t>
  </si>
  <si>
    <t>"ӵ"</t>
  </si>
  <si>
    <t>"Ӷ"</t>
  </si>
  <si>
    <t>"ӷ"</t>
  </si>
  <si>
    <t>"Ӹ"</t>
  </si>
  <si>
    <t>"ӹ"</t>
  </si>
  <si>
    <t>"Ӻ"</t>
  </si>
  <si>
    <t>"ӻ"</t>
  </si>
  <si>
    <t>"Ӽ"</t>
  </si>
  <si>
    <t>"ӽ"</t>
  </si>
  <si>
    <t>"Ӿ"</t>
  </si>
  <si>
    <t>"ӿ"</t>
  </si>
  <si>
    <t>"Ԁ"</t>
  </si>
  <si>
    <t>"ԁ"</t>
  </si>
  <si>
    <t>"Ԃ"</t>
  </si>
  <si>
    <t>"ԃ"</t>
  </si>
  <si>
    <t>"Ԅ"</t>
  </si>
  <si>
    <t>"ԅ"</t>
  </si>
  <si>
    <t>"Ԇ"</t>
  </si>
  <si>
    <t>"ԇ"</t>
  </si>
  <si>
    <t>"Ԉ"</t>
  </si>
  <si>
    <t>"ԉ"</t>
  </si>
  <si>
    <t>"Ԋ"</t>
  </si>
  <si>
    <t>"ԋ"</t>
  </si>
  <si>
    <t>"Ԍ"</t>
  </si>
  <si>
    <t>"ԍ"</t>
  </si>
  <si>
    <t>"Ԏ"</t>
  </si>
  <si>
    <t>"ԏ"</t>
  </si>
  <si>
    <t>"Ԑ"</t>
  </si>
  <si>
    <t>"ԑ"</t>
  </si>
  <si>
    <t>"Ԓ"</t>
  </si>
  <si>
    <t>"ԓ"</t>
  </si>
  <si>
    <t>"Ԕ"</t>
  </si>
  <si>
    <t>"ԕ"</t>
  </si>
  <si>
    <t>"Ԗ"</t>
  </si>
  <si>
    <t>"ԗ"</t>
  </si>
  <si>
    <t>"Ԙ"</t>
  </si>
  <si>
    <t>"ԙ"</t>
  </si>
  <si>
    <t>"Ԛ"</t>
  </si>
  <si>
    <t>"ԛ"</t>
  </si>
  <si>
    <t>"Ԝ"</t>
  </si>
  <si>
    <t>"ԝ"</t>
  </si>
  <si>
    <t>"Ԟ"</t>
  </si>
  <si>
    <t>"ԟ"</t>
  </si>
  <si>
    <t>"Ԡ"</t>
  </si>
  <si>
    <t>"ԡ"</t>
  </si>
  <si>
    <t>"Ԣ"</t>
  </si>
  <si>
    <t>"ԣ"</t>
  </si>
  <si>
    <t>"Ԥ"</t>
  </si>
  <si>
    <t>"ԥ"</t>
  </si>
  <si>
    <t>"Ԧ"</t>
  </si>
  <si>
    <t>"ԧ"</t>
  </si>
  <si>
    <t>"Ԩ"</t>
  </si>
  <si>
    <t>"ԩ"</t>
  </si>
  <si>
    <t>"Ԫ"</t>
  </si>
  <si>
    <t>"ԫ"</t>
  </si>
  <si>
    <t>"Ԭ"</t>
  </si>
  <si>
    <t>"ԭ"</t>
  </si>
  <si>
    <t>"Ԯ"</t>
  </si>
  <si>
    <t>"ԯ"</t>
  </si>
  <si>
    <t>"԰"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</si>
  <si>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</si>
  <si>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</si>
  <si>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</si>
  <si>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</si>
  <si>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</si>
  <si>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</si>
  <si>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</si>
  <si>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</si>
  <si>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</si>
  <si>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</si>
  <si>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</si>
  <si>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</si>
  <si>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</si>
  <si>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</si>
  <si>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</si>
  <si>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</si>
  <si>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</si>
  <si>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</si>
  <si>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</si>
  <si>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</si>
  <si>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</si>
  <si>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</si>
  <si>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</si>
  <si>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</si>
  <si>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</si>
  <si>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</si>
  <si>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</si>
  <si>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</si>
  <si>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</si>
  <si>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</si>
  <si>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</si>
  <si>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</si>
  <si>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</si>
  <si>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</si>
  <si>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</si>
  <si>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</si>
  <si>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</si>
  <si>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</si>
  <si>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"՗"</t>
  </si>
  <si>
    <t>"՘"</t>
  </si>
  <si>
    <t>"ՙ"</t>
  </si>
  <si>
    <t>"՚"</t>
  </si>
  <si>
    <t>"՛"</t>
  </si>
  <si>
    <t>"՜"</t>
  </si>
  <si>
    <t>"՝"</t>
  </si>
  <si>
    <t>"՞"</t>
  </si>
  <si>
    <t>"՟"</t>
  </si>
  <si>
    <t>"ՠ"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</si>
  <si>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</si>
  <si>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</si>
  <si>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</si>
  <si>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</si>
  <si>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</si>
  <si>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</si>
  <si>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</si>
  <si>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</si>
  <si>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</si>
  <si>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</si>
  <si>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</si>
  <si>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</si>
  <si>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</si>
  <si>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</si>
  <si>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</si>
  <si>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</si>
  <si>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</si>
  <si>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</si>
  <si>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</si>
  <si>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</si>
  <si>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</si>
  <si>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</si>
  <si>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</si>
  <si>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</si>
  <si>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</si>
  <si>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</si>
  <si>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</si>
  <si>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</si>
  <si>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</si>
  <si>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</si>
  <si>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</si>
  <si>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</si>
  <si>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</si>
  <si>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</si>
  <si>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</si>
  <si>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</si>
  <si>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</si>
  <si>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</si>
  <si>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"և"</t>
  </si>
  <si>
    <t>"ֈ"</t>
  </si>
  <si>
    <t>"։"</t>
  </si>
  <si>
    <t>"֊"</t>
  </si>
  <si>
    <t>"֋"</t>
  </si>
  <si>
    <t>"֌"</t>
  </si>
  <si>
    <t>"֍"</t>
  </si>
  <si>
    <t>"֎"</t>
  </si>
  <si>
    <t>"֏"</t>
  </si>
  <si>
    <t>"֐"</t>
  </si>
  <si>
    <t>"֑"</t>
  </si>
  <si>
    <t>"֒"</t>
  </si>
  <si>
    <t>"֓"</t>
  </si>
  <si>
    <t>"֔"</t>
  </si>
  <si>
    <t>"֕"</t>
  </si>
  <si>
    <t>"֖"</t>
  </si>
  <si>
    <t>"֗"</t>
  </si>
  <si>
    <t>"֘"</t>
  </si>
  <si>
    <t>"֙"</t>
  </si>
  <si>
    <t>"֚"</t>
  </si>
  <si>
    <t>"֛"</t>
  </si>
  <si>
    <t>"֜"</t>
  </si>
  <si>
    <t>"֝"</t>
  </si>
  <si>
    <t>"֞"</t>
  </si>
  <si>
    <t>"֟"</t>
  </si>
  <si>
    <t>"֠"</t>
  </si>
  <si>
    <t>"֡"</t>
  </si>
  <si>
    <t>"֢"</t>
  </si>
  <si>
    <t>"֣"</t>
  </si>
  <si>
    <t>"֤"</t>
  </si>
  <si>
    <t>"֥"</t>
  </si>
  <si>
    <t>"֦"</t>
  </si>
  <si>
    <t>"֧"</t>
  </si>
  <si>
    <t>"֨"</t>
  </si>
  <si>
    <t>"֩"</t>
  </si>
  <si>
    <t>"֪"</t>
  </si>
  <si>
    <t>"֫"</t>
  </si>
  <si>
    <t>"֬"</t>
  </si>
  <si>
    <t>"֭"</t>
  </si>
  <si>
    <t>"֮"</t>
  </si>
  <si>
    <t>"֯"</t>
  </si>
  <si>
    <t>"ְ"</t>
  </si>
  <si>
    <t>"ֱ"</t>
  </si>
  <si>
    <t>"ֲ"</t>
  </si>
  <si>
    <t>"ֳ"</t>
  </si>
  <si>
    <t>"ִ"</t>
  </si>
  <si>
    <t>"ֵ"</t>
  </si>
  <si>
    <t>"ֶ"</t>
  </si>
  <si>
    <t>"ַ"</t>
  </si>
  <si>
    <t>"ָ"</t>
  </si>
  <si>
    <t>"ֹ"</t>
  </si>
  <si>
    <t>"ֺ"</t>
  </si>
  <si>
    <t>"ֻ"</t>
  </si>
  <si>
    <t>"ּ"</t>
  </si>
  <si>
    <t>"ֽ"</t>
  </si>
  <si>
    <t>"־"</t>
  </si>
  <si>
    <t>"ֿ"</t>
  </si>
  <si>
    <t>"׀"</t>
  </si>
  <si>
    <t>"ׁ"</t>
  </si>
  <si>
    <t>"ׂ"</t>
  </si>
  <si>
    <t>"׃"</t>
  </si>
  <si>
    <t>"ׄ"</t>
  </si>
  <si>
    <t>"ׅ"</t>
  </si>
  <si>
    <t>"׆"</t>
  </si>
  <si>
    <t>"ׇ"</t>
  </si>
  <si>
    <t>"׈"</t>
  </si>
  <si>
    <t>"׉"</t>
  </si>
  <si>
    <t>"׊"</t>
  </si>
  <si>
    <t>"׋"</t>
  </si>
  <si>
    <t>"׌"</t>
  </si>
  <si>
    <t>"׍"</t>
  </si>
  <si>
    <t>"׎"</t>
  </si>
  <si>
    <t>"׏"</t>
  </si>
  <si>
    <t>"א"</t>
  </si>
  <si>
    <t>"ב"</t>
  </si>
  <si>
    <t>"ג"</t>
  </si>
  <si>
    <t>"ד"</t>
  </si>
  <si>
    <t>"ה"</t>
  </si>
  <si>
    <t>"ו"</t>
  </si>
  <si>
    <t>"ז"</t>
  </si>
  <si>
    <t>"ח"</t>
  </si>
  <si>
    <t>"ט"</t>
  </si>
  <si>
    <t>"י"</t>
  </si>
  <si>
    <t>"ך"</t>
  </si>
  <si>
    <t>"כ"</t>
  </si>
  <si>
    <t>"ל"</t>
  </si>
  <si>
    <t>"ם"</t>
  </si>
  <si>
    <t>"מ"</t>
  </si>
  <si>
    <t>"ן"</t>
  </si>
  <si>
    <t>"נ"</t>
  </si>
  <si>
    <t>"ס"</t>
  </si>
  <si>
    <t>"ע"</t>
  </si>
  <si>
    <t>"ף"</t>
  </si>
  <si>
    <t>"פ"</t>
  </si>
  <si>
    <t>"ץ"</t>
  </si>
  <si>
    <t>"צ"</t>
  </si>
  <si>
    <t>"ק"</t>
  </si>
  <si>
    <t>"ר"</t>
  </si>
  <si>
    <t>"ש"</t>
  </si>
  <si>
    <t>"ת"</t>
  </si>
  <si>
    <t>"׫"</t>
  </si>
  <si>
    <t>"׬"</t>
  </si>
  <si>
    <t>"׭"</t>
  </si>
  <si>
    <t>"׮"</t>
  </si>
  <si>
    <t>"ׯ"</t>
  </si>
  <si>
    <t>"װ"</t>
  </si>
  <si>
    <t>"ױ"</t>
  </si>
  <si>
    <t>"ײ"</t>
  </si>
  <si>
    <t>"׳"</t>
  </si>
  <si>
    <t>"״"</t>
  </si>
  <si>
    <t>"׵"</t>
  </si>
  <si>
    <t>"׶"</t>
  </si>
  <si>
    <t>"׷"</t>
  </si>
  <si>
    <t>"׸"</t>
  </si>
  <si>
    <t>"׹"</t>
  </si>
  <si>
    <t>"׺"</t>
  </si>
  <si>
    <t>"׻"</t>
  </si>
  <si>
    <t>"׼"</t>
  </si>
  <si>
    <t>"׽"</t>
  </si>
  <si>
    <t>"׾"</t>
  </si>
  <si>
    <t>"׿"</t>
  </si>
  <si>
    <t>"؀"</t>
  </si>
  <si>
    <t>"؁"</t>
  </si>
  <si>
    <t>"؂"</t>
  </si>
  <si>
    <t>"؃"</t>
  </si>
  <si>
    <t>"؄"</t>
  </si>
  <si>
    <t>"؅"</t>
  </si>
  <si>
    <t>"؆"</t>
  </si>
  <si>
    <t>"؇"</t>
  </si>
  <si>
    <t>"؈"</t>
  </si>
  <si>
    <t>"؉"</t>
  </si>
  <si>
    <t>"؊"</t>
  </si>
  <si>
    <t>"؋"</t>
  </si>
  <si>
    <t>"،"</t>
  </si>
  <si>
    <t>"؍"</t>
  </si>
  <si>
    <t>"؎"</t>
  </si>
  <si>
    <t>"؏"</t>
  </si>
  <si>
    <t>"ؐ"</t>
  </si>
  <si>
    <t>"ؑ"</t>
  </si>
  <si>
    <t>"ؒ"</t>
  </si>
  <si>
    <t>"ؓ"</t>
  </si>
  <si>
    <t>"ؔ"</t>
  </si>
  <si>
    <t>"ؕ"</t>
  </si>
  <si>
    <t>"ؖ"</t>
  </si>
  <si>
    <t>"ؗ"</t>
  </si>
  <si>
    <t>"ؘ"</t>
  </si>
  <si>
    <t>"ؙ"</t>
  </si>
  <si>
    <t>"ؚ"</t>
  </si>
  <si>
    <t>"؛"</t>
  </si>
  <si>
    <t>"؜"</t>
  </si>
  <si>
    <t>"؝"</t>
  </si>
  <si>
    <t>"؞"</t>
  </si>
  <si>
    <t>"؟"</t>
  </si>
  <si>
    <t>"ؠ"</t>
  </si>
  <si>
    <t>"ء"</t>
  </si>
  <si>
    <t>"آ"</t>
  </si>
  <si>
    <t>"أ"</t>
  </si>
  <si>
    <t>"ؤ"</t>
  </si>
  <si>
    <t>"إ"</t>
  </si>
  <si>
    <t>"ئ"</t>
  </si>
  <si>
    <t>"ا"</t>
  </si>
  <si>
    <t>"ب"</t>
  </si>
  <si>
    <t>"ة"</t>
  </si>
  <si>
    <t>"ت"</t>
  </si>
  <si>
    <t>"ث"</t>
  </si>
  <si>
    <t>"ج"</t>
  </si>
  <si>
    <t>"ح"</t>
  </si>
  <si>
    <t>"خ"</t>
  </si>
  <si>
    <t>"د"</t>
  </si>
  <si>
    <t>"ذ"</t>
  </si>
  <si>
    <t>"ر"</t>
  </si>
  <si>
    <t>"ز"</t>
  </si>
  <si>
    <t>"س"</t>
  </si>
  <si>
    <t>"ش"</t>
  </si>
  <si>
    <t>"ص"</t>
  </si>
  <si>
    <t>"ض"</t>
  </si>
  <si>
    <t>"ط"</t>
  </si>
  <si>
    <t>"ظ"</t>
  </si>
  <si>
    <t>"ع"</t>
  </si>
  <si>
    <t>"غ"</t>
  </si>
  <si>
    <t>"ػ"</t>
  </si>
  <si>
    <t>"ؼ"</t>
  </si>
  <si>
    <t>"ؽ"</t>
  </si>
  <si>
    <t>"ؾ"</t>
  </si>
  <si>
    <t>"ؿ"</t>
  </si>
  <si>
    <t>"ـ"</t>
  </si>
  <si>
    <t>"ف"</t>
  </si>
  <si>
    <t>"ق"</t>
  </si>
  <si>
    <t>"ك"</t>
  </si>
  <si>
    <t>"ل"</t>
  </si>
  <si>
    <t>"م"</t>
  </si>
  <si>
    <t>"ن"</t>
  </si>
  <si>
    <t>"ه"</t>
  </si>
  <si>
    <t>"و"</t>
  </si>
  <si>
    <t>"ى"</t>
  </si>
  <si>
    <t>"ي"</t>
  </si>
  <si>
    <t>"ً"</t>
  </si>
  <si>
    <t>"ٌ"</t>
  </si>
  <si>
    <t>"ٍ"</t>
  </si>
  <si>
    <t>"َ"</t>
  </si>
  <si>
    <t>"ُ"</t>
  </si>
  <si>
    <t>"ِ"</t>
  </si>
  <si>
    <t>"ّ"</t>
  </si>
  <si>
    <t>"ْ"</t>
  </si>
  <si>
    <t>"ٓ"</t>
  </si>
  <si>
    <t>"ٔ"</t>
  </si>
  <si>
    <t>"ٕ"</t>
  </si>
  <si>
    <t>"ٖ"</t>
  </si>
  <si>
    <t>"ٗ"</t>
  </si>
  <si>
    <t>"٘"</t>
  </si>
  <si>
    <t>"ٙ"</t>
  </si>
  <si>
    <t>"ٚ"</t>
  </si>
  <si>
    <t>"ٛ"</t>
  </si>
  <si>
    <t>"ٜ"</t>
  </si>
  <si>
    <t>"ٝ"</t>
  </si>
  <si>
    <t>"ٞ"</t>
  </si>
  <si>
    <t>"ٟ"</t>
  </si>
  <si>
    <t>"٠"</t>
  </si>
  <si>
    <t>"١"</t>
  </si>
  <si>
    <t>"٢"</t>
  </si>
  <si>
    <t>"٣"</t>
  </si>
  <si>
    <t>"٤"</t>
  </si>
  <si>
    <t>"٥"</t>
  </si>
  <si>
    <t>"٦"</t>
  </si>
  <si>
    <t>"٧"</t>
  </si>
  <si>
    <t>"٨"</t>
  </si>
  <si>
    <t>"٩"</t>
  </si>
  <si>
    <t>"٪"</t>
  </si>
  <si>
    <t>"٫"</t>
  </si>
  <si>
    <t>"٬"</t>
  </si>
  <si>
    <t>"٭"</t>
  </si>
  <si>
    <t>"ٮ"</t>
  </si>
  <si>
    <t>"ٯ"</t>
  </si>
  <si>
    <t>"ٰ"</t>
  </si>
  <si>
    <t>"ٱ"</t>
  </si>
  <si>
    <t>"ٲ"</t>
  </si>
  <si>
    <t>"ٳ"</t>
  </si>
  <si>
    <t>"ٴ"</t>
  </si>
  <si>
    <t>"ٵ"</t>
  </si>
  <si>
    <t>"ٶ"</t>
  </si>
  <si>
    <t>"ٷ"</t>
  </si>
  <si>
    <t>"ٸ"</t>
  </si>
  <si>
    <t>"ٹ"</t>
  </si>
  <si>
    <t>"ٺ"</t>
  </si>
  <si>
    <t>"ٻ"</t>
  </si>
  <si>
    <t>"ټ"</t>
  </si>
  <si>
    <t>"ٽ"</t>
  </si>
  <si>
    <t>"پ"</t>
  </si>
  <si>
    <t>"ٿ"</t>
  </si>
  <si>
    <t>"ڀ"</t>
  </si>
  <si>
    <t>"ځ"</t>
  </si>
  <si>
    <t>"ڂ"</t>
  </si>
  <si>
    <t>"ڃ"</t>
  </si>
  <si>
    <t>"ڄ"</t>
  </si>
  <si>
    <t>"څ"</t>
  </si>
  <si>
    <t>"چ"</t>
  </si>
  <si>
    <t>"ڇ"</t>
  </si>
  <si>
    <t>"ڈ"</t>
  </si>
  <si>
    <t>"ډ"</t>
  </si>
  <si>
    <t>"ڊ"</t>
  </si>
  <si>
    <t>"ڋ"</t>
  </si>
  <si>
    <t>"ڌ"</t>
  </si>
  <si>
    <t>"ڍ"</t>
  </si>
  <si>
    <t>"ڎ"</t>
  </si>
  <si>
    <t>"ڏ"</t>
  </si>
  <si>
    <t>"ڐ"</t>
  </si>
  <si>
    <t>"ڑ"</t>
  </si>
  <si>
    <t>"ڒ"</t>
  </si>
  <si>
    <t>"ړ"</t>
  </si>
  <si>
    <t>"ڔ"</t>
  </si>
  <si>
    <t>"ڕ"</t>
  </si>
  <si>
    <t>"ږ"</t>
  </si>
  <si>
    <t>"ڗ"</t>
  </si>
  <si>
    <t>"ژ"</t>
  </si>
  <si>
    <t>"ڙ"</t>
  </si>
  <si>
    <t>"ښ"</t>
  </si>
  <si>
    <t>"ڛ"</t>
  </si>
  <si>
    <t>"ڜ"</t>
  </si>
  <si>
    <t>"ڝ"</t>
  </si>
  <si>
    <t>"ڞ"</t>
  </si>
  <si>
    <t>"ڟ"</t>
  </si>
  <si>
    <t>"ڠ"</t>
  </si>
  <si>
    <t>"ڡ"</t>
  </si>
  <si>
    <t>"ڢ"</t>
  </si>
  <si>
    <t>"ڣ"</t>
  </si>
  <si>
    <t>"ڤ"</t>
  </si>
  <si>
    <t>"ڥ"</t>
  </si>
  <si>
    <t>"ڦ"</t>
  </si>
  <si>
    <t>"ڧ"</t>
  </si>
  <si>
    <t>"ڨ"</t>
  </si>
  <si>
    <t>"ک"</t>
  </si>
  <si>
    <t>"ڪ"</t>
  </si>
  <si>
    <t>"ګ"</t>
  </si>
  <si>
    <t>"ڬ"</t>
  </si>
  <si>
    <t>"ڭ"</t>
  </si>
  <si>
    <t>"ڮ"</t>
  </si>
  <si>
    <t>"گ"</t>
  </si>
  <si>
    <t>"ڰ"</t>
  </si>
  <si>
    <t>"ڱ"</t>
  </si>
  <si>
    <t>"ڲ"</t>
  </si>
  <si>
    <t>"ڳ"</t>
  </si>
  <si>
    <t>"ڴ"</t>
  </si>
  <si>
    <t>"ڵ"</t>
  </si>
  <si>
    <t>"ڶ"</t>
  </si>
  <si>
    <t>"ڷ"</t>
  </si>
  <si>
    <t>"ڸ"</t>
  </si>
  <si>
    <t>"ڹ"</t>
  </si>
  <si>
    <t>"ں"</t>
  </si>
  <si>
    <t>"ڻ"</t>
  </si>
  <si>
    <t>"ڼ"</t>
  </si>
  <si>
    <t>"ڽ"</t>
  </si>
  <si>
    <t>"ھ"</t>
  </si>
  <si>
    <t>"ڿ"</t>
  </si>
  <si>
    <t>"ۀ"</t>
  </si>
  <si>
    <t>"ہ"</t>
  </si>
  <si>
    <t>"ۂ"</t>
  </si>
  <si>
    <t>"ۃ"</t>
  </si>
  <si>
    <t>"ۄ"</t>
  </si>
  <si>
    <t>"ۅ"</t>
  </si>
  <si>
    <t>"ۆ"</t>
  </si>
  <si>
    <t>"ۇ"</t>
  </si>
  <si>
    <t>"ۈ"</t>
  </si>
  <si>
    <t>"ۉ"</t>
  </si>
  <si>
    <t>"ۊ"</t>
  </si>
  <si>
    <t>"ۋ"</t>
  </si>
  <si>
    <t>"ی"</t>
  </si>
  <si>
    <t>"ۍ"</t>
  </si>
  <si>
    <t>"ێ"</t>
  </si>
  <si>
    <t>"ۏ"</t>
  </si>
  <si>
    <t>"ې"</t>
  </si>
  <si>
    <t>"ۑ"</t>
  </si>
  <si>
    <t>"ے"</t>
  </si>
  <si>
    <t>"ۓ"</t>
  </si>
  <si>
    <t>"۔"</t>
  </si>
  <si>
    <t>"ە"</t>
  </si>
  <si>
    <t>"ۖ"</t>
  </si>
  <si>
    <t>"ۗ"</t>
  </si>
  <si>
    <t>"ۘ"</t>
  </si>
  <si>
    <t>"ۙ"</t>
  </si>
  <si>
    <t>"ۚ"</t>
  </si>
  <si>
    <t>"ۛ"</t>
  </si>
  <si>
    <t>"ۜ"</t>
  </si>
  <si>
    <t>"۝"</t>
  </si>
  <si>
    <t>"۞"</t>
  </si>
  <si>
    <t>"۟"</t>
  </si>
  <si>
    <t>"۠"</t>
  </si>
  <si>
    <t>"ۡ"</t>
  </si>
  <si>
    <t>"ۢ"</t>
  </si>
  <si>
    <t>"ۣ"</t>
  </si>
  <si>
    <t>"ۤ"</t>
  </si>
  <si>
    <t>"ۥ"</t>
  </si>
  <si>
    <t>"ۦ"</t>
  </si>
  <si>
    <t>"ۧ"</t>
  </si>
  <si>
    <t>"ۨ"</t>
  </si>
  <si>
    <t>"۩"</t>
  </si>
  <si>
    <t>"۪"</t>
  </si>
  <si>
    <t>"۫"</t>
  </si>
  <si>
    <t>"۬"</t>
  </si>
  <si>
    <t>"ۭ"</t>
  </si>
  <si>
    <t>"ۮ"</t>
  </si>
  <si>
    <t>"ۯ"</t>
  </si>
  <si>
    <t>"۰"</t>
  </si>
  <si>
    <t>"۱"</t>
  </si>
  <si>
    <t>"۲"</t>
  </si>
  <si>
    <t>"۳"</t>
  </si>
  <si>
    <t>"۴"</t>
  </si>
  <si>
    <t>"۵"</t>
  </si>
  <si>
    <t>"۶"</t>
  </si>
  <si>
    <t>"۷"</t>
  </si>
  <si>
    <t>"۸"</t>
  </si>
  <si>
    <t>"۹"</t>
  </si>
  <si>
    <t>"ۺ"</t>
  </si>
  <si>
    <t>"ۻ"</t>
  </si>
  <si>
    <t>"ۼ"</t>
  </si>
  <si>
    <t>"۽"</t>
  </si>
  <si>
    <t>"۾"</t>
  </si>
  <si>
    <t>"ۿ"</t>
  </si>
  <si>
    <t>"܀"</t>
  </si>
  <si>
    <t>"܁"</t>
  </si>
  <si>
    <t>"܂"</t>
  </si>
  <si>
    <t>"܃"</t>
  </si>
  <si>
    <t>"܄"</t>
  </si>
  <si>
    <t>"܅"</t>
  </si>
  <si>
    <t>"܆"</t>
  </si>
  <si>
    <t>"܇"</t>
  </si>
  <si>
    <t>"܈"</t>
  </si>
  <si>
    <t>"܉"</t>
  </si>
  <si>
    <t>"܊"</t>
  </si>
  <si>
    <t>"܋"</t>
  </si>
  <si>
    <t>"܌"</t>
  </si>
  <si>
    <t>"܍"</t>
  </si>
  <si>
    <t>"܎"</t>
  </si>
  <si>
    <t>"܏"</t>
  </si>
  <si>
    <t>"ܐ"</t>
  </si>
  <si>
    <t>"ܑ"</t>
  </si>
  <si>
    <t>"ܒ"</t>
  </si>
  <si>
    <t>"ܓ"</t>
  </si>
  <si>
    <t>"ܔ"</t>
  </si>
  <si>
    <t>"ܕ"</t>
  </si>
  <si>
    <t>"ܖ"</t>
  </si>
  <si>
    <t>"ܗ"</t>
  </si>
  <si>
    <t>"ܘ"</t>
  </si>
  <si>
    <t>"ܙ"</t>
  </si>
  <si>
    <t>"ܚ"</t>
  </si>
  <si>
    <t>"ܛ"</t>
  </si>
  <si>
    <t>"ܜ"</t>
  </si>
  <si>
    <t>"ܝ"</t>
  </si>
  <si>
    <t>"ܞ"</t>
  </si>
  <si>
    <t>"ܟ"</t>
  </si>
  <si>
    <t>"ܠ"</t>
  </si>
  <si>
    <t>"ܡ"</t>
  </si>
  <si>
    <t>"ܢ"</t>
  </si>
  <si>
    <t>"ܣ"</t>
  </si>
  <si>
    <t>"ܤ"</t>
  </si>
  <si>
    <t>"ܥ"</t>
  </si>
  <si>
    <t>"ܦ"</t>
  </si>
  <si>
    <t>"ܧ"</t>
  </si>
  <si>
    <t>"ܨ"</t>
  </si>
  <si>
    <t>"ܩ"</t>
  </si>
  <si>
    <t>"ܪ"</t>
  </si>
  <si>
    <t>"ܫ"</t>
  </si>
  <si>
    <t>"ܬ"</t>
  </si>
  <si>
    <t>"ܭ"</t>
  </si>
  <si>
    <t>"ܮ"</t>
  </si>
  <si>
    <t>"ܯ"</t>
  </si>
  <si>
    <t>"ܰ"</t>
  </si>
  <si>
    <t>"ܱ"</t>
  </si>
  <si>
    <t>"ܲ"</t>
  </si>
  <si>
    <t>"ܳ"</t>
  </si>
  <si>
    <t>"ܴ"</t>
  </si>
  <si>
    <t>"ܵ"</t>
  </si>
  <si>
    <t>"ܶ"</t>
  </si>
  <si>
    <t>"ܷ"</t>
  </si>
  <si>
    <t>"ܸ"</t>
  </si>
  <si>
    <t>"ܹ"</t>
  </si>
  <si>
    <t>"ܺ"</t>
  </si>
  <si>
    <t>"ܻ"</t>
  </si>
  <si>
    <t>"ܼ"</t>
  </si>
  <si>
    <t>"ܽ"</t>
  </si>
  <si>
    <t>"ܾ"</t>
  </si>
  <si>
    <t>"ܿ"</t>
  </si>
  <si>
    <t>"݀"</t>
  </si>
  <si>
    <t>"݁"</t>
  </si>
  <si>
    <t>"݂"</t>
  </si>
  <si>
    <t>"݃"</t>
  </si>
  <si>
    <t>"݄"</t>
  </si>
  <si>
    <t>"݅"</t>
  </si>
  <si>
    <t>"݆"</t>
  </si>
  <si>
    <t>"݇"</t>
  </si>
  <si>
    <t>"݈"</t>
  </si>
  <si>
    <t>"݉"</t>
  </si>
  <si>
    <t>"݊"</t>
  </si>
  <si>
    <t>"݋"</t>
  </si>
  <si>
    <t>"݌"</t>
  </si>
  <si>
    <t>"ݍ"</t>
  </si>
  <si>
    <t>"ݎ"</t>
  </si>
  <si>
    <t>"ݏ"</t>
  </si>
  <si>
    <t>"ݐ"</t>
  </si>
  <si>
    <t>"ݑ"</t>
  </si>
  <si>
    <t>"ݒ"</t>
  </si>
  <si>
    <t>"ݓ"</t>
  </si>
  <si>
    <t>"ݔ"</t>
  </si>
  <si>
    <t>"ݕ"</t>
  </si>
  <si>
    <t>"ݖ"</t>
  </si>
  <si>
    <t>"ݗ"</t>
  </si>
  <si>
    <t>"ݘ"</t>
  </si>
  <si>
    <t>"ݙ"</t>
  </si>
  <si>
    <t>"ݚ"</t>
  </si>
  <si>
    <t>"ݛ"</t>
  </si>
  <si>
    <t>"ݜ"</t>
  </si>
  <si>
    <t>"ݝ"</t>
  </si>
  <si>
    <t>"ݞ"</t>
  </si>
  <si>
    <t>"ݟ"</t>
  </si>
  <si>
    <t>"ݠ"</t>
  </si>
  <si>
    <t>"ݡ"</t>
  </si>
  <si>
    <t>"ݢ"</t>
  </si>
  <si>
    <t>"ݣ"</t>
  </si>
  <si>
    <t>"ݤ"</t>
  </si>
  <si>
    <t>"ݥ"</t>
  </si>
  <si>
    <t>"ݦ"</t>
  </si>
  <si>
    <t>"ݧ"</t>
  </si>
  <si>
    <t>"ݨ"</t>
  </si>
  <si>
    <t>"ݩ"</t>
  </si>
  <si>
    <t>"ݪ"</t>
  </si>
  <si>
    <t>"ݫ"</t>
  </si>
  <si>
    <t>"ݬ"</t>
  </si>
  <si>
    <t>"ݭ"</t>
  </si>
  <si>
    <t>"ݮ"</t>
  </si>
  <si>
    <t>"ݯ"</t>
  </si>
  <si>
    <t>"ݰ"</t>
  </si>
  <si>
    <t>"ݱ"</t>
  </si>
  <si>
    <t>"ݲ"</t>
  </si>
  <si>
    <t>"ݳ"</t>
  </si>
  <si>
    <t>"ݴ"</t>
  </si>
  <si>
    <t>"ݵ"</t>
  </si>
  <si>
    <t>"ݶ"</t>
  </si>
  <si>
    <t>"ݷ"</t>
  </si>
  <si>
    <t>"ݸ"</t>
  </si>
  <si>
    <t>"ݹ"</t>
  </si>
  <si>
    <t>"ݺ"</t>
  </si>
  <si>
    <t>"ݻ"</t>
  </si>
  <si>
    <t>"ݼ"</t>
  </si>
  <si>
    <t>"ݽ"</t>
  </si>
  <si>
    <t>"ݾ"</t>
  </si>
  <si>
    <t>"ݿ"</t>
  </si>
  <si>
    <t>"ހ"</t>
  </si>
  <si>
    <t>"ށ"</t>
  </si>
  <si>
    <t>"ނ"</t>
  </si>
  <si>
    <t>"ރ"</t>
  </si>
  <si>
    <t>"ބ"</t>
  </si>
  <si>
    <t>"ޅ"</t>
  </si>
  <si>
    <t>"ކ"</t>
  </si>
  <si>
    <t>"އ"</t>
  </si>
  <si>
    <t>"ވ"</t>
  </si>
  <si>
    <t>"މ"</t>
  </si>
  <si>
    <t>"ފ"</t>
  </si>
  <si>
    <t>"ދ"</t>
  </si>
  <si>
    <t>"ތ"</t>
  </si>
  <si>
    <t>"ލ"</t>
  </si>
  <si>
    <t>"ގ"</t>
  </si>
  <si>
    <t>"ޏ"</t>
  </si>
  <si>
    <t>"ސ"</t>
  </si>
  <si>
    <t>"ޑ"</t>
  </si>
  <si>
    <t>"ޒ"</t>
  </si>
  <si>
    <t>"ޓ"</t>
  </si>
  <si>
    <t>"ޔ"</t>
  </si>
  <si>
    <t>"ޕ"</t>
  </si>
  <si>
    <t>"ޖ"</t>
  </si>
  <si>
    <t>"ޗ"</t>
  </si>
  <si>
    <t>"ޘ"</t>
  </si>
  <si>
    <t>"ޙ"</t>
  </si>
  <si>
    <t>"ޚ"</t>
  </si>
  <si>
    <t>"ޛ"</t>
  </si>
  <si>
    <t>"ޜ"</t>
  </si>
  <si>
    <t>"ޝ"</t>
  </si>
  <si>
    <t>"ޞ"</t>
  </si>
  <si>
    <t>"ޟ"</t>
  </si>
  <si>
    <t>"ޠ"</t>
  </si>
  <si>
    <t>"ޡ"</t>
  </si>
  <si>
    <t>"ޢ"</t>
  </si>
  <si>
    <t>"ޣ"</t>
  </si>
  <si>
    <t>"ޤ"</t>
  </si>
  <si>
    <t>"ޥ"</t>
  </si>
  <si>
    <t>"ަ"</t>
  </si>
  <si>
    <t>"ާ"</t>
  </si>
  <si>
    <t>"ި"</t>
  </si>
  <si>
    <t>"ީ"</t>
  </si>
  <si>
    <t>"ު"</t>
  </si>
  <si>
    <t>"ޫ"</t>
  </si>
  <si>
    <t>"ެ"</t>
  </si>
  <si>
    <t>"ޭ"</t>
  </si>
  <si>
    <t>"ޮ"</t>
  </si>
  <si>
    <t>"ޯ"</t>
  </si>
  <si>
    <t>"ް"</t>
  </si>
  <si>
    <t>"ޱ"</t>
  </si>
  <si>
    <t>"޲"</t>
  </si>
  <si>
    <t>"޳"</t>
  </si>
  <si>
    <t>"޴"</t>
  </si>
  <si>
    <t>"޵"</t>
  </si>
  <si>
    <t>"޶"</t>
  </si>
  <si>
    <t>"޷"</t>
  </si>
  <si>
    <t>"޸"</t>
  </si>
  <si>
    <t>"޹"</t>
  </si>
  <si>
    <t>"޺"</t>
  </si>
  <si>
    <t>"޻"</t>
  </si>
  <si>
    <t>"޼"</t>
  </si>
  <si>
    <t>"޽"</t>
  </si>
  <si>
    <t>"޾"</t>
  </si>
  <si>
    <t>"޿"</t>
  </si>
  <si>
    <t>"߀"</t>
  </si>
  <si>
    <t>"߁"</t>
  </si>
  <si>
    <t>"߂"</t>
  </si>
  <si>
    <t>"߃"</t>
  </si>
  <si>
    <t>"߄"</t>
  </si>
  <si>
    <t>"߅"</t>
  </si>
  <si>
    <t>"߆"</t>
  </si>
  <si>
    <t>"߇"</t>
  </si>
  <si>
    <t>"߈"</t>
  </si>
  <si>
    <t>"߉"</t>
  </si>
  <si>
    <t>"ߊ"</t>
  </si>
  <si>
    <t>"ߋ"</t>
  </si>
  <si>
    <t>"ߌ"</t>
  </si>
  <si>
    <t>"ߍ"</t>
  </si>
  <si>
    <t>"ߎ"</t>
  </si>
  <si>
    <t>"ߏ"</t>
  </si>
  <si>
    <t>"ߐ"</t>
  </si>
  <si>
    <t>"ྡ"</t>
  </si>
  <si>
    <t>"ྡྷ"</t>
  </si>
  <si>
    <t>"ྣ"</t>
  </si>
  <si>
    <t>"ྤ"</t>
  </si>
  <si>
    <t>"ྥ"</t>
  </si>
  <si>
    <t>"ྦ"</t>
  </si>
  <si>
    <t>"ྦྷ"</t>
  </si>
  <si>
    <t>"ྨ"</t>
  </si>
  <si>
    <t>"ྩ"</t>
  </si>
  <si>
    <t>"ྪ"</t>
  </si>
  <si>
    <t>"ྫ"</t>
  </si>
  <si>
    <t>"ྫྷ"</t>
  </si>
  <si>
    <t>"ྭ"</t>
  </si>
  <si>
    <t>"ྮ"</t>
  </si>
  <si>
    <t>"ྯ"</t>
  </si>
  <si>
    <t>"ྰ"</t>
  </si>
  <si>
    <t>"ྱ"</t>
  </si>
  <si>
    <t>"ྲ"</t>
  </si>
  <si>
    <t>"ླ"</t>
  </si>
  <si>
    <t>"ྴ"</t>
  </si>
  <si>
    <t>"ྵ"</t>
  </si>
  <si>
    <t>"ྶ"</t>
  </si>
  <si>
    <t>"ྷ"</t>
  </si>
  <si>
    <t>"ྸ"</t>
  </si>
  <si>
    <t>"ྐྵ"</t>
  </si>
  <si>
    <t>"ྺ"</t>
  </si>
  <si>
    <t>"ྻ"</t>
  </si>
  <si>
    <t>"ྼ"</t>
  </si>
  <si>
    <t>"྽"</t>
  </si>
  <si>
    <t>"྾"</t>
  </si>
  <si>
    <t>"྿"</t>
  </si>
  <si>
    <t>"࿀"</t>
  </si>
  <si>
    <t>"࿁"</t>
  </si>
  <si>
    <t>"࿂"</t>
  </si>
  <si>
    <t>"࿃"</t>
  </si>
  <si>
    <t>"࿄"</t>
  </si>
  <si>
    <t>"࿅"</t>
  </si>
  <si>
    <t>"࿆"</t>
  </si>
  <si>
    <t>"࿇"</t>
  </si>
  <si>
    <t>"࿈"</t>
  </si>
  <si>
    <t>"࿉"</t>
  </si>
  <si>
    <t>"࿊"</t>
  </si>
  <si>
    <t>"࿋"</t>
  </si>
  <si>
    <t>"࿌"</t>
  </si>
  <si>
    <t>"࿍"</t>
  </si>
  <si>
    <t>"࿎"</t>
  </si>
  <si>
    <t>"࿏"</t>
  </si>
  <si>
    <t>"࿐"</t>
  </si>
  <si>
    <t>"࿑"</t>
  </si>
  <si>
    <t>"࿒"</t>
  </si>
  <si>
    <t>"࿓"</t>
  </si>
  <si>
    <t>"࿔"</t>
  </si>
  <si>
    <t>"࿕"</t>
  </si>
  <si>
    <t>"࿖"</t>
  </si>
  <si>
    <t>"࿗"</t>
  </si>
  <si>
    <t>"࿘"</t>
  </si>
  <si>
    <t>"࿙"</t>
  </si>
  <si>
    <t>"࿚"</t>
  </si>
  <si>
    <t>"࿛"</t>
  </si>
  <si>
    <t>"࿜"</t>
  </si>
  <si>
    <t>"࿝"</t>
  </si>
  <si>
    <t>"࿞"</t>
  </si>
  <si>
    <t>"࿟"</t>
  </si>
  <si>
    <t>"࿠"</t>
  </si>
  <si>
    <t>"࿡"</t>
  </si>
  <si>
    <t>"࿢"</t>
  </si>
  <si>
    <t>"࿣"</t>
  </si>
  <si>
    <t>"࿤"</t>
  </si>
  <si>
    <t>"࿥"</t>
  </si>
  <si>
    <t>"࿦"</t>
  </si>
  <si>
    <t>"࿧"</t>
  </si>
  <si>
    <t>"࿨"</t>
  </si>
  <si>
    <t>"࿩"</t>
  </si>
  <si>
    <t>"࿪"</t>
  </si>
  <si>
    <t>"࿫"</t>
  </si>
  <si>
    <t>"࿬"</t>
  </si>
  <si>
    <t>"࿭"</t>
  </si>
  <si>
    <t>"࿮"</t>
  </si>
  <si>
    <t>"࿯"</t>
  </si>
  <si>
    <t>"࿰"</t>
  </si>
  <si>
    <t>"࿱"</t>
  </si>
  <si>
    <t>"࿲"</t>
  </si>
  <si>
    <t>"࿳"</t>
  </si>
  <si>
    <t>"࿴"</t>
  </si>
  <si>
    <t>"࿵"</t>
  </si>
  <si>
    <t>"࿶"</t>
  </si>
  <si>
    <t>"࿷"</t>
  </si>
  <si>
    <t>"࿸"</t>
  </si>
  <si>
    <t>"࿹"</t>
  </si>
  <si>
    <t>"࿺"</t>
  </si>
  <si>
    <t>"࿻"</t>
  </si>
  <si>
    <t>"࿼"</t>
  </si>
  <si>
    <t>"࿽"</t>
  </si>
  <si>
    <t>"࿾"</t>
  </si>
  <si>
    <t>"࿿"</t>
  </si>
  <si>
    <t>"က"</t>
  </si>
  <si>
    <t>"ခ"</t>
  </si>
  <si>
    <t>"ဂ"</t>
  </si>
  <si>
    <t>"ဃ"</t>
  </si>
  <si>
    <t>"င"</t>
  </si>
  <si>
    <t>"စ"</t>
  </si>
  <si>
    <t>"ဆ"</t>
  </si>
  <si>
    <t>"ဇ"</t>
  </si>
  <si>
    <t>"ဈ"</t>
  </si>
  <si>
    <t>"ဉ"</t>
  </si>
  <si>
    <t>"ည"</t>
  </si>
  <si>
    <t>"ဋ"</t>
  </si>
  <si>
    <t>"ဌ"</t>
  </si>
  <si>
    <t>"ဍ"</t>
  </si>
  <si>
    <t>"ဎ"</t>
  </si>
  <si>
    <t>"ဏ"</t>
  </si>
  <si>
    <t>"တ"</t>
  </si>
  <si>
    <t>"ထ"</t>
  </si>
  <si>
    <t>"ဒ"</t>
  </si>
  <si>
    <t>"ဓ"</t>
  </si>
  <si>
    <t>"န"</t>
  </si>
  <si>
    <t>"ပ"</t>
  </si>
  <si>
    <t>"ဖ"</t>
  </si>
  <si>
    <t>"ဗ"</t>
  </si>
  <si>
    <t>"ဘ"</t>
  </si>
  <si>
    <t>"မ"</t>
  </si>
  <si>
    <t>"ယ"</t>
  </si>
  <si>
    <t>"ရ"</t>
  </si>
  <si>
    <t>"လ"</t>
  </si>
  <si>
    <t>"ဝ"</t>
  </si>
  <si>
    <t>"သ"</t>
  </si>
  <si>
    <t>"ဟ"</t>
  </si>
  <si>
    <t>"ဠ"</t>
  </si>
  <si>
    <t>"အ"</t>
  </si>
  <si>
    <t>"ဢ"</t>
  </si>
  <si>
    <t>"ဣ"</t>
  </si>
  <si>
    <t>"ဤ"</t>
  </si>
  <si>
    <t>"ဥ"</t>
  </si>
  <si>
    <t>"ဦ"</t>
  </si>
  <si>
    <t>"ဧ"</t>
  </si>
  <si>
    <t>"ဨ"</t>
  </si>
  <si>
    <t>"ဩ"</t>
  </si>
  <si>
    <t>"ဪ"</t>
  </si>
  <si>
    <t>"ါ"</t>
  </si>
  <si>
    <t>"ာ"</t>
  </si>
  <si>
    <t>"ိ"</t>
  </si>
  <si>
    <t>"ီ"</t>
  </si>
  <si>
    <t>"ု"</t>
  </si>
  <si>
    <t>"ူ"</t>
  </si>
  <si>
    <t>"ေ"</t>
  </si>
  <si>
    <t>"ဲ"</t>
  </si>
  <si>
    <t>"ဳ"</t>
  </si>
  <si>
    <t>"ဴ"</t>
  </si>
  <si>
    <t>"ဵ"</t>
  </si>
  <si>
    <t>"ံ"</t>
  </si>
  <si>
    <t>"့"</t>
  </si>
  <si>
    <t>"း"</t>
  </si>
  <si>
    <t>"္"</t>
  </si>
  <si>
    <t>"်"</t>
  </si>
  <si>
    <t>"ျ"</t>
  </si>
  <si>
    <t>"ြ"</t>
  </si>
  <si>
    <t>"ွ"</t>
  </si>
  <si>
    <t>"ှ"</t>
  </si>
  <si>
    <t>"ဿ"</t>
  </si>
  <si>
    <t>"၀"</t>
  </si>
  <si>
    <t>"၁"</t>
  </si>
  <si>
    <t>"၂"</t>
  </si>
  <si>
    <t>"၃"</t>
  </si>
  <si>
    <t>"၄"</t>
  </si>
  <si>
    <t>"၅"</t>
  </si>
  <si>
    <t>"၆"</t>
  </si>
  <si>
    <t>"၇"</t>
  </si>
  <si>
    <t>"၈"</t>
  </si>
  <si>
    <t>"၉"</t>
  </si>
  <si>
    <t>"၊"</t>
  </si>
  <si>
    <t>"။"</t>
  </si>
  <si>
    <t>"၌"</t>
  </si>
  <si>
    <t>"၍"</t>
  </si>
  <si>
    <t>"၎"</t>
  </si>
  <si>
    <t>"၏"</t>
  </si>
  <si>
    <t>"ၐ"</t>
  </si>
  <si>
    <t>"ၑ"</t>
  </si>
  <si>
    <t>"ၒ"</t>
  </si>
  <si>
    <t>"ၓ"</t>
  </si>
  <si>
    <t>"ၔ"</t>
  </si>
  <si>
    <t>"ၕ"</t>
  </si>
  <si>
    <t>"ၖ"</t>
  </si>
  <si>
    <t>"ၗ"</t>
  </si>
  <si>
    <t>"ၘ"</t>
  </si>
  <si>
    <t>"ၙ"</t>
  </si>
  <si>
    <t>"ၚ"</t>
  </si>
  <si>
    <t>"ၛ"</t>
  </si>
  <si>
    <t>"ၜ"</t>
  </si>
  <si>
    <t>"ၝ"</t>
  </si>
  <si>
    <t>"ၞ"</t>
  </si>
  <si>
    <t>"ၟ"</t>
  </si>
  <si>
    <t>"ၠ"</t>
  </si>
  <si>
    <t>"ၡ"</t>
  </si>
  <si>
    <t>"ၢ"</t>
  </si>
  <si>
    <t>"ၣ"</t>
  </si>
  <si>
    <t>"ၤ"</t>
  </si>
  <si>
    <t>"ၥ"</t>
  </si>
  <si>
    <t>"ၦ"</t>
  </si>
  <si>
    <t>"ၧ"</t>
  </si>
  <si>
    <t>"ၨ"</t>
  </si>
  <si>
    <t>"ၩ"</t>
  </si>
  <si>
    <t>"ၪ"</t>
  </si>
  <si>
    <t>"ၫ"</t>
  </si>
  <si>
    <t>"ၬ"</t>
  </si>
  <si>
    <t>"ၭ"</t>
  </si>
  <si>
    <t>"ၮ"</t>
  </si>
  <si>
    <t>"ၯ"</t>
  </si>
  <si>
    <t>"ၰ"</t>
  </si>
  <si>
    <t>"ၱ"</t>
  </si>
  <si>
    <t>"ၲ"</t>
  </si>
  <si>
    <t>"ၳ"</t>
  </si>
  <si>
    <t>"ၴ"</t>
  </si>
  <si>
    <t>"ၵ"</t>
  </si>
  <si>
    <t>"ၶ"</t>
  </si>
  <si>
    <t>"ၷ"</t>
  </si>
  <si>
    <t>"ၸ"</t>
  </si>
  <si>
    <t>"ၹ"</t>
  </si>
  <si>
    <t>"ၺ"</t>
  </si>
  <si>
    <t>"ၻ"</t>
  </si>
  <si>
    <t>"ၼ"</t>
  </si>
  <si>
    <t>"ၽ"</t>
  </si>
  <si>
    <t>"ၾ"</t>
  </si>
  <si>
    <t>"ၿ"</t>
  </si>
  <si>
    <t>"ႀ"</t>
  </si>
  <si>
    <t>"ႁ"</t>
  </si>
  <si>
    <t>"ႂ"</t>
  </si>
  <si>
    <t>"ႃ"</t>
  </si>
  <si>
    <t>"ႄ"</t>
  </si>
  <si>
    <t>"ႅ"</t>
  </si>
  <si>
    <t>"ႆ"</t>
  </si>
  <si>
    <t>"ႇ"</t>
  </si>
  <si>
    <t>"ႈ"</t>
  </si>
  <si>
    <t>"ႉ"</t>
  </si>
  <si>
    <t>"ႊ"</t>
  </si>
  <si>
    <t>"ႋ"</t>
  </si>
  <si>
    <t>"ႌ"</t>
  </si>
  <si>
    <t>"ႍ"</t>
  </si>
  <si>
    <t>"ႎ"</t>
  </si>
  <si>
    <t>"ႏ"</t>
  </si>
  <si>
    <t>"႐"</t>
  </si>
  <si>
    <t>"႑"</t>
  </si>
  <si>
    <t>"႒"</t>
  </si>
  <si>
    <t>"႓"</t>
  </si>
  <si>
    <t>"႔"</t>
  </si>
  <si>
    <t>"႕"</t>
  </si>
  <si>
    <t>"႖"</t>
  </si>
  <si>
    <t>"႗"</t>
  </si>
  <si>
    <t>"႘"</t>
  </si>
  <si>
    <t>"႙"</t>
  </si>
  <si>
    <t>"ႚ"</t>
  </si>
  <si>
    <t>"ႛ"</t>
  </si>
  <si>
    <t>"ႜ"</t>
  </si>
  <si>
    <t>"ႝ"</t>
  </si>
  <si>
    <t>"႞"</t>
  </si>
  <si>
    <t>"႟"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</si>
  <si>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</si>
  <si>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</si>
  <si>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</si>
  <si>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</si>
  <si>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</si>
  <si>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</si>
  <si>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</si>
  <si>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</si>
  <si>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</si>
  <si>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</si>
  <si>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</si>
  <si>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</si>
  <si>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</si>
  <si>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</si>
  <si>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</si>
  <si>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</si>
  <si>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</si>
  <si>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</si>
  <si>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</si>
  <si>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</si>
  <si>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</si>
  <si>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</si>
  <si>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</si>
  <si>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</si>
  <si>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</si>
  <si>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</si>
  <si>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</si>
  <si>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</si>
  <si>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</si>
  <si>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</si>
  <si>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</si>
  <si>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</si>
  <si>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</si>
  <si>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</si>
  <si>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</si>
  <si>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</si>
  <si>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</si>
  <si>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</si>
  <si>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"჆"</t>
  </si>
  <si>
    <t>"Ⴧ"</t>
  </si>
  <si>
    <t>"჈"</t>
  </si>
  <si>
    <t>"჉"</t>
  </si>
  <si>
    <t>"჊"</t>
  </si>
  <si>
    <t>"჋"</t>
  </si>
  <si>
    <t>"჌"</t>
  </si>
  <si>
    <t>"Ⴭ"</t>
  </si>
  <si>
    <t>"჎"</t>
  </si>
  <si>
    <t>"჏"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</si>
  <si>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</si>
  <si>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</si>
  <si>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</si>
  <si>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</si>
  <si>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</si>
  <si>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</si>
  <si>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</si>
  <si>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</si>
  <si>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</si>
  <si>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</si>
  <si>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</si>
  <si>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</si>
  <si>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</si>
  <si>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</si>
  <si>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</si>
  <si>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</si>
  <si>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</si>
  <si>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</si>
  <si>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</si>
  <si>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</si>
  <si>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</si>
  <si>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</si>
  <si>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</si>
  <si>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</si>
  <si>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</si>
  <si>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</si>
  <si>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</si>
  <si>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</si>
  <si>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</si>
  <si>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</si>
  <si>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</si>
  <si>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</si>
  <si>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</si>
  <si>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</si>
  <si>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</si>
  <si>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</si>
  <si>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</si>
  <si>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</si>
  <si>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</si>
  <si>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</si>
  <si>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</si>
  <si>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</si>
  <si>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</si>
  <si>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"჻"</t>
  </si>
  <si>
    <t>"ჼ"</t>
  </si>
  <si>
    <t>"ჽ"</t>
  </si>
  <si>
    <t>"ჾ"</t>
  </si>
  <si>
    <t>"ჿ"</t>
  </si>
  <si>
    <t>"ᄀ"</t>
  </si>
  <si>
    <t>"ᄁ"</t>
  </si>
  <si>
    <t>"ᄂ"</t>
  </si>
  <si>
    <t>"ᄃ"</t>
  </si>
  <si>
    <t>"ᄄ"</t>
  </si>
  <si>
    <t>"ᄅ"</t>
  </si>
  <si>
    <t>"ᄆ"</t>
  </si>
  <si>
    <t>"ᄇ"</t>
  </si>
  <si>
    <t>"ᄈ"</t>
  </si>
  <si>
    <t>"ᄉ"</t>
  </si>
  <si>
    <t>"ᄊ"</t>
  </si>
  <si>
    <t>"ᄋ"</t>
  </si>
  <si>
    <t>"ᄌ"</t>
  </si>
  <si>
    <t>"ᄍ"</t>
  </si>
  <si>
    <t>"ᄎ"</t>
  </si>
  <si>
    <t>"ᄏ"</t>
  </si>
  <si>
    <t>"ᄐ"</t>
  </si>
  <si>
    <t>"ᄑ"</t>
  </si>
  <si>
    <t>"ᄒ"</t>
  </si>
  <si>
    <t>"ᄓ"</t>
  </si>
  <si>
    <t>"ᄔ"</t>
  </si>
  <si>
    <t>"ᄕ"</t>
  </si>
  <si>
    <t>"ᄖ"</t>
  </si>
  <si>
    <t>"ᄗ"</t>
  </si>
  <si>
    <t>"ᄘ"</t>
  </si>
  <si>
    <t>"ᄙ"</t>
  </si>
  <si>
    <t>"ᄚ"</t>
  </si>
  <si>
    <t>"ᄛ"</t>
  </si>
  <si>
    <t>"ᄜ"</t>
  </si>
  <si>
    <t>"ᄝ"</t>
  </si>
  <si>
    <t>"ᄞ"</t>
  </si>
  <si>
    <t>"ᄟ"</t>
  </si>
  <si>
    <t>"ᄠ"</t>
  </si>
  <si>
    <t>"ᄡ"</t>
  </si>
  <si>
    <t>"ᄢ"</t>
  </si>
  <si>
    <t>"ᄣ"</t>
  </si>
  <si>
    <t>"ᄤ"</t>
  </si>
  <si>
    <t>"ᄥ"</t>
  </si>
  <si>
    <t>"ᄦ"</t>
  </si>
  <si>
    <t>"ᄧ"</t>
  </si>
  <si>
    <t>"ᄨ"</t>
  </si>
  <si>
    <t>"ᄩ"</t>
  </si>
  <si>
    <t>"ᄪ"</t>
  </si>
  <si>
    <t>"ᄫ"</t>
  </si>
  <si>
    <t>"ᄬ"</t>
  </si>
  <si>
    <t>"ᄭ"</t>
  </si>
  <si>
    <t>"ᄮ"</t>
  </si>
  <si>
    <t>"ᄯ"</t>
  </si>
  <si>
    <t>"ᄰ"</t>
  </si>
  <si>
    <t>"ᄱ"</t>
  </si>
  <si>
    <t>"ᄲ"</t>
  </si>
  <si>
    <t>"ᄳ"</t>
  </si>
  <si>
    <t>"ᄴ"</t>
  </si>
  <si>
    <t>"ᄵ"</t>
  </si>
  <si>
    <t>"ᄶ"</t>
  </si>
  <si>
    <t>"ᄷ"</t>
  </si>
  <si>
    <t>"ᄸ"</t>
  </si>
  <si>
    <t>"ᄹ"</t>
  </si>
  <si>
    <t>"ᄺ"</t>
  </si>
  <si>
    <t>"ᄻ"</t>
  </si>
  <si>
    <t>"ᄼ"</t>
  </si>
  <si>
    <t>"ᄽ"</t>
  </si>
  <si>
    <t>"ᄾ"</t>
  </si>
  <si>
    <t>"ᄿ"</t>
  </si>
  <si>
    <t>"ᅀ"</t>
  </si>
  <si>
    <t>"ᅁ"</t>
  </si>
  <si>
    <t>"ᅂ"</t>
  </si>
  <si>
    <t>"ᅃ"</t>
  </si>
  <si>
    <t>"ᅄ"</t>
  </si>
  <si>
    <t>"ᅅ"</t>
  </si>
  <si>
    <t>"ᅆ"</t>
  </si>
  <si>
    <t>"ᅇ"</t>
  </si>
  <si>
    <t>"ᅈ"</t>
  </si>
  <si>
    <t>"ᅉ"</t>
  </si>
  <si>
    <t>"ᅊ"</t>
  </si>
  <si>
    <t>"ᅋ"</t>
  </si>
  <si>
    <t>"ᅌ"</t>
  </si>
  <si>
    <t>"ᅍ"</t>
  </si>
  <si>
    <t>"ᅎ"</t>
  </si>
  <si>
    <t>"ᅏ"</t>
  </si>
  <si>
    <t>"ᅐ"</t>
  </si>
  <si>
    <t>"ᅑ"</t>
  </si>
  <si>
    <t>"ᅒ"</t>
  </si>
  <si>
    <t>"ᅓ"</t>
  </si>
  <si>
    <t>"ᅔ"</t>
  </si>
  <si>
    <t>"ᅕ"</t>
  </si>
  <si>
    <t>"ᅖ"</t>
  </si>
  <si>
    <t>"ᅗ"</t>
  </si>
  <si>
    <t>"ᅘ"</t>
  </si>
  <si>
    <t>"ᅙ"</t>
  </si>
  <si>
    <t>"ᅚ"</t>
  </si>
  <si>
    <t>"ᅛ"</t>
  </si>
  <si>
    <t>"ᅜ"</t>
  </si>
  <si>
    <t>"ᅝ"</t>
  </si>
  <si>
    <t>"ᅞ"</t>
  </si>
  <si>
    <t>"ᅟ"</t>
  </si>
  <si>
    <t>"ᅠ"</t>
  </si>
  <si>
    <t>"ᅡ"</t>
  </si>
  <si>
    <t>"ᅢ"</t>
  </si>
  <si>
    <t>"ᅣ"</t>
  </si>
  <si>
    <t>"ᅤ"</t>
  </si>
  <si>
    <t>"ᅥ"</t>
  </si>
  <si>
    <t>"ᅦ"</t>
  </si>
  <si>
    <t>"ᅧ"</t>
  </si>
  <si>
    <t>"ᅨ"</t>
  </si>
  <si>
    <t>"ᅩ"</t>
  </si>
  <si>
    <t>"ᅪ"</t>
  </si>
  <si>
    <t>"ᅫ"</t>
  </si>
  <si>
    <t>"ᅬ"</t>
  </si>
  <si>
    <t>"ᅭ"</t>
  </si>
  <si>
    <t>"ᅮ"</t>
  </si>
  <si>
    <t>"ᅯ"</t>
  </si>
  <si>
    <t>"ᅰ"</t>
  </si>
  <si>
    <t>"ᅱ"</t>
  </si>
  <si>
    <t>"ᅲ"</t>
  </si>
  <si>
    <t>"ᅳ"</t>
  </si>
  <si>
    <t>"ᅴ"</t>
  </si>
  <si>
    <t>"ᅵ"</t>
  </si>
  <si>
    <t>"ᅶ"</t>
  </si>
  <si>
    <t>"ᅷ"</t>
  </si>
  <si>
    <t>"ᅸ"</t>
  </si>
  <si>
    <t>"ᅹ"</t>
  </si>
  <si>
    <t>"ᅺ"</t>
  </si>
  <si>
    <t>"ᅻ"</t>
  </si>
  <si>
    <t>"ᅼ"</t>
  </si>
  <si>
    <t>"ᅽ"</t>
  </si>
  <si>
    <t>"ᅾ"</t>
  </si>
  <si>
    <t>"ᅿ"</t>
  </si>
  <si>
    <t>"ᆀ"</t>
  </si>
  <si>
    <t>"ᆁ"</t>
  </si>
  <si>
    <t>"ᆂ"</t>
  </si>
  <si>
    <t>"ᆃ"</t>
  </si>
  <si>
    <t>"ᆄ"</t>
  </si>
  <si>
    <t>"ᆅ"</t>
  </si>
  <si>
    <t>"ᆆ"</t>
  </si>
  <si>
    <t>"ᆇ"</t>
  </si>
  <si>
    <t>"ᆈ"</t>
  </si>
  <si>
    <t>"ᆉ"</t>
  </si>
  <si>
    <t>"ᆊ"</t>
  </si>
  <si>
    <t>"ᆋ"</t>
  </si>
  <si>
    <t>"ᆌ"</t>
  </si>
  <si>
    <t>"ᆍ"</t>
  </si>
  <si>
    <t>"ᆎ"</t>
  </si>
  <si>
    <t>"ᆏ"</t>
  </si>
  <si>
    <t>"ᆐ"</t>
  </si>
  <si>
    <t>"ᆑ"</t>
  </si>
  <si>
    <t>"ᆒ"</t>
  </si>
  <si>
    <t>"ᆓ"</t>
  </si>
  <si>
    <t>"ᆔ"</t>
  </si>
  <si>
    <t>"ᆕ"</t>
  </si>
  <si>
    <t>"ᆖ"</t>
  </si>
  <si>
    <t>"ᆗ"</t>
  </si>
  <si>
    <t>"ᆘ"</t>
  </si>
  <si>
    <t>"ᆙ"</t>
  </si>
  <si>
    <t>"ᆚ"</t>
  </si>
  <si>
    <t>"ᆛ"</t>
  </si>
  <si>
    <t>"ᆜ"</t>
  </si>
  <si>
    <t>"ᆝ"</t>
  </si>
  <si>
    <t>"ᆞ"</t>
  </si>
  <si>
    <t>"ᆟ"</t>
  </si>
  <si>
    <t>"ᆠ"</t>
  </si>
  <si>
    <t>"ᆡ"</t>
  </si>
  <si>
    <t>"ᆢ"</t>
  </si>
  <si>
    <t>"ᆣ"</t>
  </si>
  <si>
    <t>"ᆤ"</t>
  </si>
  <si>
    <t>"ᆥ"</t>
  </si>
  <si>
    <t>"ᆦ"</t>
  </si>
  <si>
    <t>"ᆧ"</t>
  </si>
  <si>
    <t>"ᆨ"</t>
  </si>
  <si>
    <t>"ᆩ"</t>
  </si>
  <si>
    <t>"ᆪ"</t>
  </si>
  <si>
    <t>"ᆫ"</t>
  </si>
  <si>
    <t>"ᆬ"</t>
  </si>
  <si>
    <t>"ᆭ"</t>
  </si>
  <si>
    <t>"ᆮ"</t>
  </si>
  <si>
    <t>"ᆯ"</t>
  </si>
  <si>
    <t>"ᆰ"</t>
  </si>
  <si>
    <t>"ᆱ"</t>
  </si>
  <si>
    <t>"ᆲ"</t>
  </si>
  <si>
    <t>"ᆳ"</t>
  </si>
  <si>
    <t>"ᆴ"</t>
  </si>
  <si>
    <t>"ᆵ"</t>
  </si>
  <si>
    <t>"ᆶ"</t>
  </si>
  <si>
    <t>"ᆷ"</t>
  </si>
  <si>
    <t>"ᆸ"</t>
  </si>
  <si>
    <t>"ᆹ"</t>
  </si>
  <si>
    <t>"ᆺ"</t>
  </si>
  <si>
    <t>"ᆻ"</t>
  </si>
  <si>
    <t>"ᆼ"</t>
  </si>
  <si>
    <t>"ᆽ"</t>
  </si>
  <si>
    <t>"ᆾ"</t>
  </si>
  <si>
    <t>"ᆿ"</t>
  </si>
  <si>
    <t>"ᇀ"</t>
  </si>
  <si>
    <t>"ᇁ"</t>
  </si>
  <si>
    <t>"ᇂ"</t>
  </si>
  <si>
    <t>"ᇃ"</t>
  </si>
  <si>
    <t>"ᇄ"</t>
  </si>
  <si>
    <t>"ᇅ"</t>
  </si>
  <si>
    <t>"ᇆ"</t>
  </si>
  <si>
    <t>"ᇇ"</t>
  </si>
  <si>
    <t>"ᇈ"</t>
  </si>
  <si>
    <t>"ᇉ"</t>
  </si>
  <si>
    <t>"ᇊ"</t>
  </si>
  <si>
    <t>"ᇋ"</t>
  </si>
  <si>
    <t>"ᇌ"</t>
  </si>
  <si>
    <t>"ᇍ"</t>
  </si>
  <si>
    <t>"ᇎ"</t>
  </si>
  <si>
    <t>"ᇏ"</t>
  </si>
  <si>
    <t>"ᇐ"</t>
  </si>
  <si>
    <t>"ᇑ"</t>
  </si>
  <si>
    <t>"ᇒ"</t>
  </si>
  <si>
    <t>"ᇓ"</t>
  </si>
  <si>
    <t>"ᇔ"</t>
  </si>
  <si>
    <t>"ᇕ"</t>
  </si>
  <si>
    <t>"ᇖ"</t>
  </si>
  <si>
    <t>"ᇗ"</t>
  </si>
  <si>
    <t>"ᇘ"</t>
  </si>
  <si>
    <t>"ᇙ"</t>
  </si>
  <si>
    <t>"ᇚ"</t>
  </si>
  <si>
    <t>"ᇛ"</t>
  </si>
  <si>
    <t>"ᇜ"</t>
  </si>
  <si>
    <t>"ᇝ"</t>
  </si>
  <si>
    <t>"ᇞ"</t>
  </si>
  <si>
    <t>"ᇟ"</t>
  </si>
  <si>
    <t>"ᇠ"</t>
  </si>
  <si>
    <t>"ᇡ"</t>
  </si>
  <si>
    <t>"ᇢ"</t>
  </si>
  <si>
    <t>"ᇣ"</t>
  </si>
  <si>
    <t>"ᇤ"</t>
  </si>
  <si>
    <t>"ᇥ"</t>
  </si>
  <si>
    <t>"ᇦ"</t>
  </si>
  <si>
    <t>"ᇧ"</t>
  </si>
  <si>
    <t>"ᇨ"</t>
  </si>
  <si>
    <t>"ᇩ"</t>
  </si>
  <si>
    <t>"ᇪ"</t>
  </si>
  <si>
    <t>"ᇫ"</t>
  </si>
  <si>
    <t>"ᇬ"</t>
  </si>
  <si>
    <t>"ᇭ"</t>
  </si>
  <si>
    <t>"ᇮ"</t>
  </si>
  <si>
    <t>"ᇯ"</t>
  </si>
  <si>
    <t>"ᇰ"</t>
  </si>
  <si>
    <t>"ᇱ"</t>
  </si>
  <si>
    <t>"ᇲ"</t>
  </si>
  <si>
    <t>"ᇳ"</t>
  </si>
  <si>
    <t>"ᇴ"</t>
  </si>
  <si>
    <t>"ᇵ"</t>
  </si>
  <si>
    <t>"ᇶ"</t>
  </si>
  <si>
    <t>"ᇷ"</t>
  </si>
  <si>
    <t>"ᇸ"</t>
  </si>
  <si>
    <t>"ᇹ"</t>
  </si>
  <si>
    <t>"ᇺ"</t>
  </si>
  <si>
    <t>"ᇻ"</t>
  </si>
  <si>
    <t>"ᇼ"</t>
  </si>
  <si>
    <t>"ᇽ"</t>
  </si>
  <si>
    <t>"ᇾ"</t>
  </si>
  <si>
    <t>"ᇿ"</t>
  </si>
  <si>
    <t>"ሀ"</t>
  </si>
  <si>
    <t>"ሁ"</t>
  </si>
  <si>
    <t>"ሂ"</t>
  </si>
  <si>
    <t>"ሃ"</t>
  </si>
  <si>
    <t>"ሄ"</t>
  </si>
  <si>
    <t>"ህ"</t>
  </si>
  <si>
    <t>"ሆ"</t>
  </si>
  <si>
    <t>"ሇ"</t>
  </si>
  <si>
    <t>"ለ"</t>
  </si>
  <si>
    <t>"ሉ"</t>
  </si>
  <si>
    <t>"ሊ"</t>
  </si>
  <si>
    <t>"ላ"</t>
  </si>
  <si>
    <t>"ሌ"</t>
  </si>
  <si>
    <t>"ል"</t>
  </si>
  <si>
    <t>"ሎ"</t>
  </si>
  <si>
    <t>"ሏ"</t>
  </si>
  <si>
    <t>"ሐ"</t>
  </si>
  <si>
    <t>"ሑ"</t>
  </si>
  <si>
    <t>"ሒ"</t>
  </si>
  <si>
    <t>"ሓ"</t>
  </si>
  <si>
    <t>"ሔ"</t>
  </si>
  <si>
    <t>"ሕ"</t>
  </si>
  <si>
    <t>"ሖ"</t>
  </si>
  <si>
    <t>"ሗ"</t>
  </si>
  <si>
    <t>"መ"</t>
  </si>
  <si>
    <t>"ሙ"</t>
  </si>
  <si>
    <t>"ሚ"</t>
  </si>
  <si>
    <t>"ማ"</t>
  </si>
  <si>
    <t>"ሜ"</t>
  </si>
  <si>
    <t>"ም"</t>
  </si>
  <si>
    <t>"ሞ"</t>
  </si>
  <si>
    <t>"ሟ"</t>
  </si>
  <si>
    <t>"ሠ"</t>
  </si>
  <si>
    <t>"ሡ"</t>
  </si>
  <si>
    <t>"ሢ"</t>
  </si>
  <si>
    <t>"ሣ"</t>
  </si>
  <si>
    <t>"ሤ"</t>
  </si>
  <si>
    <t>"ሥ"</t>
  </si>
  <si>
    <t>"ሦ"</t>
  </si>
  <si>
    <t>"ሧ"</t>
  </si>
  <si>
    <t>"ረ"</t>
  </si>
  <si>
    <t>"ሩ"</t>
  </si>
  <si>
    <t>"ሪ"</t>
  </si>
  <si>
    <t>"ራ"</t>
  </si>
  <si>
    <t>"ሬ"</t>
  </si>
  <si>
    <t>"ር"</t>
  </si>
  <si>
    <t>"ሮ"</t>
  </si>
  <si>
    <t>"ሯ"</t>
  </si>
  <si>
    <t>"ሰ"</t>
  </si>
  <si>
    <t>"ሱ"</t>
  </si>
  <si>
    <t>"ሲ"</t>
  </si>
  <si>
    <t>"ሳ"</t>
  </si>
  <si>
    <t>"ሴ"</t>
  </si>
  <si>
    <t>"ስ"</t>
  </si>
  <si>
    <t>"ሶ"</t>
  </si>
  <si>
    <t>"ሷ"</t>
  </si>
  <si>
    <t>"ሸ"</t>
  </si>
  <si>
    <t>"ሹ"</t>
  </si>
  <si>
    <t>"ሺ"</t>
  </si>
  <si>
    <t>"ሻ"</t>
  </si>
  <si>
    <t>"ሼ"</t>
  </si>
  <si>
    <t>"ሽ"</t>
  </si>
  <si>
    <t>"ሾ"</t>
  </si>
  <si>
    <t>"ሿ"</t>
  </si>
  <si>
    <t>"ቀ"</t>
  </si>
  <si>
    <t>"ቁ"</t>
  </si>
  <si>
    <t>"ቂ"</t>
  </si>
  <si>
    <t>"ቃ"</t>
  </si>
  <si>
    <t>"ቄ"</t>
  </si>
  <si>
    <t>"ቅ"</t>
  </si>
  <si>
    <t>"ቆ"</t>
  </si>
  <si>
    <t>"ቇ"</t>
  </si>
  <si>
    <t>"ቈ"</t>
  </si>
  <si>
    <t>"቉"</t>
  </si>
  <si>
    <t>"ቊ"</t>
  </si>
  <si>
    <t>"ቋ"</t>
  </si>
  <si>
    <t>"ቌ"</t>
  </si>
  <si>
    <t>"ቍ"</t>
  </si>
  <si>
    <t>"቎"</t>
  </si>
  <si>
    <t>"቏"</t>
  </si>
  <si>
    <t>"ቐ"</t>
  </si>
  <si>
    <t>"ቑ"</t>
  </si>
  <si>
    <t>"ቒ"</t>
  </si>
  <si>
    <t>"ቓ"</t>
  </si>
  <si>
    <t>"ቔ"</t>
  </si>
  <si>
    <t>"ቕ"</t>
  </si>
  <si>
    <t>"ቖ"</t>
  </si>
  <si>
    <t>"቗"</t>
  </si>
  <si>
    <t>"ቘ"</t>
  </si>
  <si>
    <t>"቙"</t>
  </si>
  <si>
    <t>"ቚ"</t>
  </si>
  <si>
    <t>"ቛ"</t>
  </si>
  <si>
    <t>"ቜ"</t>
  </si>
  <si>
    <t>"ቝ"</t>
  </si>
  <si>
    <t>"቞"</t>
  </si>
  <si>
    <t>"቟"</t>
  </si>
  <si>
    <t>"በ"</t>
  </si>
  <si>
    <t>"ቡ"</t>
  </si>
  <si>
    <t>"ቢ"</t>
  </si>
  <si>
    <t>"ባ"</t>
  </si>
  <si>
    <t>"ቤ"</t>
  </si>
  <si>
    <t>"ብ"</t>
  </si>
  <si>
    <t>"ቦ"</t>
  </si>
  <si>
    <t>"ቧ"</t>
  </si>
  <si>
    <t>"ቨ"</t>
  </si>
  <si>
    <t>"ቩ"</t>
  </si>
  <si>
    <t>"ቪ"</t>
  </si>
  <si>
    <t>"ቫ"</t>
  </si>
  <si>
    <t>"ቬ"</t>
  </si>
  <si>
    <t>"ቭ"</t>
  </si>
  <si>
    <t>"ቮ"</t>
  </si>
  <si>
    <t>"ቯ"</t>
  </si>
  <si>
    <t>"ተ"</t>
  </si>
  <si>
    <t>"ቱ"</t>
  </si>
  <si>
    <t>"ቲ"</t>
  </si>
  <si>
    <t>"ታ"</t>
  </si>
  <si>
    <t>"ቴ"</t>
  </si>
  <si>
    <t>"ት"</t>
  </si>
  <si>
    <t>"ቶ"</t>
  </si>
  <si>
    <t>"ቷ"</t>
  </si>
  <si>
    <t>"ቸ"</t>
  </si>
  <si>
    <t>"ቹ"</t>
  </si>
  <si>
    <t>"ቺ"</t>
  </si>
  <si>
    <t>"ቻ"</t>
  </si>
  <si>
    <t>"ቼ"</t>
  </si>
  <si>
    <t>"ች"</t>
  </si>
  <si>
    <t>"ቾ"</t>
  </si>
  <si>
    <t>"ቿ"</t>
  </si>
  <si>
    <t>"ኀ"</t>
  </si>
  <si>
    <t>"ኁ"</t>
  </si>
  <si>
    <t>"ኂ"</t>
  </si>
  <si>
    <t>"ኃ"</t>
  </si>
  <si>
    <t>"ኄ"</t>
  </si>
  <si>
    <t>"ኅ"</t>
  </si>
  <si>
    <t>"ኆ"</t>
  </si>
  <si>
    <t>"ኇ"</t>
  </si>
  <si>
    <t>"ኈ"</t>
  </si>
  <si>
    <t>"኉"</t>
  </si>
  <si>
    <t>"ኊ"</t>
  </si>
  <si>
    <t>"ኋ"</t>
  </si>
  <si>
    <t>"ኌ"</t>
  </si>
  <si>
    <t>"ኍ"</t>
  </si>
  <si>
    <t>"኎"</t>
  </si>
  <si>
    <t>"኏"</t>
  </si>
  <si>
    <t>"ነ"</t>
  </si>
  <si>
    <t>"ኑ"</t>
  </si>
  <si>
    <t>"ኒ"</t>
  </si>
  <si>
    <t>"ና"</t>
  </si>
  <si>
    <t>"ኔ"</t>
  </si>
  <si>
    <t>"ን"</t>
  </si>
  <si>
    <t>"ኖ"</t>
  </si>
  <si>
    <t>"ኗ"</t>
  </si>
  <si>
    <t>"ኘ"</t>
  </si>
  <si>
    <t>"ኙ"</t>
  </si>
  <si>
    <t>"ኚ"</t>
  </si>
  <si>
    <t>"ኛ"</t>
  </si>
  <si>
    <t>"ኜ"</t>
  </si>
  <si>
    <t>"ኝ"</t>
  </si>
  <si>
    <t>"ኞ"</t>
  </si>
  <si>
    <t>"ኟ"</t>
  </si>
  <si>
    <t>"አ"</t>
  </si>
  <si>
    <t>"ኡ"</t>
  </si>
  <si>
    <t>"ኢ"</t>
  </si>
  <si>
    <t>"ኣ"</t>
  </si>
  <si>
    <t>"ኤ"</t>
  </si>
  <si>
    <t>"እ"</t>
  </si>
  <si>
    <t>"ኦ"</t>
  </si>
  <si>
    <t>"ኧ"</t>
  </si>
  <si>
    <t>"ከ"</t>
  </si>
  <si>
    <t>"ኩ"</t>
  </si>
  <si>
    <t>"ኪ"</t>
  </si>
  <si>
    <t>"ካ"</t>
  </si>
  <si>
    <t>"ኬ"</t>
  </si>
  <si>
    <t>"ክ"</t>
  </si>
  <si>
    <t>"ኮ"</t>
  </si>
  <si>
    <t>"ኯ"</t>
  </si>
  <si>
    <t>"ኰ"</t>
  </si>
  <si>
    <t>"኱"</t>
  </si>
  <si>
    <t>"ኲ"</t>
  </si>
  <si>
    <t>"ኳ"</t>
  </si>
  <si>
    <t>"ኴ"</t>
  </si>
  <si>
    <t>"ኵ"</t>
  </si>
  <si>
    <t>"኶"</t>
  </si>
  <si>
    <t>"኷"</t>
  </si>
  <si>
    <t>"ኸ"</t>
  </si>
  <si>
    <t>"ኹ"</t>
  </si>
  <si>
    <t>"ኺ"</t>
  </si>
  <si>
    <t>"ኻ"</t>
  </si>
  <si>
    <t>"ኼ"</t>
  </si>
  <si>
    <t>"ኽ"</t>
  </si>
  <si>
    <t>"ኾ"</t>
  </si>
  <si>
    <t>"኿"</t>
  </si>
  <si>
    <t>"ዀ"</t>
  </si>
  <si>
    <t>"዁"</t>
  </si>
  <si>
    <t>"ዂ"</t>
  </si>
  <si>
    <t>"ዃ"</t>
  </si>
  <si>
    <t>"ዄ"</t>
  </si>
  <si>
    <t>"ዅ"</t>
  </si>
  <si>
    <t>"዆"</t>
  </si>
  <si>
    <t>"዇"</t>
  </si>
  <si>
    <t>"ወ"</t>
  </si>
  <si>
    <t>"ዉ"</t>
  </si>
  <si>
    <t>"ዊ"</t>
  </si>
  <si>
    <t>"ዋ"</t>
  </si>
  <si>
    <t>"ዌ"</t>
  </si>
  <si>
    <t>"ው"</t>
  </si>
  <si>
    <t>"ዎ"</t>
  </si>
  <si>
    <t>"ዏ"</t>
  </si>
  <si>
    <t>"ዐ"</t>
  </si>
  <si>
    <t>"ዑ"</t>
  </si>
  <si>
    <t>"ዒ"</t>
  </si>
  <si>
    <t>"ዓ"</t>
  </si>
  <si>
    <t>"ዔ"</t>
  </si>
  <si>
    <t>"ዕ"</t>
  </si>
  <si>
    <t>"ዖ"</t>
  </si>
  <si>
    <t>"዗"</t>
  </si>
  <si>
    <t>"ዘ"</t>
  </si>
  <si>
    <t>"ዙ"</t>
  </si>
  <si>
    <t>"ዚ"</t>
  </si>
  <si>
    <t>"ዛ"</t>
  </si>
  <si>
    <t>"ዜ"</t>
  </si>
  <si>
    <t>"ዝ"</t>
  </si>
  <si>
    <t>"ዞ"</t>
  </si>
  <si>
    <t>"ዟ"</t>
  </si>
  <si>
    <t>"ዠ"</t>
  </si>
  <si>
    <t>"ዡ"</t>
  </si>
  <si>
    <t>"ዢ"</t>
  </si>
  <si>
    <t>"ዣ"</t>
  </si>
  <si>
    <t>"ዤ"</t>
  </si>
  <si>
    <t>"ዥ"</t>
  </si>
  <si>
    <t>"ዦ"</t>
  </si>
  <si>
    <t>"ዧ"</t>
  </si>
  <si>
    <t>"የ"</t>
  </si>
  <si>
    <t>"ዩ"</t>
  </si>
  <si>
    <t>"ዪ"</t>
  </si>
  <si>
    <t>"ያ"</t>
  </si>
  <si>
    <t>"ዬ"</t>
  </si>
  <si>
    <t>"ይ"</t>
  </si>
  <si>
    <t>"ዮ"</t>
  </si>
  <si>
    <t>"ዯ"</t>
  </si>
  <si>
    <t>"ደ"</t>
  </si>
  <si>
    <t>"ዱ"</t>
  </si>
  <si>
    <t>"ዲ"</t>
  </si>
  <si>
    <t>"ዳ"</t>
  </si>
  <si>
    <t>"ዴ"</t>
  </si>
  <si>
    <t>"ድ"</t>
  </si>
  <si>
    <t>"ዶ"</t>
  </si>
  <si>
    <t>"ዷ"</t>
  </si>
  <si>
    <t>"ዸ"</t>
  </si>
  <si>
    <t>"ዹ"</t>
  </si>
  <si>
    <t>"ዺ"</t>
  </si>
  <si>
    <t>"ዻ"</t>
  </si>
  <si>
    <t>"ዼ"</t>
  </si>
  <si>
    <t>"ዽ"</t>
  </si>
  <si>
    <t>"ዾ"</t>
  </si>
  <si>
    <t>"ዿ"</t>
  </si>
  <si>
    <t>"ጀ"</t>
  </si>
  <si>
    <t>"ጁ"</t>
  </si>
  <si>
    <t>"ጂ"</t>
  </si>
  <si>
    <t>"ጃ"</t>
  </si>
  <si>
    <t>"ጄ"</t>
  </si>
  <si>
    <t>"ጅ"</t>
  </si>
  <si>
    <t>"ጆ"</t>
  </si>
  <si>
    <t>"ጇ"</t>
  </si>
  <si>
    <t>"ገ"</t>
  </si>
  <si>
    <t>"ጉ"</t>
  </si>
  <si>
    <t>"ጊ"</t>
  </si>
  <si>
    <t>"ጋ"</t>
  </si>
  <si>
    <t>"ጌ"</t>
  </si>
  <si>
    <t>"ግ"</t>
  </si>
  <si>
    <t>"ጎ"</t>
  </si>
  <si>
    <t>"ጏ"</t>
  </si>
  <si>
    <t>"ጐ"</t>
  </si>
  <si>
    <t>"጑"</t>
  </si>
  <si>
    <t>"ጒ"</t>
  </si>
  <si>
    <t>"ጓ"</t>
  </si>
  <si>
    <t>"ጔ"</t>
  </si>
  <si>
    <t>"ጕ"</t>
  </si>
  <si>
    <t>"጖"</t>
  </si>
  <si>
    <t>"጗"</t>
  </si>
  <si>
    <t>"ጘ"</t>
  </si>
  <si>
    <t>"ጙ"</t>
  </si>
  <si>
    <t>"ጚ"</t>
  </si>
  <si>
    <t>"ጛ"</t>
  </si>
  <si>
    <t>"ጜ"</t>
  </si>
  <si>
    <t>"ጝ"</t>
  </si>
  <si>
    <t>"ጞ"</t>
  </si>
  <si>
    <t>"ጟ"</t>
  </si>
  <si>
    <t>"ጠ"</t>
  </si>
  <si>
    <t>"ጡ"</t>
  </si>
  <si>
    <t>"ጢ"</t>
  </si>
  <si>
    <t>"ጣ"</t>
  </si>
  <si>
    <t>"ጤ"</t>
  </si>
  <si>
    <t>"ጥ"</t>
  </si>
  <si>
    <t>"ጦ"</t>
  </si>
  <si>
    <t>"ጧ"</t>
  </si>
  <si>
    <t>"ጨ"</t>
  </si>
  <si>
    <t>"ጩ"</t>
  </si>
  <si>
    <t>"ጪ"</t>
  </si>
  <si>
    <t>"ጫ"</t>
  </si>
  <si>
    <t>"ጬ"</t>
  </si>
  <si>
    <t>"ጭ"</t>
  </si>
  <si>
    <t>"ጮ"</t>
  </si>
  <si>
    <t>"ጯ"</t>
  </si>
  <si>
    <t>"ጰ"</t>
  </si>
  <si>
    <t>"ጱ"</t>
  </si>
  <si>
    <t>"ጲ"</t>
  </si>
  <si>
    <t>"ጳ"</t>
  </si>
  <si>
    <t>"ጴ"</t>
  </si>
  <si>
    <t>"ጵ"</t>
  </si>
  <si>
    <t>"ጶ"</t>
  </si>
  <si>
    <t>"ጷ"</t>
  </si>
  <si>
    <t>"ጸ"</t>
  </si>
  <si>
    <t>"ጹ"</t>
  </si>
  <si>
    <t>"ጺ"</t>
  </si>
  <si>
    <t>"ጻ"</t>
  </si>
  <si>
    <t>"ጼ"</t>
  </si>
  <si>
    <t>"ጽ"</t>
  </si>
  <si>
    <t>"ጾ"</t>
  </si>
  <si>
    <t>"ጿ"</t>
  </si>
  <si>
    <t>"ፀ"</t>
  </si>
  <si>
    <t>"ፁ"</t>
  </si>
  <si>
    <t>"ፂ"</t>
  </si>
  <si>
    <t>"ፃ"</t>
  </si>
  <si>
    <t>"ፄ"</t>
  </si>
  <si>
    <t>"ፅ"</t>
  </si>
  <si>
    <t>"ፆ"</t>
  </si>
  <si>
    <t>"ፇ"</t>
  </si>
  <si>
    <t>"ፈ"</t>
  </si>
  <si>
    <t>"ፉ"</t>
  </si>
  <si>
    <t>"ፊ"</t>
  </si>
  <si>
    <t>"ፋ"</t>
  </si>
  <si>
    <t>"ፌ"</t>
  </si>
  <si>
    <t>"ፍ"</t>
  </si>
  <si>
    <t>"ፎ"</t>
  </si>
  <si>
    <t>"ፏ"</t>
  </si>
  <si>
    <t>"ፐ"</t>
  </si>
  <si>
    <t>"ፑ"</t>
  </si>
  <si>
    <t>"ፒ"</t>
  </si>
  <si>
    <t>"ፓ"</t>
  </si>
  <si>
    <t>"ፔ"</t>
  </si>
  <si>
    <t>"ፕ"</t>
  </si>
  <si>
    <t>"ፖ"</t>
  </si>
  <si>
    <t>"ፗ"</t>
  </si>
  <si>
    <t>"ፘ"</t>
  </si>
  <si>
    <t>"ፙ"</t>
  </si>
  <si>
    <t>"ፚ"</t>
  </si>
  <si>
    <t>"፛"</t>
  </si>
  <si>
    <t>"፜"</t>
  </si>
  <si>
    <t>"፝"</t>
  </si>
  <si>
    <t>"፞"</t>
  </si>
  <si>
    <t>"፟"</t>
  </si>
  <si>
    <t>"፠"</t>
  </si>
  <si>
    <t>"፡"</t>
  </si>
  <si>
    <t>"።"</t>
  </si>
  <si>
    <t>"፣"</t>
  </si>
  <si>
    <t>"፤"</t>
  </si>
  <si>
    <t>"፥"</t>
  </si>
  <si>
    <t>"፦"</t>
  </si>
  <si>
    <t>"፧"</t>
  </si>
  <si>
    <t>"፨"</t>
  </si>
  <si>
    <t>"፩"</t>
  </si>
  <si>
    <t>"፪"</t>
  </si>
  <si>
    <t>"፫"</t>
  </si>
  <si>
    <t>"፬"</t>
  </si>
  <si>
    <t>"፭"</t>
  </si>
  <si>
    <t>"፮"</t>
  </si>
  <si>
    <t>"፯"</t>
  </si>
  <si>
    <t>"፰"</t>
  </si>
  <si>
    <t>"፱"</t>
  </si>
  <si>
    <t>"፲"</t>
  </si>
  <si>
    <t>"፳"</t>
  </si>
  <si>
    <t>"፴"</t>
  </si>
  <si>
    <t>"፵"</t>
  </si>
  <si>
    <t>"፶"</t>
  </si>
  <si>
    <t>"፷"</t>
  </si>
  <si>
    <t>"፸"</t>
  </si>
  <si>
    <t>"፹"</t>
  </si>
  <si>
    <t>"፺"</t>
  </si>
  <si>
    <t>"፻"</t>
  </si>
  <si>
    <t>"፼"</t>
  </si>
  <si>
    <t>"፽"</t>
  </si>
  <si>
    <t>"፾"</t>
  </si>
  <si>
    <t>"፿"</t>
  </si>
  <si>
    <t>"ᎀ"</t>
  </si>
  <si>
    <t>"ᎁ"</t>
  </si>
  <si>
    <t>"ᎂ"</t>
  </si>
  <si>
    <t>"ᎃ"</t>
  </si>
  <si>
    <t>"ᎄ"</t>
  </si>
  <si>
    <t>"ᎅ"</t>
  </si>
  <si>
    <t>"ᎆ"</t>
  </si>
  <si>
    <t>"ᎇ"</t>
  </si>
  <si>
    <t>"ᎈ"</t>
  </si>
  <si>
    <t>"ᎉ"</t>
  </si>
  <si>
    <t>"ᎊ"</t>
  </si>
  <si>
    <t>"ᎋ"</t>
  </si>
  <si>
    <t>"ᎌ"</t>
  </si>
  <si>
    <t>"ᎍ"</t>
  </si>
  <si>
    <t>"ᎎ"</t>
  </si>
  <si>
    <t>"ᎏ"</t>
  </si>
  <si>
    <t>"᎐"</t>
  </si>
  <si>
    <t>"᎑"</t>
  </si>
  <si>
    <t>"᎒"</t>
  </si>
  <si>
    <t>"᎓"</t>
  </si>
  <si>
    <t>"᎔"</t>
  </si>
  <si>
    <t>"᎕"</t>
  </si>
  <si>
    <t>"᎖"</t>
  </si>
  <si>
    <t>"᎗"</t>
  </si>
  <si>
    <t>"᎘"</t>
  </si>
  <si>
    <t>"᎙"</t>
  </si>
  <si>
    <t>"᎚"</t>
  </si>
  <si>
    <t>"᎛"</t>
  </si>
  <si>
    <t>"᎜"</t>
  </si>
  <si>
    <t>"᎝"</t>
  </si>
  <si>
    <t>"᎞"</t>
  </si>
  <si>
    <t>"᎟"</t>
  </si>
  <si>
    <t>"Ꭰ"</t>
  </si>
  <si>
    <t>"Ꭱ"</t>
  </si>
  <si>
    <t>"Ꭲ"</t>
  </si>
  <si>
    <t>"Ꭳ"</t>
  </si>
  <si>
    <t>"Ꭴ"</t>
  </si>
  <si>
    <t>"Ꭵ"</t>
  </si>
  <si>
    <t>"Ꭶ"</t>
  </si>
  <si>
    <t>"Ꭷ"</t>
  </si>
  <si>
    <t>"Ꭸ"</t>
  </si>
  <si>
    <t>"Ꭹ"</t>
  </si>
  <si>
    <t>"Ꭺ"</t>
  </si>
  <si>
    <t>"Ꭻ"</t>
  </si>
  <si>
    <t>"Ꭼ"</t>
  </si>
  <si>
    <t>"Ꭽ"</t>
  </si>
  <si>
    <t>"Ꭾ"</t>
  </si>
  <si>
    <t>"Ꭿ"</t>
  </si>
  <si>
    <t>"Ꮀ"</t>
  </si>
  <si>
    <t>"Ꮁ"</t>
  </si>
  <si>
    <t>"Ꮂ"</t>
  </si>
  <si>
    <t>"Ꮃ"</t>
  </si>
  <si>
    <t>"Ꮄ"</t>
  </si>
  <si>
    <t>"Ꮅ"</t>
  </si>
  <si>
    <t>"Ꮆ"</t>
  </si>
  <si>
    <t>"Ꮇ"</t>
  </si>
  <si>
    <t>"Ꮈ"</t>
  </si>
  <si>
    <t>"Ꮉ"</t>
  </si>
  <si>
    <t>"Ꮊ"</t>
  </si>
  <si>
    <t>"Ꮋ"</t>
  </si>
  <si>
    <t>"Ꮌ"</t>
  </si>
  <si>
    <t>"Ꮍ"</t>
  </si>
  <si>
    <t>"Ꮎ"</t>
  </si>
  <si>
    <t>"Ꮏ"</t>
  </si>
  <si>
    <t>"Ꮐ"</t>
  </si>
  <si>
    <t>"Ꮑ"</t>
  </si>
  <si>
    <t>"Ꮒ"</t>
  </si>
  <si>
    <t>"Ꮓ"</t>
  </si>
  <si>
    <t>"Ꮔ"</t>
  </si>
  <si>
    <t>"Ꮕ"</t>
  </si>
  <si>
    <t>"Ꮖ"</t>
  </si>
  <si>
    <t>"Ꮗ"</t>
  </si>
  <si>
    <t>"Ꮘ"</t>
  </si>
  <si>
    <t>"Ꮙ"</t>
  </si>
  <si>
    <t>"Ꮚ"</t>
  </si>
  <si>
    <t>"Ꮛ"</t>
  </si>
  <si>
    <t>"Ꮜ"</t>
  </si>
  <si>
    <t>"Ꮝ"</t>
  </si>
  <si>
    <t>"Ꮞ"</t>
  </si>
  <si>
    <t>"Ꮟ"</t>
  </si>
  <si>
    <t>"Ꮠ"</t>
  </si>
  <si>
    <t>"Ꮡ"</t>
  </si>
  <si>
    <t>"Ꮢ"</t>
  </si>
  <si>
    <t>"Ꮣ"</t>
  </si>
  <si>
    <t>"Ꮤ"</t>
  </si>
  <si>
    <t>"Ꮥ"</t>
  </si>
  <si>
    <t>"Ꮦ"</t>
  </si>
  <si>
    <t>"Ꮧ"</t>
  </si>
  <si>
    <t>"Ꮨ"</t>
  </si>
  <si>
    <t>"Ꮩ"</t>
  </si>
  <si>
    <t>"Ꮪ"</t>
  </si>
  <si>
    <t>"Ꮫ"</t>
  </si>
  <si>
    <t>"Ꮬ"</t>
  </si>
  <si>
    <t>"Ꮭ"</t>
  </si>
  <si>
    <t>"Ꮮ"</t>
  </si>
  <si>
    <t>"Ꮯ"</t>
  </si>
  <si>
    <t>"Ꮰ"</t>
  </si>
  <si>
    <t>"Ꮱ"</t>
  </si>
  <si>
    <t>"Ꮲ"</t>
  </si>
  <si>
    <t>"Ꮳ"</t>
  </si>
  <si>
    <t>"Ꮴ"</t>
  </si>
  <si>
    <t>"Ꮵ"</t>
  </si>
  <si>
    <t>"Ꮶ"</t>
  </si>
  <si>
    <t>"Ꮷ"</t>
  </si>
  <si>
    <t>"Ꮸ"</t>
  </si>
  <si>
    <t>"Ꮹ"</t>
  </si>
  <si>
    <t>"Ꮺ"</t>
  </si>
  <si>
    <t>"Ꮻ"</t>
  </si>
  <si>
    <t>"Ꮼ"</t>
  </si>
  <si>
    <t>"Ꮽ"</t>
  </si>
  <si>
    <t>"Ꮾ"</t>
  </si>
  <si>
    <t>"Ꮿ"</t>
  </si>
  <si>
    <t>"Ᏸ"</t>
  </si>
  <si>
    <t>"Ᏹ"</t>
  </si>
  <si>
    <t>"Ᏺ"</t>
  </si>
  <si>
    <t>"Ᏻ"</t>
  </si>
  <si>
    <t>"Ᏼ"</t>
  </si>
  <si>
    <t>"Ᏽ"</t>
  </si>
  <si>
    <t>"᏶"</t>
  </si>
  <si>
    <t>"᏷"</t>
  </si>
  <si>
    <t>"ᏸ"</t>
  </si>
  <si>
    <t>"ᏹ"</t>
  </si>
  <si>
    <t>"ᏺ"</t>
  </si>
  <si>
    <t>"ᏻ"</t>
  </si>
  <si>
    <t>"ᏼ"</t>
  </si>
  <si>
    <t>"ᏽ"</t>
  </si>
  <si>
    <t>"᏾"</t>
  </si>
  <si>
    <t>"᏿"</t>
  </si>
  <si>
    <t>"᐀"</t>
  </si>
  <si>
    <t>"ᐁ"</t>
  </si>
  <si>
    <t>"ᐂ"</t>
  </si>
  <si>
    <t>"ᐃ"</t>
  </si>
  <si>
    <t>"ᐄ"</t>
  </si>
  <si>
    <t>"ᐅ"</t>
  </si>
  <si>
    <t>"ᐆ"</t>
  </si>
  <si>
    <t>"ᐇ"</t>
  </si>
  <si>
    <t>"ᐈ"</t>
  </si>
  <si>
    <t>"ᐉ"</t>
  </si>
  <si>
    <t>"ᐊ"</t>
  </si>
  <si>
    <t>"ᐋ"</t>
  </si>
  <si>
    <t>"ᐌ"</t>
  </si>
  <si>
    <t>"ᐍ"</t>
  </si>
  <si>
    <t>"ᐎ"</t>
  </si>
  <si>
    <t>"ᐏ"</t>
  </si>
  <si>
    <t>"ᐐ"</t>
  </si>
  <si>
    <t>"ᐑ"</t>
  </si>
  <si>
    <t>"ᐒ"</t>
  </si>
  <si>
    <t>"ᐓ"</t>
  </si>
  <si>
    <t>"ᐔ"</t>
  </si>
  <si>
    <t>"ᐕ"</t>
  </si>
  <si>
    <t>"ᐖ"</t>
  </si>
  <si>
    <t>"ᐗ"</t>
  </si>
  <si>
    <t>"ᐘ"</t>
  </si>
  <si>
    <t>"ᐙ"</t>
  </si>
  <si>
    <t>"ᐚ"</t>
  </si>
  <si>
    <t>"ᐛ"</t>
  </si>
  <si>
    <t>"ᐜ"</t>
  </si>
  <si>
    <t>"ᐝ"</t>
  </si>
  <si>
    <t>"ᐞ"</t>
  </si>
  <si>
    <t>"ᐟ"</t>
  </si>
  <si>
    <t>"ᐠ"</t>
  </si>
  <si>
    <t>"ᐡ"</t>
  </si>
  <si>
    <t>"ᐢ"</t>
  </si>
  <si>
    <t>"ᐣ"</t>
  </si>
  <si>
    <t>"ᐤ"</t>
  </si>
  <si>
    <t>"ᐥ"</t>
  </si>
  <si>
    <t>"ᐦ"</t>
  </si>
  <si>
    <t>"ᐧ"</t>
  </si>
  <si>
    <t>"ᐨ"</t>
  </si>
  <si>
    <t>"ᐩ"</t>
  </si>
  <si>
    <t>"ᐪ"</t>
  </si>
  <si>
    <t>"ᐫ"</t>
  </si>
  <si>
    <t>"ᐬ"</t>
  </si>
  <si>
    <t>"ᐭ"</t>
  </si>
  <si>
    <t>"ᐮ"</t>
  </si>
  <si>
    <t>"ᐯ"</t>
  </si>
  <si>
    <t>"ᐰ"</t>
  </si>
  <si>
    <t>"ᐱ"</t>
  </si>
  <si>
    <t>"ᐲ"</t>
  </si>
  <si>
    <t>"ᐳ"</t>
  </si>
  <si>
    <t>"ᐴ"</t>
  </si>
  <si>
    <t>"ᐵ"</t>
  </si>
  <si>
    <t>"ᐶ"</t>
  </si>
  <si>
    <t>"ᐷ"</t>
  </si>
  <si>
    <t>"ᐸ"</t>
  </si>
  <si>
    <t>"ᐹ"</t>
  </si>
  <si>
    <t>"ᐺ"</t>
  </si>
  <si>
    <t>"ᐻ"</t>
  </si>
  <si>
    <t>"ᐼ"</t>
  </si>
  <si>
    <t>"ᐽ"</t>
  </si>
  <si>
    <t>"ᐾ"</t>
  </si>
  <si>
    <t>"ᐿ"</t>
  </si>
  <si>
    <t>"ᑀ"</t>
  </si>
  <si>
    <t>"ᑁ"</t>
  </si>
  <si>
    <t>"ᑂ"</t>
  </si>
  <si>
    <t>"ᑃ"</t>
  </si>
  <si>
    <t>"ᑄ"</t>
  </si>
  <si>
    <t>"ᑅ"</t>
  </si>
  <si>
    <t>"ᑆ"</t>
  </si>
  <si>
    <t>"ᑇ"</t>
  </si>
  <si>
    <t>"ᑈ"</t>
  </si>
  <si>
    <t>"ᑉ"</t>
  </si>
  <si>
    <t>"ᑊ"</t>
  </si>
  <si>
    <t>"ᑋ"</t>
  </si>
  <si>
    <t>"ᑌ"</t>
  </si>
  <si>
    <t>"ᑍ"</t>
  </si>
  <si>
    <t>"ᑎ"</t>
  </si>
  <si>
    <t>"ᑏ"</t>
  </si>
  <si>
    <t>"ᑐ"</t>
  </si>
  <si>
    <t>"ᑑ"</t>
  </si>
  <si>
    <t>"ᑒ"</t>
  </si>
  <si>
    <t>"ᑓ"</t>
  </si>
  <si>
    <t>"ᑔ"</t>
  </si>
  <si>
    <t>"ᑕ"</t>
  </si>
  <si>
    <t>"ᑖ"</t>
  </si>
  <si>
    <t>"ᑗ"</t>
  </si>
  <si>
    <t>"ᑘ"</t>
  </si>
  <si>
    <t>"ᑙ"</t>
  </si>
  <si>
    <t>"ᑚ"</t>
  </si>
  <si>
    <t>"ᑛ"</t>
  </si>
  <si>
    <t>"ᑜ"</t>
  </si>
  <si>
    <t>"ᑝ"</t>
  </si>
  <si>
    <t>"ᑞ"</t>
  </si>
  <si>
    <t>"ᑟ"</t>
  </si>
  <si>
    <t>"ᑠ"</t>
  </si>
  <si>
    <t>"ᑡ"</t>
  </si>
  <si>
    <t>"ᑢ"</t>
  </si>
  <si>
    <t>"ᑣ"</t>
  </si>
  <si>
    <t>"ᑤ"</t>
  </si>
  <si>
    <t>"ᑥ"</t>
  </si>
  <si>
    <t>"ᑦ"</t>
  </si>
  <si>
    <t>"ᑧ"</t>
  </si>
  <si>
    <t>"ᑨ"</t>
  </si>
  <si>
    <t>"ᑩ"</t>
  </si>
  <si>
    <t>"ᑪ"</t>
  </si>
  <si>
    <t>"ᑫ"</t>
  </si>
  <si>
    <t>"ᑬ"</t>
  </si>
  <si>
    <t>"ᑭ"</t>
  </si>
  <si>
    <t>"ᑮ"</t>
  </si>
  <si>
    <t>"ᑯ"</t>
  </si>
  <si>
    <t>"ᑰ"</t>
  </si>
  <si>
    <t>"ᑱ"</t>
  </si>
  <si>
    <t>"ᑲ"</t>
  </si>
  <si>
    <t>"ᑳ"</t>
  </si>
  <si>
    <t>"ᑴ"</t>
  </si>
  <si>
    <t>"ᑵ"</t>
  </si>
  <si>
    <t>"ᑶ"</t>
  </si>
  <si>
    <t>"ᑷ"</t>
  </si>
  <si>
    <t>"ᑸ"</t>
  </si>
  <si>
    <t>"ᑹ"</t>
  </si>
  <si>
    <t>"ᑺ"</t>
  </si>
  <si>
    <t>"ᑻ"</t>
  </si>
  <si>
    <t>"ᑼ"</t>
  </si>
  <si>
    <t>"ᑽ"</t>
  </si>
  <si>
    <t>"ᑾ"</t>
  </si>
  <si>
    <t>"ᑿ"</t>
  </si>
  <si>
    <t>"ᒀ"</t>
  </si>
  <si>
    <t>"ᒁ"</t>
  </si>
  <si>
    <t>"ᒂ"</t>
  </si>
  <si>
    <t>"ᒃ"</t>
  </si>
  <si>
    <t>"ᒄ"</t>
  </si>
  <si>
    <t>"ᒅ"</t>
  </si>
  <si>
    <t>"ᒆ"</t>
  </si>
  <si>
    <t>"ᒇ"</t>
  </si>
  <si>
    <t>"ᒈ"</t>
  </si>
  <si>
    <t>"ᒉ"</t>
  </si>
  <si>
    <t>"ᒊ"</t>
  </si>
  <si>
    <t>"ᒋ"</t>
  </si>
  <si>
    <t>"ᒌ"</t>
  </si>
  <si>
    <t>"ᒍ"</t>
  </si>
  <si>
    <t>"ᒎ"</t>
  </si>
  <si>
    <t>"ᒏ"</t>
  </si>
  <si>
    <t>"ᒐ"</t>
  </si>
  <si>
    <t>"ᒑ"</t>
  </si>
  <si>
    <t>"ᒒ"</t>
  </si>
  <si>
    <t>"ᒓ"</t>
  </si>
  <si>
    <t>"ᒔ"</t>
  </si>
  <si>
    <t>"ᒕ"</t>
  </si>
  <si>
    <t>"ᒖ"</t>
  </si>
  <si>
    <t>"ᒗ"</t>
  </si>
  <si>
    <t>"ᒘ"</t>
  </si>
  <si>
    <t>"ᒙ"</t>
  </si>
  <si>
    <t>"ᒚ"</t>
  </si>
  <si>
    <t>"ᒛ"</t>
  </si>
  <si>
    <t>"ᒜ"</t>
  </si>
  <si>
    <t>"ᒝ"</t>
  </si>
  <si>
    <t>"ᒞ"</t>
  </si>
  <si>
    <t>"ᒟ"</t>
  </si>
  <si>
    <t>"ᒠ"</t>
  </si>
  <si>
    <t>"ᒡ"</t>
  </si>
  <si>
    <t>"ᒢ"</t>
  </si>
  <si>
    <t>"ᒣ"</t>
  </si>
  <si>
    <t>"ᒤ"</t>
  </si>
  <si>
    <t>"ᒥ"</t>
  </si>
  <si>
    <t>"ᒦ"</t>
  </si>
  <si>
    <t>"ᒧ"</t>
  </si>
  <si>
    <t>"ᒨ"</t>
  </si>
  <si>
    <t>"ᒩ"</t>
  </si>
  <si>
    <t>"ᒪ"</t>
  </si>
  <si>
    <t>"ᒫ"</t>
  </si>
  <si>
    <t>"ᒬ"</t>
  </si>
  <si>
    <t>"ᒭ"</t>
  </si>
  <si>
    <t>"ᒮ"</t>
  </si>
  <si>
    <t>"ᒯ"</t>
  </si>
  <si>
    <t>"ᒰ"</t>
  </si>
  <si>
    <t>"ᒱ"</t>
  </si>
  <si>
    <t>"ᒲ"</t>
  </si>
  <si>
    <t>"ᒳ"</t>
  </si>
  <si>
    <t>"ᒴ"</t>
  </si>
  <si>
    <t>"ᒵ"</t>
  </si>
  <si>
    <t>"ᒶ"</t>
  </si>
  <si>
    <t>"ᒷ"</t>
  </si>
  <si>
    <t>"ᒸ"</t>
  </si>
  <si>
    <t>"ᒹ"</t>
  </si>
  <si>
    <t>"ᒺ"</t>
  </si>
  <si>
    <t>"ᒻ"</t>
  </si>
  <si>
    <t>"ᒼ"</t>
  </si>
  <si>
    <t>"ᒽ"</t>
  </si>
  <si>
    <t>"ᒾ"</t>
  </si>
  <si>
    <t>"ᒿ"</t>
  </si>
  <si>
    <t>"ᓀ"</t>
  </si>
  <si>
    <t>"ᓁ"</t>
  </si>
  <si>
    <t>"ᓂ"</t>
  </si>
  <si>
    <t>"ᓃ"</t>
  </si>
  <si>
    <t>"ᓄ"</t>
  </si>
  <si>
    <t>"ᓅ"</t>
  </si>
  <si>
    <t>"ᓆ"</t>
  </si>
  <si>
    <t>"ᓇ"</t>
  </si>
  <si>
    <t>"ᓈ"</t>
  </si>
  <si>
    <t>"ᓉ"</t>
  </si>
  <si>
    <t>"ᓊ"</t>
  </si>
  <si>
    <t>"ᓋ"</t>
  </si>
  <si>
    <t>"ᓌ"</t>
  </si>
  <si>
    <t>"ᓍ"</t>
  </si>
  <si>
    <t>"ᓎ"</t>
  </si>
  <si>
    <t>"ᓏ"</t>
  </si>
  <si>
    <t>"ᓐ"</t>
  </si>
  <si>
    <t>"ᓑ"</t>
  </si>
  <si>
    <t>"ᓒ"</t>
  </si>
  <si>
    <t>"ᓓ"</t>
  </si>
  <si>
    <t>"ᓔ"</t>
  </si>
  <si>
    <t>"ᓕ"</t>
  </si>
  <si>
    <t>"ᓖ"</t>
  </si>
  <si>
    <t>"ᓗ"</t>
  </si>
  <si>
    <t>"ᓘ"</t>
  </si>
  <si>
    <t>"ᓙ"</t>
  </si>
  <si>
    <t>"ᓚ"</t>
  </si>
  <si>
    <t>"ᓛ"</t>
  </si>
  <si>
    <t>"ᓜ"</t>
  </si>
  <si>
    <t>"ᓝ"</t>
  </si>
  <si>
    <t>"ᓞ"</t>
  </si>
  <si>
    <t>"ᓟ"</t>
  </si>
  <si>
    <t>"ᓠ"</t>
  </si>
  <si>
    <t>"ᓡ"</t>
  </si>
  <si>
    <t>"ᓢ"</t>
  </si>
  <si>
    <t>"ᓣ"</t>
  </si>
  <si>
    <t>"ᓤ"</t>
  </si>
  <si>
    <t>"ᓥ"</t>
  </si>
  <si>
    <t>"ᓦ"</t>
  </si>
  <si>
    <t>"ᓧ"</t>
  </si>
  <si>
    <t>"ᓨ"</t>
  </si>
  <si>
    <t>"ᓩ"</t>
  </si>
  <si>
    <t>"ᓪ"</t>
  </si>
  <si>
    <t>"ᓫ"</t>
  </si>
  <si>
    <t>"ᓬ"</t>
  </si>
  <si>
    <t>"ᓭ"</t>
  </si>
  <si>
    <t>"ᓮ"</t>
  </si>
  <si>
    <t>"ᓯ"</t>
  </si>
  <si>
    <t>"ᓰ"</t>
  </si>
  <si>
    <t>"ᓱ"</t>
  </si>
  <si>
    <t>"ᓲ"</t>
  </si>
  <si>
    <t>"ᓳ"</t>
  </si>
  <si>
    <t>"ᓴ"</t>
  </si>
  <si>
    <t>"ᓵ"</t>
  </si>
  <si>
    <t>"ᓶ"</t>
  </si>
  <si>
    <t>"ᓷ"</t>
  </si>
  <si>
    <t>"ᓸ"</t>
  </si>
  <si>
    <t>"ᓹ"</t>
  </si>
  <si>
    <t>"ᓺ"</t>
  </si>
  <si>
    <t>"ᓻ"</t>
  </si>
  <si>
    <t>"ᓼ"</t>
  </si>
  <si>
    <t>"ᓽ"</t>
  </si>
  <si>
    <t>"ᓾ"</t>
  </si>
  <si>
    <t>"ᓿ"</t>
  </si>
  <si>
    <t>"ᔀ"</t>
  </si>
  <si>
    <t>"ᔁ"</t>
  </si>
  <si>
    <t>"ᔂ"</t>
  </si>
  <si>
    <t>"ᔃ"</t>
  </si>
  <si>
    <t>"ᔄ"</t>
  </si>
  <si>
    <t>"ᔅ"</t>
  </si>
  <si>
    <t>"ᔆ"</t>
  </si>
  <si>
    <t>"ᔇ"</t>
  </si>
  <si>
    <t>"ᔈ"</t>
  </si>
  <si>
    <t>"ᔉ"</t>
  </si>
  <si>
    <t>"ᔊ"</t>
  </si>
  <si>
    <t>"ᔋ"</t>
  </si>
  <si>
    <t>"ᔌ"</t>
  </si>
  <si>
    <t>"ᔍ"</t>
  </si>
  <si>
    <t>"ᔎ"</t>
  </si>
  <si>
    <t>"ᔏ"</t>
  </si>
  <si>
    <t>"ᔐ"</t>
  </si>
  <si>
    <t>"ᔑ"</t>
  </si>
  <si>
    <t>"ᔒ"</t>
  </si>
  <si>
    <t>"ᔓ"</t>
  </si>
  <si>
    <t>"ᔔ"</t>
  </si>
  <si>
    <t>"ᔕ"</t>
  </si>
  <si>
    <t>"ᔖ"</t>
  </si>
  <si>
    <t>"ᔗ"</t>
  </si>
  <si>
    <t>"ᔘ"</t>
  </si>
  <si>
    <t>"ᔙ"</t>
  </si>
  <si>
    <t>"ᔚ"</t>
  </si>
  <si>
    <t>"ᔛ"</t>
  </si>
  <si>
    <t>"ᔜ"</t>
  </si>
  <si>
    <t>"ᔝ"</t>
  </si>
  <si>
    <t>"ᔞ"</t>
  </si>
  <si>
    <t>"ᔟ"</t>
  </si>
  <si>
    <t>"ᔠ"</t>
  </si>
  <si>
    <t>"ᔡ"</t>
  </si>
  <si>
    <t>"ᔢ"</t>
  </si>
  <si>
    <t>"ᔣ"</t>
  </si>
  <si>
    <t>"ᔤ"</t>
  </si>
  <si>
    <t>"ᔥ"</t>
  </si>
  <si>
    <t>"ᔦ"</t>
  </si>
  <si>
    <t>"ᔧ"</t>
  </si>
  <si>
    <t>"ᔨ"</t>
  </si>
  <si>
    <t>"ᔩ"</t>
  </si>
  <si>
    <t>"ᔪ"</t>
  </si>
  <si>
    <t>"ᔫ"</t>
  </si>
  <si>
    <t>"ᔬ"</t>
  </si>
  <si>
    <t>"ᔭ"</t>
  </si>
  <si>
    <t>"ᔮ"</t>
  </si>
  <si>
    <t>"ᔯ"</t>
  </si>
  <si>
    <t>"ᔰ"</t>
  </si>
  <si>
    <t>"ᔱ"</t>
  </si>
  <si>
    <t>"ᔲ"</t>
  </si>
  <si>
    <t>"ᔳ"</t>
  </si>
  <si>
    <t>"ᔴ"</t>
  </si>
  <si>
    <t>"ᔵ"</t>
  </si>
  <si>
    <t>"ᔶ"</t>
  </si>
  <si>
    <t>"ᔷ"</t>
  </si>
  <si>
    <t>"ᔸ"</t>
  </si>
  <si>
    <t>"ᔹ"</t>
  </si>
  <si>
    <t>"ᔺ"</t>
  </si>
  <si>
    <t>"ᔻ"</t>
  </si>
  <si>
    <t>"ᔼ"</t>
  </si>
  <si>
    <t>"ᔽ"</t>
  </si>
  <si>
    <t>"ᔾ"</t>
  </si>
  <si>
    <t>"ᔿ"</t>
  </si>
  <si>
    <t>"ᕀ"</t>
  </si>
  <si>
    <t>"ᕁ"</t>
  </si>
  <si>
    <t>"ᕂ"</t>
  </si>
  <si>
    <t>"ᕃ"</t>
  </si>
  <si>
    <t>"ᕄ"</t>
  </si>
  <si>
    <t>"ᕅ"</t>
  </si>
  <si>
    <t>"ᕆ"</t>
  </si>
  <si>
    <t>"ᕇ"</t>
  </si>
  <si>
    <t>"ᕈ"</t>
  </si>
  <si>
    <t>"ᕉ"</t>
  </si>
  <si>
    <t>"ᕊ"</t>
  </si>
  <si>
    <t>"ᕋ"</t>
  </si>
  <si>
    <t>"ᕌ"</t>
  </si>
  <si>
    <t>"ᕍ"</t>
  </si>
  <si>
    <t>"ᕎ"</t>
  </si>
  <si>
    <t>"ᕏ"</t>
  </si>
  <si>
    <t>"ᕐ"</t>
  </si>
  <si>
    <t>"ᕑ"</t>
  </si>
  <si>
    <t>"ᕒ"</t>
  </si>
  <si>
    <t>"ᕓ"</t>
  </si>
  <si>
    <t>"ᕔ"</t>
  </si>
  <si>
    <t>"ᕕ"</t>
  </si>
  <si>
    <t>"ᕖ"</t>
  </si>
  <si>
    <t>"ᕗ"</t>
  </si>
  <si>
    <t>"ᕘ"</t>
  </si>
  <si>
    <t>"ᕙ"</t>
  </si>
  <si>
    <t>"ᕚ"</t>
  </si>
  <si>
    <t>"ᕛ"</t>
  </si>
  <si>
    <t>"ᕜ"</t>
  </si>
  <si>
    <t>"ᕝ"</t>
  </si>
  <si>
    <t>"ᕞ"</t>
  </si>
  <si>
    <t>"ᕟ"</t>
  </si>
  <si>
    <t>"ᕠ"</t>
  </si>
  <si>
    <t>"ᕡ"</t>
  </si>
  <si>
    <t>"ᕢ"</t>
  </si>
  <si>
    <t>"ᕣ"</t>
  </si>
  <si>
    <t>"ᕤ"</t>
  </si>
  <si>
    <t>"ᕥ"</t>
  </si>
  <si>
    <t>"ᕦ"</t>
  </si>
  <si>
    <t>"ᕧ"</t>
  </si>
  <si>
    <t>"ᕨ"</t>
  </si>
  <si>
    <t>"ᕩ"</t>
  </si>
  <si>
    <t>"ᕪ"</t>
  </si>
  <si>
    <t>"ᕫ"</t>
  </si>
  <si>
    <t>"ᕬ"</t>
  </si>
  <si>
    <t>"ᕭ"</t>
  </si>
  <si>
    <t>"ᕮ"</t>
  </si>
  <si>
    <t>"ᕯ"</t>
  </si>
  <si>
    <t>"ᕰ"</t>
  </si>
  <si>
    <t>"ᕱ"</t>
  </si>
  <si>
    <t>"ᕲ"</t>
  </si>
  <si>
    <t>"ᕳ"</t>
  </si>
  <si>
    <t>"ᕴ"</t>
  </si>
  <si>
    <t>"ᕵ"</t>
  </si>
  <si>
    <t>"ᕶ"</t>
  </si>
  <si>
    <t>"ᕷ"</t>
  </si>
  <si>
    <t>"ᕸ"</t>
  </si>
  <si>
    <t>"ᕹ"</t>
  </si>
  <si>
    <t>"ᕺ"</t>
  </si>
  <si>
    <t>"ᕻ"</t>
  </si>
  <si>
    <t>"ᕼ"</t>
  </si>
  <si>
    <t>"ᕽ"</t>
  </si>
  <si>
    <t>"ᕾ"</t>
  </si>
  <si>
    <t>"ᕿ"</t>
  </si>
  <si>
    <t>"ᖀ"</t>
  </si>
  <si>
    <t>"ᖁ"</t>
  </si>
  <si>
    <t>"ᖂ"</t>
  </si>
  <si>
    <t>"ᖃ"</t>
  </si>
  <si>
    <t>"ᖄ"</t>
  </si>
  <si>
    <t>"ᖅ"</t>
  </si>
  <si>
    <t>"ᖆ"</t>
  </si>
  <si>
    <t>"ᖇ"</t>
  </si>
  <si>
    <t>"ᖈ"</t>
  </si>
  <si>
    <t>"ᖉ"</t>
  </si>
  <si>
    <t>"ᖊ"</t>
  </si>
  <si>
    <t>"ᖋ"</t>
  </si>
  <si>
    <t>"ᖌ"</t>
  </si>
  <si>
    <t>"ᖍ"</t>
  </si>
  <si>
    <t>"ᖎ"</t>
  </si>
  <si>
    <t>"ᖏ"</t>
  </si>
  <si>
    <t>"ᖐ"</t>
  </si>
  <si>
    <t>"ᖑ"</t>
  </si>
  <si>
    <t>"ᖒ"</t>
  </si>
  <si>
    <t>"ᖓ"</t>
  </si>
  <si>
    <t>"ᖔ"</t>
  </si>
  <si>
    <t>"ᖕ"</t>
  </si>
  <si>
    <t>"ᖖ"</t>
  </si>
  <si>
    <t>"ᖗ"</t>
  </si>
  <si>
    <t>"ᖘ"</t>
  </si>
  <si>
    <t>"ᖙ"</t>
  </si>
  <si>
    <t>"ᖚ"</t>
  </si>
  <si>
    <t>"ᖛ"</t>
  </si>
  <si>
    <t>"ᖜ"</t>
  </si>
  <si>
    <t>"ᖝ"</t>
  </si>
  <si>
    <t>"ᖞ"</t>
  </si>
  <si>
    <t>"ᖟ"</t>
  </si>
  <si>
    <t>"ᖠ"</t>
  </si>
  <si>
    <t>"ᖡ"</t>
  </si>
  <si>
    <t>"ᖢ"</t>
  </si>
  <si>
    <t>"ᖣ"</t>
  </si>
  <si>
    <t>"ᖤ"</t>
  </si>
  <si>
    <t>"ᖥ"</t>
  </si>
  <si>
    <t>"ᖦ"</t>
  </si>
  <si>
    <t>"ᖧ"</t>
  </si>
  <si>
    <t>"ᖨ"</t>
  </si>
  <si>
    <t>"ᖩ"</t>
  </si>
  <si>
    <t>"ᖪ"</t>
  </si>
  <si>
    <t>"ᖫ"</t>
  </si>
  <si>
    <t>"ᖬ"</t>
  </si>
  <si>
    <t>"ᖭ"</t>
  </si>
  <si>
    <t>"ᖮ"</t>
  </si>
  <si>
    <t>"ᖯ"</t>
  </si>
  <si>
    <t>"ᖰ"</t>
  </si>
  <si>
    <t>"ᖱ"</t>
  </si>
  <si>
    <t>"ᖲ"</t>
  </si>
  <si>
    <t>"ᖳ"</t>
  </si>
  <si>
    <t>"ᖴ"</t>
  </si>
  <si>
    <t>"ᖵ"</t>
  </si>
  <si>
    <t>"ᖶ"</t>
  </si>
  <si>
    <t>"ᖷ"</t>
  </si>
  <si>
    <t>"ᖸ"</t>
  </si>
  <si>
    <t>"ᖹ"</t>
  </si>
  <si>
    <t>"ᖺ"</t>
  </si>
  <si>
    <t>"ᖻ"</t>
  </si>
  <si>
    <t>"ᖼ"</t>
  </si>
  <si>
    <t>"ᖽ"</t>
  </si>
  <si>
    <t>"ᖾ"</t>
  </si>
  <si>
    <t>"ᖿ"</t>
  </si>
  <si>
    <t>"ᗀ"</t>
  </si>
  <si>
    <t>"ᗁ"</t>
  </si>
  <si>
    <t>"ᗂ"</t>
  </si>
  <si>
    <t>"ᗃ"</t>
  </si>
  <si>
    <t>"ᗄ"</t>
  </si>
  <si>
    <t>"ᗅ"</t>
  </si>
  <si>
    <t>"ᗆ"</t>
  </si>
  <si>
    <t>"ᗇ"</t>
  </si>
  <si>
    <t>"ᗈ"</t>
  </si>
  <si>
    <t>"ᗉ"</t>
  </si>
  <si>
    <t>"ᗊ"</t>
  </si>
  <si>
    <t>"ᗋ"</t>
  </si>
  <si>
    <t>"ᗌ"</t>
  </si>
  <si>
    <t>"ᗍ"</t>
  </si>
  <si>
    <t>"ᗎ"</t>
  </si>
  <si>
    <t>"ᗏ"</t>
  </si>
  <si>
    <t>"ᗐ"</t>
  </si>
  <si>
    <t>"ᗑ"</t>
  </si>
  <si>
    <t>"ᗒ"</t>
  </si>
  <si>
    <t>"ᗓ"</t>
  </si>
  <si>
    <t>"ᗔ"</t>
  </si>
  <si>
    <t>"ᗕ"</t>
  </si>
  <si>
    <t>"ᗖ"</t>
  </si>
  <si>
    <t>"ᗗ"</t>
  </si>
  <si>
    <t>"ᗘ"</t>
  </si>
  <si>
    <t>"ᗙ"</t>
  </si>
  <si>
    <t>"ᗚ"</t>
  </si>
  <si>
    <t>"ᗛ"</t>
  </si>
  <si>
    <t>"ᗜ"</t>
  </si>
  <si>
    <t>"ᗝ"</t>
  </si>
  <si>
    <t>"ᗞ"</t>
  </si>
  <si>
    <t>"ᗟ"</t>
  </si>
  <si>
    <t>"ᗠ"</t>
  </si>
  <si>
    <t>"ᗡ"</t>
  </si>
  <si>
    <t>"ᗢ"</t>
  </si>
  <si>
    <t>"ᗣ"</t>
  </si>
  <si>
    <t>"ᗤ"</t>
  </si>
  <si>
    <t>"ᗥ"</t>
  </si>
  <si>
    <t>"ᗦ"</t>
  </si>
  <si>
    <t>"ᗧ"</t>
  </si>
  <si>
    <t>"ᗨ"</t>
  </si>
  <si>
    <t>"ᗩ"</t>
  </si>
  <si>
    <t>"ᗪ"</t>
  </si>
  <si>
    <t>"ᗫ"</t>
  </si>
  <si>
    <t>"ᗬ"</t>
  </si>
  <si>
    <t>"ᗭ"</t>
  </si>
  <si>
    <t>"ᗮ"</t>
  </si>
  <si>
    <t>"ᗯ"</t>
  </si>
  <si>
    <t>"ᗰ"</t>
  </si>
  <si>
    <t>"ᗱ"</t>
  </si>
  <si>
    <t>"ᗲ"</t>
  </si>
  <si>
    <t>"ᗳ"</t>
  </si>
  <si>
    <t>"ᗴ"</t>
  </si>
  <si>
    <t>"ᗵ"</t>
  </si>
  <si>
    <t>"ᗶ"</t>
  </si>
  <si>
    <t>"ᗷ"</t>
  </si>
  <si>
    <t>"ᗸ"</t>
  </si>
  <si>
    <t>"ᗹ"</t>
  </si>
  <si>
    <t>"ᗺ"</t>
  </si>
  <si>
    <t>"ᗻ"</t>
  </si>
  <si>
    <t>"ᗼ"</t>
  </si>
  <si>
    <t>"ᗽ"</t>
  </si>
  <si>
    <t>"ᗾ"</t>
  </si>
  <si>
    <t>"ᗿ"</t>
  </si>
  <si>
    <t>"ᘀ"</t>
  </si>
  <si>
    <t>"ᘁ"</t>
  </si>
  <si>
    <t>"ᘂ"</t>
  </si>
  <si>
    <t>"ᘃ"</t>
  </si>
  <si>
    <t>"ᘄ"</t>
  </si>
  <si>
    <t>"ᘅ"</t>
  </si>
  <si>
    <t>"ᘆ"</t>
  </si>
  <si>
    <t>"ᘇ"</t>
  </si>
  <si>
    <t>"ᘈ"</t>
  </si>
  <si>
    <t>"ᘉ"</t>
  </si>
  <si>
    <t>"ᘊ"</t>
  </si>
  <si>
    <t>"ᘋ"</t>
  </si>
  <si>
    <t>"ᘌ"</t>
  </si>
  <si>
    <t>"ᘍ"</t>
  </si>
  <si>
    <t>"ᘎ"</t>
  </si>
  <si>
    <t>"ᘏ"</t>
  </si>
  <si>
    <t>"ᘐ"</t>
  </si>
  <si>
    <t>"ᘑ"</t>
  </si>
  <si>
    <t>"ᘒ"</t>
  </si>
  <si>
    <t>"ᘓ"</t>
  </si>
  <si>
    <t>"ᘔ"</t>
  </si>
  <si>
    <t>"ᘕ"</t>
  </si>
  <si>
    <t>"ᘖ"</t>
  </si>
  <si>
    <t>"ᘗ"</t>
  </si>
  <si>
    <t>"ᘘ"</t>
  </si>
  <si>
    <t>"ᘙ"</t>
  </si>
  <si>
    <t>"ᘚ"</t>
  </si>
  <si>
    <t>"ᘛ"</t>
  </si>
  <si>
    <t>"ᘜ"</t>
  </si>
  <si>
    <t>"ᘝ"</t>
  </si>
  <si>
    <t>"ᘞ"</t>
  </si>
  <si>
    <t>"ᘟ"</t>
  </si>
  <si>
    <t>"ᘠ"</t>
  </si>
  <si>
    <t>"ᘡ"</t>
  </si>
  <si>
    <t>"ᘢ"</t>
  </si>
  <si>
    <t>"ᘣ"</t>
  </si>
  <si>
    <t>"ᘤ"</t>
  </si>
  <si>
    <t>"ᘥ"</t>
  </si>
  <si>
    <t>"ᘦ"</t>
  </si>
  <si>
    <t>"ᘧ"</t>
  </si>
  <si>
    <t>"ᘨ"</t>
  </si>
  <si>
    <t>"ᘩ"</t>
  </si>
  <si>
    <t>"ᘪ"</t>
  </si>
  <si>
    <t>"ᘫ"</t>
  </si>
  <si>
    <t>"ᘬ"</t>
  </si>
  <si>
    <t>"ᘭ"</t>
  </si>
  <si>
    <t>"ᘮ"</t>
  </si>
  <si>
    <t>"ᘯ"</t>
  </si>
  <si>
    <t>"ᘰ"</t>
  </si>
  <si>
    <t>"ᘱ"</t>
  </si>
  <si>
    <t>"ᘲ"</t>
  </si>
  <si>
    <t>"ᘳ"</t>
  </si>
  <si>
    <t>"ᘴ"</t>
  </si>
  <si>
    <t>"ᘵ"</t>
  </si>
  <si>
    <t>"ᘶ"</t>
  </si>
  <si>
    <t>"ᘷ"</t>
  </si>
  <si>
    <t>"ᘸ"</t>
  </si>
  <si>
    <t>"ᘹ"</t>
  </si>
  <si>
    <t>"ᘺ"</t>
  </si>
  <si>
    <t>"ᘻ"</t>
  </si>
  <si>
    <t>"ᘼ"</t>
  </si>
  <si>
    <t>"ᘽ"</t>
  </si>
  <si>
    <t>"ᘾ"</t>
  </si>
  <si>
    <t>"ᘿ"</t>
  </si>
  <si>
    <t>"ᙀ"</t>
  </si>
  <si>
    <t>"ᙁ"</t>
  </si>
  <si>
    <t>"ᙂ"</t>
  </si>
  <si>
    <t>"ᙃ"</t>
  </si>
  <si>
    <t>"ᙄ"</t>
  </si>
  <si>
    <t>"ᙅ"</t>
  </si>
  <si>
    <t>"ᙆ"</t>
  </si>
  <si>
    <t>"ᙇ"</t>
  </si>
  <si>
    <t>"ᙈ"</t>
  </si>
  <si>
    <t>"ᙉ"</t>
  </si>
  <si>
    <t>"ᙊ"</t>
  </si>
  <si>
    <t>"ᙋ"</t>
  </si>
  <si>
    <t>"ᙌ"</t>
  </si>
  <si>
    <t>"ᙍ"</t>
  </si>
  <si>
    <t>"ᙎ"</t>
  </si>
  <si>
    <t>"ᙏ"</t>
  </si>
  <si>
    <t>"ᙐ"</t>
  </si>
  <si>
    <t>"ᙑ"</t>
  </si>
  <si>
    <t>"ᙒ"</t>
  </si>
  <si>
    <t>"ᙓ"</t>
  </si>
  <si>
    <t>"ᙔ"</t>
  </si>
  <si>
    <t>"ᙕ"</t>
  </si>
  <si>
    <t>"ᙖ"</t>
  </si>
  <si>
    <t>"ᙗ"</t>
  </si>
  <si>
    <t>"ᙘ"</t>
  </si>
  <si>
    <t>"ᙙ"</t>
  </si>
  <si>
    <t>"ᙚ"</t>
  </si>
  <si>
    <t>"ᙛ"</t>
  </si>
  <si>
    <t>"ᙜ"</t>
  </si>
  <si>
    <t>"ᙝ"</t>
  </si>
  <si>
    <t>"ᙞ"</t>
  </si>
  <si>
    <t>"ᙟ"</t>
  </si>
  <si>
    <t>"ᙠ"</t>
  </si>
  <si>
    <t>"ᙡ"</t>
  </si>
  <si>
    <t>"ᙢ"</t>
  </si>
  <si>
    <t>"ᙣ"</t>
  </si>
  <si>
    <t>"ᙤ"</t>
  </si>
  <si>
    <t>"ᙥ"</t>
  </si>
  <si>
    <t>"ᙦ"</t>
  </si>
  <si>
    <t>"ᙧ"</t>
  </si>
  <si>
    <t>"ᙨ"</t>
  </si>
  <si>
    <t>"ᙩ"</t>
  </si>
  <si>
    <t>"ᙪ"</t>
  </si>
  <si>
    <t>"ᙫ"</t>
  </si>
  <si>
    <t>"ᙬ"</t>
  </si>
  <si>
    <t>"᙭"</t>
  </si>
  <si>
    <t>"᙮"</t>
  </si>
  <si>
    <t>"ᙯ"</t>
  </si>
  <si>
    <t>"ᙰ"</t>
  </si>
  <si>
    <t>"ᙱ"</t>
  </si>
  <si>
    <t>"ᙲ"</t>
  </si>
  <si>
    <t>"ᙳ"</t>
  </si>
  <si>
    <t>"ᙴ"</t>
  </si>
  <si>
    <t>"ᙵ"</t>
  </si>
  <si>
    <t>"ᙶ"</t>
  </si>
  <si>
    <t>"ᙷ"</t>
  </si>
  <si>
    <t>"ᙸ"</t>
  </si>
  <si>
    <t>"ᙹ"</t>
  </si>
  <si>
    <t>"ᙺ"</t>
  </si>
  <si>
    <t>"ᙻ"</t>
  </si>
  <si>
    <t>"ᙼ"</t>
  </si>
  <si>
    <t>"ᙽ"</t>
  </si>
  <si>
    <t>"ᙾ"</t>
  </si>
  <si>
    <t>"ᙿ"</t>
  </si>
  <si>
    <t>" "</t>
  </si>
  <si>
    <t>"ᚁ"</t>
  </si>
  <si>
    <t>"ᚂ"</t>
  </si>
  <si>
    <t>"ᚃ"</t>
  </si>
  <si>
    <t>"ᚄ"</t>
  </si>
  <si>
    <t>"ᚅ"</t>
  </si>
  <si>
    <t>"ᚆ"</t>
  </si>
  <si>
    <t>"ᚇ"</t>
  </si>
  <si>
    <t>"ᚈ"</t>
  </si>
  <si>
    <t>"ᚉ"</t>
  </si>
  <si>
    <t>"ᚊ"</t>
  </si>
  <si>
    <t>"ᚋ"</t>
  </si>
  <si>
    <t>"ᚌ"</t>
  </si>
  <si>
    <t>"ᚍ"</t>
  </si>
  <si>
    <t>"ᚎ"</t>
  </si>
  <si>
    <t>"ᚏ"</t>
  </si>
  <si>
    <t>"ᚐ"</t>
  </si>
  <si>
    <t>"ᚑ"</t>
  </si>
  <si>
    <t>"ᚒ"</t>
  </si>
  <si>
    <t>"ᚓ"</t>
  </si>
  <si>
    <t>"ᚔ"</t>
  </si>
  <si>
    <t>"ᚕ"</t>
  </si>
  <si>
    <t>"ᚖ"</t>
  </si>
  <si>
    <t>"ᚗ"</t>
  </si>
  <si>
    <t>"ᚘ"</t>
  </si>
  <si>
    <t>"ᚙ"</t>
  </si>
  <si>
    <t>"ᚚ"</t>
  </si>
  <si>
    <t>"᚛"</t>
  </si>
  <si>
    <t>"᚜"</t>
  </si>
  <si>
    <t>"᚝"</t>
  </si>
  <si>
    <t>"᚞"</t>
  </si>
  <si>
    <t>"᚟"</t>
  </si>
  <si>
    <t>"ᚠ"</t>
  </si>
  <si>
    <t>"ᚡ"</t>
  </si>
  <si>
    <t>"ᚢ"</t>
  </si>
  <si>
    <t>"ᚣ"</t>
  </si>
  <si>
    <t>"ᚤ"</t>
  </si>
  <si>
    <t>"ᚥ"</t>
  </si>
  <si>
    <t>"ᚦ"</t>
  </si>
  <si>
    <t>"ᚧ"</t>
  </si>
  <si>
    <t>"ᚨ"</t>
  </si>
  <si>
    <t>"ᚩ"</t>
  </si>
  <si>
    <t>"ᚪ"</t>
  </si>
  <si>
    <t>"ᚫ"</t>
  </si>
  <si>
    <t>"ᚬ"</t>
  </si>
  <si>
    <t>"ᚭ"</t>
  </si>
  <si>
    <t>"ᚮ"</t>
  </si>
  <si>
    <t>"ᚯ"</t>
  </si>
  <si>
    <t>"ᚰ"</t>
  </si>
  <si>
    <t>"ᚱ"</t>
  </si>
  <si>
    <t>"ᚲ"</t>
  </si>
  <si>
    <t>"ᚳ"</t>
  </si>
  <si>
    <t>"ᚴ"</t>
  </si>
  <si>
    <t>"ᚵ"</t>
  </si>
  <si>
    <t>"ᚶ"</t>
  </si>
  <si>
    <t>"ᚷ"</t>
  </si>
  <si>
    <t>"ᚸ"</t>
  </si>
  <si>
    <t>"ᚹ"</t>
  </si>
  <si>
    <t>"ᚺ"</t>
  </si>
  <si>
    <t>"ᚻ"</t>
  </si>
  <si>
    <t>"ᚼ"</t>
  </si>
  <si>
    <t>"ᚽ"</t>
  </si>
  <si>
    <t>"ᚾ"</t>
  </si>
  <si>
    <t>"ᚿ"</t>
  </si>
  <si>
    <t>"ᛀ"</t>
  </si>
  <si>
    <t>"ᛁ"</t>
  </si>
  <si>
    <t>"ᛂ"</t>
  </si>
  <si>
    <t>"ᛃ"</t>
  </si>
  <si>
    <t>"ᛄ"</t>
  </si>
  <si>
    <t>"ᛅ"</t>
  </si>
  <si>
    <t>"ᛆ"</t>
  </si>
  <si>
    <t>"ᛇ"</t>
  </si>
  <si>
    <t>"ᛈ"</t>
  </si>
  <si>
    <t>"ᛉ"</t>
  </si>
  <si>
    <t>"ᛊ"</t>
  </si>
  <si>
    <t>"ᛋ"</t>
  </si>
  <si>
    <t>"ᛌ"</t>
  </si>
  <si>
    <t>"ᛍ"</t>
  </si>
  <si>
    <t>"ᛎ"</t>
  </si>
  <si>
    <t>"ᛏ"</t>
  </si>
  <si>
    <t>"ᛐ"</t>
  </si>
  <si>
    <t>"ᛑ"</t>
  </si>
  <si>
    <t>"ᛒ"</t>
  </si>
  <si>
    <t>"ᛓ"</t>
  </si>
  <si>
    <t>"ᛔ"</t>
  </si>
  <si>
    <t>"ᛕ"</t>
  </si>
  <si>
    <t>"ᛖ"</t>
  </si>
  <si>
    <t>"ᛗ"</t>
  </si>
  <si>
    <t>"ᛘ"</t>
  </si>
  <si>
    <t>"ᛙ"</t>
  </si>
  <si>
    <t>"ᛚ"</t>
  </si>
  <si>
    <t>"ᛛ"</t>
  </si>
  <si>
    <t>"ᛜ"</t>
  </si>
  <si>
    <t>"ᛝ"</t>
  </si>
  <si>
    <t>"ᛞ"</t>
  </si>
  <si>
    <t>"ᛟ"</t>
  </si>
  <si>
    <t>"ᛠ"</t>
  </si>
  <si>
    <t>"ᛡ"</t>
  </si>
  <si>
    <t>"ᛢ"</t>
  </si>
  <si>
    <t>"ᛣ"</t>
  </si>
  <si>
    <t>"ᛤ"</t>
  </si>
  <si>
    <t>"ᛥ"</t>
  </si>
  <si>
    <t>"ᛦ"</t>
  </si>
  <si>
    <t>"ᛧ"</t>
  </si>
  <si>
    <t>"ᛨ"</t>
  </si>
  <si>
    <t>"ᛩ"</t>
  </si>
  <si>
    <t>"ᛪ"</t>
  </si>
  <si>
    <t>"᛫"</t>
  </si>
  <si>
    <t>"᛬"</t>
  </si>
  <si>
    <t>"᛭"</t>
  </si>
  <si>
    <t>"ᛮ"</t>
  </si>
  <si>
    <t>"ᛯ"</t>
  </si>
  <si>
    <t>"ᛰ"</t>
  </si>
  <si>
    <t>"ᛱ"</t>
  </si>
  <si>
    <t>"ᛲ"</t>
  </si>
  <si>
    <t>"ᛳ"</t>
  </si>
  <si>
    <t>"ᛴ"</t>
  </si>
  <si>
    <t>"ᛵ"</t>
  </si>
  <si>
    <t>"ᛶ"</t>
  </si>
  <si>
    <t>"ᛷ"</t>
  </si>
  <si>
    <t>"ᛸ"</t>
  </si>
  <si>
    <t>"᛹"</t>
  </si>
  <si>
    <t>"᛺"</t>
  </si>
  <si>
    <t>"᛻"</t>
  </si>
  <si>
    <t>"᛼"</t>
  </si>
  <si>
    <t>"᛽"</t>
  </si>
  <si>
    <t>"᛾"</t>
  </si>
  <si>
    <t>"᛿"</t>
  </si>
  <si>
    <t>"ᜀ"</t>
  </si>
  <si>
    <t>"ᜁ"</t>
  </si>
  <si>
    <t>"ᜂ"</t>
  </si>
  <si>
    <t>"ᜃ"</t>
  </si>
  <si>
    <t>"ᜄ"</t>
  </si>
  <si>
    <t>"ᜅ"</t>
  </si>
  <si>
    <t>"ᜆ"</t>
  </si>
  <si>
    <t>"ᜇ"</t>
  </si>
  <si>
    <t>"ᜈ"</t>
  </si>
  <si>
    <t>"ᜉ"</t>
  </si>
  <si>
    <t>"ᜊ"</t>
  </si>
  <si>
    <t>"ᜋ"</t>
  </si>
  <si>
    <t>"ᜌ"</t>
  </si>
  <si>
    <t>"ᜍ"</t>
  </si>
  <si>
    <t>"ᜎ"</t>
  </si>
  <si>
    <t>"ᜏ"</t>
  </si>
  <si>
    <t>"ᜐ"</t>
  </si>
  <si>
    <t>"ᜑ"</t>
  </si>
  <si>
    <t>"ᜒ"</t>
  </si>
  <si>
    <t>"ᜓ"</t>
  </si>
  <si>
    <t>"᜔"</t>
  </si>
  <si>
    <t>"᜕"</t>
  </si>
  <si>
    <t>"᜖"</t>
  </si>
  <si>
    <t>"᜗"</t>
  </si>
  <si>
    <t>"᜘"</t>
  </si>
  <si>
    <t>"᜙"</t>
  </si>
  <si>
    <t>"᜚"</t>
  </si>
  <si>
    <t>"᜛"</t>
  </si>
  <si>
    <t>"᜜"</t>
  </si>
  <si>
    <t>"᜝"</t>
  </si>
  <si>
    <t>"᜞"</t>
  </si>
  <si>
    <t>"ᜟ"</t>
  </si>
  <si>
    <t>"ᜠ"</t>
  </si>
  <si>
    <t>"ᜡ"</t>
  </si>
  <si>
    <t>"ᜢ"</t>
  </si>
  <si>
    <t>"ᜣ"</t>
  </si>
  <si>
    <t>"ᜤ"</t>
  </si>
  <si>
    <t>"ᜥ"</t>
  </si>
  <si>
    <t>"ᜦ"</t>
  </si>
  <si>
    <t>"ᜧ"</t>
  </si>
  <si>
    <t>"ᜨ"</t>
  </si>
  <si>
    <t>"ᜩ"</t>
  </si>
  <si>
    <t>"ᜪ"</t>
  </si>
  <si>
    <t>"ᜫ"</t>
  </si>
  <si>
    <t>"ᜬ"</t>
  </si>
  <si>
    <t>"ᜭ"</t>
  </si>
  <si>
    <t>"ᜮ"</t>
  </si>
  <si>
    <t>"ᜯ"</t>
  </si>
  <si>
    <t>"ᜰ"</t>
  </si>
  <si>
    <t>"ᜱ"</t>
  </si>
  <si>
    <t>"ᜲ"</t>
  </si>
  <si>
    <t>"ᜳ"</t>
  </si>
  <si>
    <t>"᜴"</t>
  </si>
  <si>
    <t>"᜵"</t>
  </si>
  <si>
    <t>"᜶"</t>
  </si>
  <si>
    <t>"᜷"</t>
  </si>
  <si>
    <t>"᜸"</t>
  </si>
  <si>
    <t>"᜹"</t>
  </si>
  <si>
    <t>"᜺"</t>
  </si>
  <si>
    <t>"᜻"</t>
  </si>
  <si>
    <t>"᜼"</t>
  </si>
  <si>
    <t>"᜽"</t>
  </si>
  <si>
    <t>"᜾"</t>
  </si>
  <si>
    <t>"᜿"</t>
  </si>
  <si>
    <t>"ᝀ"</t>
  </si>
  <si>
    <t>"ᝁ"</t>
  </si>
  <si>
    <t>"ᝂ"</t>
  </si>
  <si>
    <t>"ᝃ"</t>
  </si>
  <si>
    <t>"ᝄ"</t>
  </si>
  <si>
    <t>"ᝅ"</t>
  </si>
  <si>
    <t>"ᝆ"</t>
  </si>
  <si>
    <t>"ᝇ"</t>
  </si>
  <si>
    <t>"ᝈ"</t>
  </si>
  <si>
    <t>"ᝉ"</t>
  </si>
  <si>
    <t>"ᝊ"</t>
  </si>
  <si>
    <t>"ᝋ"</t>
  </si>
  <si>
    <t>"ᝌ"</t>
  </si>
  <si>
    <t>"ᝍ"</t>
  </si>
  <si>
    <t>"ᝎ"</t>
  </si>
  <si>
    <t>"ᝏ"</t>
  </si>
  <si>
    <t>"ᝐ"</t>
  </si>
  <si>
    <t>"ᝑ"</t>
  </si>
  <si>
    <t>"ᝒ"</t>
  </si>
  <si>
    <t>"ᝓ"</t>
  </si>
  <si>
    <t>"᝔"</t>
  </si>
  <si>
    <t>"᝕"</t>
  </si>
  <si>
    <t>"᝖"</t>
  </si>
  <si>
    <t>"᝗"</t>
  </si>
  <si>
    <t>"᝘"</t>
  </si>
  <si>
    <t>"᝙"</t>
  </si>
  <si>
    <t>"᝚"</t>
  </si>
  <si>
    <t>"᝛"</t>
  </si>
  <si>
    <t>"᝜"</t>
  </si>
  <si>
    <t>"᝝"</t>
  </si>
  <si>
    <t>"᝞"</t>
  </si>
  <si>
    <t>"᝟"</t>
  </si>
  <si>
    <t>"ᝠ"</t>
  </si>
  <si>
    <t>"ᝡ"</t>
  </si>
  <si>
    <t>"ᝢ"</t>
  </si>
  <si>
    <t>"ᝣ"</t>
  </si>
  <si>
    <t>"ᝤ"</t>
  </si>
  <si>
    <t>"ᝥ"</t>
  </si>
  <si>
    <t>"ᝦ"</t>
  </si>
  <si>
    <t>"ᝧ"</t>
  </si>
  <si>
    <t>"ᝨ"</t>
  </si>
  <si>
    <t>"ᝩ"</t>
  </si>
  <si>
    <t>"ᝪ"</t>
  </si>
  <si>
    <t>"ᝫ"</t>
  </si>
  <si>
    <t>"ᝬ"</t>
  </si>
  <si>
    <t>"᝭"</t>
  </si>
  <si>
    <t>"ᝮ"</t>
  </si>
  <si>
    <t>"ᝯ"</t>
  </si>
  <si>
    <t>"ᝰ"</t>
  </si>
  <si>
    <t>"᝱"</t>
  </si>
  <si>
    <t>"ᝲ"</t>
  </si>
  <si>
    <t>"ᝳ"</t>
  </si>
  <si>
    <t>"᝴"</t>
  </si>
  <si>
    <t>"᝵"</t>
  </si>
  <si>
    <t>"᝶"</t>
  </si>
  <si>
    <t>"᝷"</t>
  </si>
  <si>
    <t>"᝸"</t>
  </si>
  <si>
    <t>"᝹"</t>
  </si>
  <si>
    <t>"᝺"</t>
  </si>
  <si>
    <t>"᝻"</t>
  </si>
  <si>
    <t>"᝼"</t>
  </si>
  <si>
    <t>"᝽"</t>
  </si>
  <si>
    <t>"᝾"</t>
  </si>
  <si>
    <t>"᝿"</t>
  </si>
  <si>
    <t>"ក"</t>
  </si>
  <si>
    <t>"ខ"</t>
  </si>
  <si>
    <t>"គ"</t>
  </si>
  <si>
    <t>"ឃ"</t>
  </si>
  <si>
    <t>"ង"</t>
  </si>
  <si>
    <t>"ច"</t>
  </si>
  <si>
    <t>"ឆ"</t>
  </si>
  <si>
    <t>"ជ"</t>
  </si>
  <si>
    <t>"ឈ"</t>
  </si>
  <si>
    <t>"ញ"</t>
  </si>
  <si>
    <t>"ដ"</t>
  </si>
  <si>
    <t>"ឋ"</t>
  </si>
  <si>
    <t>"ឌ"</t>
  </si>
  <si>
    <t>"ឍ"</t>
  </si>
  <si>
    <t>"ណ"</t>
  </si>
  <si>
    <t>"ត"</t>
  </si>
  <si>
    <t>"ថ"</t>
  </si>
  <si>
    <t>"ទ"</t>
  </si>
  <si>
    <t>"ធ"</t>
  </si>
  <si>
    <t>"ន"</t>
  </si>
  <si>
    <t>"ប"</t>
  </si>
  <si>
    <t>"ផ"</t>
  </si>
  <si>
    <t>"ព"</t>
  </si>
  <si>
    <t>"ភ"</t>
  </si>
  <si>
    <t>"ម"</t>
  </si>
  <si>
    <t>"យ"</t>
  </si>
  <si>
    <t>"រ"</t>
  </si>
  <si>
    <t>"ល"</t>
  </si>
  <si>
    <t>"វ"</t>
  </si>
  <si>
    <t>"ឝ"</t>
  </si>
  <si>
    <t>"ឞ"</t>
  </si>
  <si>
    <t>"ស"</t>
  </si>
  <si>
    <t>"ហ"</t>
  </si>
  <si>
    <t>"ឡ"</t>
  </si>
  <si>
    <t>"អ"</t>
  </si>
  <si>
    <t>"ឣ"</t>
  </si>
  <si>
    <t>"ឤ"</t>
  </si>
  <si>
    <t>"ឥ"</t>
  </si>
  <si>
    <t>"ឦ"</t>
  </si>
  <si>
    <t>"ឧ"</t>
  </si>
  <si>
    <t>"ឨ"</t>
  </si>
  <si>
    <t>"ឩ"</t>
  </si>
  <si>
    <t>"ឪ"</t>
  </si>
  <si>
    <t>"ឫ"</t>
  </si>
  <si>
    <t>"ឬ"</t>
  </si>
  <si>
    <t>"ឭ"</t>
  </si>
  <si>
    <t>"ឮ"</t>
  </si>
  <si>
    <t>"ឯ"</t>
  </si>
  <si>
    <t>"ឰ"</t>
  </si>
  <si>
    <t>"ឱ"</t>
  </si>
  <si>
    <t>"ឲ"</t>
  </si>
  <si>
    <t>"ឳ"</t>
  </si>
  <si>
    <t>"឴"</t>
  </si>
  <si>
    <t>"឵"</t>
  </si>
  <si>
    <t>"ា"</t>
  </si>
  <si>
    <t>"ិ"</t>
  </si>
  <si>
    <t>"ី"</t>
  </si>
  <si>
    <t>"ឹ"</t>
  </si>
  <si>
    <t>"ឺ"</t>
  </si>
  <si>
    <t>"ុ"</t>
  </si>
  <si>
    <t>"ូ"</t>
  </si>
  <si>
    <t>"ួ"</t>
  </si>
  <si>
    <t>"ើ"</t>
  </si>
  <si>
    <t>"ឿ"</t>
  </si>
  <si>
    <t>"ៀ"</t>
  </si>
  <si>
    <t>"េ"</t>
  </si>
  <si>
    <t>"ែ"</t>
  </si>
  <si>
    <t>"ៃ"</t>
  </si>
  <si>
    <t>"ោ"</t>
  </si>
  <si>
    <t>"ៅ"</t>
  </si>
  <si>
    <t>"ំ"</t>
  </si>
  <si>
    <t>"ះ"</t>
  </si>
  <si>
    <t>"ៈ"</t>
  </si>
  <si>
    <t>"៉"</t>
  </si>
  <si>
    <t>"៊"</t>
  </si>
  <si>
    <t>"់"</t>
  </si>
  <si>
    <t>"៌"</t>
  </si>
  <si>
    <t>"៍"</t>
  </si>
  <si>
    <t>"៎"</t>
  </si>
  <si>
    <t>"៏"</t>
  </si>
  <si>
    <t>"័"</t>
  </si>
  <si>
    <t>"៑"</t>
  </si>
  <si>
    <t>"្"</t>
  </si>
  <si>
    <t>"៓"</t>
  </si>
  <si>
    <t>"។"</t>
  </si>
  <si>
    <t>"៕"</t>
  </si>
  <si>
    <t>"៖"</t>
  </si>
  <si>
    <t>"ៗ"</t>
  </si>
  <si>
    <t>"៘"</t>
  </si>
  <si>
    <t>"៙"</t>
  </si>
  <si>
    <t>"៚"</t>
  </si>
  <si>
    <t>"៛"</t>
  </si>
  <si>
    <t>"ៜ"</t>
  </si>
  <si>
    <t>"៝"</t>
  </si>
  <si>
    <t>"៞"</t>
  </si>
  <si>
    <t>"៟"</t>
  </si>
  <si>
    <t>"០"</t>
  </si>
  <si>
    <t>"១"</t>
  </si>
  <si>
    <t>"២"</t>
  </si>
  <si>
    <t>"៣"</t>
  </si>
  <si>
    <t>"៤"</t>
  </si>
  <si>
    <t>"៥"</t>
  </si>
  <si>
    <t>"៦"</t>
  </si>
  <si>
    <t>"៧"</t>
  </si>
  <si>
    <t>"៨"</t>
  </si>
  <si>
    <t>"៩"</t>
  </si>
  <si>
    <t>"៪"</t>
  </si>
  <si>
    <t>"៫"</t>
  </si>
  <si>
    <t>"៬"</t>
  </si>
  <si>
    <t>"៭"</t>
  </si>
  <si>
    <t>"៮"</t>
  </si>
  <si>
    <t>"៯"</t>
  </si>
  <si>
    <t>"៰"</t>
  </si>
  <si>
    <t>"៱"</t>
  </si>
  <si>
    <t>"៲"</t>
  </si>
  <si>
    <t>"៳"</t>
  </si>
  <si>
    <t>"៴"</t>
  </si>
  <si>
    <t>"៵"</t>
  </si>
  <si>
    <t>"៶"</t>
  </si>
  <si>
    <t>"៷"</t>
  </si>
  <si>
    <t>"៸"</t>
  </si>
  <si>
    <t>"៹"</t>
  </si>
  <si>
    <t>"៺"</t>
  </si>
  <si>
    <t>"៻"</t>
  </si>
  <si>
    <t>"៼"</t>
  </si>
  <si>
    <t>"៽"</t>
  </si>
  <si>
    <t>"៾"</t>
  </si>
  <si>
    <t>"៿"</t>
  </si>
  <si>
    <t>"᠀"</t>
  </si>
  <si>
    <t>"᠁"</t>
  </si>
  <si>
    <t>"᠂"</t>
  </si>
  <si>
    <t>"᠃"</t>
  </si>
  <si>
    <t>"᠄"</t>
  </si>
  <si>
    <t>"᠅"</t>
  </si>
  <si>
    <t>"᠆"</t>
  </si>
  <si>
    <t>"᠇"</t>
  </si>
  <si>
    <t>"᠈"</t>
  </si>
  <si>
    <t>"᠉"</t>
  </si>
  <si>
    <t>"᠊"</t>
  </si>
  <si>
    <t>"᠋"</t>
  </si>
  <si>
    <t>"᠌"</t>
  </si>
  <si>
    <t>"᠍"</t>
  </si>
  <si>
    <t>"᠎"</t>
  </si>
  <si>
    <t>"᠏"</t>
  </si>
  <si>
    <t>"᠐"</t>
  </si>
  <si>
    <t>"᠑"</t>
  </si>
  <si>
    <t>"᠒"</t>
  </si>
  <si>
    <t>"᠓"</t>
  </si>
  <si>
    <t>"᠔"</t>
  </si>
  <si>
    <t>"᠕"</t>
  </si>
  <si>
    <t>"᠖"</t>
  </si>
  <si>
    <t>"᠗"</t>
  </si>
  <si>
    <t>"᠘"</t>
  </si>
  <si>
    <t>"᠙"</t>
  </si>
  <si>
    <t>"᠚"</t>
  </si>
  <si>
    <t>"᠛"</t>
  </si>
  <si>
    <t>"᠜"</t>
  </si>
  <si>
    <t>"᠝"</t>
  </si>
  <si>
    <t>"᠞"</t>
  </si>
  <si>
    <t>"᠟"</t>
  </si>
  <si>
    <t>"ᠠ"</t>
  </si>
  <si>
    <t>"ᠡ"</t>
  </si>
  <si>
    <t>"ᠢ"</t>
  </si>
  <si>
    <t>"ᠣ"</t>
  </si>
  <si>
    <t>"ᠤ"</t>
  </si>
  <si>
    <t>"ᠥ"</t>
  </si>
  <si>
    <t>"ᠦ"</t>
  </si>
  <si>
    <t>"ᠧ"</t>
  </si>
  <si>
    <t>"ᠨ"</t>
  </si>
  <si>
    <t>"ᠩ"</t>
  </si>
  <si>
    <t>"ᠪ"</t>
  </si>
  <si>
    <t>"ᠫ"</t>
  </si>
  <si>
    <t>"ᠬ"</t>
  </si>
  <si>
    <t>"ᠭ"</t>
  </si>
  <si>
    <t>"ᠮ"</t>
  </si>
  <si>
    <t>"ᠯ"</t>
  </si>
  <si>
    <t>"ᠰ"</t>
  </si>
  <si>
    <t>"ᠱ"</t>
  </si>
  <si>
    <t>"ᠲ"</t>
  </si>
  <si>
    <t>"ᠳ"</t>
  </si>
  <si>
    <t>"ᠴ"</t>
  </si>
  <si>
    <t>"ᠵ"</t>
  </si>
  <si>
    <t>"ᠶ"</t>
  </si>
  <si>
    <t>"ᠷ"</t>
  </si>
  <si>
    <t>"ᠸ"</t>
  </si>
  <si>
    <t>"ᠹ"</t>
  </si>
  <si>
    <t>"ᠺ"</t>
  </si>
  <si>
    <t>"ᠻ"</t>
  </si>
  <si>
    <t>"ᠼ"</t>
  </si>
  <si>
    <t>"ᠽ"</t>
  </si>
  <si>
    <t>"ᠾ"</t>
  </si>
  <si>
    <t>"ᠿ"</t>
  </si>
  <si>
    <t>"ᡀ"</t>
  </si>
  <si>
    <t>"ᡁ"</t>
  </si>
  <si>
    <t>"ᡂ"</t>
  </si>
  <si>
    <t>"ᡃ"</t>
  </si>
  <si>
    <t>"ᡄ"</t>
  </si>
  <si>
    <t>"ᡅ"</t>
  </si>
  <si>
    <t>"ᡆ"</t>
  </si>
  <si>
    <t>"ᡇ"</t>
  </si>
  <si>
    <t>"ᡈ"</t>
  </si>
  <si>
    <t>"ᡉ"</t>
  </si>
  <si>
    <t>"ᡊ"</t>
  </si>
  <si>
    <t>"ᡋ"</t>
  </si>
  <si>
    <t>"ᡌ"</t>
  </si>
  <si>
    <t>"ᡍ"</t>
  </si>
  <si>
    <t>"ᡎ"</t>
  </si>
  <si>
    <t>"ᡏ"</t>
  </si>
  <si>
    <t>"ᡐ"</t>
  </si>
  <si>
    <t>"ᡑ"</t>
  </si>
  <si>
    <t>"ᡒ"</t>
  </si>
  <si>
    <t>"ᡓ"</t>
  </si>
  <si>
    <t>"ᡔ"</t>
  </si>
  <si>
    <t>"ᡕ"</t>
  </si>
  <si>
    <t>"ᡖ"</t>
  </si>
  <si>
    <t>"ᡗ"</t>
  </si>
  <si>
    <t>"ᡘ"</t>
  </si>
  <si>
    <t>"ᡙ"</t>
  </si>
  <si>
    <t>"ᡚ"</t>
  </si>
  <si>
    <t>"ᡛ"</t>
  </si>
  <si>
    <t>"ᡜ"</t>
  </si>
  <si>
    <t>"ᡝ"</t>
  </si>
  <si>
    <t>"ᡞ"</t>
  </si>
  <si>
    <t>"ᡟ"</t>
  </si>
  <si>
    <t>"ᡠ"</t>
  </si>
  <si>
    <t>"ᡡ"</t>
  </si>
  <si>
    <t>"ᡢ"</t>
  </si>
  <si>
    <t>"ᡣ"</t>
  </si>
  <si>
    <t>"ᡤ"</t>
  </si>
  <si>
    <t>"ᡥ"</t>
  </si>
  <si>
    <t>"ᡦ"</t>
  </si>
  <si>
    <t>"ᡧ"</t>
  </si>
  <si>
    <t>"ᡨ"</t>
  </si>
  <si>
    <t>"ᡩ"</t>
  </si>
  <si>
    <t>"ᡪ"</t>
  </si>
  <si>
    <t>"ᡫ"</t>
  </si>
  <si>
    <t>"ᡬ"</t>
  </si>
  <si>
    <t>"ᡭ"</t>
  </si>
  <si>
    <t>"ᡮ"</t>
  </si>
  <si>
    <t>"ᡯ"</t>
  </si>
  <si>
    <t>"ᡰ"</t>
  </si>
  <si>
    <t>"ᡱ"</t>
  </si>
  <si>
    <t>"ᡲ"</t>
  </si>
  <si>
    <t>"ᡳ"</t>
  </si>
  <si>
    <t>"ᡴ"</t>
  </si>
  <si>
    <t>"ᡵ"</t>
  </si>
  <si>
    <t>"ᡶ"</t>
  </si>
  <si>
    <t>"ᡷ"</t>
  </si>
  <si>
    <t>"ᡸ"</t>
  </si>
  <si>
    <t>"᡹"</t>
  </si>
  <si>
    <t>"᡺"</t>
  </si>
  <si>
    <t>"᡻"</t>
  </si>
  <si>
    <t>"᡼"</t>
  </si>
  <si>
    <t>"᡽"</t>
  </si>
  <si>
    <t>"᡾"</t>
  </si>
  <si>
    <t>"᡿"</t>
  </si>
  <si>
    <t>"ᢀ"</t>
  </si>
  <si>
    <t>"ᢁ"</t>
  </si>
  <si>
    <t>"ᢂ"</t>
  </si>
  <si>
    <t>"ᢃ"</t>
  </si>
  <si>
    <t>"ᢄ"</t>
  </si>
  <si>
    <t>"ᢅ"</t>
  </si>
  <si>
    <t>"ᢆ"</t>
  </si>
  <si>
    <t>"ᢇ"</t>
  </si>
  <si>
    <t>"ᢈ"</t>
  </si>
  <si>
    <t>"ᢉ"</t>
  </si>
  <si>
    <t>"ᢊ"</t>
  </si>
  <si>
    <t>"ᢋ"</t>
  </si>
  <si>
    <t>"ᢌ"</t>
  </si>
  <si>
    <t>"ᢍ"</t>
  </si>
  <si>
    <t>"ᢎ"</t>
  </si>
  <si>
    <t>"ᢏ"</t>
  </si>
  <si>
    <t>"ᢐ"</t>
  </si>
  <si>
    <t>"ᢑ"</t>
  </si>
  <si>
    <t>"ᢒ"</t>
  </si>
  <si>
    <t>"ᢓ"</t>
  </si>
  <si>
    <t>"ᢔ"</t>
  </si>
  <si>
    <t>"ᢕ"</t>
  </si>
  <si>
    <t>"ᢖ"</t>
  </si>
  <si>
    <t>"ᢗ"</t>
  </si>
  <si>
    <t>"ᢘ"</t>
  </si>
  <si>
    <t>"ᢙ"</t>
  </si>
  <si>
    <t>"ᢚ"</t>
  </si>
  <si>
    <t>"ᢛ"</t>
  </si>
  <si>
    <t>"ᢜ"</t>
  </si>
  <si>
    <t>"ᢝ"</t>
  </si>
  <si>
    <t>"ᢞ"</t>
  </si>
  <si>
    <t>"ᢟ"</t>
  </si>
  <si>
    <t>"ᢠ"</t>
  </si>
  <si>
    <t>"ᢡ"</t>
  </si>
  <si>
    <t>"ᢢ"</t>
  </si>
  <si>
    <t>"ᢣ"</t>
  </si>
  <si>
    <t>"ᢤ"</t>
  </si>
  <si>
    <t>"ᢥ"</t>
  </si>
  <si>
    <t>"ᢦ"</t>
  </si>
  <si>
    <t>"ᢧ"</t>
  </si>
  <si>
    <t>"ᢨ"</t>
  </si>
  <si>
    <t>"ᢩ"</t>
  </si>
  <si>
    <t>"ᢪ"</t>
  </si>
  <si>
    <t>"᢫"</t>
  </si>
  <si>
    <t>"᢬"</t>
  </si>
  <si>
    <t>"᢭"</t>
  </si>
  <si>
    <t>"᢮"</t>
  </si>
  <si>
    <t>"᢯"</t>
  </si>
  <si>
    <t>"ᢰ"</t>
  </si>
  <si>
    <t>"ᢱ"</t>
  </si>
  <si>
    <t>"ᢲ"</t>
  </si>
  <si>
    <t>"ᢳ"</t>
  </si>
  <si>
    <t>"ᢴ"</t>
  </si>
  <si>
    <t>"ᢵ"</t>
  </si>
  <si>
    <t>"ᢶ"</t>
  </si>
  <si>
    <t>"ᢷ"</t>
  </si>
  <si>
    <t>"ᢸ"</t>
  </si>
  <si>
    <t>"ᢹ"</t>
  </si>
  <si>
    <t>"ᢺ"</t>
  </si>
  <si>
    <t>"ᢻ"</t>
  </si>
  <si>
    <t>"ᢼ"</t>
  </si>
  <si>
    <t>"ᢽ"</t>
  </si>
  <si>
    <t>"ᢾ"</t>
  </si>
  <si>
    <t>"ᢿ"</t>
  </si>
  <si>
    <t>"ᣀ"</t>
  </si>
  <si>
    <t>"ᣁ"</t>
  </si>
  <si>
    <t>"ᣂ"</t>
  </si>
  <si>
    <t>"ᣃ"</t>
  </si>
  <si>
    <t>"ᣄ"</t>
  </si>
  <si>
    <t>"ᣅ"</t>
  </si>
  <si>
    <t>"ᣆ"</t>
  </si>
  <si>
    <t>"ᣇ"</t>
  </si>
  <si>
    <t>"ᣈ"</t>
  </si>
  <si>
    <t>"ᣉ"</t>
  </si>
  <si>
    <t>"ᣊ"</t>
  </si>
  <si>
    <t>"ᣋ"</t>
  </si>
  <si>
    <t>"ᣌ"</t>
  </si>
  <si>
    <t>"ᣍ"</t>
  </si>
  <si>
    <t>"ᣎ"</t>
  </si>
  <si>
    <t>"ᣏ"</t>
  </si>
  <si>
    <t>"ᣐ"</t>
  </si>
  <si>
    <t>"ᣑ"</t>
  </si>
  <si>
    <t>"ᣒ"</t>
  </si>
  <si>
    <t>"ᣓ"</t>
  </si>
  <si>
    <t>"ᣔ"</t>
  </si>
  <si>
    <t>"ᣕ"</t>
  </si>
  <si>
    <t>"ᣖ"</t>
  </si>
  <si>
    <t>"ᣗ"</t>
  </si>
  <si>
    <t>"ᣘ"</t>
  </si>
  <si>
    <t>"ᣙ"</t>
  </si>
  <si>
    <t>"ᣚ"</t>
  </si>
  <si>
    <t>"ᣛ"</t>
  </si>
  <si>
    <t>"ᣜ"</t>
  </si>
  <si>
    <t>"ᣝ"</t>
  </si>
  <si>
    <t>"ᣞ"</t>
  </si>
  <si>
    <t>"ᣟ"</t>
  </si>
  <si>
    <t>"ᣠ"</t>
  </si>
  <si>
    <t>"ᣡ"</t>
  </si>
  <si>
    <t>"ᣢ"</t>
  </si>
  <si>
    <t>"ᣣ"</t>
  </si>
  <si>
    <t>"ᣤ"</t>
  </si>
  <si>
    <t>"ᣥ"</t>
  </si>
  <si>
    <t>"ᣦ"</t>
  </si>
  <si>
    <t>"ᣧ"</t>
  </si>
  <si>
    <t>"ᣨ"</t>
  </si>
  <si>
    <t>"ᣩ"</t>
  </si>
  <si>
    <t>"ᣪ"</t>
  </si>
  <si>
    <t>"ᣫ"</t>
  </si>
  <si>
    <t>"ᣬ"</t>
  </si>
  <si>
    <t>"ᣭ"</t>
  </si>
  <si>
    <t>"ᣮ"</t>
  </si>
  <si>
    <t>"ᣯ"</t>
  </si>
  <si>
    <t>"ᣰ"</t>
  </si>
  <si>
    <t>"ᣱ"</t>
  </si>
  <si>
    <t>"ᣲ"</t>
  </si>
  <si>
    <t>"ᣳ"</t>
  </si>
  <si>
    <t>"ᣴ"</t>
  </si>
  <si>
    <t>"ᣵ"</t>
  </si>
  <si>
    <t>"᣶"</t>
  </si>
  <si>
    <t>"᣷"</t>
  </si>
  <si>
    <t>"᣸"</t>
  </si>
  <si>
    <t>"᣹"</t>
  </si>
  <si>
    <t>"᣺"</t>
  </si>
  <si>
    <t>"᣻"</t>
  </si>
  <si>
    <t>"᣼"</t>
  </si>
  <si>
    <t>"᣽"</t>
  </si>
  <si>
    <t>"᣾"</t>
  </si>
  <si>
    <t>"᣿"</t>
  </si>
  <si>
    <t>"ᤀ"</t>
  </si>
  <si>
    <t>"ᤁ"</t>
  </si>
  <si>
    <t>"ᤂ"</t>
  </si>
  <si>
    <t>"ᤃ"</t>
  </si>
  <si>
    <t>"ᤄ"</t>
  </si>
  <si>
    <t>"ᤅ"</t>
  </si>
  <si>
    <t>"ᤆ"</t>
  </si>
  <si>
    <t>"ᤇ"</t>
  </si>
  <si>
    <t>"ᤈ"</t>
  </si>
  <si>
    <t>"ᤉ"</t>
  </si>
  <si>
    <t>"ᤊ"</t>
  </si>
  <si>
    <t>"ᤋ"</t>
  </si>
  <si>
    <t>"ᤌ"</t>
  </si>
  <si>
    <t>"ᤍ"</t>
  </si>
  <si>
    <t>"ᤎ"</t>
  </si>
  <si>
    <t>"ᤏ"</t>
  </si>
  <si>
    <t>"ᤐ"</t>
  </si>
  <si>
    <t>"ᤑ"</t>
  </si>
  <si>
    <t>"ᤒ"</t>
  </si>
  <si>
    <t>"ᤓ"</t>
  </si>
  <si>
    <t>"ᤔ"</t>
  </si>
  <si>
    <t>"ᤕ"</t>
  </si>
  <si>
    <t>"ᤖ"</t>
  </si>
  <si>
    <t>"ᤗ"</t>
  </si>
  <si>
    <t>"ᤘ"</t>
  </si>
  <si>
    <t>"ᤙ"</t>
  </si>
  <si>
    <t>"ᤚ"</t>
  </si>
  <si>
    <t>"ᤛ"</t>
  </si>
  <si>
    <t>"ᤜ"</t>
  </si>
  <si>
    <t>"ᤝ"</t>
  </si>
  <si>
    <t>"ᤞ"</t>
  </si>
  <si>
    <t>"᤟"</t>
  </si>
  <si>
    <t>"ᤠ"</t>
  </si>
  <si>
    <t>"ᤡ"</t>
  </si>
  <si>
    <t>"ᤢ"</t>
  </si>
  <si>
    <t>"ᤣ"</t>
  </si>
  <si>
    <t>"ᤤ"</t>
  </si>
  <si>
    <t>"ᤥ"</t>
  </si>
  <si>
    <t>"ᤦ"</t>
  </si>
  <si>
    <t>"ᤧ"</t>
  </si>
  <si>
    <t>"ᤨ"</t>
  </si>
  <si>
    <t>"ᤩ"</t>
  </si>
  <si>
    <t>"ᤪ"</t>
  </si>
  <si>
    <t>"ᤫ"</t>
  </si>
  <si>
    <t>"᤬"</t>
  </si>
  <si>
    <t>"᤭"</t>
  </si>
  <si>
    <t>"᤮"</t>
  </si>
  <si>
    <t>"᤯"</t>
  </si>
  <si>
    <t>"ᤰ"</t>
  </si>
  <si>
    <t>"ᤱ"</t>
  </si>
  <si>
    <t>"ᤲ"</t>
  </si>
  <si>
    <t>"ᤳ"</t>
  </si>
  <si>
    <t>"ᤴ"</t>
  </si>
  <si>
    <t>"ᤵ"</t>
  </si>
  <si>
    <t>"ᤶ"</t>
  </si>
  <si>
    <t>"ᤷ"</t>
  </si>
  <si>
    <t>"ᤸ"</t>
  </si>
  <si>
    <t>"᤹"</t>
  </si>
  <si>
    <t>"᤺"</t>
  </si>
  <si>
    <t>"᤻"</t>
  </si>
  <si>
    <t>"᤼"</t>
  </si>
  <si>
    <t>"᤽"</t>
  </si>
  <si>
    <t>"᤾"</t>
  </si>
  <si>
    <t>"᤿"</t>
  </si>
  <si>
    <t>"᥀"</t>
  </si>
  <si>
    <t>"᥁"</t>
  </si>
  <si>
    <t>"᥂"</t>
  </si>
  <si>
    <t>"᥃"</t>
  </si>
  <si>
    <t>"᥄"</t>
  </si>
  <si>
    <t>"᥅"</t>
  </si>
  <si>
    <t>"᥆"</t>
  </si>
  <si>
    <t>"᥇"</t>
  </si>
  <si>
    <t>"᥈"</t>
  </si>
  <si>
    <t>"᥉"</t>
  </si>
  <si>
    <t>"᥊"</t>
  </si>
  <si>
    <t>"᥋"</t>
  </si>
  <si>
    <t>"᥌"</t>
  </si>
  <si>
    <t>"᥍"</t>
  </si>
  <si>
    <t>"᥎"</t>
  </si>
  <si>
    <t>"᥏"</t>
  </si>
  <si>
    <t>"ᥐ"</t>
  </si>
  <si>
    <t>"ᥑ"</t>
  </si>
  <si>
    <t>"ᥒ"</t>
  </si>
  <si>
    <t>"ᥓ"</t>
  </si>
  <si>
    <t>"ᥔ"</t>
  </si>
  <si>
    <t>"ᥕ"</t>
  </si>
  <si>
    <t>"ᥖ"</t>
  </si>
  <si>
    <t>"ᥗ"</t>
  </si>
  <si>
    <t>"ᥘ"</t>
  </si>
  <si>
    <t>"ᥙ"</t>
  </si>
  <si>
    <t>"ᥚ"</t>
  </si>
  <si>
    <t>"ᥛ"</t>
  </si>
  <si>
    <t>"ᥜ"</t>
  </si>
  <si>
    <t>"ᥝ"</t>
  </si>
  <si>
    <t>"ᥞ"</t>
  </si>
  <si>
    <t>"ᥟ"</t>
  </si>
  <si>
    <t>"ᥠ"</t>
  </si>
  <si>
    <t>"ᥡ"</t>
  </si>
  <si>
    <t>"ᥢ"</t>
  </si>
  <si>
    <t>"ᥣ"</t>
  </si>
  <si>
    <t>"ᥤ"</t>
  </si>
  <si>
    <t>"ᥥ"</t>
  </si>
  <si>
    <t>"ᥦ"</t>
  </si>
  <si>
    <t>"ᥧ"</t>
  </si>
  <si>
    <t>"ᥨ"</t>
  </si>
  <si>
    <t>"ᥩ"</t>
  </si>
  <si>
    <t>"ᥪ"</t>
  </si>
  <si>
    <t>"ᥫ"</t>
  </si>
  <si>
    <t>"ᥬ"</t>
  </si>
  <si>
    <t>"ᥭ"</t>
  </si>
  <si>
    <t>"᥮"</t>
  </si>
  <si>
    <t>"᥯"</t>
  </si>
  <si>
    <t>"ᥰ"</t>
  </si>
  <si>
    <t>"ᥱ"</t>
  </si>
  <si>
    <t>"ᥲ"</t>
  </si>
  <si>
    <t>"ᥳ"</t>
  </si>
  <si>
    <t>"ᥴ"</t>
  </si>
  <si>
    <t>"᥵"</t>
  </si>
  <si>
    <t>"᥶"</t>
  </si>
  <si>
    <t>"᥷"</t>
  </si>
  <si>
    <t>"᥸"</t>
  </si>
  <si>
    <t>"᥹"</t>
  </si>
  <si>
    <t>"᥺"</t>
  </si>
  <si>
    <t>"᥻"</t>
  </si>
  <si>
    <t>"᥼"</t>
  </si>
  <si>
    <t>"᥽"</t>
  </si>
  <si>
    <t>"᥾"</t>
  </si>
  <si>
    <t>"᥿"</t>
  </si>
  <si>
    <t>"ᦀ"</t>
  </si>
  <si>
    <t>"ᦁ"</t>
  </si>
  <si>
    <t>"ᦂ"</t>
  </si>
  <si>
    <t>"ᦃ"</t>
  </si>
  <si>
    <t>"ᦄ"</t>
  </si>
  <si>
    <t>"ᦅ"</t>
  </si>
  <si>
    <t>"ᦆ"</t>
  </si>
  <si>
    <t>"ᦇ"</t>
  </si>
  <si>
    <t>"ᦈ"</t>
  </si>
  <si>
    <t>"ᦉ"</t>
  </si>
  <si>
    <t>"ᦊ"</t>
  </si>
  <si>
    <t>"ᦋ"</t>
  </si>
  <si>
    <t>"ᦌ"</t>
  </si>
  <si>
    <t>"ᦍ"</t>
  </si>
  <si>
    <t>"ᦎ"</t>
  </si>
  <si>
    <t>"ᦏ"</t>
  </si>
  <si>
    <t>"ᦐ"</t>
  </si>
  <si>
    <t>"ᦑ"</t>
  </si>
  <si>
    <t>"ᦒ"</t>
  </si>
  <si>
    <t>"ᦓ"</t>
  </si>
  <si>
    <t>"ᦔ"</t>
  </si>
  <si>
    <t>"ᦕ"</t>
  </si>
  <si>
    <t>"ᦖ"</t>
  </si>
  <si>
    <t>"ᦗ"</t>
  </si>
  <si>
    <t>"ᦘ"</t>
  </si>
  <si>
    <t>"ᦙ"</t>
  </si>
  <si>
    <t>"ᦚ"</t>
  </si>
  <si>
    <t>"ᦛ"</t>
  </si>
  <si>
    <t>"ᦜ"</t>
  </si>
  <si>
    <t>"ᦝ"</t>
  </si>
  <si>
    <t>"ᦞ"</t>
  </si>
  <si>
    <t>"ᦟ"</t>
  </si>
  <si>
    <t>"ᦠ"</t>
  </si>
  <si>
    <t>"ᦡ"</t>
  </si>
  <si>
    <t>"ᦢ"</t>
  </si>
  <si>
    <t>"ᦣ"</t>
  </si>
  <si>
    <t>"ᦤ"</t>
  </si>
  <si>
    <t>"ᦥ"</t>
  </si>
  <si>
    <t>"ᦦ"</t>
  </si>
  <si>
    <t>"ᦧ"</t>
  </si>
  <si>
    <t>"ᦨ"</t>
  </si>
  <si>
    <t>"ᦩ"</t>
  </si>
  <si>
    <t>"ᦪ"</t>
  </si>
  <si>
    <t>"ᦫ"</t>
  </si>
  <si>
    <t>"᦬"</t>
  </si>
  <si>
    <t>"᦭"</t>
  </si>
  <si>
    <t>"᦮"</t>
  </si>
  <si>
    <t>"᦯"</t>
  </si>
  <si>
    <t>"ᦰ"</t>
  </si>
  <si>
    <t>"ᦱ"</t>
  </si>
  <si>
    <t>"ᦲ"</t>
  </si>
  <si>
    <t>"ᦳ"</t>
  </si>
  <si>
    <t>"ᦴ"</t>
  </si>
  <si>
    <t>"ᦵ"</t>
  </si>
  <si>
    <t>"ᦶ"</t>
  </si>
  <si>
    <t>"ᦷ"</t>
  </si>
  <si>
    <t>"ᦸ"</t>
  </si>
  <si>
    <t>"ᦹ"</t>
  </si>
  <si>
    <t>"ᦺ"</t>
  </si>
  <si>
    <t>"ᦻ"</t>
  </si>
  <si>
    <t>"ᦼ"</t>
  </si>
  <si>
    <t>"ᦽ"</t>
  </si>
  <si>
    <t>"ᦾ"</t>
  </si>
  <si>
    <t>"ᦿ"</t>
  </si>
  <si>
    <t>"ᧀ"</t>
  </si>
  <si>
    <t>"ᧁ"</t>
  </si>
  <si>
    <t>"ᧂ"</t>
  </si>
  <si>
    <t>"ᧃ"</t>
  </si>
  <si>
    <t>"ᧄ"</t>
  </si>
  <si>
    <t>"ᧅ"</t>
  </si>
  <si>
    <t>"ᧆ"</t>
  </si>
  <si>
    <t>"ᧇ"</t>
  </si>
  <si>
    <t>"ᧈ"</t>
  </si>
  <si>
    <t>"ᧉ"</t>
  </si>
  <si>
    <t>"᧊"</t>
  </si>
  <si>
    <t>"᧋"</t>
  </si>
  <si>
    <t>"᧌"</t>
  </si>
  <si>
    <t>"᧍"</t>
  </si>
  <si>
    <t>"᧎"</t>
  </si>
  <si>
    <t>"᧏"</t>
  </si>
  <si>
    <t>"᧐"</t>
  </si>
  <si>
    <t>"᧑"</t>
  </si>
  <si>
    <t>"᧒"</t>
  </si>
  <si>
    <t>"᧓"</t>
  </si>
  <si>
    <t>"᧔"</t>
  </si>
  <si>
    <t>"᧕"</t>
  </si>
  <si>
    <t>"᧖"</t>
  </si>
  <si>
    <t>"᧗"</t>
  </si>
  <si>
    <t>"᧘"</t>
  </si>
  <si>
    <t>"᧙"</t>
  </si>
  <si>
    <t>"᧚"</t>
  </si>
  <si>
    <t>"᧛"</t>
  </si>
  <si>
    <t>"᧜"</t>
  </si>
  <si>
    <t>"᧝"</t>
  </si>
  <si>
    <t>"᧞"</t>
  </si>
  <si>
    <t>"᧟"</t>
  </si>
  <si>
    <t>"᧠"</t>
  </si>
  <si>
    <t>"᧡"</t>
  </si>
  <si>
    <t>"᧢"</t>
  </si>
  <si>
    <t>"᧣"</t>
  </si>
  <si>
    <t>"᧤"</t>
  </si>
  <si>
    <t>"᧥"</t>
  </si>
  <si>
    <t>"᧦"</t>
  </si>
  <si>
    <t>"᧧"</t>
  </si>
  <si>
    <t>"᧨"</t>
  </si>
  <si>
    <t>"᧩"</t>
  </si>
  <si>
    <t>"᧪"</t>
  </si>
  <si>
    <t>"᧫"</t>
  </si>
  <si>
    <t>"᧬"</t>
  </si>
  <si>
    <t>"᧭"</t>
  </si>
  <si>
    <t>"᧮"</t>
  </si>
  <si>
    <t>"᧯"</t>
  </si>
  <si>
    <t>"᧰"</t>
  </si>
  <si>
    <t>"᧱"</t>
  </si>
  <si>
    <t>"᧲"</t>
  </si>
  <si>
    <t>"᧳"</t>
  </si>
  <si>
    <t>"᧴"</t>
  </si>
  <si>
    <t>"᧵"</t>
  </si>
  <si>
    <t>"᧶"</t>
  </si>
  <si>
    <t>"᧷"</t>
  </si>
  <si>
    <t>"᧸"</t>
  </si>
  <si>
    <t>"᧹"</t>
  </si>
  <si>
    <t>"᧺"</t>
  </si>
  <si>
    <t>"᧻"</t>
  </si>
  <si>
    <t>"᧼"</t>
  </si>
  <si>
    <t>"᧽"</t>
  </si>
  <si>
    <t>"᧾"</t>
  </si>
  <si>
    <t>"᧿"</t>
  </si>
  <si>
    <t>"ᨀ"</t>
  </si>
  <si>
    <t>"ᨁ"</t>
  </si>
  <si>
    <t>"ᨂ"</t>
  </si>
  <si>
    <t>"ᨃ"</t>
  </si>
  <si>
    <t>"ᨄ"</t>
  </si>
  <si>
    <t>"ᨅ"</t>
  </si>
  <si>
    <t>"ᨆ"</t>
  </si>
  <si>
    <t>"ᨇ"</t>
  </si>
  <si>
    <t>"ᨈ"</t>
  </si>
  <si>
    <t>"ᨉ"</t>
  </si>
  <si>
    <t>"ᨊ"</t>
  </si>
  <si>
    <t>"ᨋ"</t>
  </si>
  <si>
    <t>"ᨌ"</t>
  </si>
  <si>
    <t>"ᨍ"</t>
  </si>
  <si>
    <t>"ᨎ"</t>
  </si>
  <si>
    <t>"ᨏ"</t>
  </si>
  <si>
    <t>"ᨐ"</t>
  </si>
  <si>
    <t>"ᨑ"</t>
  </si>
  <si>
    <t>"ᨒ"</t>
  </si>
  <si>
    <t>"ᨓ"</t>
  </si>
  <si>
    <t>"ᨔ"</t>
  </si>
  <si>
    <t>"ᨕ"</t>
  </si>
  <si>
    <t>"ᨖ"</t>
  </si>
  <si>
    <t>"ᨗ"</t>
  </si>
  <si>
    <t>"ᨘ"</t>
  </si>
  <si>
    <t>"ᨙ"</t>
  </si>
  <si>
    <t>"ᨚ"</t>
  </si>
  <si>
    <t>"ᨛ"</t>
  </si>
  <si>
    <t>"᨜"</t>
  </si>
  <si>
    <t>"᨝"</t>
  </si>
  <si>
    <t>"᨞"</t>
  </si>
  <si>
    <t>"᨟"</t>
  </si>
  <si>
    <t>"ᨠ"</t>
  </si>
  <si>
    <t>"ᨡ"</t>
  </si>
  <si>
    <t>"ᨢ"</t>
  </si>
  <si>
    <t>"ᨣ"</t>
  </si>
  <si>
    <t>"ᨤ"</t>
  </si>
  <si>
    <t>"ᨥ"</t>
  </si>
  <si>
    <t>"ᨦ"</t>
  </si>
  <si>
    <t>"ᨧ"</t>
  </si>
  <si>
    <t>"ᨨ"</t>
  </si>
  <si>
    <t>"ᨩ"</t>
  </si>
  <si>
    <t>"ᨪ"</t>
  </si>
  <si>
    <t>"ᨫ"</t>
  </si>
  <si>
    <t>"ᨬ"</t>
  </si>
  <si>
    <t>"ᨭ"</t>
  </si>
  <si>
    <t>"ᨮ"</t>
  </si>
  <si>
    <t>"ᨯ"</t>
  </si>
  <si>
    <t>"ᨰ"</t>
  </si>
  <si>
    <t>"ᨱ"</t>
  </si>
  <si>
    <t>"ᨲ"</t>
  </si>
  <si>
    <t>"ᨳ"</t>
  </si>
  <si>
    <t>"ᨴ"</t>
  </si>
  <si>
    <t>"ᨵ"</t>
  </si>
  <si>
    <t>"ᨶ"</t>
  </si>
  <si>
    <t>"ᨷ"</t>
  </si>
  <si>
    <t>"ᨸ"</t>
  </si>
  <si>
    <t>"ᨹ"</t>
  </si>
  <si>
    <t>"ᨺ"</t>
  </si>
  <si>
    <t>"ᨻ"</t>
  </si>
  <si>
    <t>"ᨼ"</t>
  </si>
  <si>
    <t>"ᨽ"</t>
  </si>
  <si>
    <t>"ᨾ"</t>
  </si>
  <si>
    <t>"ᨿ"</t>
  </si>
  <si>
    <t>"ᩀ"</t>
  </si>
  <si>
    <t>"ᩁ"</t>
  </si>
  <si>
    <t>"ᩂ"</t>
  </si>
  <si>
    <t>"ᩃ"</t>
  </si>
  <si>
    <t>"ᩄ"</t>
  </si>
  <si>
    <t>"ᩅ"</t>
  </si>
  <si>
    <t>"ᩆ"</t>
  </si>
  <si>
    <t>"ᩇ"</t>
  </si>
  <si>
    <t>"ᩈ"</t>
  </si>
  <si>
    <t>"ᩉ"</t>
  </si>
  <si>
    <t>"ᩊ"</t>
  </si>
  <si>
    <t>"ᩋ"</t>
  </si>
  <si>
    <t>"ᩌ"</t>
  </si>
  <si>
    <t>"ᩍ"</t>
  </si>
  <si>
    <t>"ᩎ"</t>
  </si>
  <si>
    <t>"ᩏ"</t>
  </si>
  <si>
    <t>"ᩐ"</t>
  </si>
  <si>
    <t>"ᩑ"</t>
  </si>
  <si>
    <t>"ᩒ"</t>
  </si>
  <si>
    <t>"ᩓ"</t>
  </si>
  <si>
    <t>"ᩔ"</t>
  </si>
  <si>
    <t>"ᩕ"</t>
  </si>
  <si>
    <t>"ᩖ"</t>
  </si>
  <si>
    <t>"ᩗ"</t>
  </si>
  <si>
    <t>"ᩘ"</t>
  </si>
  <si>
    <t>"ᩙ"</t>
  </si>
  <si>
    <t>"ᩚ"</t>
  </si>
  <si>
    <t>"ᩛ"</t>
  </si>
  <si>
    <t>"ᩜ"</t>
  </si>
  <si>
    <t>"ᩝ"</t>
  </si>
  <si>
    <t>"ᩞ"</t>
  </si>
  <si>
    <t>"᩟"</t>
  </si>
  <si>
    <t>"᩠"</t>
  </si>
  <si>
    <t>"ᩡ"</t>
  </si>
  <si>
    <t>"ᩢ"</t>
  </si>
  <si>
    <t>"ᩣ"</t>
  </si>
  <si>
    <t>"ᩤ"</t>
  </si>
  <si>
    <t>"ᩥ"</t>
  </si>
  <si>
    <t>"ᩦ"</t>
  </si>
  <si>
    <t>"ᩧ"</t>
  </si>
  <si>
    <t>"ᩨ"</t>
  </si>
  <si>
    <t>"ᩩ"</t>
  </si>
  <si>
    <t>"ᩪ"</t>
  </si>
  <si>
    <t>"ᩫ"</t>
  </si>
  <si>
    <t>"ᩬ"</t>
  </si>
  <si>
    <t>"ᩭ"</t>
  </si>
  <si>
    <t>"ᩮ"</t>
  </si>
  <si>
    <t>"ᩯ"</t>
  </si>
  <si>
    <t>"ᩰ"</t>
  </si>
  <si>
    <t>"ᩱ"</t>
  </si>
  <si>
    <t>"ᩲ"</t>
  </si>
  <si>
    <t>"ᩳ"</t>
  </si>
  <si>
    <t>"ᩴ"</t>
  </si>
  <si>
    <t>"᩵"</t>
  </si>
  <si>
    <t>"᩶"</t>
  </si>
  <si>
    <t>"᩷"</t>
  </si>
  <si>
    <t>"᩸"</t>
  </si>
  <si>
    <t>"᩹"</t>
  </si>
  <si>
    <t>"᩺"</t>
  </si>
  <si>
    <t>"᩻"</t>
  </si>
  <si>
    <t>"᩼"</t>
  </si>
  <si>
    <t>"᩽"</t>
  </si>
  <si>
    <t>"᩾"</t>
  </si>
  <si>
    <t>"᩿"</t>
  </si>
  <si>
    <t>"᪀"</t>
  </si>
  <si>
    <t>"᪁"</t>
  </si>
  <si>
    <t>"᪂"</t>
  </si>
  <si>
    <t>"᪃"</t>
  </si>
  <si>
    <t>"᪄"</t>
  </si>
  <si>
    <t>"᪅"</t>
  </si>
  <si>
    <t>"᪆"</t>
  </si>
  <si>
    <t>"᪇"</t>
  </si>
  <si>
    <t>"᪈"</t>
  </si>
  <si>
    <t>"᪉"</t>
  </si>
  <si>
    <t>"᪊"</t>
  </si>
  <si>
    <t>"᪋"</t>
  </si>
  <si>
    <t>"᪌"</t>
  </si>
  <si>
    <t>"᪍"</t>
  </si>
  <si>
    <t>"᪎"</t>
  </si>
  <si>
    <t>"᪏"</t>
  </si>
  <si>
    <t>"᪐"</t>
  </si>
  <si>
    <t>"᪑"</t>
  </si>
  <si>
    <t>"᪒"</t>
  </si>
  <si>
    <t>"᪓"</t>
  </si>
  <si>
    <t>"᪔"</t>
  </si>
  <si>
    <t>"᪕"</t>
  </si>
  <si>
    <t>"᪖"</t>
  </si>
  <si>
    <t>"᪗"</t>
  </si>
  <si>
    <t>"᪘"</t>
  </si>
  <si>
    <t>"᪙"</t>
  </si>
  <si>
    <t>"᪚"</t>
  </si>
  <si>
    <t>"᪛"</t>
  </si>
  <si>
    <t>"᪜"</t>
  </si>
  <si>
    <t>"᪝"</t>
  </si>
  <si>
    <t>"᪞"</t>
  </si>
  <si>
    <t>"᪟"</t>
  </si>
  <si>
    <t>"᪠"</t>
  </si>
  <si>
    <t>"᪡"</t>
  </si>
  <si>
    <t>"᪢"</t>
  </si>
  <si>
    <t>"᪣"</t>
  </si>
  <si>
    <t>"᪤"</t>
  </si>
  <si>
    <t>"᪥"</t>
  </si>
  <si>
    <t>"᪦"</t>
  </si>
  <si>
    <t>"ᪧ"</t>
  </si>
  <si>
    <t>"᪨"</t>
  </si>
  <si>
    <t>"᪩"</t>
  </si>
  <si>
    <t>"᪪"</t>
  </si>
  <si>
    <t>"᪫"</t>
  </si>
  <si>
    <t>"᪬"</t>
  </si>
  <si>
    <t>"᪭"</t>
  </si>
  <si>
    <t>"᪮"</t>
  </si>
  <si>
    <t>"᪯"</t>
  </si>
  <si>
    <t>"᪰"</t>
  </si>
  <si>
    <t>"᪱"</t>
  </si>
  <si>
    <t>"᪲"</t>
  </si>
  <si>
    <t>"᪳"</t>
  </si>
  <si>
    <t>"᪴"</t>
  </si>
  <si>
    <t>"᪵"</t>
  </si>
  <si>
    <t>"᪶"</t>
  </si>
  <si>
    <t>"᪷"</t>
  </si>
  <si>
    <t>"᪸"</t>
  </si>
  <si>
    <t>"᪹"</t>
  </si>
  <si>
    <t>"᪺"</t>
  </si>
  <si>
    <t>"᪻"</t>
  </si>
  <si>
    <t>"᪼"</t>
  </si>
  <si>
    <t>"᪽"</t>
  </si>
  <si>
    <t>"᪾"</t>
  </si>
  <si>
    <t>"ᪿ"</t>
  </si>
  <si>
    <t>"ᫀ"</t>
  </si>
  <si>
    <t>"᫁"</t>
  </si>
  <si>
    <t>"᫂"</t>
  </si>
  <si>
    <t>"᫃"</t>
  </si>
  <si>
    <t>"᫄"</t>
  </si>
  <si>
    <t>"᫅"</t>
  </si>
  <si>
    <t>"᫆"</t>
  </si>
  <si>
    <t>"᫇"</t>
  </si>
  <si>
    <t>"᫈"</t>
  </si>
  <si>
    <t>"᫉"</t>
  </si>
  <si>
    <t>"᫊"</t>
  </si>
  <si>
    <t>"᫋"</t>
  </si>
  <si>
    <t>"ᫌ"</t>
  </si>
  <si>
    <t>"ᫍ"</t>
  </si>
  <si>
    <t>"ᫎ"</t>
  </si>
  <si>
    <t>"᫏"</t>
  </si>
  <si>
    <t>"᫐"</t>
  </si>
  <si>
    <t>"᫑"</t>
  </si>
  <si>
    <t>"᫒"</t>
  </si>
  <si>
    <t>"᫓"</t>
  </si>
  <si>
    <t>"᫔"</t>
  </si>
  <si>
    <t>"᫕"</t>
  </si>
  <si>
    <t>"᫖"</t>
  </si>
  <si>
    <t>"᫗"</t>
  </si>
  <si>
    <t>"᫘"</t>
  </si>
  <si>
    <t>"᫙"</t>
  </si>
  <si>
    <t>"᫚"</t>
  </si>
  <si>
    <t>"᫛"</t>
  </si>
  <si>
    <t>"᫜"</t>
  </si>
  <si>
    <t>"᫝"</t>
  </si>
  <si>
    <t>"᫞"</t>
  </si>
  <si>
    <t>"᫟"</t>
  </si>
  <si>
    <t>"᫠"</t>
  </si>
  <si>
    <t>"᫡"</t>
  </si>
  <si>
    <t>"᫢"</t>
  </si>
  <si>
    <t>"᫣"</t>
  </si>
  <si>
    <t>"᫤"</t>
  </si>
  <si>
    <t>"᫥"</t>
  </si>
  <si>
    <t>"᫦"</t>
  </si>
  <si>
    <t>"᫧"</t>
  </si>
  <si>
    <t>"᫨"</t>
  </si>
  <si>
    <t>"᫩"</t>
  </si>
  <si>
    <t>"᫪"</t>
  </si>
  <si>
    <t>"᫫"</t>
  </si>
  <si>
    <t>"᫬"</t>
  </si>
  <si>
    <t>"᫭"</t>
  </si>
  <si>
    <t>"᫮"</t>
  </si>
  <si>
    <t>"᫯"</t>
  </si>
  <si>
    <t>"᫰"</t>
  </si>
  <si>
    <t>"᫱"</t>
  </si>
  <si>
    <t>"᫲"</t>
  </si>
  <si>
    <t>"᫳"</t>
  </si>
  <si>
    <t>"᫴"</t>
  </si>
  <si>
    <t>"᫵"</t>
  </si>
  <si>
    <t>"᫶"</t>
  </si>
  <si>
    <t>"᫷"</t>
  </si>
  <si>
    <t>"᫸"</t>
  </si>
  <si>
    <t>"᫹"</t>
  </si>
  <si>
    <t>"᫺"</t>
  </si>
  <si>
    <t>"᫻"</t>
  </si>
  <si>
    <t>"᫼"</t>
  </si>
  <si>
    <t>"᫽"</t>
  </si>
  <si>
    <t>"᫾"</t>
  </si>
  <si>
    <t>"᫿"</t>
  </si>
  <si>
    <t>"ᬀ"</t>
  </si>
  <si>
    <t>"ᬁ"</t>
  </si>
  <si>
    <t>"ᬂ"</t>
  </si>
  <si>
    <t>"ᬃ"</t>
  </si>
  <si>
    <t>"ᬄ"</t>
  </si>
  <si>
    <t>"ᬅ"</t>
  </si>
  <si>
    <t>"ᬆ"</t>
  </si>
  <si>
    <t>"ᬇ"</t>
  </si>
  <si>
    <t>"ᬈ"</t>
  </si>
  <si>
    <t>"ᬉ"</t>
  </si>
  <si>
    <t>"ᬊ"</t>
  </si>
  <si>
    <t>"ᬋ"</t>
  </si>
  <si>
    <t>"ᬌ"</t>
  </si>
  <si>
    <t>"ᬍ"</t>
  </si>
  <si>
    <t>"ᬎ"</t>
  </si>
  <si>
    <t>"ᬏ"</t>
  </si>
  <si>
    <t>"ᬐ"</t>
  </si>
  <si>
    <t>"ᬑ"</t>
  </si>
  <si>
    <t>"ᬒ"</t>
  </si>
  <si>
    <t>"ᬓ"</t>
  </si>
  <si>
    <t>"ᬔ"</t>
  </si>
  <si>
    <t>"ᬕ"</t>
  </si>
  <si>
    <t>"ᬖ"</t>
  </si>
  <si>
    <t>"ᬗ"</t>
  </si>
  <si>
    <t>"ᬘ"</t>
  </si>
  <si>
    <t>"ᬙ"</t>
  </si>
  <si>
    <t>"ᬚ"</t>
  </si>
  <si>
    <t>"ᬛ"</t>
  </si>
  <si>
    <t>"ᬜ"</t>
  </si>
  <si>
    <t>"ᬝ"</t>
  </si>
  <si>
    <t>"ᬞ"</t>
  </si>
  <si>
    <t>"ᬟ"</t>
  </si>
  <si>
    <t>"ᬠ"</t>
  </si>
  <si>
    <t>"ᬡ"</t>
  </si>
  <si>
    <t>"ᬢ"</t>
  </si>
  <si>
    <t>"ᬣ"</t>
  </si>
  <si>
    <t>"ᬤ"</t>
  </si>
  <si>
    <t>"ᬥ"</t>
  </si>
  <si>
    <t>"ᬦ"</t>
  </si>
  <si>
    <t>"ᬧ"</t>
  </si>
  <si>
    <t>"ᬨ"</t>
  </si>
  <si>
    <t>"ᬩ"</t>
  </si>
  <si>
    <t>"ᬪ"</t>
  </si>
  <si>
    <t>"ᬫ"</t>
  </si>
  <si>
    <t>"ᬬ"</t>
  </si>
  <si>
    <t>"ᬭ"</t>
  </si>
  <si>
    <t>"ᬮ"</t>
  </si>
  <si>
    <t>"ᬯ"</t>
  </si>
  <si>
    <t>"ᬰ"</t>
  </si>
  <si>
    <t>"ᬱ"</t>
  </si>
  <si>
    <t>"ᬲ"</t>
  </si>
  <si>
    <t>"ᬳ"</t>
  </si>
  <si>
    <t>"᬴"</t>
  </si>
  <si>
    <t>"ᬵ"</t>
  </si>
  <si>
    <t>"ᬶ"</t>
  </si>
  <si>
    <t>"ᬷ"</t>
  </si>
  <si>
    <t>"ᬸ"</t>
  </si>
  <si>
    <t>"ᬹ"</t>
  </si>
  <si>
    <t>"ᬺ"</t>
  </si>
  <si>
    <t>"ᬻ"</t>
  </si>
  <si>
    <t>"ᬼ"</t>
  </si>
  <si>
    <t>"ᬽ"</t>
  </si>
  <si>
    <t>"ᬾ"</t>
  </si>
  <si>
    <t>"ᬿ"</t>
  </si>
  <si>
    <t>"ᭀ"</t>
  </si>
  <si>
    <t>"ᭁ"</t>
  </si>
  <si>
    <t>"ᭂ"</t>
  </si>
  <si>
    <t>"ᭃ"</t>
  </si>
  <si>
    <t>"᭄"</t>
  </si>
  <si>
    <t>"ᭅ"</t>
  </si>
  <si>
    <t>"ᭆ"</t>
  </si>
  <si>
    <t>"ᭇ"</t>
  </si>
  <si>
    <t>"ᭈ"</t>
  </si>
  <si>
    <t>"ᭉ"</t>
  </si>
  <si>
    <t>"ᭊ"</t>
  </si>
  <si>
    <t>"ᭋ"</t>
  </si>
  <si>
    <t>"ᭌ"</t>
  </si>
  <si>
    <t>"᭍"</t>
  </si>
  <si>
    <t>"᭎"</t>
  </si>
  <si>
    <t>"᭏"</t>
  </si>
  <si>
    <t>"᭐"</t>
  </si>
  <si>
    <t>"᭑"</t>
  </si>
  <si>
    <t>"᭒"</t>
  </si>
  <si>
    <t>"᭓"</t>
  </si>
  <si>
    <t>"᭔"</t>
  </si>
  <si>
    <t>"᭕"</t>
  </si>
  <si>
    <t>"᭖"</t>
  </si>
  <si>
    <t>"᭗"</t>
  </si>
  <si>
    <t>"᭘"</t>
  </si>
  <si>
    <t>"᭙"</t>
  </si>
  <si>
    <t>"᭚"</t>
  </si>
  <si>
    <t>"᭛"</t>
  </si>
  <si>
    <t>"᭜"</t>
  </si>
  <si>
    <t>"᭝"</t>
  </si>
  <si>
    <t>"᭞"</t>
  </si>
  <si>
    <t>"᭟"</t>
  </si>
  <si>
    <t>"᭠"</t>
  </si>
  <si>
    <t>"᭡"</t>
  </si>
  <si>
    <t>"᭢"</t>
  </si>
  <si>
    <t>"᭣"</t>
  </si>
  <si>
    <t>"᭤"</t>
  </si>
  <si>
    <t>"᭥"</t>
  </si>
  <si>
    <t>"᭦"</t>
  </si>
  <si>
    <t>"᭧"</t>
  </si>
  <si>
    <t>"᭨"</t>
  </si>
  <si>
    <t>"᭩"</t>
  </si>
  <si>
    <t>"᭪"</t>
  </si>
  <si>
    <t>"᭫"</t>
  </si>
  <si>
    <t>"᭬"</t>
  </si>
  <si>
    <t>"᭭"</t>
  </si>
  <si>
    <t>"᭮"</t>
  </si>
  <si>
    <t>"᭯"</t>
  </si>
  <si>
    <t>"᭰"</t>
  </si>
  <si>
    <t>"᭱"</t>
  </si>
  <si>
    <t>"᭲"</t>
  </si>
  <si>
    <t>"᭳"</t>
  </si>
  <si>
    <t>"᭴"</t>
  </si>
  <si>
    <t>"᭵"</t>
  </si>
  <si>
    <t>"᭶"</t>
  </si>
  <si>
    <t>"᭷"</t>
  </si>
  <si>
    <t>"᭸"</t>
  </si>
  <si>
    <t>"᭹"</t>
  </si>
  <si>
    <t>"᭺"</t>
  </si>
  <si>
    <t>"᭻"</t>
  </si>
  <si>
    <t>"᭼"</t>
  </si>
  <si>
    <t>"᭽"</t>
  </si>
  <si>
    <t>"᭾"</t>
  </si>
  <si>
    <t>"᭿"</t>
  </si>
  <si>
    <t>"ᮀ"</t>
  </si>
  <si>
    <t>"ᮁ"</t>
  </si>
  <si>
    <t>"ᮂ"</t>
  </si>
  <si>
    <t>"ᮃ"</t>
  </si>
  <si>
    <t>"ᮄ"</t>
  </si>
  <si>
    <t>"ᮅ"</t>
  </si>
  <si>
    <t>"ᮆ"</t>
  </si>
  <si>
    <t>"ᮇ"</t>
  </si>
  <si>
    <t>"ᮈ"</t>
  </si>
  <si>
    <t>"ᮉ"</t>
  </si>
  <si>
    <t>"ᮊ"</t>
  </si>
  <si>
    <t>"ᮋ"</t>
  </si>
  <si>
    <t>"ᮌ"</t>
  </si>
  <si>
    <t>"ᮍ"</t>
  </si>
  <si>
    <t>"ᮎ"</t>
  </si>
  <si>
    <t>"ᮏ"</t>
  </si>
  <si>
    <t>"ᮐ"</t>
  </si>
  <si>
    <t>"ᮑ"</t>
  </si>
  <si>
    <t>"ᮒ"</t>
  </si>
  <si>
    <t>"ᮓ"</t>
  </si>
  <si>
    <t>"ᮔ"</t>
  </si>
  <si>
    <t>"ᮕ"</t>
  </si>
  <si>
    <t>"ᮖ"</t>
  </si>
  <si>
    <t>"ᮗ"</t>
  </si>
  <si>
    <t>"ᮘ"</t>
  </si>
  <si>
    <t>"ᮙ"</t>
  </si>
  <si>
    <t>"ᮚ"</t>
  </si>
  <si>
    <t>"ᮛ"</t>
  </si>
  <si>
    <t>"ᮜ"</t>
  </si>
  <si>
    <t>"ᮝ"</t>
  </si>
  <si>
    <t>"ᮞ"</t>
  </si>
  <si>
    <t>"ᮟ"</t>
  </si>
  <si>
    <t>"ᮠ"</t>
  </si>
  <si>
    <t>"ᮡ"</t>
  </si>
  <si>
    <t>"ᮢ"</t>
  </si>
  <si>
    <t>"ᮣ"</t>
  </si>
  <si>
    <t>"ᮤ"</t>
  </si>
  <si>
    <t>"ᮥ"</t>
  </si>
  <si>
    <t>"ᮦ"</t>
  </si>
  <si>
    <t>"ᮧ"</t>
  </si>
  <si>
    <t>"ᮨ"</t>
  </si>
  <si>
    <t>"ᮩ"</t>
  </si>
  <si>
    <t>"᮪"</t>
  </si>
  <si>
    <t>"᮫"</t>
  </si>
  <si>
    <t>"ᮬ"</t>
  </si>
  <si>
    <t>"ᮭ"</t>
  </si>
  <si>
    <t>"ᮮ"</t>
  </si>
  <si>
    <t>"ᮯ"</t>
  </si>
  <si>
    <t>"᮰"</t>
  </si>
  <si>
    <t>"᮱"</t>
  </si>
  <si>
    <t>"᮲"</t>
  </si>
  <si>
    <t>"᮳"</t>
  </si>
  <si>
    <t>"᮴"</t>
  </si>
  <si>
    <t>"᮵"</t>
  </si>
  <si>
    <t>"᮶"</t>
  </si>
  <si>
    <t>"᮷"</t>
  </si>
  <si>
    <t>"᮸"</t>
  </si>
  <si>
    <t>"᮹"</t>
  </si>
  <si>
    <t>"ᮺ"</t>
  </si>
  <si>
    <t>"ᮻ"</t>
  </si>
  <si>
    <t>"ᮼ"</t>
  </si>
  <si>
    <t>"ᮽ"</t>
  </si>
  <si>
    <t>"ᮾ"</t>
  </si>
  <si>
    <t>"ᮿ"</t>
  </si>
  <si>
    <t>"ᯀ"</t>
  </si>
  <si>
    <t>"ᯁ"</t>
  </si>
  <si>
    <t>"ᯂ"</t>
  </si>
  <si>
    <t>"ᯃ"</t>
  </si>
  <si>
    <t>"ᯄ"</t>
  </si>
  <si>
    <t>"ᯅ"</t>
  </si>
  <si>
    <t>"ᯆ"</t>
  </si>
  <si>
    <t>"ᯇ"</t>
  </si>
  <si>
    <t>"ᯈ"</t>
  </si>
  <si>
    <t>"ᯉ"</t>
  </si>
  <si>
    <t>"ᯊ"</t>
  </si>
  <si>
    <t>"ᯋ"</t>
  </si>
  <si>
    <t>"ᯌ"</t>
  </si>
  <si>
    <t>"ᯍ"</t>
  </si>
  <si>
    <t>"ᯎ"</t>
  </si>
  <si>
    <t>"ᯏ"</t>
  </si>
  <si>
    <t>"ᯐ"</t>
  </si>
  <si>
    <t>"ᯑ"</t>
  </si>
  <si>
    <t>"ᯒ"</t>
  </si>
  <si>
    <t>"ᯓ"</t>
  </si>
  <si>
    <t>"ᯔ"</t>
  </si>
  <si>
    <t>"ᯕ"</t>
  </si>
  <si>
    <t>"ᯖ"</t>
  </si>
  <si>
    <t>"ᯗ"</t>
  </si>
  <si>
    <t>"ᯘ"</t>
  </si>
  <si>
    <t>"ᯙ"</t>
  </si>
  <si>
    <t>"ᯚ"</t>
  </si>
  <si>
    <t>"ᯛ"</t>
  </si>
  <si>
    <t>"ᯜ"</t>
  </si>
  <si>
    <t>"ᯝ"</t>
  </si>
  <si>
    <t>"ᯞ"</t>
  </si>
  <si>
    <t>"ᯟ"</t>
  </si>
  <si>
    <t>"ᯠ"</t>
  </si>
  <si>
    <t>"ᯡ"</t>
  </si>
  <si>
    <t>"ᯢ"</t>
  </si>
  <si>
    <t>"ᯣ"</t>
  </si>
  <si>
    <t>"ᯤ"</t>
  </si>
  <si>
    <t>"ᯥ"</t>
  </si>
  <si>
    <t>"᯦"</t>
  </si>
  <si>
    <t>"ᯧ"</t>
  </si>
  <si>
    <t>"ᯨ"</t>
  </si>
  <si>
    <t>"ᯩ"</t>
  </si>
  <si>
    <t>"ᯪ"</t>
  </si>
  <si>
    <t>"ᯫ"</t>
  </si>
  <si>
    <t>"ᯬ"</t>
  </si>
  <si>
    <t>"ᯭ"</t>
  </si>
  <si>
    <t>"ᯮ"</t>
  </si>
  <si>
    <t>"ᯯ"</t>
  </si>
  <si>
    <t>"ᯰ"</t>
  </si>
  <si>
    <t>"ᯱ"</t>
  </si>
  <si>
    <t>"᯲"</t>
  </si>
  <si>
    <t>"᯳"</t>
  </si>
  <si>
    <t>"᯴"</t>
  </si>
  <si>
    <t>"᯵"</t>
  </si>
  <si>
    <t>"᯶"</t>
  </si>
  <si>
    <t>"᯷"</t>
  </si>
  <si>
    <t>"᯸"</t>
  </si>
  <si>
    <t>"᯹"</t>
  </si>
  <si>
    <t>"᯺"</t>
  </si>
  <si>
    <t>"᯻"</t>
  </si>
  <si>
    <t>"᯼"</t>
  </si>
  <si>
    <t>"᯽"</t>
  </si>
  <si>
    <t>"᯾"</t>
  </si>
  <si>
    <t>"᯿"</t>
  </si>
  <si>
    <t>"ᰀ"</t>
  </si>
  <si>
    <t>"ᰁ"</t>
  </si>
  <si>
    <t>"ᰂ"</t>
  </si>
  <si>
    <t>"ᰃ"</t>
  </si>
  <si>
    <t>"ᰄ"</t>
  </si>
  <si>
    <t>"ᰅ"</t>
  </si>
  <si>
    <t>"ᰆ"</t>
  </si>
  <si>
    <t>"ᰇ"</t>
  </si>
  <si>
    <t>"ᰈ"</t>
  </si>
  <si>
    <t>"ᰉ"</t>
  </si>
  <si>
    <t>"ᰊ"</t>
  </si>
  <si>
    <t>"ᰋ"</t>
  </si>
  <si>
    <t>"ᰌ"</t>
  </si>
  <si>
    <t>"ᰍ"</t>
  </si>
  <si>
    <t>"ᰎ"</t>
  </si>
  <si>
    <t>"ᰏ"</t>
  </si>
  <si>
    <t>"ᰐ"</t>
  </si>
  <si>
    <t>"ᰑ"</t>
  </si>
  <si>
    <t>"ᰒ"</t>
  </si>
  <si>
    <t>"ᰓ"</t>
  </si>
  <si>
    <t>"ᰔ"</t>
  </si>
  <si>
    <t>"ᰕ"</t>
  </si>
  <si>
    <t>"ᰖ"</t>
  </si>
  <si>
    <t>"ᰗ"</t>
  </si>
  <si>
    <t>"ᰘ"</t>
  </si>
  <si>
    <t>"ᰙ"</t>
  </si>
  <si>
    <t>"ᰚ"</t>
  </si>
  <si>
    <t>"ᰛ"</t>
  </si>
  <si>
    <t>"ᰜ"</t>
  </si>
  <si>
    <t>"ᰝ"</t>
  </si>
  <si>
    <t>"ᰞ"</t>
  </si>
  <si>
    <t>"ᰟ"</t>
  </si>
  <si>
    <t>"ᰠ"</t>
  </si>
  <si>
    <t>"ᰡ"</t>
  </si>
  <si>
    <t>"ᰢ"</t>
  </si>
  <si>
    <t>"ᰣ"</t>
  </si>
  <si>
    <t>"ᰤ"</t>
  </si>
  <si>
    <t>"ᰥ"</t>
  </si>
  <si>
    <t>"ᰦ"</t>
  </si>
  <si>
    <t>"ᰧ"</t>
  </si>
  <si>
    <t>"ᰨ"</t>
  </si>
  <si>
    <t>"ᰩ"</t>
  </si>
  <si>
    <t>"ᰪ"</t>
  </si>
  <si>
    <t>"ᰫ"</t>
  </si>
  <si>
    <t>"ᰬ"</t>
  </si>
  <si>
    <t>"ᰭ"</t>
  </si>
  <si>
    <t>"ᰮ"</t>
  </si>
  <si>
    <t>"ᰯ"</t>
  </si>
  <si>
    <t>"ᰰ"</t>
  </si>
  <si>
    <t>"ᰱ"</t>
  </si>
  <si>
    <t>"ᰲ"</t>
  </si>
  <si>
    <t>"ᰳ"</t>
  </si>
  <si>
    <t>"ᰴ"</t>
  </si>
  <si>
    <t>"ᰵ"</t>
  </si>
  <si>
    <t>"ᰶ"</t>
  </si>
  <si>
    <t>"᰷"</t>
  </si>
  <si>
    <t>"᰸"</t>
  </si>
  <si>
    <t>"᰹"</t>
  </si>
  <si>
    <t>"᰺"</t>
  </si>
  <si>
    <t>"᰻"</t>
  </si>
  <si>
    <t>"᰼"</t>
  </si>
  <si>
    <t>"᰽"</t>
  </si>
  <si>
    <t>"᰾"</t>
  </si>
  <si>
    <t>"᰿"</t>
  </si>
  <si>
    <t>"᱀"</t>
  </si>
  <si>
    <t>"᱁"</t>
  </si>
  <si>
    <t>"᱂"</t>
  </si>
  <si>
    <t>"᱃"</t>
  </si>
  <si>
    <t>"᱄"</t>
  </si>
  <si>
    <t>"᱅"</t>
  </si>
  <si>
    <t>"᱆"</t>
  </si>
  <si>
    <t>"᱇"</t>
  </si>
  <si>
    <t>"᱈"</t>
  </si>
  <si>
    <t>"᱉"</t>
  </si>
  <si>
    <t>"᱊"</t>
  </si>
  <si>
    <t>"᱋"</t>
  </si>
  <si>
    <t>"᱌"</t>
  </si>
  <si>
    <t>"ᱍ"</t>
  </si>
  <si>
    <t>"ᱎ"</t>
  </si>
  <si>
    <t>"ᱏ"</t>
  </si>
  <si>
    <t>"᱐"</t>
  </si>
  <si>
    <t>"᱑"</t>
  </si>
  <si>
    <t>"᱒"</t>
  </si>
  <si>
    <t>"᱓"</t>
  </si>
  <si>
    <t>"᱔"</t>
  </si>
  <si>
    <t>"᱕"</t>
  </si>
  <si>
    <t>"᱖"</t>
  </si>
  <si>
    <t>"᱗"</t>
  </si>
  <si>
    <t>"᱘"</t>
  </si>
  <si>
    <t>"᱙"</t>
  </si>
  <si>
    <t>"ᱚ"</t>
  </si>
  <si>
    <t>"ᱛ"</t>
  </si>
  <si>
    <t>"ᱜ"</t>
  </si>
  <si>
    <t>"ᱝ"</t>
  </si>
  <si>
    <t>"ᱞ"</t>
  </si>
  <si>
    <t>"ᱟ"</t>
  </si>
  <si>
    <t>"ᱠ"</t>
  </si>
  <si>
    <t>"ᱡ"</t>
  </si>
  <si>
    <t>"ᱢ"</t>
  </si>
  <si>
    <t>"ᱣ"</t>
  </si>
  <si>
    <t>"ᱤ"</t>
  </si>
  <si>
    <t>"ᱥ"</t>
  </si>
  <si>
    <t>"ᱦ"</t>
  </si>
  <si>
    <t>"ᱧ"</t>
  </si>
  <si>
    <t>"ᱨ"</t>
  </si>
  <si>
    <t>"ᱩ"</t>
  </si>
  <si>
    <t>"ᱪ"</t>
  </si>
  <si>
    <t>"ᱫ"</t>
  </si>
  <si>
    <t>"ᱬ"</t>
  </si>
  <si>
    <t>"ᱭ"</t>
  </si>
  <si>
    <t>"ᱮ"</t>
  </si>
  <si>
    <t>"ᱯ"</t>
  </si>
  <si>
    <t>"ᱰ"</t>
  </si>
  <si>
    <t>"ᱱ"</t>
  </si>
  <si>
    <t>"ᱲ"</t>
  </si>
  <si>
    <t>"ᱳ"</t>
  </si>
  <si>
    <t>"ᱴ"</t>
  </si>
  <si>
    <t>"ᱵ"</t>
  </si>
  <si>
    <t>"ᱶ"</t>
  </si>
  <si>
    <t>"ᱷ"</t>
  </si>
  <si>
    <t>"ᱸ"</t>
  </si>
  <si>
    <t>"ᱹ"</t>
  </si>
  <si>
    <t>"ᱺ"</t>
  </si>
  <si>
    <t>"ᱻ"</t>
  </si>
  <si>
    <t>"ᱼ"</t>
  </si>
  <si>
    <t>"ᱽ"</t>
  </si>
  <si>
    <t>"᱾"</t>
  </si>
  <si>
    <t>"᱿"</t>
  </si>
  <si>
    <t>"ᲀ"</t>
  </si>
  <si>
    <t>"ᲁ"</t>
  </si>
  <si>
    <t>"ᲂ"</t>
  </si>
  <si>
    <t>"ᲃ"</t>
  </si>
  <si>
    <t>"ᲄ"</t>
  </si>
  <si>
    <t>"ᲅ"</t>
  </si>
  <si>
    <t>"ᲆ"</t>
  </si>
  <si>
    <t>"ᲇ"</t>
  </si>
  <si>
    <t>"ᲈ"</t>
  </si>
  <si>
    <t>"Ᲊ"</t>
  </si>
  <si>
    <t>"ᲊ"</t>
  </si>
  <si>
    <t>"᲋"</t>
  </si>
  <si>
    <t>"᲌"</t>
  </si>
  <si>
    <t>"᲍"</t>
  </si>
  <si>
    <t>"᲎"</t>
  </si>
  <si>
    <t>"᲏"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</si>
  <si>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</si>
  <si>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</si>
  <si>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</si>
  <si>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</si>
  <si>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</si>
  <si>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</si>
  <si>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</si>
  <si>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</si>
  <si>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</si>
  <si>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</si>
  <si>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</si>
  <si>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</si>
  <si>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</si>
  <si>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</si>
  <si>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</si>
  <si>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</si>
  <si>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</si>
  <si>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</si>
  <si>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</si>
  <si>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</si>
  <si>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</si>
  <si>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</si>
  <si>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</si>
  <si>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</si>
  <si>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</si>
  <si>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</si>
  <si>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</si>
  <si>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</si>
  <si>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</si>
  <si>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</si>
  <si>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</si>
  <si>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</si>
  <si>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</si>
  <si>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</si>
  <si>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</si>
  <si>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</si>
  <si>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</si>
  <si>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</si>
  <si>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</si>
  <si>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</si>
  <si>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</si>
  <si>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</si>
  <si>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</si>
  <si>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"᲻"</t>
  </si>
  <si>
    <t>"᲼"</t>
  </si>
  <si>
    <t>"Ჽ"</t>
  </si>
  <si>
    <t>"Ჾ"</t>
  </si>
  <si>
    <t>"Ჿ"</t>
  </si>
  <si>
    <t>"᳀"</t>
  </si>
  <si>
    <t>"᳁"</t>
  </si>
  <si>
    <t>"᳂"</t>
  </si>
  <si>
    <t>"᳃"</t>
  </si>
  <si>
    <t>"᳄"</t>
  </si>
  <si>
    <t>"᳅"</t>
  </si>
  <si>
    <t>"᳆"</t>
  </si>
  <si>
    <t>"᳇"</t>
  </si>
  <si>
    <t>"᳈"</t>
  </si>
  <si>
    <t>"᳉"</t>
  </si>
  <si>
    <t>"᳊"</t>
  </si>
  <si>
    <t>"᳋"</t>
  </si>
  <si>
    <t>"᳌"</t>
  </si>
  <si>
    <t>"᳍"</t>
  </si>
  <si>
    <t>"᳎"</t>
  </si>
  <si>
    <t>"᳏"</t>
  </si>
  <si>
    <t>"᳐"</t>
  </si>
  <si>
    <t>"᳑"</t>
  </si>
  <si>
    <t>"᳒"</t>
  </si>
  <si>
    <t>"᳓"</t>
  </si>
  <si>
    <t>"᳔"</t>
  </si>
  <si>
    <t>"᳕"</t>
  </si>
  <si>
    <t>"᳖"</t>
  </si>
  <si>
    <t>"᳗"</t>
  </si>
  <si>
    <t>"᳘"</t>
  </si>
  <si>
    <t>"᳙"</t>
  </si>
  <si>
    <t>"᳚"</t>
  </si>
  <si>
    <t>"᳛"</t>
  </si>
  <si>
    <t>"᳜"</t>
  </si>
  <si>
    <t>"᳝"</t>
  </si>
  <si>
    <t>"᳞"</t>
  </si>
  <si>
    <t>"᳟"</t>
  </si>
  <si>
    <t>"᳠"</t>
  </si>
  <si>
    <t>"᳡"</t>
  </si>
  <si>
    <t>"᳢"</t>
  </si>
  <si>
    <t>"᳣"</t>
  </si>
  <si>
    <t>"᳤"</t>
  </si>
  <si>
    <t>"᳥"</t>
  </si>
  <si>
    <t>"᳦"</t>
  </si>
  <si>
    <t>"᳧"</t>
  </si>
  <si>
    <t>"᳨"</t>
  </si>
  <si>
    <t>"ᳩ"</t>
  </si>
  <si>
    <t>"ᳪ"</t>
  </si>
  <si>
    <t>"ᳫ"</t>
  </si>
  <si>
    <t>"ᳬ"</t>
  </si>
  <si>
    <t>"᳭"</t>
  </si>
  <si>
    <t>"ᳮ"</t>
  </si>
  <si>
    <t>"ᳯ"</t>
  </si>
  <si>
    <t>"ᳰ"</t>
  </si>
  <si>
    <t>"ᳱ"</t>
  </si>
  <si>
    <t>"ᳲ"</t>
  </si>
  <si>
    <t>"ᳳ"</t>
  </si>
  <si>
    <t>"᳴"</t>
  </si>
  <si>
    <t>"ᳵ"</t>
  </si>
  <si>
    <t>"ᳶ"</t>
  </si>
  <si>
    <t>"᳷"</t>
  </si>
  <si>
    <t>"᳸"</t>
  </si>
  <si>
    <t>"᳹"</t>
  </si>
  <si>
    <t>"ᳺ"</t>
  </si>
  <si>
    <t>"᳻"</t>
  </si>
  <si>
    <t>"᳼"</t>
  </si>
  <si>
    <t>"᳽"</t>
  </si>
  <si>
    <t>"᳾"</t>
  </si>
  <si>
    <t>"᳿"</t>
  </si>
  <si>
    <t>"ᴀ"</t>
  </si>
  <si>
    <t>"ᴁ"</t>
  </si>
  <si>
    <t>"ᴂ"</t>
  </si>
  <si>
    <t>"ᴃ"</t>
  </si>
  <si>
    <t>"ᴄ"</t>
  </si>
  <si>
    <t>"ᴅ"</t>
  </si>
  <si>
    <t>"ᴆ"</t>
  </si>
  <si>
    <t>"ᴇ"</t>
  </si>
  <si>
    <t>"ᴈ"</t>
  </si>
  <si>
    <t>"ᴉ"</t>
  </si>
  <si>
    <t>"ᴊ"</t>
  </si>
  <si>
    <t>"ᴋ"</t>
  </si>
  <si>
    <t>"ᴌ"</t>
  </si>
  <si>
    <t>"ᴍ"</t>
  </si>
  <si>
    <t>"ᴎ"</t>
  </si>
  <si>
    <t>"ᴏ"</t>
  </si>
  <si>
    <t>"ᴐ"</t>
  </si>
  <si>
    <t>"ᴑ"</t>
  </si>
  <si>
    <t>"ᴒ"</t>
  </si>
  <si>
    <t>"ᴓ"</t>
  </si>
  <si>
    <t>"ᴔ"</t>
  </si>
  <si>
    <t>"ᴕ"</t>
  </si>
  <si>
    <t>"ᴖ"</t>
  </si>
  <si>
    <t>"ᴗ"</t>
  </si>
  <si>
    <t>"ᴘ"</t>
  </si>
  <si>
    <t>"ᴙ"</t>
  </si>
  <si>
    <t>"ᴚ"</t>
  </si>
  <si>
    <t>"ᴛ"</t>
  </si>
  <si>
    <t>"ᴜ"</t>
  </si>
  <si>
    <t>"ᴝ"</t>
  </si>
  <si>
    <t>"ᴞ"</t>
  </si>
  <si>
    <t>"ᴟ"</t>
  </si>
  <si>
    <t>"ᴠ"</t>
  </si>
  <si>
    <t>"ᴡ"</t>
  </si>
  <si>
    <t>"ᴢ"</t>
  </si>
  <si>
    <t>"ᴣ"</t>
  </si>
  <si>
    <t>"ᴤ"</t>
  </si>
  <si>
    <t>"ᴥ"</t>
  </si>
  <si>
    <t>"ᴦ"</t>
  </si>
  <si>
    <t>"ᴧ"</t>
  </si>
  <si>
    <t>"ᴨ"</t>
  </si>
  <si>
    <t>"ᴩ"</t>
  </si>
  <si>
    <t>"ᴪ"</t>
  </si>
  <si>
    <t>"ᴫ"</t>
  </si>
  <si>
    <t>"ᴬ"</t>
  </si>
  <si>
    <t>"ᴭ"</t>
  </si>
  <si>
    <t>"ᴮ"</t>
  </si>
  <si>
    <t>"ᴯ"</t>
  </si>
  <si>
    <t>"ᴰ"</t>
  </si>
  <si>
    <t>"ᴱ"</t>
  </si>
  <si>
    <t>"ᴲ"</t>
  </si>
  <si>
    <t>"ᴳ"</t>
  </si>
  <si>
    <t>"ᴴ"</t>
  </si>
  <si>
    <t>"ᴵ"</t>
  </si>
  <si>
    <t>"ᴶ"</t>
  </si>
  <si>
    <t>"ᴷ"</t>
  </si>
  <si>
    <t>"ᴸ"</t>
  </si>
  <si>
    <t>"ᴹ"</t>
  </si>
  <si>
    <t>"ᴺ"</t>
  </si>
  <si>
    <t>"ᴻ"</t>
  </si>
  <si>
    <t>"ᴼ"</t>
  </si>
  <si>
    <t>"ᴽ"</t>
  </si>
  <si>
    <t>"ᴾ"</t>
  </si>
  <si>
    <t>"ᴿ"</t>
  </si>
  <si>
    <t>"ᵀ"</t>
  </si>
  <si>
    <t>"ᵁ"</t>
  </si>
  <si>
    <t>"ᵂ"</t>
  </si>
  <si>
    <t>"ᵃ"</t>
  </si>
  <si>
    <t>"ᵄ"</t>
  </si>
  <si>
    <t>"ᵅ"</t>
  </si>
  <si>
    <t>"ᵆ"</t>
  </si>
  <si>
    <t>"ᵇ"</t>
  </si>
  <si>
    <t>"ᵈ"</t>
  </si>
  <si>
    <t>"ᵉ"</t>
  </si>
  <si>
    <t>"ᵊ"</t>
  </si>
  <si>
    <t>"ᵋ"</t>
  </si>
  <si>
    <t>"ᵌ"</t>
  </si>
  <si>
    <t>"ᵍ"</t>
  </si>
  <si>
    <t>"ᵎ"</t>
  </si>
  <si>
    <t>"ᵏ"</t>
  </si>
  <si>
    <t>"ᵐ"</t>
  </si>
  <si>
    <t>"ᵑ"</t>
  </si>
  <si>
    <t>"ᵒ"</t>
  </si>
  <si>
    <t>"ᵓ"</t>
  </si>
  <si>
    <t>"ᵔ"</t>
  </si>
  <si>
    <t>"ᵕ"</t>
  </si>
  <si>
    <t>"ᵖ"</t>
  </si>
  <si>
    <t>"ᵗ"</t>
  </si>
  <si>
    <t>"ᵘ"</t>
  </si>
  <si>
    <t>"ᵙ"</t>
  </si>
  <si>
    <t>"ᵚ"</t>
  </si>
  <si>
    <t>"ᵛ"</t>
  </si>
  <si>
    <t>"ᵜ"</t>
  </si>
  <si>
    <t>"ᵝ"</t>
  </si>
  <si>
    <t>"ᵞ"</t>
  </si>
  <si>
    <t>"ᵟ"</t>
  </si>
  <si>
    <t>"ᵠ"</t>
  </si>
  <si>
    <t>"ᵡ"</t>
  </si>
  <si>
    <t>"ᵢ"</t>
  </si>
  <si>
    <t>"ᵣ"</t>
  </si>
  <si>
    <t>"ᵤ"</t>
  </si>
  <si>
    <t>"ᵥ"</t>
  </si>
  <si>
    <t>"ᵦ"</t>
  </si>
  <si>
    <t>"ᵧ"</t>
  </si>
  <si>
    <t>"ᵨ"</t>
  </si>
  <si>
    <t>"ᵩ"</t>
  </si>
  <si>
    <t>"ᵪ"</t>
  </si>
  <si>
    <t>"ᵫ"</t>
  </si>
  <si>
    <t>"ᵬ"</t>
  </si>
  <si>
    <t>"ᵭ"</t>
  </si>
  <si>
    <t>"ᵮ"</t>
  </si>
  <si>
    <t>"ᵯ"</t>
  </si>
  <si>
    <t>"ᵰ"</t>
  </si>
  <si>
    <t>"ᵱ"</t>
  </si>
  <si>
    <t>"ᵲ"</t>
  </si>
  <si>
    <t>"ᵳ"</t>
  </si>
  <si>
    <t>"ᵴ"</t>
  </si>
  <si>
    <t>"ᵵ"</t>
  </si>
  <si>
    <t>"ᵶ"</t>
  </si>
  <si>
    <t>"ᵷ"</t>
  </si>
  <si>
    <t>"ᵸ"</t>
  </si>
  <si>
    <t>"ᵹ"</t>
  </si>
  <si>
    <t>"ᵺ"</t>
  </si>
  <si>
    <t>"ᵻ"</t>
  </si>
  <si>
    <t>"ᵼ"</t>
  </si>
  <si>
    <t>"ᵽ"</t>
  </si>
  <si>
    <t>"ᵾ"</t>
  </si>
  <si>
    <t>"ᵿ"</t>
  </si>
  <si>
    <t>"ᶀ"</t>
  </si>
  <si>
    <t>"ᶁ"</t>
  </si>
  <si>
    <t>"ᶂ"</t>
  </si>
  <si>
    <t>"ᶃ"</t>
  </si>
  <si>
    <t>"ᶄ"</t>
  </si>
  <si>
    <t>"ᶅ"</t>
  </si>
  <si>
    <t>"ᶆ"</t>
  </si>
  <si>
    <t>"ᶇ"</t>
  </si>
  <si>
    <t>"ᶈ"</t>
  </si>
  <si>
    <t>"ᶉ"</t>
  </si>
  <si>
    <t>"ᶊ"</t>
  </si>
  <si>
    <t>"ᶋ"</t>
  </si>
  <si>
    <t>"ᶌ"</t>
  </si>
  <si>
    <t>"ᶍ"</t>
  </si>
  <si>
    <t>"ᶎ"</t>
  </si>
  <si>
    <t>"ᶏ"</t>
  </si>
  <si>
    <t>"ᶐ"</t>
  </si>
  <si>
    <t>"ᶑ"</t>
  </si>
  <si>
    <t>"ᶒ"</t>
  </si>
  <si>
    <t>"ᶓ"</t>
  </si>
  <si>
    <t>"ᶔ"</t>
  </si>
  <si>
    <t>"ᶕ"</t>
  </si>
  <si>
    <t>"ᶖ"</t>
  </si>
  <si>
    <t>"ᶗ"</t>
  </si>
  <si>
    <t>"ᶘ"</t>
  </si>
  <si>
    <t>"ᶙ"</t>
  </si>
  <si>
    <t>"ᶚ"</t>
  </si>
  <si>
    <t>"ᶛ"</t>
  </si>
  <si>
    <t>"ᶜ"</t>
  </si>
  <si>
    <t>"ᶝ"</t>
  </si>
  <si>
    <t>"ᶞ"</t>
  </si>
  <si>
    <t>"ᶟ"</t>
  </si>
  <si>
    <t>"ᶠ"</t>
  </si>
  <si>
    <t>"ᶡ"</t>
  </si>
  <si>
    <t>"ᶢ"</t>
  </si>
  <si>
    <t>"ᶣ"</t>
  </si>
  <si>
    <t>"ᶤ"</t>
  </si>
  <si>
    <t>"ᶥ"</t>
  </si>
  <si>
    <t>"ᶦ"</t>
  </si>
  <si>
    <t>"ᶧ"</t>
  </si>
  <si>
    <t>"ᶨ"</t>
  </si>
  <si>
    <t>"ᶩ"</t>
  </si>
  <si>
    <t>"ᶪ"</t>
  </si>
  <si>
    <t>"ᶫ"</t>
  </si>
  <si>
    <t>"ᶬ"</t>
  </si>
  <si>
    <t>"ᶭ"</t>
  </si>
  <si>
    <t>"ᶮ"</t>
  </si>
  <si>
    <t>"ᶯ"</t>
  </si>
  <si>
    <t>"ᶰ"</t>
  </si>
  <si>
    <t>"ᶱ"</t>
  </si>
  <si>
    <t>"ᶲ"</t>
  </si>
  <si>
    <t>"ᶳ"</t>
  </si>
  <si>
    <t>"ᶴ"</t>
  </si>
  <si>
    <t>"ᶵ"</t>
  </si>
  <si>
    <t>"ᶶ"</t>
  </si>
  <si>
    <t>"ᶷ"</t>
  </si>
  <si>
    <t>"ᶸ"</t>
  </si>
  <si>
    <t>"ᶹ"</t>
  </si>
  <si>
    <t>"ᶺ"</t>
  </si>
  <si>
    <t>"ᶻ"</t>
  </si>
  <si>
    <t>"ᶼ"</t>
  </si>
  <si>
    <t>"ᶽ"</t>
  </si>
  <si>
    <t>"ᶾ"</t>
  </si>
  <si>
    <t>"ᶿ"</t>
  </si>
  <si>
    <t>"᷀"</t>
  </si>
  <si>
    <t>"᷁"</t>
  </si>
  <si>
    <t>"᷂"</t>
  </si>
  <si>
    <t>"᷃"</t>
  </si>
  <si>
    <t>"᷄"</t>
  </si>
  <si>
    <t>"᷅"</t>
  </si>
  <si>
    <t>"᷆"</t>
  </si>
  <si>
    <t>"᷇"</t>
  </si>
  <si>
    <t>"᷈"</t>
  </si>
  <si>
    <t>"᷉"</t>
  </si>
  <si>
    <t>"᷊"</t>
  </si>
  <si>
    <t>"᷋"</t>
  </si>
  <si>
    <t>"᷌"</t>
  </si>
  <si>
    <t>"᷍"</t>
  </si>
  <si>
    <t>"᷎"</t>
  </si>
  <si>
    <t>"᷏"</t>
  </si>
  <si>
    <t>"᷐"</t>
  </si>
  <si>
    <t>"᷑"</t>
  </si>
  <si>
    <t>"᷒"</t>
  </si>
  <si>
    <t>"ᷓ"</t>
  </si>
  <si>
    <t>"ᷔ"</t>
  </si>
  <si>
    <t>"ᷕ"</t>
  </si>
  <si>
    <t>"ᷖ"</t>
  </si>
  <si>
    <t>"ᷗ"</t>
  </si>
  <si>
    <t>"ᷘ"</t>
  </si>
  <si>
    <t>"ᷙ"</t>
  </si>
  <si>
    <t>"ᷚ"</t>
  </si>
  <si>
    <t>"ᷛ"</t>
  </si>
  <si>
    <t>"ᷜ"</t>
  </si>
  <si>
    <t>"ᷝ"</t>
  </si>
  <si>
    <t>"ᷞ"</t>
  </si>
  <si>
    <t>"ᷟ"</t>
  </si>
  <si>
    <t>"ᷠ"</t>
  </si>
  <si>
    <t>"ᷡ"</t>
  </si>
  <si>
    <t>"ᷢ"</t>
  </si>
  <si>
    <t>"ᷣ"</t>
  </si>
  <si>
    <t>"ᷤ"</t>
  </si>
  <si>
    <t>"ᷥ"</t>
  </si>
  <si>
    <t>"ᷦ"</t>
  </si>
  <si>
    <t>"ᷧ"</t>
  </si>
  <si>
    <t>"ᷨ"</t>
  </si>
  <si>
    <t>"ᷩ"</t>
  </si>
  <si>
    <t>"ᷪ"</t>
  </si>
  <si>
    <t>"ᷫ"</t>
  </si>
  <si>
    <t>"ᷬ"</t>
  </si>
  <si>
    <t>"ᷭ"</t>
  </si>
  <si>
    <t>"ᷮ"</t>
  </si>
  <si>
    <t>"ᷯ"</t>
  </si>
  <si>
    <t>"ᷰ"</t>
  </si>
  <si>
    <t>"ᷱ"</t>
  </si>
  <si>
    <t>"ᷲ"</t>
  </si>
  <si>
    <t>"ᷳ"</t>
  </si>
  <si>
    <t>"ᷴ"</t>
  </si>
  <si>
    <t>"᷵"</t>
  </si>
  <si>
    <t>"᷶"</t>
  </si>
  <si>
    <t>"᷷"</t>
  </si>
  <si>
    <t>"᷸"</t>
  </si>
  <si>
    <t>"᷹"</t>
  </si>
  <si>
    <t>"᷺"</t>
  </si>
  <si>
    <t>"᷻"</t>
  </si>
  <si>
    <t>"᷼"</t>
  </si>
  <si>
    <t>"᷽"</t>
  </si>
  <si>
    <t>"᷾"</t>
  </si>
  <si>
    <t>"᷿"</t>
  </si>
  <si>
    <t>"Ḁ"</t>
  </si>
  <si>
    <t>"ḁ"</t>
  </si>
  <si>
    <t>"Ḃ"</t>
  </si>
  <si>
    <t>"ḃ"</t>
  </si>
  <si>
    <t>"Ḅ"</t>
  </si>
  <si>
    <t>"ḅ"</t>
  </si>
  <si>
    <t>"Ḇ"</t>
  </si>
  <si>
    <t>"ḇ"</t>
  </si>
  <si>
    <t>"Ḉ"</t>
  </si>
  <si>
    <t>"ḉ"</t>
  </si>
  <si>
    <t>"Ḋ"</t>
  </si>
  <si>
    <t>"ḋ"</t>
  </si>
  <si>
    <t>"Ḍ"</t>
  </si>
  <si>
    <t>"ḍ"</t>
  </si>
  <si>
    <t>"Ḏ"</t>
  </si>
  <si>
    <t>"ḏ"</t>
  </si>
  <si>
    <t>"Ḑ"</t>
  </si>
  <si>
    <t>"ḑ"</t>
  </si>
  <si>
    <t>"Ḓ"</t>
  </si>
  <si>
    <t>"ḓ"</t>
  </si>
  <si>
    <t>"Ḕ"</t>
  </si>
  <si>
    <t>"ḕ"</t>
  </si>
  <si>
    <t>"Ḗ"</t>
  </si>
  <si>
    <t>"ḗ"</t>
  </si>
  <si>
    <t>"Ḙ"</t>
  </si>
  <si>
    <t>"ḙ"</t>
  </si>
  <si>
    <t>"Ḛ"</t>
  </si>
  <si>
    <t>"ḛ"</t>
  </si>
  <si>
    <t>"Ḝ"</t>
  </si>
  <si>
    <t>"ḝ"</t>
  </si>
  <si>
    <t>"Ḟ"</t>
  </si>
  <si>
    <t>"ḟ"</t>
  </si>
  <si>
    <t>"Ḡ"</t>
  </si>
  <si>
    <t>"ḡ"</t>
  </si>
  <si>
    <t>"Ḣ"</t>
  </si>
  <si>
    <t>"ḣ"</t>
  </si>
  <si>
    <t>"Ḥ"</t>
  </si>
  <si>
    <t>"ḥ"</t>
  </si>
  <si>
    <t>"Ḧ"</t>
  </si>
  <si>
    <t>"ḧ"</t>
  </si>
  <si>
    <t>"Ḩ"</t>
  </si>
  <si>
    <t>"ḩ"</t>
  </si>
  <si>
    <t>"Ḫ"</t>
  </si>
  <si>
    <t>"ḫ"</t>
  </si>
  <si>
    <t>"Ḭ"</t>
  </si>
  <si>
    <t>"ḭ"</t>
  </si>
  <si>
    <t>"Ḯ"</t>
  </si>
  <si>
    <t>"ḯ"</t>
  </si>
  <si>
    <t>"Ḱ"</t>
  </si>
  <si>
    <t>"ḱ"</t>
  </si>
  <si>
    <t>"Ḳ"</t>
  </si>
  <si>
    <t>"ḳ"</t>
  </si>
  <si>
    <t>"Ḵ"</t>
  </si>
  <si>
    <t>"ḵ"</t>
  </si>
  <si>
    <t>"Ḷ"</t>
  </si>
  <si>
    <t>"ḷ"</t>
  </si>
  <si>
    <t>"Ḹ"</t>
  </si>
  <si>
    <t>"ḹ"</t>
  </si>
  <si>
    <t>"Ḻ"</t>
  </si>
  <si>
    <t>"ḻ"</t>
  </si>
  <si>
    <t>"Ḽ"</t>
  </si>
  <si>
    <t>"ḽ"</t>
  </si>
  <si>
    <t>"Ḿ"</t>
  </si>
  <si>
    <t>"ḿ"</t>
  </si>
  <si>
    <t>"Ṁ"</t>
  </si>
  <si>
    <t>"ṁ"</t>
  </si>
  <si>
    <t>"Ṃ"</t>
  </si>
  <si>
    <t>"ṃ"</t>
  </si>
  <si>
    <t>"Ṅ"</t>
  </si>
  <si>
    <t>"ṅ"</t>
  </si>
  <si>
    <t>"Ṇ"</t>
  </si>
  <si>
    <t>"ṇ"</t>
  </si>
  <si>
    <t>"Ṉ"</t>
  </si>
  <si>
    <t>"ṉ"</t>
  </si>
  <si>
    <t>"Ṋ"</t>
  </si>
  <si>
    <t>"ṋ"</t>
  </si>
  <si>
    <t>"Ṍ"</t>
  </si>
  <si>
    <t>"ṍ"</t>
  </si>
  <si>
    <t>"Ṏ"</t>
  </si>
  <si>
    <t>"ṏ"</t>
  </si>
  <si>
    <t>"Ṑ"</t>
  </si>
  <si>
    <t>"ṑ"</t>
  </si>
  <si>
    <t>"Ṓ"</t>
  </si>
  <si>
    <t>"ṓ"</t>
  </si>
  <si>
    <t>"Ṕ"</t>
  </si>
  <si>
    <t>"ṕ"</t>
  </si>
  <si>
    <t>"Ṗ"</t>
  </si>
  <si>
    <t>"ṗ"</t>
  </si>
  <si>
    <t>"Ṙ"</t>
  </si>
  <si>
    <t>"ṙ"</t>
  </si>
  <si>
    <t>"Ṛ"</t>
  </si>
  <si>
    <t>"ṛ"</t>
  </si>
  <si>
    <t>"Ṝ"</t>
  </si>
  <si>
    <t>"ṝ"</t>
  </si>
  <si>
    <t>"Ṟ"</t>
  </si>
  <si>
    <t>"ṟ"</t>
  </si>
  <si>
    <t>"Ṡ"</t>
  </si>
  <si>
    <t>"ṡ"</t>
  </si>
  <si>
    <t>"Ṣ"</t>
  </si>
  <si>
    <t>"ṣ"</t>
  </si>
  <si>
    <t>"Ṥ"</t>
  </si>
  <si>
    <t>"ṥ"</t>
  </si>
  <si>
    <t>"Ṧ"</t>
  </si>
  <si>
    <t>"ṧ"</t>
  </si>
  <si>
    <t>"Ṩ"</t>
  </si>
  <si>
    <t>"ṩ"</t>
  </si>
  <si>
    <t>"Ṫ"</t>
  </si>
  <si>
    <t>"ṫ"</t>
  </si>
  <si>
    <t>"Ṭ"</t>
  </si>
  <si>
    <t>"ṭ"</t>
  </si>
  <si>
    <t>"Ṯ"</t>
  </si>
  <si>
    <t>"ṯ"</t>
  </si>
  <si>
    <t>"Ṱ"</t>
  </si>
  <si>
    <t>"ṱ"</t>
  </si>
  <si>
    <t>"Ṳ"</t>
  </si>
  <si>
    <t>"ṳ"</t>
  </si>
  <si>
    <t>"Ṵ"</t>
  </si>
  <si>
    <t>"ṵ"</t>
  </si>
  <si>
    <t>"Ṷ"</t>
  </si>
  <si>
    <t>"ṷ"</t>
  </si>
  <si>
    <t>"Ṹ"</t>
  </si>
  <si>
    <t>"ṹ"</t>
  </si>
  <si>
    <t>"Ṻ"</t>
  </si>
  <si>
    <t>"ṻ"</t>
  </si>
  <si>
    <t>"Ṽ"</t>
  </si>
  <si>
    <t>"ṽ"</t>
  </si>
  <si>
    <t>"Ṿ"</t>
  </si>
  <si>
    <t>"ṿ"</t>
  </si>
  <si>
    <t>"Ẁ"</t>
  </si>
  <si>
    <t>"ẁ"</t>
  </si>
  <si>
    <t>"Ẃ"</t>
  </si>
  <si>
    <t>"ẃ"</t>
  </si>
  <si>
    <t>"Ẅ"</t>
  </si>
  <si>
    <t>"ẅ"</t>
  </si>
  <si>
    <t>"Ẇ"</t>
  </si>
  <si>
    <t>"ẇ"</t>
  </si>
  <si>
    <t>"Ẉ"</t>
  </si>
  <si>
    <t>"ẉ"</t>
  </si>
  <si>
    <t>"Ẋ"</t>
  </si>
  <si>
    <t>"ẋ"</t>
  </si>
  <si>
    <t>"Ẍ"</t>
  </si>
  <si>
    <t>"ẍ"</t>
  </si>
  <si>
    <t>"Ẏ"</t>
  </si>
  <si>
    <t>"ẏ"</t>
  </si>
  <si>
    <t>"Ẑ"</t>
  </si>
  <si>
    <t>"ẑ"</t>
  </si>
  <si>
    <t>"Ẓ"</t>
  </si>
  <si>
    <t>"ẓ"</t>
  </si>
  <si>
    <t>"Ẕ"</t>
  </si>
  <si>
    <t>"ẕ"</t>
  </si>
  <si>
    <t>"ẖ"</t>
  </si>
  <si>
    <t>"ẗ"</t>
  </si>
  <si>
    <t>"ẘ"</t>
  </si>
  <si>
    <t>"ẙ"</t>
  </si>
  <si>
    <t>"ẚ"</t>
  </si>
  <si>
    <t>"ẛ"</t>
  </si>
  <si>
    <t>"ẜ"</t>
  </si>
  <si>
    <t>"ẝ"</t>
  </si>
  <si>
    <t>"ẞ"</t>
  </si>
  <si>
    <t>"ẟ"</t>
  </si>
  <si>
    <t>"Ạ"</t>
  </si>
  <si>
    <t>"ạ"</t>
  </si>
  <si>
    <t>"Ả"</t>
  </si>
  <si>
    <t>"ả"</t>
  </si>
  <si>
    <t>"Ấ"</t>
  </si>
  <si>
    <t>"ấ"</t>
  </si>
  <si>
    <t>"Ầ"</t>
  </si>
  <si>
    <t>"ầ"</t>
  </si>
  <si>
    <t>"Ẩ"</t>
  </si>
  <si>
    <t>"ẩ"</t>
  </si>
  <si>
    <t>"Ẫ"</t>
  </si>
  <si>
    <t>"ẫ"</t>
  </si>
  <si>
    <t>"Ậ"</t>
  </si>
  <si>
    <t>"ậ"</t>
  </si>
  <si>
    <t>"Ắ"</t>
  </si>
  <si>
    <t>"ắ"</t>
  </si>
  <si>
    <t>"Ằ"</t>
  </si>
  <si>
    <t>"ằ"</t>
  </si>
  <si>
    <t>"Ẳ"</t>
  </si>
  <si>
    <t>"ẳ"</t>
  </si>
  <si>
    <t>"Ẵ"</t>
  </si>
  <si>
    <t>"ẵ"</t>
  </si>
  <si>
    <t>"Ặ"</t>
  </si>
  <si>
    <t>"ặ"</t>
  </si>
  <si>
    <t>"Ẹ"</t>
  </si>
  <si>
    <t>"ẹ"</t>
  </si>
  <si>
    <t>"Ẻ"</t>
  </si>
  <si>
    <t>"ẻ"</t>
  </si>
  <si>
    <t>"Ẽ"</t>
  </si>
  <si>
    <t>"ẽ"</t>
  </si>
  <si>
    <t>"Ế"</t>
  </si>
  <si>
    <t>"ế"</t>
  </si>
  <si>
    <t>"Ề"</t>
  </si>
  <si>
    <t>"ề"</t>
  </si>
  <si>
    <t>"Ể"</t>
  </si>
  <si>
    <t>"ể"</t>
  </si>
  <si>
    <t>"Ễ"</t>
  </si>
  <si>
    <t>"ễ"</t>
  </si>
  <si>
    <t>"Ệ"</t>
  </si>
  <si>
    <t>"ệ"</t>
  </si>
  <si>
    <t>"Ỉ"</t>
  </si>
  <si>
    <t>"ỉ"</t>
  </si>
  <si>
    <t>"Ị"</t>
  </si>
  <si>
    <t>"ị"</t>
  </si>
  <si>
    <t>"Ọ"</t>
  </si>
  <si>
    <t>"ọ"</t>
  </si>
  <si>
    <t>"Ỏ"</t>
  </si>
  <si>
    <t>"ỏ"</t>
  </si>
  <si>
    <t>"Ố"</t>
  </si>
  <si>
    <t>"ố"</t>
  </si>
  <si>
    <t>"Ồ"</t>
  </si>
  <si>
    <t>"ồ"</t>
  </si>
  <si>
    <t>"Ổ"</t>
  </si>
  <si>
    <t>"ổ"</t>
  </si>
  <si>
    <t>"Ỗ"</t>
  </si>
  <si>
    <t>"ỗ"</t>
  </si>
  <si>
    <t>"Ộ"</t>
  </si>
  <si>
    <t>"ộ"</t>
  </si>
  <si>
    <t>"Ớ"</t>
  </si>
  <si>
    <t>"ớ"</t>
  </si>
  <si>
    <t>"Ờ"</t>
  </si>
  <si>
    <t>"ờ"</t>
  </si>
  <si>
    <t>"Ở"</t>
  </si>
  <si>
    <t>"ở"</t>
  </si>
  <si>
    <t>"Ỡ"</t>
  </si>
  <si>
    <t>"ỡ"</t>
  </si>
  <si>
    <t>"Ợ"</t>
  </si>
  <si>
    <t>"ợ"</t>
  </si>
  <si>
    <t>"Ụ"</t>
  </si>
  <si>
    <t>"ụ"</t>
  </si>
  <si>
    <t>"Ủ"</t>
  </si>
  <si>
    <t>"ủ"</t>
  </si>
  <si>
    <t>"Ứ"</t>
  </si>
  <si>
    <t>"ứ"</t>
  </si>
  <si>
    <t>"Ừ"</t>
  </si>
  <si>
    <t>"ừ"</t>
  </si>
  <si>
    <t>"Ử"</t>
  </si>
  <si>
    <t>"ử"</t>
  </si>
  <si>
    <t>"Ữ"</t>
  </si>
  <si>
    <t>"ữ"</t>
  </si>
  <si>
    <t>"Ự"</t>
  </si>
  <si>
    <t>"ự"</t>
  </si>
  <si>
    <t>"Ỳ"</t>
  </si>
  <si>
    <t>"ỳ"</t>
  </si>
  <si>
    <t>"Ỵ"</t>
  </si>
  <si>
    <t>"ỵ"</t>
  </si>
  <si>
    <t>"Ỷ"</t>
  </si>
  <si>
    <t>"ỷ"</t>
  </si>
  <si>
    <t>"Ỹ"</t>
  </si>
  <si>
    <t>"ỹ"</t>
  </si>
  <si>
    <t>"Ỻ"</t>
  </si>
  <si>
    <t>"ỻ"</t>
  </si>
  <si>
    <t>"Ỽ"</t>
  </si>
  <si>
    <t>"ỽ"</t>
  </si>
  <si>
    <t>"Ỿ"</t>
  </si>
  <si>
    <t>"ỿ"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</si>
  <si>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</si>
  <si>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</si>
  <si>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</si>
  <si>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</si>
  <si>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</si>
  <si>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</si>
  <si>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</si>
  <si>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</si>
  <si>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</si>
  <si>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</si>
  <si>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</si>
  <si>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</si>
  <si>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</si>
  <si>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</si>
  <si>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</si>
  <si>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</si>
  <si>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"ἐ"</t>
  </si>
  <si>
    <t>"ἑ"</t>
  </si>
  <si>
    <t>"ἒ"</t>
  </si>
  <si>
    <t>"ἓ"</t>
  </si>
  <si>
    <t>"ἔ"</t>
  </si>
  <si>
    <t>"ἕ"</t>
  </si>
  <si>
    <t>"἖"</t>
  </si>
  <si>
    <t>"἗"</t>
  </si>
  <si>
    <t>"Ἐ"</t>
  </si>
  <si>
    <t>"Ἑ"</t>
  </si>
  <si>
    <t>"Ἒ"</t>
  </si>
  <si>
    <t>"Ἓ"</t>
  </si>
  <si>
    <t>"Ἔ"</t>
  </si>
  <si>
    <t>"Ἕ"</t>
  </si>
  <si>
    <t>"἞"</t>
  </si>
  <si>
    <t>"἟"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</si>
  <si>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</si>
  <si>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</si>
  <si>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</si>
  <si>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</si>
  <si>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</si>
  <si>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</si>
  <si>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</si>
  <si>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</si>
  <si>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</si>
  <si>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</si>
  <si>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</si>
  <si>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</si>
  <si>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</si>
  <si>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</si>
  <si>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</si>
  <si>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</si>
  <si>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</si>
  <si>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</si>
  <si>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</si>
  <si>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</si>
  <si>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</si>
  <si>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</si>
  <si>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</si>
  <si>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</si>
  <si>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</si>
  <si>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</si>
  <si>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</si>
  <si>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</si>
  <si>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</si>
  <si>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</si>
  <si>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</si>
  <si>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</si>
  <si>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"ὀ"</t>
  </si>
  <si>
    <t>"ὁ"</t>
  </si>
  <si>
    <t>"ὂ"</t>
  </si>
  <si>
    <t>"ὃ"</t>
  </si>
  <si>
    <t>"ὄ"</t>
  </si>
  <si>
    <t>"ὅ"</t>
  </si>
  <si>
    <t>"὆"</t>
  </si>
  <si>
    <t>"὇"</t>
  </si>
  <si>
    <t>"Ὀ"</t>
  </si>
  <si>
    <t>"Ὁ"</t>
  </si>
  <si>
    <t>"Ὂ"</t>
  </si>
  <si>
    <t>"Ὃ"</t>
  </si>
  <si>
    <t>"Ὄ"</t>
  </si>
  <si>
    <t>"Ὅ"</t>
  </si>
  <si>
    <t>"὎"</t>
  </si>
  <si>
    <t>"὏"</t>
  </si>
  <si>
    <t>"ὐ"</t>
  </si>
  <si>
    <t>"ὑ"</t>
  </si>
  <si>
    <t>"ὒ"</t>
  </si>
  <si>
    <t>"ὓ"</t>
  </si>
  <si>
    <t>"ὔ"</t>
  </si>
  <si>
    <t>"ὕ"</t>
  </si>
  <si>
    <t>"ὖ"</t>
  </si>
  <si>
    <t>"ὗ"</t>
  </si>
  <si>
    <t>"὘"</t>
  </si>
  <si>
    <t>"Ὑ"</t>
  </si>
  <si>
    <t>"὚"</t>
  </si>
  <si>
    <t>"Ὓ"</t>
  </si>
  <si>
    <t>"὜"</t>
  </si>
  <si>
    <t>"Ὕ"</t>
  </si>
  <si>
    <t>"὞"</t>
  </si>
  <si>
    <t>"Ὗ"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</si>
  <si>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</si>
  <si>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</si>
  <si>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</si>
  <si>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</si>
  <si>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</si>
  <si>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</si>
  <si>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</si>
  <si>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</si>
  <si>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</si>
  <si>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</si>
  <si>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</si>
  <si>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</si>
  <si>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</si>
  <si>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</si>
  <si>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</si>
  <si>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</si>
  <si>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"ὰ"</t>
  </si>
  <si>
    <t>"ά"</t>
  </si>
  <si>
    <t>"ὲ"</t>
  </si>
  <si>
    <t>"έ"</t>
  </si>
  <si>
    <t>"ὴ"</t>
  </si>
  <si>
    <t>"ή"</t>
  </si>
  <si>
    <t>"ὶ"</t>
  </si>
  <si>
    <t>"ί"</t>
  </si>
  <si>
    <t>"ὸ"</t>
  </si>
  <si>
    <t>"ό"</t>
  </si>
  <si>
    <t>"ὺ"</t>
  </si>
  <si>
    <t>"ύ"</t>
  </si>
  <si>
    <t>"ὼ"</t>
  </si>
  <si>
    <t>"ώ"</t>
  </si>
  <si>
    <t>"὾"</t>
  </si>
  <si>
    <t>"὿"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</si>
  <si>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</si>
  <si>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</si>
  <si>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</si>
  <si>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</si>
  <si>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</si>
  <si>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</si>
  <si>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</si>
  <si>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</si>
  <si>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</si>
  <si>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</si>
  <si>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</si>
  <si>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</si>
  <si>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</si>
  <si>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</si>
  <si>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</si>
  <si>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</si>
  <si>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</si>
  <si>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</si>
  <si>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</si>
  <si>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</si>
  <si>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</si>
  <si>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</si>
  <si>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</si>
  <si>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</si>
  <si>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</si>
  <si>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</si>
  <si>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</si>
  <si>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</si>
  <si>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</si>
  <si>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</si>
  <si>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</si>
  <si>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</si>
  <si>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</si>
  <si>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</si>
  <si>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</si>
  <si>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</si>
  <si>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</si>
  <si>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</si>
  <si>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</si>
  <si>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</si>
  <si>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</si>
  <si>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</si>
  <si>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</si>
  <si>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</si>
  <si>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</si>
  <si>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</si>
  <si>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</si>
  <si>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</si>
  <si>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"ᾰ"</t>
  </si>
  <si>
    <t>"ᾱ"</t>
  </si>
  <si>
    <t>"ᾲ"</t>
  </si>
  <si>
    <t>"ᾳ"</t>
  </si>
  <si>
    <t>"ᾴ"</t>
  </si>
  <si>
    <t>"᾵"</t>
  </si>
  <si>
    <t>"ᾶ"</t>
  </si>
  <si>
    <t>"ᾷ"</t>
  </si>
  <si>
    <t>"Ᾰ"</t>
  </si>
  <si>
    <t>"Ᾱ"</t>
  </si>
  <si>
    <t>"Ὰ"</t>
  </si>
  <si>
    <t>"Ά"</t>
  </si>
  <si>
    <t>"ᾼ"</t>
  </si>
  <si>
    <t>"᾽"</t>
  </si>
  <si>
    <t>"ι"</t>
  </si>
  <si>
    <t>"᾿"</t>
  </si>
  <si>
    <t>"῀"</t>
  </si>
  <si>
    <t>"῁"</t>
  </si>
  <si>
    <t>"ῂ"</t>
  </si>
  <si>
    <t>"ῃ"</t>
  </si>
  <si>
    <t>"ῄ"</t>
  </si>
  <si>
    <t>"῅"</t>
  </si>
  <si>
    <t>"ῆ"</t>
  </si>
  <si>
    <t>"ῇ"</t>
  </si>
  <si>
    <t>"Ὲ"</t>
  </si>
  <si>
    <t>"Έ"</t>
  </si>
  <si>
    <t>"Ὴ"</t>
  </si>
  <si>
    <t>"Ή"</t>
  </si>
  <si>
    <t>"ῌ"</t>
  </si>
  <si>
    <t>"῍"</t>
  </si>
  <si>
    <t>"῎"</t>
  </si>
  <si>
    <t>"῏"</t>
  </si>
  <si>
    <t>"ῐ"</t>
  </si>
  <si>
    <t>"ῑ"</t>
  </si>
  <si>
    <t>"ῒ"</t>
  </si>
  <si>
    <t>"ΐ"</t>
  </si>
  <si>
    <t>"῔"</t>
  </si>
  <si>
    <t>"῕"</t>
  </si>
  <si>
    <t>"ῖ"</t>
  </si>
  <si>
    <t>"ῗ"</t>
  </si>
  <si>
    <t>"Ῐ"</t>
  </si>
  <si>
    <t>"Ῑ"</t>
  </si>
  <si>
    <t>"Ὶ"</t>
  </si>
  <si>
    <t>"Ί"</t>
  </si>
  <si>
    <t>"῜"</t>
  </si>
  <si>
    <t>"῝"</t>
  </si>
  <si>
    <t>"῞"</t>
  </si>
  <si>
    <t>"῟"</t>
  </si>
  <si>
    <t>"ῠ"</t>
  </si>
  <si>
    <t>"ῡ"</t>
  </si>
  <si>
    <t>"ῢ"</t>
  </si>
  <si>
    <t>"ΰ"</t>
  </si>
  <si>
    <t>"ῤ"</t>
  </si>
  <si>
    <t>"ῥ"</t>
  </si>
  <si>
    <t>"ῦ"</t>
  </si>
  <si>
    <t>"ῧ"</t>
  </si>
  <si>
    <t>"Ῠ"</t>
  </si>
  <si>
    <t>"Ῡ"</t>
  </si>
  <si>
    <t>"Ὺ"</t>
  </si>
  <si>
    <t>"Ύ"</t>
  </si>
  <si>
    <t>"Ῥ"</t>
  </si>
  <si>
    <t>"῭"</t>
  </si>
  <si>
    <t>"΅"</t>
  </si>
  <si>
    <t>"`"</t>
  </si>
  <si>
    <t>"῰"</t>
  </si>
  <si>
    <t>"῱"</t>
  </si>
  <si>
    <t>"ῲ"</t>
  </si>
  <si>
    <t>"ῳ"</t>
  </si>
  <si>
    <t>"ῴ"</t>
  </si>
  <si>
    <t>"῵"</t>
  </si>
  <si>
    <t>"ῶ"</t>
  </si>
  <si>
    <t>"ῷ"</t>
  </si>
  <si>
    <t>"Ὸ"</t>
  </si>
  <si>
    <t>"Ό"</t>
  </si>
  <si>
    <t>"Ὼ"</t>
  </si>
  <si>
    <t>"Ώ"</t>
  </si>
  <si>
    <t>"ῼ"</t>
  </si>
  <si>
    <t>"´"</t>
  </si>
  <si>
    <t>"῾"</t>
  </si>
  <si>
    <t>"῿"</t>
  </si>
  <si>
    <t>" "</t>
  </si>
  <si>
    <t>" "</t>
  </si>
  <si>
    <t>" "</t>
  </si>
  <si>
    <t>" "</t>
  </si>
  <si>
    <t>" "</t>
  </si>
  <si>
    <t>" "</t>
  </si>
  <si>
    <t>" "</t>
  </si>
  <si>
    <t>" "</t>
  </si>
  <si>
    <t>" "</t>
  </si>
  <si>
    <t>" "</t>
  </si>
  <si>
    <t>" "</t>
  </si>
  <si>
    <t>"​"</t>
  </si>
  <si>
    <t>"‌"</t>
  </si>
  <si>
    <t>"‍"</t>
  </si>
  <si>
    <t>"‎"</t>
  </si>
  <si>
    <t>"‏"</t>
  </si>
  <si>
    <t>"‐"</t>
  </si>
  <si>
    <t>"‑"</t>
  </si>
  <si>
    <t>"‒"</t>
  </si>
  <si>
    <t>"–"</t>
  </si>
  <si>
    <t>"—"</t>
  </si>
  <si>
    <t>"―"</t>
  </si>
  <si>
    <t>"‖"</t>
  </si>
  <si>
    <t>"‗"</t>
  </si>
  <si>
    <t>"‘"</t>
  </si>
  <si>
    <t>"’"</t>
  </si>
  <si>
    <t>"‚"</t>
  </si>
  <si>
    <t>"‛"</t>
  </si>
  <si>
    <t>"“"</t>
  </si>
  <si>
    <t>"”"</t>
  </si>
  <si>
    <t>"„"</t>
  </si>
  <si>
    <t>"‟"</t>
  </si>
  <si>
    <t>"†"</t>
  </si>
  <si>
    <t>"‡"</t>
  </si>
  <si>
    <t>"•"</t>
  </si>
  <si>
    <t>"‣"</t>
  </si>
  <si>
    <t>"․"</t>
  </si>
  <si>
    <t>"‥"</t>
  </si>
  <si>
    <t>"…"</t>
  </si>
  <si>
    <t>"‧"</t>
  </si>
  <si>
    <t>" "</t>
  </si>
  <si>
    <t>" "</t>
  </si>
  <si>
    <t>"‪"</t>
  </si>
  <si>
    <t>"‫"</t>
  </si>
  <si>
    <t>"‬"</t>
  </si>
  <si>
    <t>"‭"</t>
  </si>
  <si>
    <t>"‮"</t>
  </si>
  <si>
    <t>" "</t>
  </si>
  <si>
    <t>"‰"</t>
  </si>
  <si>
    <t>"‱"</t>
  </si>
  <si>
    <t>"′"</t>
  </si>
  <si>
    <t>"″"</t>
  </si>
  <si>
    <t>"‴"</t>
  </si>
  <si>
    <t>"‵"</t>
  </si>
  <si>
    <t>"‶"</t>
  </si>
  <si>
    <t>"‷"</t>
  </si>
  <si>
    <t>"‸"</t>
  </si>
  <si>
    <t>"‹"</t>
  </si>
  <si>
    <t>"›"</t>
  </si>
  <si>
    <t>"※"</t>
  </si>
  <si>
    <t>"‼"</t>
  </si>
  <si>
    <t>"‽"</t>
  </si>
  <si>
    <t>"‾"</t>
  </si>
  <si>
    <t>"‿"</t>
  </si>
  <si>
    <t>"⁀"</t>
  </si>
  <si>
    <t>"⁁"</t>
  </si>
  <si>
    <t>"⁂"</t>
  </si>
  <si>
    <t>"⁃"</t>
  </si>
  <si>
    <t>"⁄"</t>
  </si>
  <si>
    <t>"⁅"</t>
  </si>
  <si>
    <t>"⁆"</t>
  </si>
  <si>
    <t>"⁇"</t>
  </si>
  <si>
    <t>"⁈"</t>
  </si>
  <si>
    <t>"⁉"</t>
  </si>
  <si>
    <t>"⁊"</t>
  </si>
  <si>
    <t>"⁋"</t>
  </si>
  <si>
    <t>"⁌"</t>
  </si>
  <si>
    <t>"⁍"</t>
  </si>
  <si>
    <t>"⁎"</t>
  </si>
  <si>
    <t>"⁏"</t>
  </si>
  <si>
    <t>"⁐"</t>
  </si>
  <si>
    <t>"⁑"</t>
  </si>
  <si>
    <t>"⁒"</t>
  </si>
  <si>
    <t>"⁓"</t>
  </si>
  <si>
    <t>"⁔"</t>
  </si>
  <si>
    <t>"⁕"</t>
  </si>
  <si>
    <t>"⁖"</t>
  </si>
  <si>
    <t>"⁗"</t>
  </si>
  <si>
    <t>"⁘"</t>
  </si>
  <si>
    <t>"⁙"</t>
  </si>
  <si>
    <t>"⁚"</t>
  </si>
  <si>
    <t>"⁛"</t>
  </si>
  <si>
    <t>"⁜"</t>
  </si>
  <si>
    <t>"⁝"</t>
  </si>
  <si>
    <t>"⁞"</t>
  </si>
  <si>
    <t>" "</t>
  </si>
  <si>
    <t>"⁠"</t>
  </si>
  <si>
    <t>"⁡"</t>
  </si>
  <si>
    <t>"⁢"</t>
  </si>
  <si>
    <t>"⁣"</t>
  </si>
  <si>
    <t>"⁤"</t>
  </si>
  <si>
    <t>"⁥"</t>
  </si>
  <si>
    <t>"⁦"</t>
  </si>
  <si>
    <t>"⁧"</t>
  </si>
  <si>
    <t>"⁨"</t>
  </si>
  <si>
    <t>"⁩"</t>
  </si>
  <si>
    <t>"⁪"</t>
  </si>
  <si>
    <t>"⁫"</t>
  </si>
  <si>
    <t>"⁬"</t>
  </si>
  <si>
    <t>"⁭"</t>
  </si>
  <si>
    <t>"⁮"</t>
  </si>
  <si>
    <t>"⁯"</t>
  </si>
  <si>
    <t>"⁰"</t>
  </si>
  <si>
    <t>"ⁱ"</t>
  </si>
  <si>
    <t>"⁲"</t>
  </si>
  <si>
    <t>"⁳"</t>
  </si>
  <si>
    <t>"⁴"</t>
  </si>
  <si>
    <t>"⁵"</t>
  </si>
  <si>
    <t>"⁶"</t>
  </si>
  <si>
    <t>"⁷"</t>
  </si>
  <si>
    <t>"⁸"</t>
  </si>
  <si>
    <t>"⁹"</t>
  </si>
  <si>
    <t>"⁺"</t>
  </si>
  <si>
    <t>"⁻"</t>
  </si>
  <si>
    <t>"⁼"</t>
  </si>
  <si>
    <t>"⁽"</t>
  </si>
  <si>
    <t>"⁾"</t>
  </si>
  <si>
    <t>"ⁿ"</t>
  </si>
  <si>
    <t>"₀"</t>
  </si>
  <si>
    <t>"₁"</t>
  </si>
  <si>
    <t>"₂"</t>
  </si>
  <si>
    <t>"₃"</t>
  </si>
  <si>
    <t>"₄"</t>
  </si>
  <si>
    <t>"₅"</t>
  </si>
  <si>
    <t>"₆"</t>
  </si>
  <si>
    <t>"₇"</t>
  </si>
  <si>
    <t>"₈"</t>
  </si>
  <si>
    <t>"₉"</t>
  </si>
  <si>
    <t>"₊"</t>
  </si>
  <si>
    <t>"₋"</t>
  </si>
  <si>
    <t>"₌"</t>
  </si>
  <si>
    <t>"₍"</t>
  </si>
  <si>
    <t>"₎"</t>
  </si>
  <si>
    <t>"₏"</t>
  </si>
  <si>
    <t>"ₐ"</t>
  </si>
  <si>
    <t>"ₑ"</t>
  </si>
  <si>
    <t>"ₒ"</t>
  </si>
  <si>
    <t>"ₓ"</t>
  </si>
  <si>
    <t>"ₔ"</t>
  </si>
  <si>
    <t>"ₕ"</t>
  </si>
  <si>
    <t>"ₖ"</t>
  </si>
  <si>
    <t>"ₗ"</t>
  </si>
  <si>
    <t>"ₘ"</t>
  </si>
  <si>
    <t>"ₙ"</t>
  </si>
  <si>
    <t>"ₚ"</t>
  </si>
  <si>
    <t>"ₛ"</t>
  </si>
  <si>
    <t>"ₜ"</t>
  </si>
  <si>
    <t>"₝"</t>
  </si>
  <si>
    <t>"₞"</t>
  </si>
  <si>
    <t>"₟"</t>
  </si>
  <si>
    <t>"₠"</t>
  </si>
  <si>
    <t>"₡"</t>
  </si>
  <si>
    <t>"₢"</t>
  </si>
  <si>
    <t>"₣"</t>
  </si>
  <si>
    <t>"₤"</t>
  </si>
  <si>
    <t>"₥"</t>
  </si>
  <si>
    <t>"₦"</t>
  </si>
  <si>
    <t>"₧"</t>
  </si>
  <si>
    <t>"₨"</t>
  </si>
  <si>
    <t>"₩"</t>
  </si>
  <si>
    <t>"₪"</t>
  </si>
  <si>
    <t>"₫"</t>
  </si>
  <si>
    <t>"€"</t>
  </si>
  <si>
    <t>"₭"</t>
  </si>
  <si>
    <t>"₮"</t>
  </si>
  <si>
    <t>"₯"</t>
  </si>
  <si>
    <t>"₰"</t>
  </si>
  <si>
    <t>"₱"</t>
  </si>
  <si>
    <t>"₲"</t>
  </si>
  <si>
    <t>"₳"</t>
  </si>
  <si>
    <t>"₴"</t>
  </si>
  <si>
    <t>"₵"</t>
  </si>
  <si>
    <t>"₶"</t>
  </si>
  <si>
    <t>"₷"</t>
  </si>
  <si>
    <t>"₸"</t>
  </si>
  <si>
    <t>"₹"</t>
  </si>
  <si>
    <t>"₺"</t>
  </si>
  <si>
    <t>"₻"</t>
  </si>
  <si>
    <t>"₼"</t>
  </si>
  <si>
    <t>"₽"</t>
  </si>
  <si>
    <t>"₾"</t>
  </si>
  <si>
    <t>"₿"</t>
  </si>
  <si>
    <t>"⃀"</t>
  </si>
  <si>
    <t>"⃁"</t>
  </si>
  <si>
    <t>"⃂"</t>
  </si>
  <si>
    <t>"⃃"</t>
  </si>
  <si>
    <t>"⃄"</t>
  </si>
  <si>
    <t>"⃅"</t>
  </si>
  <si>
    <t>"⃆"</t>
  </si>
  <si>
    <t>"⃇"</t>
  </si>
  <si>
    <t>"⃈"</t>
  </si>
  <si>
    <t>"⃉"</t>
  </si>
  <si>
    <t>"⃊"</t>
  </si>
  <si>
    <t>"⃋"</t>
  </si>
  <si>
    <t>"⃌"</t>
  </si>
  <si>
    <t>"⃍"</t>
  </si>
  <si>
    <t>"⃎"</t>
  </si>
  <si>
    <t>"⃏"</t>
  </si>
  <si>
    <t>"⃐"</t>
  </si>
  <si>
    <t>"⃑"</t>
  </si>
  <si>
    <t>"⃒"</t>
  </si>
  <si>
    <t>"⃓"</t>
  </si>
  <si>
    <t>"⃔"</t>
  </si>
  <si>
    <t>"⃕"</t>
  </si>
  <si>
    <t>"⃖"</t>
  </si>
  <si>
    <t>"⃗"</t>
  </si>
  <si>
    <t>"⃘"</t>
  </si>
  <si>
    <t>"⃙"</t>
  </si>
  <si>
    <t>"⃚"</t>
  </si>
  <si>
    <t>"⃛"</t>
  </si>
  <si>
    <t>"⃜"</t>
  </si>
  <si>
    <t>"⃝"</t>
  </si>
  <si>
    <t>"⃞"</t>
  </si>
  <si>
    <t>"⃟"</t>
  </si>
  <si>
    <t>"⃠"</t>
  </si>
  <si>
    <t>"⃡"</t>
  </si>
  <si>
    <t>"⃢"</t>
  </si>
  <si>
    <t>"⃣"</t>
  </si>
  <si>
    <t>"⃤"</t>
  </si>
  <si>
    <t>"⃥"</t>
  </si>
  <si>
    <t>"⃦"</t>
  </si>
  <si>
    <t>"⃧"</t>
  </si>
  <si>
    <t>"⃨"</t>
  </si>
  <si>
    <t>"⃩"</t>
  </si>
  <si>
    <t>"⃪"</t>
  </si>
  <si>
    <t>"⃫"</t>
  </si>
  <si>
    <t>"⃬"</t>
  </si>
  <si>
    <t>"⃭"</t>
  </si>
  <si>
    <t>"⃮"</t>
  </si>
  <si>
    <t>"⃯"</t>
  </si>
  <si>
    <t>"⃰"</t>
  </si>
  <si>
    <t>"⃱"</t>
  </si>
  <si>
    <t>"⃲"</t>
  </si>
  <si>
    <t>"⃳"</t>
  </si>
  <si>
    <t>"⃴"</t>
  </si>
  <si>
    <t>"⃵"</t>
  </si>
  <si>
    <t>"⃶"</t>
  </si>
  <si>
    <t>"⃷"</t>
  </si>
  <si>
    <t>"⃸"</t>
  </si>
  <si>
    <t>"⃹"</t>
  </si>
  <si>
    <t>"⃺"</t>
  </si>
  <si>
    <t>"⃻"</t>
  </si>
  <si>
    <t>"⃼"</t>
  </si>
  <si>
    <t>"⃽"</t>
  </si>
  <si>
    <t>"⃾"</t>
  </si>
  <si>
    <t>"⃿"</t>
  </si>
  <si>
    <t>"℀"</t>
  </si>
  <si>
    <t>"℁"</t>
  </si>
  <si>
    <t>"ℂ"</t>
  </si>
  <si>
    <t>"℃"</t>
  </si>
  <si>
    <t>"℄"</t>
  </si>
  <si>
    <t>"℅"</t>
  </si>
  <si>
    <t>"℆"</t>
  </si>
  <si>
    <t>"ℇ"</t>
  </si>
  <si>
    <t>"℈"</t>
  </si>
  <si>
    <t>"℉"</t>
  </si>
  <si>
    <t>"ℊ"</t>
  </si>
  <si>
    <t>"ℋ"</t>
  </si>
  <si>
    <t>"ℌ"</t>
  </si>
  <si>
    <t>"ℍ"</t>
  </si>
  <si>
    <t>"ℎ"</t>
  </si>
  <si>
    <t>"ℏ"</t>
  </si>
  <si>
    <t>"ℐ"</t>
  </si>
  <si>
    <t>"ℑ"</t>
  </si>
  <si>
    <t>"ℒ"</t>
  </si>
  <si>
    <t>"ℓ"</t>
  </si>
  <si>
    <t>"℔"</t>
  </si>
  <si>
    <t>"ℕ"</t>
  </si>
  <si>
    <t>"№"</t>
  </si>
  <si>
    <t>"℗"</t>
  </si>
  <si>
    <t>"℘"</t>
  </si>
  <si>
    <t>"ℙ"</t>
  </si>
  <si>
    <t>"ℚ"</t>
  </si>
  <si>
    <t>"ℛ"</t>
  </si>
  <si>
    <t>"ℜ"</t>
  </si>
  <si>
    <t>"ℝ"</t>
  </si>
  <si>
    <t>"℞"</t>
  </si>
  <si>
    <t>"℟"</t>
  </si>
  <si>
    <t>"℠"</t>
  </si>
  <si>
    <t>"℡"</t>
  </si>
  <si>
    <t>"™"</t>
  </si>
  <si>
    <t>"℣"</t>
  </si>
  <si>
    <t>"ℤ"</t>
  </si>
  <si>
    <t>"℥"</t>
  </si>
  <si>
    <t>"Ω"</t>
  </si>
  <si>
    <t>"℧"</t>
  </si>
  <si>
    <t>"ℨ"</t>
  </si>
  <si>
    <t>"℩"</t>
  </si>
  <si>
    <t>"K"</t>
  </si>
  <si>
    <t>"Å"</t>
  </si>
  <si>
    <t>"ℬ"</t>
  </si>
  <si>
    <t>"ℭ"</t>
  </si>
  <si>
    <t>"℮"</t>
  </si>
  <si>
    <t>"ℯ"</t>
  </si>
  <si>
    <t>"ℰ"</t>
  </si>
  <si>
    <t>"ℱ"</t>
  </si>
  <si>
    <t>"Ⅎ"</t>
  </si>
  <si>
    <t>"ℳ"</t>
  </si>
  <si>
    <t>"ℴ"</t>
  </si>
  <si>
    <t>"ℵ"</t>
  </si>
  <si>
    <t>"ℶ"</t>
  </si>
  <si>
    <t>"ℷ"</t>
  </si>
  <si>
    <t>"ℸ"</t>
  </si>
  <si>
    <t>"ℹ"</t>
  </si>
  <si>
    <t>"℺"</t>
  </si>
  <si>
    <t>"℻"</t>
  </si>
  <si>
    <t>"ℼ"</t>
  </si>
  <si>
    <t>"ℽ"</t>
  </si>
  <si>
    <t>"ℾ"</t>
  </si>
  <si>
    <t>"ℿ"</t>
  </si>
  <si>
    <t>"⅀"</t>
  </si>
  <si>
    <t>"⅁"</t>
  </si>
  <si>
    <t>"⅂"</t>
  </si>
  <si>
    <t>"⅃"</t>
  </si>
  <si>
    <t>"⅄"</t>
  </si>
  <si>
    <t>"ⅅ"</t>
  </si>
  <si>
    <t>"ⅆ"</t>
  </si>
  <si>
    <t>"ⅇ"</t>
  </si>
  <si>
    <t>"ⅈ"</t>
  </si>
  <si>
    <t>"ⅉ"</t>
  </si>
  <si>
    <t>"⅊"</t>
  </si>
  <si>
    <t>"⅋"</t>
  </si>
  <si>
    <t>"⅌"</t>
  </si>
  <si>
    <t>"⅍"</t>
  </si>
  <si>
    <t>"ⅎ"</t>
  </si>
  <si>
    <t>"⅏"</t>
  </si>
  <si>
    <t>"⅐"</t>
  </si>
  <si>
    <t>"⅑"</t>
  </si>
  <si>
    <t>"⅒"</t>
  </si>
  <si>
    <t>"⅓"</t>
  </si>
  <si>
    <t>"⅔"</t>
  </si>
  <si>
    <t>"⅕"</t>
  </si>
  <si>
    <t>"⅖"</t>
  </si>
  <si>
    <t>"⅗"</t>
  </si>
  <si>
    <t>"⅘"</t>
  </si>
  <si>
    <t>"⅙"</t>
  </si>
  <si>
    <t>"⅚"</t>
  </si>
  <si>
    <t>"⅛"</t>
  </si>
  <si>
    <t>"⅜"</t>
  </si>
  <si>
    <t>"⅝"</t>
  </si>
  <si>
    <t>"⅞"</t>
  </si>
  <si>
    <t>"⅟"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</si>
  <si>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</si>
  <si>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</si>
  <si>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</si>
  <si>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</si>
  <si>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</si>
  <si>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</si>
  <si>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</si>
  <si>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</si>
  <si>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</si>
  <si>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</si>
  <si>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</si>
  <si>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</si>
  <si>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</si>
  <si>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</si>
  <si>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</si>
  <si>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</si>
  <si>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</si>
  <si>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</si>
  <si>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</si>
  <si>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</si>
  <si>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</si>
  <si>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</si>
  <si>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</si>
  <si>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</si>
  <si>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</si>
  <si>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</si>
  <si>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</si>
  <si>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</si>
  <si>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</si>
  <si>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</si>
  <si>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</si>
  <si>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</si>
  <si>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"ↀ"</t>
  </si>
  <si>
    <t>"ↁ"</t>
  </si>
  <si>
    <t>"ↂ"</t>
  </si>
  <si>
    <t>"Ↄ"</t>
  </si>
  <si>
    <t>"ↄ"</t>
  </si>
  <si>
    <t>"ↅ"</t>
  </si>
  <si>
    <t>"ↆ"</t>
  </si>
  <si>
    <t>"ↇ"</t>
  </si>
  <si>
    <t>"ↈ"</t>
  </si>
  <si>
    <t>"↉"</t>
  </si>
  <si>
    <t>"↊"</t>
  </si>
  <si>
    <t>"↋"</t>
  </si>
  <si>
    <t>"↌"</t>
  </si>
  <si>
    <t>"↍"</t>
  </si>
  <si>
    <t>"↎"</t>
  </si>
  <si>
    <t>"↏"</t>
  </si>
  <si>
    <t>"←"</t>
  </si>
  <si>
    <t>"↑"</t>
  </si>
  <si>
    <t>"→"</t>
  </si>
  <si>
    <t>"↓"</t>
  </si>
  <si>
    <t>"↔"</t>
  </si>
  <si>
    <t>"↕"</t>
  </si>
  <si>
    <t>"↖"</t>
  </si>
  <si>
    <t>"↗"</t>
  </si>
  <si>
    <t>"↘"</t>
  </si>
  <si>
    <t>"↙"</t>
  </si>
  <si>
    <t>"↚"</t>
  </si>
  <si>
    <t>"↛"</t>
  </si>
  <si>
    <t>"↜"</t>
  </si>
  <si>
    <t>"↝"</t>
  </si>
  <si>
    <t>"↞"</t>
  </si>
  <si>
    <t>"↟"</t>
  </si>
  <si>
    <t>"↠"</t>
  </si>
  <si>
    <t>"↡"</t>
  </si>
  <si>
    <t>"↢"</t>
  </si>
  <si>
    <t>"↣"</t>
  </si>
  <si>
    <t>"↤"</t>
  </si>
  <si>
    <t>"↥"</t>
  </si>
  <si>
    <t>"↦"</t>
  </si>
  <si>
    <t>"↧"</t>
  </si>
  <si>
    <t>"↨"</t>
  </si>
  <si>
    <t>"↩"</t>
  </si>
  <si>
    <t>"↪"</t>
  </si>
  <si>
    <t>"↫"</t>
  </si>
  <si>
    <t>"↬"</t>
  </si>
  <si>
    <t>"↭"</t>
  </si>
  <si>
    <t>"↮"</t>
  </si>
  <si>
    <t>"↯"</t>
  </si>
  <si>
    <t>"↰"</t>
  </si>
  <si>
    <t>"↱"</t>
  </si>
  <si>
    <t>"↲"</t>
  </si>
  <si>
    <t>"↳"</t>
  </si>
  <si>
    <t>"↴"</t>
  </si>
  <si>
    <t>"↵"</t>
  </si>
  <si>
    <t>"↶"</t>
  </si>
  <si>
    <t>"↷"</t>
  </si>
  <si>
    <t>"↸"</t>
  </si>
  <si>
    <t>"↹"</t>
  </si>
  <si>
    <t>"↺"</t>
  </si>
  <si>
    <t>"↻"</t>
  </si>
  <si>
    <t>"↼"</t>
  </si>
  <si>
    <t>"↽"</t>
  </si>
  <si>
    <t>"↾"</t>
  </si>
  <si>
    <t>"↿"</t>
  </si>
  <si>
    <t>"⇀"</t>
  </si>
  <si>
    <t>"⇁"</t>
  </si>
  <si>
    <t>"⇂"</t>
  </si>
  <si>
    <t>"⇃"</t>
  </si>
  <si>
    <t>"⇄"</t>
  </si>
  <si>
    <t>"⇅"</t>
  </si>
  <si>
    <t>"⇆"</t>
  </si>
  <si>
    <t>"⇇"</t>
  </si>
  <si>
    <t>"⇈"</t>
  </si>
  <si>
    <t>"⇉"</t>
  </si>
  <si>
    <t>"⇊"</t>
  </si>
  <si>
    <t>"⇋"</t>
  </si>
  <si>
    <t>"⇌"</t>
  </si>
  <si>
    <t>"⇍"</t>
  </si>
  <si>
    <t>"⇎"</t>
  </si>
  <si>
    <t>"⇏"</t>
  </si>
  <si>
    <t>"⇐"</t>
  </si>
  <si>
    <t>"⇑"</t>
  </si>
  <si>
    <t>"⇒"</t>
  </si>
  <si>
    <t>"⇓"</t>
  </si>
  <si>
    <t>"⇔"</t>
  </si>
  <si>
    <t>"⇕"</t>
  </si>
  <si>
    <t>"⇖"</t>
  </si>
  <si>
    <t>"⇗"</t>
  </si>
  <si>
    <t>"⇘"</t>
  </si>
  <si>
    <t>"⇙"</t>
  </si>
  <si>
    <t>"⇚"</t>
  </si>
  <si>
    <t>"⇛"</t>
  </si>
  <si>
    <t>"⇜"</t>
  </si>
  <si>
    <t>"⇝"</t>
  </si>
  <si>
    <t>"⇞"</t>
  </si>
  <si>
    <t>"⇟"</t>
  </si>
  <si>
    <t>"⇠"</t>
  </si>
  <si>
    <t>"⇡"</t>
  </si>
  <si>
    <t>"⇢"</t>
  </si>
  <si>
    <t>"⇣"</t>
  </si>
  <si>
    <t>"⇤"</t>
  </si>
  <si>
    <t>"⇥"</t>
  </si>
  <si>
    <t>"⇦"</t>
  </si>
  <si>
    <t>"⇧"</t>
  </si>
  <si>
    <t>"⇨"</t>
  </si>
  <si>
    <t>"⇩"</t>
  </si>
  <si>
    <t>"⇪"</t>
  </si>
  <si>
    <t>"⇫"</t>
  </si>
  <si>
    <t>"⇬"</t>
  </si>
  <si>
    <t>"⇭"</t>
  </si>
  <si>
    <t>"⇮"</t>
  </si>
  <si>
    <t>"⇯"</t>
  </si>
  <si>
    <t>"⇰"</t>
  </si>
  <si>
    <t>"⇱"</t>
  </si>
  <si>
    <t>"⇲"</t>
  </si>
  <si>
    <t>"⇳"</t>
  </si>
  <si>
    <t>"⇴"</t>
  </si>
  <si>
    <t>"⇵"</t>
  </si>
  <si>
    <t>"⇶"</t>
  </si>
  <si>
    <t>"⇷"</t>
  </si>
  <si>
    <t>"⇸"</t>
  </si>
  <si>
    <t>"⇹"</t>
  </si>
  <si>
    <t>"⇺"</t>
  </si>
  <si>
    <t>"⇻"</t>
  </si>
  <si>
    <t>"⇼"</t>
  </si>
  <si>
    <t>"⇽"</t>
  </si>
  <si>
    <t>"⇾"</t>
  </si>
  <si>
    <t>"⇿"</t>
  </si>
  <si>
    <t>"∀"</t>
  </si>
  <si>
    <t>"∁"</t>
  </si>
  <si>
    <t>"∂"</t>
  </si>
  <si>
    <t>"∃"</t>
  </si>
  <si>
    <t>"∄"</t>
  </si>
  <si>
    <t>"∅"</t>
  </si>
  <si>
    <t>"∆"</t>
  </si>
  <si>
    <t>"∇"</t>
  </si>
  <si>
    <t>"∈"</t>
  </si>
  <si>
    <t>"∉"</t>
  </si>
  <si>
    <t>"∊"</t>
  </si>
  <si>
    <t>"∋"</t>
  </si>
  <si>
    <t>"∌"</t>
  </si>
  <si>
    <t>"∍"</t>
  </si>
  <si>
    <t>"∎"</t>
  </si>
  <si>
    <t>"∏"</t>
  </si>
  <si>
    <t>"∐"</t>
  </si>
  <si>
    <t>"∑"</t>
  </si>
  <si>
    <t>"−"</t>
  </si>
  <si>
    <t>"∓"</t>
  </si>
  <si>
    <t>"∔"</t>
  </si>
  <si>
    <t>"∕"</t>
  </si>
  <si>
    <t>"∖"</t>
  </si>
  <si>
    <t>"∗"</t>
  </si>
  <si>
    <t>"∘"</t>
  </si>
  <si>
    <t>"∙"</t>
  </si>
  <si>
    <t>"√"</t>
  </si>
  <si>
    <t>"∛"</t>
  </si>
  <si>
    <t>"∜"</t>
  </si>
  <si>
    <t>"∝"</t>
  </si>
  <si>
    <t>"∞"</t>
  </si>
  <si>
    <t>"∟"</t>
  </si>
  <si>
    <t>"∠"</t>
  </si>
  <si>
    <t>"∡"</t>
  </si>
  <si>
    <t>"∢"</t>
  </si>
  <si>
    <t>"∣"</t>
  </si>
  <si>
    <t>"∤"</t>
  </si>
  <si>
    <t>"∥"</t>
  </si>
  <si>
    <t>"∦"</t>
  </si>
  <si>
    <t>"∧"</t>
  </si>
  <si>
    <t>"∨"</t>
  </si>
  <si>
    <t>"∩"</t>
  </si>
  <si>
    <t>"∪"</t>
  </si>
  <si>
    <t>"∫"</t>
  </si>
  <si>
    <t>"∬"</t>
  </si>
  <si>
    <t>"∭"</t>
  </si>
  <si>
    <t>"∮"</t>
  </si>
  <si>
    <t>"∯"</t>
  </si>
  <si>
    <t>"∰"</t>
  </si>
  <si>
    <t>"∱"</t>
  </si>
  <si>
    <t>"∲"</t>
  </si>
  <si>
    <t>"∳"</t>
  </si>
  <si>
    <t>"∴"</t>
  </si>
  <si>
    <t>"∵"</t>
  </si>
  <si>
    <t>"∶"</t>
  </si>
  <si>
    <t>"∷"</t>
  </si>
  <si>
    <t>"∸"</t>
  </si>
  <si>
    <t>"∹"</t>
  </si>
  <si>
    <t>"∺"</t>
  </si>
  <si>
    <t>"∻"</t>
  </si>
  <si>
    <t>"∼"</t>
  </si>
  <si>
    <t>"∽"</t>
  </si>
  <si>
    <t>"∾"</t>
  </si>
  <si>
    <t>"∿"</t>
  </si>
  <si>
    <t>"≀"</t>
  </si>
  <si>
    <t>"≁"</t>
  </si>
  <si>
    <t>"≂"</t>
  </si>
  <si>
    <t>"≃"</t>
  </si>
  <si>
    <t>"≄"</t>
  </si>
  <si>
    <t>"≅"</t>
  </si>
  <si>
    <t>"≆"</t>
  </si>
  <si>
    <t>"≇"</t>
  </si>
  <si>
    <t>"≈"</t>
  </si>
  <si>
    <t>"≉"</t>
  </si>
  <si>
    <t>"≊"</t>
  </si>
  <si>
    <t>"≋"</t>
  </si>
  <si>
    <t>"≌"</t>
  </si>
  <si>
    <t>"≍"</t>
  </si>
  <si>
    <t>"≎"</t>
  </si>
  <si>
    <t>"≏"</t>
  </si>
  <si>
    <t>"≐"</t>
  </si>
  <si>
    <t>"≑"</t>
  </si>
  <si>
    <t>"≒"</t>
  </si>
  <si>
    <t>"≓"</t>
  </si>
  <si>
    <t>"≔"</t>
  </si>
  <si>
    <t>"≕"</t>
  </si>
  <si>
    <t>"≖"</t>
  </si>
  <si>
    <t>"≗"</t>
  </si>
  <si>
    <t>"≘"</t>
  </si>
  <si>
    <t>"≙"</t>
  </si>
  <si>
    <t>"≚"</t>
  </si>
  <si>
    <t>"≛"</t>
  </si>
  <si>
    <t>"≜"</t>
  </si>
  <si>
    <t>"≝"</t>
  </si>
  <si>
    <t>"≞"</t>
  </si>
  <si>
    <t>"≟"</t>
  </si>
  <si>
    <t>"≠"</t>
  </si>
  <si>
    <t>"≡"</t>
  </si>
  <si>
    <t>"≢"</t>
  </si>
  <si>
    <t>"≣"</t>
  </si>
  <si>
    <t>"≤"</t>
  </si>
  <si>
    <t>"≥"</t>
  </si>
  <si>
    <t>"≦"</t>
  </si>
  <si>
    <t>"≧"</t>
  </si>
  <si>
    <t>"≨"</t>
  </si>
  <si>
    <t>"≩"</t>
  </si>
  <si>
    <t>"≪"</t>
  </si>
  <si>
    <t>"≫"</t>
  </si>
  <si>
    <t>"≬"</t>
  </si>
  <si>
    <t>"≭"</t>
  </si>
  <si>
    <t>"≮"</t>
  </si>
  <si>
    <t>"≯"</t>
  </si>
  <si>
    <t>"≰"</t>
  </si>
  <si>
    <t>"≱"</t>
  </si>
  <si>
    <t>"≲"</t>
  </si>
  <si>
    <t>"≳"</t>
  </si>
  <si>
    <t>"≴"</t>
  </si>
  <si>
    <t>"≵"</t>
  </si>
  <si>
    <t>"≶"</t>
  </si>
  <si>
    <t>"≷"</t>
  </si>
  <si>
    <t>"≸"</t>
  </si>
  <si>
    <t>"≹"</t>
  </si>
  <si>
    <t>"≺"</t>
  </si>
  <si>
    <t>"≻"</t>
  </si>
  <si>
    <t>"≼"</t>
  </si>
  <si>
    <t>"≽"</t>
  </si>
  <si>
    <t>"≾"</t>
  </si>
  <si>
    <t>"≿"</t>
  </si>
  <si>
    <t>"⊀"</t>
  </si>
  <si>
    <t>"⊁"</t>
  </si>
  <si>
    <t>"⊂"</t>
  </si>
  <si>
    <t>"⊃"</t>
  </si>
  <si>
    <t>"⊄"</t>
  </si>
  <si>
    <t>"⊅"</t>
  </si>
  <si>
    <t>"⊆"</t>
  </si>
  <si>
    <t>"⊇"</t>
  </si>
  <si>
    <t>"⊈"</t>
  </si>
  <si>
    <t>"⊉"</t>
  </si>
  <si>
    <t>"⊊"</t>
  </si>
  <si>
    <t>"⊋"</t>
  </si>
  <si>
    <t>"⊌"</t>
  </si>
  <si>
    <t>"⊍"</t>
  </si>
  <si>
    <t>"⊎"</t>
  </si>
  <si>
    <t>"⊏"</t>
  </si>
  <si>
    <t>"⊐"</t>
  </si>
  <si>
    <t>"⊑"</t>
  </si>
  <si>
    <t>"⊒"</t>
  </si>
  <si>
    <t>"⊓"</t>
  </si>
  <si>
    <t>"⊔"</t>
  </si>
  <si>
    <t>"⊕"</t>
  </si>
  <si>
    <t>"⊖"</t>
  </si>
  <si>
    <t>"⊗"</t>
  </si>
  <si>
    <t>"⊘"</t>
  </si>
  <si>
    <t>"⊙"</t>
  </si>
  <si>
    <t>"⊚"</t>
  </si>
  <si>
    <t>"⊛"</t>
  </si>
  <si>
    <t>"⊜"</t>
  </si>
  <si>
    <t>"⊝"</t>
  </si>
  <si>
    <t>"⊞"</t>
  </si>
  <si>
    <t>"⊟"</t>
  </si>
  <si>
    <t>"⊠"</t>
  </si>
  <si>
    <t>"⊡"</t>
  </si>
  <si>
    <t>"⊢"</t>
  </si>
  <si>
    <t>"⊣"</t>
  </si>
  <si>
    <t>"⊤"</t>
  </si>
  <si>
    <t>"⊥"</t>
  </si>
  <si>
    <t>"⊦"</t>
  </si>
  <si>
    <t>"⊧"</t>
  </si>
  <si>
    <t>"⊨"</t>
  </si>
  <si>
    <t>"⊩"</t>
  </si>
  <si>
    <t>"⊪"</t>
  </si>
  <si>
    <t>"⊫"</t>
  </si>
  <si>
    <t>"⊬"</t>
  </si>
  <si>
    <t>"⊭"</t>
  </si>
  <si>
    <t>"⊮"</t>
  </si>
  <si>
    <t>"⊯"</t>
  </si>
  <si>
    <t>"⊰"</t>
  </si>
  <si>
    <t>"⊱"</t>
  </si>
  <si>
    <t>"⊲"</t>
  </si>
  <si>
    <t>"⊳"</t>
  </si>
  <si>
    <t>"⊴"</t>
  </si>
  <si>
    <t>"⊵"</t>
  </si>
  <si>
    <t>"⊶"</t>
  </si>
  <si>
    <t>"⊷"</t>
  </si>
  <si>
    <t>"⊸"</t>
  </si>
  <si>
    <t>"⊹"</t>
  </si>
  <si>
    <t>"⊺"</t>
  </si>
  <si>
    <t>"⊻"</t>
  </si>
  <si>
    <t>"⊼"</t>
  </si>
  <si>
    <t>"⊽"</t>
  </si>
  <si>
    <t>"⊾"</t>
  </si>
  <si>
    <t>"⊿"</t>
  </si>
  <si>
    <t>"⋀"</t>
  </si>
  <si>
    <t>"⋁"</t>
  </si>
  <si>
    <t>"⋂"</t>
  </si>
  <si>
    <t>"⋃"</t>
  </si>
  <si>
    <t>"⋄"</t>
  </si>
  <si>
    <t>"⋅"</t>
  </si>
  <si>
    <t>"⋆"</t>
  </si>
  <si>
    <t>"⋇"</t>
  </si>
  <si>
    <t>"⋈"</t>
  </si>
  <si>
    <t>"⋉"</t>
  </si>
  <si>
    <t>"⋊"</t>
  </si>
  <si>
    <t>"⋋"</t>
  </si>
  <si>
    <t>"⋌"</t>
  </si>
  <si>
    <t>"⋍"</t>
  </si>
  <si>
    <t>"⋎"</t>
  </si>
  <si>
    <t>"⋏"</t>
  </si>
  <si>
    <t>"⋐"</t>
  </si>
  <si>
    <t>"⋑"</t>
  </si>
  <si>
    <t>"⋒"</t>
  </si>
  <si>
    <t>"⋓"</t>
  </si>
  <si>
    <t>"⋔"</t>
  </si>
  <si>
    <t>"⋕"</t>
  </si>
  <si>
    <t>"⋖"</t>
  </si>
  <si>
    <t>"⋗"</t>
  </si>
  <si>
    <t>"⋘"</t>
  </si>
  <si>
    <t>"⋙"</t>
  </si>
  <si>
    <t>"⋚"</t>
  </si>
  <si>
    <t>"⋛"</t>
  </si>
  <si>
    <t>"⋜"</t>
  </si>
  <si>
    <t>"⋝"</t>
  </si>
  <si>
    <t>"⋞"</t>
  </si>
  <si>
    <t>"⋟"</t>
  </si>
  <si>
    <t>"⋠"</t>
  </si>
  <si>
    <t>"⋡"</t>
  </si>
  <si>
    <t>"⋢"</t>
  </si>
  <si>
    <t>"⋣"</t>
  </si>
  <si>
    <t>"⋤"</t>
  </si>
  <si>
    <t>"⋥"</t>
  </si>
  <si>
    <t>"⋦"</t>
  </si>
  <si>
    <t>"⋧"</t>
  </si>
  <si>
    <t>"⋨"</t>
  </si>
  <si>
    <t>"⋩"</t>
  </si>
  <si>
    <t>"⋪"</t>
  </si>
  <si>
    <t>"⋫"</t>
  </si>
  <si>
    <t>"⋬"</t>
  </si>
  <si>
    <t>"⋭"</t>
  </si>
  <si>
    <t>"⋮"</t>
  </si>
  <si>
    <t>"⋯"</t>
  </si>
  <si>
    <t>"⋰"</t>
  </si>
  <si>
    <t>"⋱"</t>
  </si>
  <si>
    <t>"⋲"</t>
  </si>
  <si>
    <t>"⋳"</t>
  </si>
  <si>
    <t>"⋴"</t>
  </si>
  <si>
    <t>"⋵"</t>
  </si>
  <si>
    <t>"⋶"</t>
  </si>
  <si>
    <t>"⋷"</t>
  </si>
  <si>
    <t>"⋸"</t>
  </si>
  <si>
    <t>"⋹"</t>
  </si>
  <si>
    <t>"⋺"</t>
  </si>
  <si>
    <t>"⋻"</t>
  </si>
  <si>
    <t>"⋼"</t>
  </si>
  <si>
    <t>"⋽"</t>
  </si>
  <si>
    <t>"⋾"</t>
  </si>
  <si>
    <t>"⋿"</t>
  </si>
  <si>
    <t>"⌀"</t>
  </si>
  <si>
    <t>"⌁"</t>
  </si>
  <si>
    <t>"⌂"</t>
  </si>
  <si>
    <t>"⌃"</t>
  </si>
  <si>
    <t>"⌄"</t>
  </si>
  <si>
    <t>"⌅"</t>
  </si>
  <si>
    <t>"⌆"</t>
  </si>
  <si>
    <t>"⌇"</t>
  </si>
  <si>
    <t>"⌈"</t>
  </si>
  <si>
    <t>"⌉"</t>
  </si>
  <si>
    <t>"⌊"</t>
  </si>
  <si>
    <t>"⌋"</t>
  </si>
  <si>
    <t>"⌌"</t>
  </si>
  <si>
    <t>"⌍"</t>
  </si>
  <si>
    <t>"⌎"</t>
  </si>
  <si>
    <t>"⌏"</t>
  </si>
  <si>
    <t>"⌐"</t>
  </si>
  <si>
    <t>"⌑"</t>
  </si>
  <si>
    <t>"⌒"</t>
  </si>
  <si>
    <t>"⌓"</t>
  </si>
  <si>
    <t>"⌔"</t>
  </si>
  <si>
    <t>"⌕"</t>
  </si>
  <si>
    <t>"⌖"</t>
  </si>
  <si>
    <t>"⌗"</t>
  </si>
  <si>
    <t>"⌘"</t>
  </si>
  <si>
    <t>"⌙"</t>
  </si>
  <si>
    <t>"⌚"</t>
  </si>
  <si>
    <t>"⌛"</t>
  </si>
  <si>
    <t>"⌜"</t>
  </si>
  <si>
    <t>"⌝"</t>
  </si>
  <si>
    <t>"⌞"</t>
  </si>
  <si>
    <t>"⌟"</t>
  </si>
  <si>
    <t>"⌠"</t>
  </si>
  <si>
    <t>"⌡"</t>
  </si>
  <si>
    <t>"⌢"</t>
  </si>
  <si>
    <t>"⌣"</t>
  </si>
  <si>
    <t>"⌤"</t>
  </si>
  <si>
    <t>"⌥"</t>
  </si>
  <si>
    <t>"⌦"</t>
  </si>
  <si>
    <t>"⌧"</t>
  </si>
  <si>
    <t>"⌨"</t>
  </si>
  <si>
    <t>"〈"</t>
  </si>
  <si>
    <t>"〉"</t>
  </si>
  <si>
    <t>"⌫"</t>
  </si>
  <si>
    <t>"⌬"</t>
  </si>
  <si>
    <t>"⌭"</t>
  </si>
  <si>
    <t>"⌮"</t>
  </si>
  <si>
    <t>"⌯"</t>
  </si>
  <si>
    <t>"⌰"</t>
  </si>
  <si>
    <t>"⌱"</t>
  </si>
  <si>
    <t>"⌲"</t>
  </si>
  <si>
    <t>"⌳"</t>
  </si>
  <si>
    <t>"⌴"</t>
  </si>
  <si>
    <t>"⌵"</t>
  </si>
  <si>
    <t>"⌶"</t>
  </si>
  <si>
    <t>"⌷"</t>
  </si>
  <si>
    <t>"⌸"</t>
  </si>
  <si>
    <t>"⌹"</t>
  </si>
  <si>
    <t>"⌺"</t>
  </si>
  <si>
    <t>"⌻"</t>
  </si>
  <si>
    <t>"⌼"</t>
  </si>
  <si>
    <t>"⌽"</t>
  </si>
  <si>
    <t>"⌾"</t>
  </si>
  <si>
    <t>"⌿"</t>
  </si>
  <si>
    <t>"⍀"</t>
  </si>
  <si>
    <t>"⍁"</t>
  </si>
  <si>
    <t>"⍂"</t>
  </si>
  <si>
    <t>"⍃"</t>
  </si>
  <si>
    <t>"⍄"</t>
  </si>
  <si>
    <t>"⍅"</t>
  </si>
  <si>
    <t>"⍆"</t>
  </si>
  <si>
    <t>"⍇"</t>
  </si>
  <si>
    <t>"⍈"</t>
  </si>
  <si>
    <t>"⍉"</t>
  </si>
  <si>
    <t>"⍊"</t>
  </si>
  <si>
    <t>"⍋"</t>
  </si>
  <si>
    <t>"⍌"</t>
  </si>
  <si>
    <t>"⍍"</t>
  </si>
  <si>
    <t>"⍎"</t>
  </si>
  <si>
    <t>"⍏"</t>
  </si>
  <si>
    <t>"⍐"</t>
  </si>
  <si>
    <t>"⍑"</t>
  </si>
  <si>
    <t>"⍒"</t>
  </si>
  <si>
    <t>"⍓"</t>
  </si>
  <si>
    <t>"⍔"</t>
  </si>
  <si>
    <t>"⍕"</t>
  </si>
  <si>
    <t>"⍖"</t>
  </si>
  <si>
    <t>"⍗"</t>
  </si>
  <si>
    <t>"⍘"</t>
  </si>
  <si>
    <t>"⍙"</t>
  </si>
  <si>
    <t>"⍚"</t>
  </si>
  <si>
    <t>"⍛"</t>
  </si>
  <si>
    <t>"⍜"</t>
  </si>
  <si>
    <t>"⍝"</t>
  </si>
  <si>
    <t>"⍞"</t>
  </si>
  <si>
    <t>"⍟"</t>
  </si>
  <si>
    <t>"⍠"</t>
  </si>
  <si>
    <t>"⍡"</t>
  </si>
  <si>
    <t>"⍢"</t>
  </si>
  <si>
    <t>"⍣"</t>
  </si>
  <si>
    <t>"⍤"</t>
  </si>
  <si>
    <t>"⍥"</t>
  </si>
  <si>
    <t>"⍦"</t>
  </si>
  <si>
    <t>"⍧"</t>
  </si>
  <si>
    <t>"⍨"</t>
  </si>
  <si>
    <t>"⍩"</t>
  </si>
  <si>
    <t>"⍪"</t>
  </si>
  <si>
    <t>"⍫"</t>
  </si>
  <si>
    <t>"⍬"</t>
  </si>
  <si>
    <t>"⍭"</t>
  </si>
  <si>
    <t>"⍮"</t>
  </si>
  <si>
    <t>"⍯"</t>
  </si>
  <si>
    <t>"⍰"</t>
  </si>
  <si>
    <t>"⍱"</t>
  </si>
  <si>
    <t>"⍲"</t>
  </si>
  <si>
    <t>"⍳"</t>
  </si>
  <si>
    <t>"⍴"</t>
  </si>
  <si>
    <t>"⍵"</t>
  </si>
  <si>
    <t>"⍶"</t>
  </si>
  <si>
    <t>"⍷"</t>
  </si>
  <si>
    <t>"⍸"</t>
  </si>
  <si>
    <t>"⍹"</t>
  </si>
  <si>
    <t>"⍺"</t>
  </si>
  <si>
    <t>"⍻"</t>
  </si>
  <si>
    <t>"⍼"</t>
  </si>
  <si>
    <t>"⍽"</t>
  </si>
  <si>
    <t>"⍾"</t>
  </si>
  <si>
    <t>"⍿"</t>
  </si>
  <si>
    <t>"⎀"</t>
  </si>
  <si>
    <t>"⎁"</t>
  </si>
  <si>
    <t>"⎂"</t>
  </si>
  <si>
    <t>"⎃"</t>
  </si>
  <si>
    <t>"⎄"</t>
  </si>
  <si>
    <t>"⎅"</t>
  </si>
  <si>
    <t>"⎆"</t>
  </si>
  <si>
    <t>"⎇"</t>
  </si>
  <si>
    <t>"⎈"</t>
  </si>
  <si>
    <t>"⎉"</t>
  </si>
  <si>
    <t>"⎊"</t>
  </si>
  <si>
    <t>"⎋"</t>
  </si>
  <si>
    <t>"⎌"</t>
  </si>
  <si>
    <t>"⎍"</t>
  </si>
  <si>
    <t>"⎎"</t>
  </si>
  <si>
    <t>"⎏"</t>
  </si>
  <si>
    <t>"⎐"</t>
  </si>
  <si>
    <t>"⎑"</t>
  </si>
  <si>
    <t>"⎒"</t>
  </si>
  <si>
    <t>"⎓"</t>
  </si>
  <si>
    <t>"⎔"</t>
  </si>
  <si>
    <t>"⎕"</t>
  </si>
  <si>
    <t>"⎖"</t>
  </si>
  <si>
    <t>"⎗"</t>
  </si>
  <si>
    <t>"⎘"</t>
  </si>
  <si>
    <t>"⎙"</t>
  </si>
  <si>
    <t>"⎚"</t>
  </si>
  <si>
    <t>"⎛"</t>
  </si>
  <si>
    <t>"⎜"</t>
  </si>
  <si>
    <t>"⎝"</t>
  </si>
  <si>
    <t>"⎞"</t>
  </si>
  <si>
    <t>"⎟"</t>
  </si>
  <si>
    <t>"⎠"</t>
  </si>
  <si>
    <t>"⎡"</t>
  </si>
  <si>
    <t>"⎢"</t>
  </si>
  <si>
    <t>"⎣"</t>
  </si>
  <si>
    <t>"⎤"</t>
  </si>
  <si>
    <t>"⎥"</t>
  </si>
  <si>
    <t>"⎦"</t>
  </si>
  <si>
    <t>"⎧"</t>
  </si>
  <si>
    <t>"⎨"</t>
  </si>
  <si>
    <t>"⎩"</t>
  </si>
  <si>
    <t>"⎪"</t>
  </si>
  <si>
    <t>"⎫"</t>
  </si>
  <si>
    <t>"⎬"</t>
  </si>
  <si>
    <t>"⎭"</t>
  </si>
  <si>
    <t>"⎮"</t>
  </si>
  <si>
    <t>"⎯"</t>
  </si>
  <si>
    <t>"⎰"</t>
  </si>
  <si>
    <t>"⎱"</t>
  </si>
  <si>
    <t>"⎲"</t>
  </si>
  <si>
    <t>"⎳"</t>
  </si>
  <si>
    <t>"⎴"</t>
  </si>
  <si>
    <t>"⎵"</t>
  </si>
  <si>
    <t>"⎶"</t>
  </si>
  <si>
    <t>"⎷"</t>
  </si>
  <si>
    <t>"⎸"</t>
  </si>
  <si>
    <t>"⎹"</t>
  </si>
  <si>
    <t>"⎺"</t>
  </si>
  <si>
    <t>"⎻"</t>
  </si>
  <si>
    <t>"⎼"</t>
  </si>
  <si>
    <t>"⎽"</t>
  </si>
  <si>
    <t>"⎾"</t>
  </si>
  <si>
    <t>"⎿"</t>
  </si>
  <si>
    <t>"⏀"</t>
  </si>
  <si>
    <t>"⏁"</t>
  </si>
  <si>
    <t>"⏂"</t>
  </si>
  <si>
    <t>"⏃"</t>
  </si>
  <si>
    <t>"⏄"</t>
  </si>
  <si>
    <t>"⏅"</t>
  </si>
  <si>
    <t>"⏆"</t>
  </si>
  <si>
    <t>"⏇"</t>
  </si>
  <si>
    <t>"⏈"</t>
  </si>
  <si>
    <t>"⏉"</t>
  </si>
  <si>
    <t>"⏊"</t>
  </si>
  <si>
    <t>"⏋"</t>
  </si>
  <si>
    <t>"⏌"</t>
  </si>
  <si>
    <t>"⏍"</t>
  </si>
  <si>
    <t>"⏎"</t>
  </si>
  <si>
    <t>"⏏"</t>
  </si>
  <si>
    <t>"⏐"</t>
  </si>
  <si>
    <t>"⏑"</t>
  </si>
  <si>
    <t>"⏒"</t>
  </si>
  <si>
    <t>"⏓"</t>
  </si>
  <si>
    <t>"⏔"</t>
  </si>
  <si>
    <t>"⏕"</t>
  </si>
  <si>
    <t>"⏖"</t>
  </si>
  <si>
    <t>"⏗"</t>
  </si>
  <si>
    <t>"⏘"</t>
  </si>
  <si>
    <t>"⏙"</t>
  </si>
  <si>
    <t>"⏚"</t>
  </si>
  <si>
    <t>"⏛"</t>
  </si>
  <si>
    <t>"⏜"</t>
  </si>
  <si>
    <t>"⏝"</t>
  </si>
  <si>
    <t>"⏞"</t>
  </si>
  <si>
    <t>"⏟"</t>
  </si>
  <si>
    <t>"⏠"</t>
  </si>
  <si>
    <t>"⏡"</t>
  </si>
  <si>
    <t>"⏢"</t>
  </si>
  <si>
    <t>"⏣"</t>
  </si>
  <si>
    <t>"⏤"</t>
  </si>
  <si>
    <t>"⏥"</t>
  </si>
  <si>
    <t>"⏦"</t>
  </si>
  <si>
    <t>"⏧"</t>
  </si>
  <si>
    <t>"⏨"</t>
  </si>
  <si>
    <t>"⏩"</t>
  </si>
  <si>
    <t>"⏪"</t>
  </si>
  <si>
    <t>"⏫"</t>
  </si>
  <si>
    <t>"⏬"</t>
  </si>
  <si>
    <t>"⏭"</t>
  </si>
  <si>
    <t>"⏮"</t>
  </si>
  <si>
    <t>"⏯"</t>
  </si>
  <si>
    <t>"⏰"</t>
  </si>
  <si>
    <t>"⏱"</t>
  </si>
  <si>
    <t>"⏲"</t>
  </si>
  <si>
    <t>"⏳"</t>
  </si>
  <si>
    <t>"⏴"</t>
  </si>
  <si>
    <t>"⏵"</t>
  </si>
  <si>
    <t>"⏶"</t>
  </si>
  <si>
    <t>"⏷"</t>
  </si>
  <si>
    <t>"⏸"</t>
  </si>
  <si>
    <t>"⏹"</t>
  </si>
  <si>
    <t>"⏺"</t>
  </si>
  <si>
    <t>"⏻"</t>
  </si>
  <si>
    <t>"⏼"</t>
  </si>
  <si>
    <t>"⏽"</t>
  </si>
  <si>
    <t>"⏾"</t>
  </si>
  <si>
    <t>"⏿"</t>
  </si>
  <si>
    <t>"␀"</t>
  </si>
  <si>
    <t>"␁"</t>
  </si>
  <si>
    <t>"␂"</t>
  </si>
  <si>
    <t>"␃"</t>
  </si>
  <si>
    <t>"␄"</t>
  </si>
  <si>
    <t>"␅"</t>
  </si>
  <si>
    <t>"␆"</t>
  </si>
  <si>
    <t>"␇"</t>
  </si>
  <si>
    <t>"␈"</t>
  </si>
  <si>
    <t>"␉"</t>
  </si>
  <si>
    <t>"␊"</t>
  </si>
  <si>
    <t>"␋"</t>
  </si>
  <si>
    <t>"␌"</t>
  </si>
  <si>
    <t>"␍"</t>
  </si>
  <si>
    <t>"␎"</t>
  </si>
  <si>
    <t>"␏"</t>
  </si>
  <si>
    <t>"␐"</t>
  </si>
  <si>
    <t>"␑"</t>
  </si>
  <si>
    <t>"␒"</t>
  </si>
  <si>
    <t>"␓"</t>
  </si>
  <si>
    <t>"␔"</t>
  </si>
  <si>
    <t>"␕"</t>
  </si>
  <si>
    <t>"␖"</t>
  </si>
  <si>
    <t>"␗"</t>
  </si>
  <si>
    <t>"␘"</t>
  </si>
  <si>
    <t>"␙"</t>
  </si>
  <si>
    <t>"␚"</t>
  </si>
  <si>
    <t>"␛"</t>
  </si>
  <si>
    <t>"␜"</t>
  </si>
  <si>
    <t>"␝"</t>
  </si>
  <si>
    <t>"␞"</t>
  </si>
  <si>
    <t>"␟"</t>
  </si>
  <si>
    <t>"␠"</t>
  </si>
  <si>
    <t>"␡"</t>
  </si>
  <si>
    <t>"␢"</t>
  </si>
  <si>
    <t>"␣"</t>
  </si>
  <si>
    <t>"␤"</t>
  </si>
  <si>
    <t>"␥"</t>
  </si>
  <si>
    <t>"␦"</t>
  </si>
  <si>
    <t>"␧"</t>
  </si>
  <si>
    <t>"␨"</t>
  </si>
  <si>
    <t>"␩"</t>
  </si>
  <si>
    <t>"␪"</t>
  </si>
  <si>
    <t>"␫"</t>
  </si>
  <si>
    <t>"␬"</t>
  </si>
  <si>
    <t>"␭"</t>
  </si>
  <si>
    <t>"␮"</t>
  </si>
  <si>
    <t>"␯"</t>
  </si>
  <si>
    <t>"␰"</t>
  </si>
  <si>
    <t>"␱"</t>
  </si>
  <si>
    <t>"␲"</t>
  </si>
  <si>
    <t>"␳"</t>
  </si>
  <si>
    <t>"␴"</t>
  </si>
  <si>
    <t>"␵"</t>
  </si>
  <si>
    <t>"␶"</t>
  </si>
  <si>
    <t>"␷"</t>
  </si>
  <si>
    <t>"␸"</t>
  </si>
  <si>
    <t>"␹"</t>
  </si>
  <si>
    <t>"␺"</t>
  </si>
  <si>
    <t>"␻"</t>
  </si>
  <si>
    <t>"␼"</t>
  </si>
  <si>
    <t>"␽"</t>
  </si>
  <si>
    <t>"␾"</t>
  </si>
  <si>
    <t>"␿"</t>
  </si>
  <si>
    <t>"⑀"</t>
  </si>
  <si>
    <t>"⑁"</t>
  </si>
  <si>
    <t>"⑂"</t>
  </si>
  <si>
    <t>"⑃"</t>
  </si>
  <si>
    <t>"⑄"</t>
  </si>
  <si>
    <t>"⑅"</t>
  </si>
  <si>
    <t>"⑆"</t>
  </si>
  <si>
    <t>"⑇"</t>
  </si>
  <si>
    <t>"⑈"</t>
  </si>
  <si>
    <t>"⑉"</t>
  </si>
  <si>
    <t>"⑊"</t>
  </si>
  <si>
    <t>"⑋"</t>
  </si>
  <si>
    <t>"⑌"</t>
  </si>
  <si>
    <t>"⑍"</t>
  </si>
  <si>
    <t>"⑎"</t>
  </si>
  <si>
    <t>"⑏"</t>
  </si>
  <si>
    <t>"⑐"</t>
  </si>
  <si>
    <t>"⑑"</t>
  </si>
  <si>
    <t>"⑒"</t>
  </si>
  <si>
    <t>"⑓"</t>
  </si>
  <si>
    <t>"⑔"</t>
  </si>
  <si>
    <t>"⑕"</t>
  </si>
  <si>
    <t>"⑖"</t>
  </si>
  <si>
    <t>"⑗"</t>
  </si>
  <si>
    <t>"⑘"</t>
  </si>
  <si>
    <t>"⑙"</t>
  </si>
  <si>
    <t>"⑚"</t>
  </si>
  <si>
    <t>"⑛"</t>
  </si>
  <si>
    <t>"⑜"</t>
  </si>
  <si>
    <t>"⑝"</t>
  </si>
  <si>
    <t>"⑞"</t>
  </si>
  <si>
    <t>"⑟"</t>
  </si>
  <si>
    <t>"①"</t>
  </si>
  <si>
    <t>"②"</t>
  </si>
  <si>
    <t>"③"</t>
  </si>
  <si>
    <t>"④"</t>
  </si>
  <si>
    <t>"⑤"</t>
  </si>
  <si>
    <t>"⑥"</t>
  </si>
  <si>
    <t>"⑦"</t>
  </si>
  <si>
    <t>"⑧"</t>
  </si>
  <si>
    <t>"⑨"</t>
  </si>
  <si>
    <t>"⑩"</t>
  </si>
  <si>
    <t>"⑪"</t>
  </si>
  <si>
    <t>"⑫"</t>
  </si>
  <si>
    <t>"⑬"</t>
  </si>
  <si>
    <t>"⑭"</t>
  </si>
  <si>
    <t>"⑮"</t>
  </si>
  <si>
    <t>"⑯"</t>
  </si>
  <si>
    <t>"⑰"</t>
  </si>
  <si>
    <t>"⑱"</t>
  </si>
  <si>
    <t>"⑲"</t>
  </si>
  <si>
    <t>"⑳"</t>
  </si>
  <si>
    <t>"⑴"</t>
  </si>
  <si>
    <t>"⑵"</t>
  </si>
  <si>
    <t>"⑶"</t>
  </si>
  <si>
    <t>"⑷"</t>
  </si>
  <si>
    <t>"⑸"</t>
  </si>
  <si>
    <t>"⑹"</t>
  </si>
  <si>
    <t>"⑺"</t>
  </si>
  <si>
    <t>"⑻"</t>
  </si>
  <si>
    <t>"⑼"</t>
  </si>
  <si>
    <t>"⑽"</t>
  </si>
  <si>
    <t>"⑾"</t>
  </si>
  <si>
    <t>"⑿"</t>
  </si>
  <si>
    <t>"⒀"</t>
  </si>
  <si>
    <t>"⒁"</t>
  </si>
  <si>
    <t>"⒂"</t>
  </si>
  <si>
    <t>"⒃"</t>
  </si>
  <si>
    <t>"⒄"</t>
  </si>
  <si>
    <t>"⒅"</t>
  </si>
  <si>
    <t>"⒆"</t>
  </si>
  <si>
    <t>"⒇"</t>
  </si>
  <si>
    <t>"⒈"</t>
  </si>
  <si>
    <t>"⒉"</t>
  </si>
  <si>
    <t>"⒊"</t>
  </si>
  <si>
    <t>"⒋"</t>
  </si>
  <si>
    <t>"⒌"</t>
  </si>
  <si>
    <t>"⒍"</t>
  </si>
  <si>
    <t>"⒎"</t>
  </si>
  <si>
    <t>"⒏"</t>
  </si>
  <si>
    <t>"⒐"</t>
  </si>
  <si>
    <t>"⒑"</t>
  </si>
  <si>
    <t>"⒒"</t>
  </si>
  <si>
    <t>"⒓"</t>
  </si>
  <si>
    <t>"⒔"</t>
  </si>
  <si>
    <t>"⒕"</t>
  </si>
  <si>
    <t>"⒖"</t>
  </si>
  <si>
    <t>"⒗"</t>
  </si>
  <si>
    <t>"⒘"</t>
  </si>
  <si>
    <t>"⒙"</t>
  </si>
  <si>
    <t>"⒚"</t>
  </si>
  <si>
    <t>"⒛"</t>
  </si>
  <si>
    <t>"⒜"</t>
  </si>
  <si>
    <t>"⒝"</t>
  </si>
  <si>
    <t>"⒞"</t>
  </si>
  <si>
    <t>"⒟"</t>
  </si>
  <si>
    <t>"⒠"</t>
  </si>
  <si>
    <t>"⒡"</t>
  </si>
  <si>
    <t>"⒢"</t>
  </si>
  <si>
    <t>"⒣"</t>
  </si>
  <si>
    <t>"⒤"</t>
  </si>
  <si>
    <t>"⒥"</t>
  </si>
  <si>
    <t>"⒦"</t>
  </si>
  <si>
    <t>"⒧"</t>
  </si>
  <si>
    <t>"⒨"</t>
  </si>
  <si>
    <t>"⒩"</t>
  </si>
  <si>
    <t>"⒪"</t>
  </si>
  <si>
    <t>"⒫"</t>
  </si>
  <si>
    <t>"⒬"</t>
  </si>
  <si>
    <t>"⒭"</t>
  </si>
  <si>
    <t>"⒮"</t>
  </si>
  <si>
    <t>"⒯"</t>
  </si>
  <si>
    <t>"⒰"</t>
  </si>
  <si>
    <t>"⒱"</t>
  </si>
  <si>
    <t>"⒲"</t>
  </si>
  <si>
    <t>"⒳"</t>
  </si>
  <si>
    <t>"⒴"</t>
  </si>
  <si>
    <t>"⒵"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</si>
  <si>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</si>
  <si>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</si>
  <si>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</si>
  <si>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</si>
  <si>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</si>
  <si>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</si>
  <si>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</si>
  <si>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</si>
  <si>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</si>
  <si>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</si>
  <si>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</si>
  <si>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</si>
  <si>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</si>
  <si>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</si>
  <si>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</si>
  <si>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</si>
  <si>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</si>
  <si>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</si>
  <si>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</si>
  <si>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</si>
  <si>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</si>
  <si>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</si>
  <si>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</si>
  <si>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</si>
  <si>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</si>
  <si>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</si>
  <si>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</si>
  <si>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</si>
  <si>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</si>
  <si>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</si>
  <si>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</si>
  <si>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</si>
  <si>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</si>
  <si>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</si>
  <si>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</si>
  <si>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</si>
  <si>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</si>
  <si>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</si>
  <si>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</si>
  <si>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</si>
  <si>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</si>
  <si>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</si>
  <si>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</si>
  <si>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</si>
  <si>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</si>
  <si>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</si>
  <si>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</si>
  <si>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</si>
  <si>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</si>
  <si>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</si>
  <si>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</si>
  <si>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</si>
  <si>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"⓪"</t>
  </si>
  <si>
    <t>"⓫"</t>
  </si>
  <si>
    <t>"⓬"</t>
  </si>
  <si>
    <t>"⓭"</t>
  </si>
  <si>
    <t>"⓮"</t>
  </si>
  <si>
    <t>"⓯"</t>
  </si>
  <si>
    <t>"⓰"</t>
  </si>
  <si>
    <t>"⓱"</t>
  </si>
  <si>
    <t>"⓲"</t>
  </si>
  <si>
    <t>"⓳"</t>
  </si>
  <si>
    <t>"⓴"</t>
  </si>
  <si>
    <t>"⓵"</t>
  </si>
  <si>
    <t>"⓶"</t>
  </si>
  <si>
    <t>"⓷"</t>
  </si>
  <si>
    <t>"⓸"</t>
  </si>
  <si>
    <t>"⓹"</t>
  </si>
  <si>
    <t>"⓺"</t>
  </si>
  <si>
    <t>"⓻"</t>
  </si>
  <si>
    <t>"⓼"</t>
  </si>
  <si>
    <t>"⓽"</t>
  </si>
  <si>
    <t>"⓾"</t>
  </si>
  <si>
    <t>"⓿"</t>
  </si>
  <si>
    <t>"─"</t>
  </si>
  <si>
    <t>"━"</t>
  </si>
  <si>
    <t>"│"</t>
  </si>
  <si>
    <t>"┃"</t>
  </si>
  <si>
    <t>"┄"</t>
  </si>
  <si>
    <t>"┅"</t>
  </si>
  <si>
    <t>"┆"</t>
  </si>
  <si>
    <t>"┇"</t>
  </si>
  <si>
    <t>"┈"</t>
  </si>
  <si>
    <t>"┉"</t>
  </si>
  <si>
    <t>"┊"</t>
  </si>
  <si>
    <t>"┋"</t>
  </si>
  <si>
    <t>"┌"</t>
  </si>
  <si>
    <t>"┍"</t>
  </si>
  <si>
    <t>"┎"</t>
  </si>
  <si>
    <t>"┏"</t>
  </si>
  <si>
    <t>"┐"</t>
  </si>
  <si>
    <t>"┑"</t>
  </si>
  <si>
    <t>"┒"</t>
  </si>
  <si>
    <t>"┓"</t>
  </si>
  <si>
    <t>"└"</t>
  </si>
  <si>
    <t>"┕"</t>
  </si>
  <si>
    <t>"┖"</t>
  </si>
  <si>
    <t>"┗"</t>
  </si>
  <si>
    <t>"┘"</t>
  </si>
  <si>
    <t>"┙"</t>
  </si>
  <si>
    <t>"┚"</t>
  </si>
  <si>
    <t>"┛"</t>
  </si>
  <si>
    <t>"├"</t>
  </si>
  <si>
    <t>"┝"</t>
  </si>
  <si>
    <t>"┞"</t>
  </si>
  <si>
    <t>"┟"</t>
  </si>
  <si>
    <t>"┠"</t>
  </si>
  <si>
    <t>"┡"</t>
  </si>
  <si>
    <t>"┢"</t>
  </si>
  <si>
    <t>"┣"</t>
  </si>
  <si>
    <t>"┤"</t>
  </si>
  <si>
    <t>"┥"</t>
  </si>
  <si>
    <t>"┦"</t>
  </si>
  <si>
    <t>"┧"</t>
  </si>
  <si>
    <t>"┨"</t>
  </si>
  <si>
    <t>"┩"</t>
  </si>
  <si>
    <t>"┪"</t>
  </si>
  <si>
    <t>"┫"</t>
  </si>
  <si>
    <t>"┬"</t>
  </si>
  <si>
    <t>"┭"</t>
  </si>
  <si>
    <t>"┮"</t>
  </si>
  <si>
    <t>"┯"</t>
  </si>
  <si>
    <t>"┰"</t>
  </si>
  <si>
    <t>"┱"</t>
  </si>
  <si>
    <t>"┲"</t>
  </si>
  <si>
    <t>"┳"</t>
  </si>
  <si>
    <t>"┴"</t>
  </si>
  <si>
    <t>"┵"</t>
  </si>
  <si>
    <t>"┶"</t>
  </si>
  <si>
    <t>"┷"</t>
  </si>
  <si>
    <t>"┸"</t>
  </si>
  <si>
    <t>"┹"</t>
  </si>
  <si>
    <t>"┺"</t>
  </si>
  <si>
    <t>"┻"</t>
  </si>
  <si>
    <t>"┼"</t>
  </si>
  <si>
    <t>"┽"</t>
  </si>
  <si>
    <t>"┾"</t>
  </si>
  <si>
    <t>"┿"</t>
  </si>
  <si>
    <t>"╀"</t>
  </si>
  <si>
    <t>"╁"</t>
  </si>
  <si>
    <t>"╂"</t>
  </si>
  <si>
    <t>"╃"</t>
  </si>
  <si>
    <t>"╄"</t>
  </si>
  <si>
    <t>"╅"</t>
  </si>
  <si>
    <t>"╆"</t>
  </si>
  <si>
    <t>"╇"</t>
  </si>
  <si>
    <t>"╈"</t>
  </si>
  <si>
    <t>"╉"</t>
  </si>
  <si>
    <t>"╊"</t>
  </si>
  <si>
    <t>"╋"</t>
  </si>
  <si>
    <t>"╌"</t>
  </si>
  <si>
    <t>"╍"</t>
  </si>
  <si>
    <t>"╎"</t>
  </si>
  <si>
    <t>"╏"</t>
  </si>
  <si>
    <t>"═"</t>
  </si>
  <si>
    <t>"║"</t>
  </si>
  <si>
    <t>"╒"</t>
  </si>
  <si>
    <t>"╓"</t>
  </si>
  <si>
    <t>"╔"</t>
  </si>
  <si>
    <t>"╕"</t>
  </si>
  <si>
    <t>"╖"</t>
  </si>
  <si>
    <t>"╗"</t>
  </si>
  <si>
    <t>"╘"</t>
  </si>
  <si>
    <t>"╙"</t>
  </si>
  <si>
    <t>"╚"</t>
  </si>
  <si>
    <t>"╛"</t>
  </si>
  <si>
    <t>"╜"</t>
  </si>
  <si>
    <t>"╝"</t>
  </si>
  <si>
    <t>"╞"</t>
  </si>
  <si>
    <t>"╟"</t>
  </si>
  <si>
    <t>"╠"</t>
  </si>
  <si>
    <t>"╡"</t>
  </si>
  <si>
    <t>"╢"</t>
  </si>
  <si>
    <t>"╣"</t>
  </si>
  <si>
    <t>"╤"</t>
  </si>
  <si>
    <t>"╥"</t>
  </si>
  <si>
    <t>"╦"</t>
  </si>
  <si>
    <t>"╧"</t>
  </si>
  <si>
    <t>"╨"</t>
  </si>
  <si>
    <t>"╩"</t>
  </si>
  <si>
    <t>"╪"</t>
  </si>
  <si>
    <t>"╫"</t>
  </si>
  <si>
    <t>"╬"</t>
  </si>
  <si>
    <t>"╭"</t>
  </si>
  <si>
    <t>"╮"</t>
  </si>
  <si>
    <t>"╯"</t>
  </si>
  <si>
    <t>"╰"</t>
  </si>
  <si>
    <t>"╱"</t>
  </si>
  <si>
    <t>"╲"</t>
  </si>
  <si>
    <t>"╳"</t>
  </si>
  <si>
    <t>"╴"</t>
  </si>
  <si>
    <t>"╵"</t>
  </si>
  <si>
    <t>"╶"</t>
  </si>
  <si>
    <t>"╷"</t>
  </si>
  <si>
    <t>"╸"</t>
  </si>
  <si>
    <t>"╹"</t>
  </si>
  <si>
    <t>"╺"</t>
  </si>
  <si>
    <t>"╻"</t>
  </si>
  <si>
    <t>"╼"</t>
  </si>
  <si>
    <t>"╽"</t>
  </si>
  <si>
    <t>"╾"</t>
  </si>
  <si>
    <t>"╿"</t>
  </si>
  <si>
    <t>"▀"</t>
  </si>
  <si>
    <t>"▁"</t>
  </si>
  <si>
    <t>"▂"</t>
  </si>
  <si>
    <t>"▃"</t>
  </si>
  <si>
    <t>"▄"</t>
  </si>
  <si>
    <t>"▅"</t>
  </si>
  <si>
    <t>"▆"</t>
  </si>
  <si>
    <t>"▇"</t>
  </si>
  <si>
    <t>"█"</t>
  </si>
  <si>
    <t>"▉"</t>
  </si>
  <si>
    <t>"▊"</t>
  </si>
  <si>
    <t>"▋"</t>
  </si>
  <si>
    <t>"▌"</t>
  </si>
  <si>
    <t>"▍"</t>
  </si>
  <si>
    <t>"▎"</t>
  </si>
  <si>
    <t>"▏"</t>
  </si>
  <si>
    <t>"▐"</t>
  </si>
  <si>
    <t>"░"</t>
  </si>
  <si>
    <t>"▒"</t>
  </si>
  <si>
    <t>"▓"</t>
  </si>
  <si>
    <t>"▔"</t>
  </si>
  <si>
    <t>"▕"</t>
  </si>
  <si>
    <t>"▖"</t>
  </si>
  <si>
    <t>"▗"</t>
  </si>
  <si>
    <t>"▘"</t>
  </si>
  <si>
    <t>"▙"</t>
  </si>
  <si>
    <t>"▚"</t>
  </si>
  <si>
    <t>"▛"</t>
  </si>
  <si>
    <t>"▜"</t>
  </si>
  <si>
    <t>"▝"</t>
  </si>
  <si>
    <t>"▞"</t>
  </si>
  <si>
    <t>"▟"</t>
  </si>
  <si>
    <t>"■"</t>
  </si>
  <si>
    <t>"□"</t>
  </si>
  <si>
    <t>"▢"</t>
  </si>
  <si>
    <t>"▣"</t>
  </si>
  <si>
    <t>"▤"</t>
  </si>
  <si>
    <t>"▥"</t>
  </si>
  <si>
    <t>"▦"</t>
  </si>
  <si>
    <t>"▧"</t>
  </si>
  <si>
    <t>"▨"</t>
  </si>
  <si>
    <t>"▩"</t>
  </si>
  <si>
    <t>"▪"</t>
  </si>
  <si>
    <t>"▫"</t>
  </si>
  <si>
    <t>"▬"</t>
  </si>
  <si>
    <t>"▭"</t>
  </si>
  <si>
    <t>"▮"</t>
  </si>
  <si>
    <t>"▯"</t>
  </si>
  <si>
    <t>"▰"</t>
  </si>
  <si>
    <t>"▱"</t>
  </si>
  <si>
    <t>"▲"</t>
  </si>
  <si>
    <t>"△"</t>
  </si>
  <si>
    <t>"▴"</t>
  </si>
  <si>
    <t>"▵"</t>
  </si>
  <si>
    <t>"▶"</t>
  </si>
  <si>
    <t>"▷"</t>
  </si>
  <si>
    <t>"▸"</t>
  </si>
  <si>
    <t>"▹"</t>
  </si>
  <si>
    <t>"►"</t>
  </si>
  <si>
    <t>"▻"</t>
  </si>
  <si>
    <t>"▼"</t>
  </si>
  <si>
    <t>"▽"</t>
  </si>
  <si>
    <t>"▾"</t>
  </si>
  <si>
    <t>"▿"</t>
  </si>
  <si>
    <t>"◀"</t>
  </si>
  <si>
    <t>"◁"</t>
  </si>
  <si>
    <t>"◂"</t>
  </si>
  <si>
    <t>"◃"</t>
  </si>
  <si>
    <t>"◄"</t>
  </si>
  <si>
    <t>"◅"</t>
  </si>
  <si>
    <t>"◆"</t>
  </si>
  <si>
    <t>"◇"</t>
  </si>
  <si>
    <t>"◈"</t>
  </si>
  <si>
    <t>"◉"</t>
  </si>
  <si>
    <t>"◊"</t>
  </si>
  <si>
    <t>"○"</t>
  </si>
  <si>
    <t>"◌"</t>
  </si>
  <si>
    <t>"◍"</t>
  </si>
  <si>
    <t>"◎"</t>
  </si>
  <si>
    <t>"●"</t>
  </si>
  <si>
    <t>"◐"</t>
  </si>
  <si>
    <t>"◑"</t>
  </si>
  <si>
    <t>"◒"</t>
  </si>
  <si>
    <t>"◓"</t>
  </si>
  <si>
    <t>"◔"</t>
  </si>
  <si>
    <t>"◕"</t>
  </si>
  <si>
    <t>"◖"</t>
  </si>
  <si>
    <t>"◗"</t>
  </si>
  <si>
    <t>"◘"</t>
  </si>
  <si>
    <t>"◙"</t>
  </si>
  <si>
    <t>"◚"</t>
  </si>
  <si>
    <t>"◛"</t>
  </si>
  <si>
    <t>"◜"</t>
  </si>
  <si>
    <t>"◝"</t>
  </si>
  <si>
    <t>"◞"</t>
  </si>
  <si>
    <t>"◟"</t>
  </si>
  <si>
    <t>"◠"</t>
  </si>
  <si>
    <t>"◡"</t>
  </si>
  <si>
    <t>"◢"</t>
  </si>
  <si>
    <t>"◣"</t>
  </si>
  <si>
    <t>"◤"</t>
  </si>
  <si>
    <t>"◥"</t>
  </si>
  <si>
    <t>"◦"</t>
  </si>
  <si>
    <t>"◧"</t>
  </si>
  <si>
    <t>"◨"</t>
  </si>
  <si>
    <t>"◩"</t>
  </si>
  <si>
    <t>"◪"</t>
  </si>
  <si>
    <t>"◫"</t>
  </si>
  <si>
    <t>"◬"</t>
  </si>
  <si>
    <t>"◭"</t>
  </si>
  <si>
    <t>"◮"</t>
  </si>
  <si>
    <t>"◯"</t>
  </si>
  <si>
    <t>"◰"</t>
  </si>
  <si>
    <t>"◱"</t>
  </si>
  <si>
    <t>"◲"</t>
  </si>
  <si>
    <t>"◳"</t>
  </si>
  <si>
    <t>"◴"</t>
  </si>
  <si>
    <t>"◵"</t>
  </si>
  <si>
    <t>"◶"</t>
  </si>
  <si>
    <t>"◷"</t>
  </si>
  <si>
    <t>"◸"</t>
  </si>
  <si>
    <t>"◹"</t>
  </si>
  <si>
    <t>"◺"</t>
  </si>
  <si>
    <t>"◻"</t>
  </si>
  <si>
    <t>"◼"</t>
  </si>
  <si>
    <t>"◽"</t>
  </si>
  <si>
    <t>"◾"</t>
  </si>
  <si>
    <t>"◿"</t>
  </si>
  <si>
    <t>"☀"</t>
  </si>
  <si>
    <t>"☁"</t>
  </si>
  <si>
    <t>"☂"</t>
  </si>
  <si>
    <t>"☃"</t>
  </si>
  <si>
    <t>"☄"</t>
  </si>
  <si>
    <t>"★"</t>
  </si>
  <si>
    <t>"☆"</t>
  </si>
  <si>
    <t>"☇"</t>
  </si>
  <si>
    <t>"☈"</t>
  </si>
  <si>
    <t>"☉"</t>
  </si>
  <si>
    <t>"☊"</t>
  </si>
  <si>
    <t>"☋"</t>
  </si>
  <si>
    <t>"☌"</t>
  </si>
  <si>
    <t>"☍"</t>
  </si>
  <si>
    <t>"☎"</t>
  </si>
  <si>
    <t>"☏"</t>
  </si>
  <si>
    <t>"☐"</t>
  </si>
  <si>
    <t>"☑"</t>
  </si>
  <si>
    <t>"☒"</t>
  </si>
  <si>
    <t>"☓"</t>
  </si>
  <si>
    <t>"☔"</t>
  </si>
  <si>
    <t>"☕"</t>
  </si>
  <si>
    <t>"☖"</t>
  </si>
  <si>
    <t>"☗"</t>
  </si>
  <si>
    <t>"☘"</t>
  </si>
  <si>
    <t>"☙"</t>
  </si>
  <si>
    <t>"☚"</t>
  </si>
  <si>
    <t>"☛"</t>
  </si>
  <si>
    <t>"☜"</t>
  </si>
  <si>
    <t>"☝"</t>
  </si>
  <si>
    <t>"☞"</t>
  </si>
  <si>
    <t>"☟"</t>
  </si>
  <si>
    <t>"☠"</t>
  </si>
  <si>
    <t>"☡"</t>
  </si>
  <si>
    <t>"☢"</t>
  </si>
  <si>
    <t>"☣"</t>
  </si>
  <si>
    <t>"☤"</t>
  </si>
  <si>
    <t>"☥"</t>
  </si>
  <si>
    <t>"☦"</t>
  </si>
  <si>
    <t>"☧"</t>
  </si>
  <si>
    <t>"☨"</t>
  </si>
  <si>
    <t>"☩"</t>
  </si>
  <si>
    <t>"☪"</t>
  </si>
  <si>
    <t>"☫"</t>
  </si>
  <si>
    <t>"☬"</t>
  </si>
  <si>
    <t>"☭"</t>
  </si>
  <si>
    <t>"☮"</t>
  </si>
  <si>
    <t>"☯"</t>
  </si>
  <si>
    <t>"☰"</t>
  </si>
  <si>
    <t>"☱"</t>
  </si>
  <si>
    <t>"☲"</t>
  </si>
  <si>
    <t>"☳"</t>
  </si>
  <si>
    <t>"☴"</t>
  </si>
  <si>
    <t>"☵"</t>
  </si>
  <si>
    <t>"☶"</t>
  </si>
  <si>
    <t>"☷"</t>
  </si>
  <si>
    <t>"☸"</t>
  </si>
  <si>
    <t>"☹"</t>
  </si>
  <si>
    <t>"☺"</t>
  </si>
  <si>
    <t>"☻"</t>
  </si>
  <si>
    <t>"☼"</t>
  </si>
  <si>
    <t>"☽"</t>
  </si>
  <si>
    <t>"☾"</t>
  </si>
  <si>
    <t>"☿"</t>
  </si>
  <si>
    <t>"♀"</t>
  </si>
  <si>
    <t>"♁"</t>
  </si>
  <si>
    <t>"♂"</t>
  </si>
  <si>
    <t>"♃"</t>
  </si>
  <si>
    <t>"♄"</t>
  </si>
  <si>
    <t>"♅"</t>
  </si>
  <si>
    <t>"♆"</t>
  </si>
  <si>
    <t>"♇"</t>
  </si>
  <si>
    <t>"♈"</t>
  </si>
  <si>
    <t>"♉"</t>
  </si>
  <si>
    <t>"♊"</t>
  </si>
  <si>
    <t>"♋"</t>
  </si>
  <si>
    <t>"♌"</t>
  </si>
  <si>
    <t>"♍"</t>
  </si>
  <si>
    <t>"♎"</t>
  </si>
  <si>
    <t>"♏"</t>
  </si>
  <si>
    <t>"♐"</t>
  </si>
  <si>
    <t>"♑"</t>
  </si>
  <si>
    <t>"♒"</t>
  </si>
  <si>
    <t>"♓"</t>
  </si>
  <si>
    <t>"♔"</t>
  </si>
  <si>
    <t>"♕"</t>
  </si>
  <si>
    <t>"♖"</t>
  </si>
  <si>
    <t>"♗"</t>
  </si>
  <si>
    <t>"♘"</t>
  </si>
  <si>
    <t>"♙"</t>
  </si>
  <si>
    <t>"♚"</t>
  </si>
  <si>
    <t>"♛"</t>
  </si>
  <si>
    <t>"♜"</t>
  </si>
  <si>
    <t>"♝"</t>
  </si>
  <si>
    <t>"♞"</t>
  </si>
  <si>
    <t>"♟"</t>
  </si>
  <si>
    <t>"♠"</t>
  </si>
  <si>
    <t>"♡"</t>
  </si>
  <si>
    <t>"♢"</t>
  </si>
  <si>
    <t>"♣"</t>
  </si>
  <si>
    <t>"♤"</t>
  </si>
  <si>
    <t>"♥"</t>
  </si>
  <si>
    <t>"♦"</t>
  </si>
  <si>
    <t>"♧"</t>
  </si>
  <si>
    <t>"♨"</t>
  </si>
  <si>
    <t>"♩"</t>
  </si>
  <si>
    <t>"♪"</t>
  </si>
  <si>
    <t>"♫"</t>
  </si>
  <si>
    <t>"♬"</t>
  </si>
  <si>
    <t>"♭"</t>
  </si>
  <si>
    <t>"♮"</t>
  </si>
  <si>
    <t>"♯"</t>
  </si>
  <si>
    <t>"♰"</t>
  </si>
  <si>
    <t>"♱"</t>
  </si>
  <si>
    <t>"♲"</t>
  </si>
  <si>
    <t>"♳"</t>
  </si>
  <si>
    <t>"♴"</t>
  </si>
  <si>
    <t>"♵"</t>
  </si>
  <si>
    <t>"♶"</t>
  </si>
  <si>
    <t>"♷"</t>
  </si>
  <si>
    <t>"♸"</t>
  </si>
  <si>
    <t>"♹"</t>
  </si>
  <si>
    <t>"♺"</t>
  </si>
  <si>
    <t>"♻"</t>
  </si>
  <si>
    <t>"♼"</t>
  </si>
  <si>
    <t>"♽"</t>
  </si>
  <si>
    <t>"♾"</t>
  </si>
  <si>
    <t>"♿"</t>
  </si>
  <si>
    <t>"⚀"</t>
  </si>
  <si>
    <t>"⚁"</t>
  </si>
  <si>
    <t>"⚂"</t>
  </si>
  <si>
    <t>"⚃"</t>
  </si>
  <si>
    <t>"⚄"</t>
  </si>
  <si>
    <t>"⚅"</t>
  </si>
  <si>
    <t>"⚆"</t>
  </si>
  <si>
    <t>"⚇"</t>
  </si>
  <si>
    <t>"⚈"</t>
  </si>
  <si>
    <t>"⚉"</t>
  </si>
  <si>
    <t>"⚊"</t>
  </si>
  <si>
    <t>"⚋"</t>
  </si>
  <si>
    <t>"⚌"</t>
  </si>
  <si>
    <t>"⚍"</t>
  </si>
  <si>
    <t>"⚎"</t>
  </si>
  <si>
    <t>"⚏"</t>
  </si>
  <si>
    <t>"⚐"</t>
  </si>
  <si>
    <t>"⚑"</t>
  </si>
  <si>
    <t>"⚒"</t>
  </si>
  <si>
    <t>"⚓"</t>
  </si>
  <si>
    <t>"⚔"</t>
  </si>
  <si>
    <t>"⚕"</t>
  </si>
  <si>
    <t>"⚖"</t>
  </si>
  <si>
    <t>"⚗"</t>
  </si>
  <si>
    <t>"⚘"</t>
  </si>
  <si>
    <t>"⚙"</t>
  </si>
  <si>
    <t>"⚚"</t>
  </si>
  <si>
    <t>"⚛"</t>
  </si>
  <si>
    <t>"⚜"</t>
  </si>
  <si>
    <t>"⚝"</t>
  </si>
  <si>
    <t>"⚞"</t>
  </si>
  <si>
    <t>"⚟"</t>
  </si>
  <si>
    <t>"⚠"</t>
  </si>
  <si>
    <t>"⚡"</t>
  </si>
  <si>
    <t>"⚢"</t>
  </si>
  <si>
    <t>"⚣"</t>
  </si>
  <si>
    <t>"⚤"</t>
  </si>
  <si>
    <t>"⚥"</t>
  </si>
  <si>
    <t>"⚦"</t>
  </si>
  <si>
    <t>"⚧"</t>
  </si>
  <si>
    <t>"⚨"</t>
  </si>
  <si>
    <t>"⚩"</t>
  </si>
  <si>
    <t>"⚪"</t>
  </si>
  <si>
    <t>"⚫"</t>
  </si>
  <si>
    <t>"⚬"</t>
  </si>
  <si>
    <t>"⚭"</t>
  </si>
  <si>
    <t>"⚮"</t>
  </si>
  <si>
    <t>"⚯"</t>
  </si>
  <si>
    <t>"⚰"</t>
  </si>
  <si>
    <t>"⚱"</t>
  </si>
  <si>
    <t>"⚲"</t>
  </si>
  <si>
    <t>"⚳"</t>
  </si>
  <si>
    <t>"⚴"</t>
  </si>
  <si>
    <t>"⚵"</t>
  </si>
  <si>
    <t>"⚶"</t>
  </si>
  <si>
    <t>"⚷"</t>
  </si>
  <si>
    <t>"⚸"</t>
  </si>
  <si>
    <t>"⚹"</t>
  </si>
  <si>
    <t>"⚺"</t>
  </si>
  <si>
    <t>"⚻"</t>
  </si>
  <si>
    <t>"⚼"</t>
  </si>
  <si>
    <t>"⚽"</t>
  </si>
  <si>
    <t>"⚾"</t>
  </si>
  <si>
    <t>"⚿"</t>
  </si>
  <si>
    <t>"⛀"</t>
  </si>
  <si>
    <t>"⛁"</t>
  </si>
  <si>
    <t>"⛂"</t>
  </si>
  <si>
    <t>"⛃"</t>
  </si>
  <si>
    <t>"⛄"</t>
  </si>
  <si>
    <t>"⛅"</t>
  </si>
  <si>
    <t>"⛆"</t>
  </si>
  <si>
    <t>"⛇"</t>
  </si>
  <si>
    <t>"⛈"</t>
  </si>
  <si>
    <t>"⛉"</t>
  </si>
  <si>
    <t>"⛊"</t>
  </si>
  <si>
    <t>"⛋"</t>
  </si>
  <si>
    <t>"⛌"</t>
  </si>
  <si>
    <t>"⛍"</t>
  </si>
  <si>
    <t>"⛎"</t>
  </si>
  <si>
    <t>"⛏"</t>
  </si>
  <si>
    <t>"⛐"</t>
  </si>
  <si>
    <t>"⛑"</t>
  </si>
  <si>
    <t>"⛒"</t>
  </si>
  <si>
    <t>"⛓"</t>
  </si>
  <si>
    <t>"⛔"</t>
  </si>
  <si>
    <t>"⛕"</t>
  </si>
  <si>
    <t>"⛖"</t>
  </si>
  <si>
    <t>"⛗"</t>
  </si>
  <si>
    <t>"⛘"</t>
  </si>
  <si>
    <t>"⛙"</t>
  </si>
  <si>
    <t>"⛚"</t>
  </si>
  <si>
    <t>"⛛"</t>
  </si>
  <si>
    <t>"⛜"</t>
  </si>
  <si>
    <t>"⛝"</t>
  </si>
  <si>
    <t>"⛞"</t>
  </si>
  <si>
    <t>"⛟"</t>
  </si>
  <si>
    <t>"⛠"</t>
  </si>
  <si>
    <t>"⛡"</t>
  </si>
  <si>
    <t>"⛢"</t>
  </si>
  <si>
    <t>"⛣"</t>
  </si>
  <si>
    <t>"⛤"</t>
  </si>
  <si>
    <t>"⛥"</t>
  </si>
  <si>
    <t>"⛦"</t>
  </si>
  <si>
    <t>"⛧"</t>
  </si>
  <si>
    <t>"⛨"</t>
  </si>
  <si>
    <t>"⛩"</t>
  </si>
  <si>
    <t>"⛪"</t>
  </si>
  <si>
    <t>"⛫"</t>
  </si>
  <si>
    <t>"⛬"</t>
  </si>
  <si>
    <t>"⛭"</t>
  </si>
  <si>
    <t>"⛮"</t>
  </si>
  <si>
    <t>"⛯"</t>
  </si>
  <si>
    <t>"⛰"</t>
  </si>
  <si>
    <t>"⛱"</t>
  </si>
  <si>
    <t>"⛲"</t>
  </si>
  <si>
    <t>"⛳"</t>
  </si>
  <si>
    <t>"⛴"</t>
  </si>
  <si>
    <t>"⛵"</t>
  </si>
  <si>
    <t>"⛶"</t>
  </si>
  <si>
    <t>"⛷"</t>
  </si>
  <si>
    <t>"⛸"</t>
  </si>
  <si>
    <t>"⛹"</t>
  </si>
  <si>
    <t>"⛺"</t>
  </si>
  <si>
    <t>"⛻"</t>
  </si>
  <si>
    <t>"⛼"</t>
  </si>
  <si>
    <t>"⛽"</t>
  </si>
  <si>
    <t>"⛾"</t>
  </si>
  <si>
    <t>"⛿"</t>
  </si>
  <si>
    <t>"✀"</t>
  </si>
  <si>
    <t>"✁"</t>
  </si>
  <si>
    <t>"✂"</t>
  </si>
  <si>
    <t>"✃"</t>
  </si>
  <si>
    <t>"✄"</t>
  </si>
  <si>
    <t>"✅"</t>
  </si>
  <si>
    <t>"✆"</t>
  </si>
  <si>
    <t>"✇"</t>
  </si>
  <si>
    <t>"✈"</t>
  </si>
  <si>
    <t>"✉"</t>
  </si>
  <si>
    <t>"✊"</t>
  </si>
  <si>
    <t>"✋"</t>
  </si>
  <si>
    <t>"✌"</t>
  </si>
  <si>
    <t>"✍"</t>
  </si>
  <si>
    <t>"✎"</t>
  </si>
  <si>
    <t>"✏"</t>
  </si>
  <si>
    <t>"✐"</t>
  </si>
  <si>
    <t>"✑"</t>
  </si>
  <si>
    <t>"✒"</t>
  </si>
  <si>
    <t>"✓"</t>
  </si>
  <si>
    <t>"✔"</t>
  </si>
  <si>
    <t>"✕"</t>
  </si>
  <si>
    <t>"✖"</t>
  </si>
  <si>
    <t>"✗"</t>
  </si>
  <si>
    <t>"✘"</t>
  </si>
  <si>
    <t>"✙"</t>
  </si>
  <si>
    <t>"✚"</t>
  </si>
  <si>
    <t>"✛"</t>
  </si>
  <si>
    <t>"✜"</t>
  </si>
  <si>
    <t>"✝"</t>
  </si>
  <si>
    <t>"✞"</t>
  </si>
  <si>
    <t>"✟"</t>
  </si>
  <si>
    <t>"✠"</t>
  </si>
  <si>
    <t>"✡"</t>
  </si>
  <si>
    <t>"✢"</t>
  </si>
  <si>
    <t>"✣"</t>
  </si>
  <si>
    <t>"✤"</t>
  </si>
  <si>
    <t>"✥"</t>
  </si>
  <si>
    <t>"✦"</t>
  </si>
  <si>
    <t>"✧"</t>
  </si>
  <si>
    <t>"✨"</t>
  </si>
  <si>
    <t>"✩"</t>
  </si>
  <si>
    <t>"✪"</t>
  </si>
  <si>
    <t>"✫"</t>
  </si>
  <si>
    <t>"✬"</t>
  </si>
  <si>
    <t>"✭"</t>
  </si>
  <si>
    <t>"✮"</t>
  </si>
  <si>
    <t>"✯"</t>
  </si>
  <si>
    <t>"✰"</t>
  </si>
  <si>
    <t>"✱"</t>
  </si>
  <si>
    <t>"✲"</t>
  </si>
  <si>
    <t>"✳"</t>
  </si>
  <si>
    <t>"✴"</t>
  </si>
  <si>
    <t>"✵"</t>
  </si>
  <si>
    <t>"✶"</t>
  </si>
  <si>
    <t>"✷"</t>
  </si>
  <si>
    <t>"✸"</t>
  </si>
  <si>
    <t>"✹"</t>
  </si>
  <si>
    <t>"✺"</t>
  </si>
  <si>
    <t>"✻"</t>
  </si>
  <si>
    <t>"✼"</t>
  </si>
  <si>
    <t>"✽"</t>
  </si>
  <si>
    <t>"✾"</t>
  </si>
  <si>
    <t>"✿"</t>
  </si>
  <si>
    <t>"❀"</t>
  </si>
  <si>
    <t>"❁"</t>
  </si>
  <si>
    <t>"❂"</t>
  </si>
  <si>
    <t>"❃"</t>
  </si>
  <si>
    <t>"❄"</t>
  </si>
  <si>
    <t>"❅"</t>
  </si>
  <si>
    <t>"❆"</t>
  </si>
  <si>
    <t>"❇"</t>
  </si>
  <si>
    <t>"❈"</t>
  </si>
  <si>
    <t>"❉"</t>
  </si>
  <si>
    <t>"❊"</t>
  </si>
  <si>
    <t>"❋"</t>
  </si>
  <si>
    <t>"❌"</t>
  </si>
  <si>
    <t>"❍"</t>
  </si>
  <si>
    <t>"❎"</t>
  </si>
  <si>
    <t>"❏"</t>
  </si>
  <si>
    <t>"❐"</t>
  </si>
  <si>
    <t>"❑"</t>
  </si>
  <si>
    <t>"❒"</t>
  </si>
  <si>
    <t>"❓"</t>
  </si>
  <si>
    <t>"❔"</t>
  </si>
  <si>
    <t>"❕"</t>
  </si>
  <si>
    <t>"❖"</t>
  </si>
  <si>
    <t>"❗"</t>
  </si>
  <si>
    <t>"❘"</t>
  </si>
  <si>
    <t>"❙"</t>
  </si>
  <si>
    <t>"❚"</t>
  </si>
  <si>
    <t>"❛"</t>
  </si>
  <si>
    <t>"❜"</t>
  </si>
  <si>
    <t>"❝"</t>
  </si>
  <si>
    <t>"❞"</t>
  </si>
  <si>
    <t>"❟"</t>
  </si>
  <si>
    <t>"❠"</t>
  </si>
  <si>
    <t>"❡"</t>
  </si>
  <si>
    <t>"❢"</t>
  </si>
  <si>
    <t>"❣"</t>
  </si>
  <si>
    <t>"❤"</t>
  </si>
  <si>
    <t>"❥"</t>
  </si>
  <si>
    <t>"❦"</t>
  </si>
  <si>
    <t>"❧"</t>
  </si>
  <si>
    <t>"❨"</t>
  </si>
  <si>
    <t>"❩"</t>
  </si>
  <si>
    <t>"❪"</t>
  </si>
  <si>
    <t>"❫"</t>
  </si>
  <si>
    <t>"❬"</t>
  </si>
  <si>
    <t>"❭"</t>
  </si>
  <si>
    <t>"❮"</t>
  </si>
  <si>
    <t>"❯"</t>
  </si>
  <si>
    <t>"❰"</t>
  </si>
  <si>
    <t>"❱"</t>
  </si>
  <si>
    <t>"❲"</t>
  </si>
  <si>
    <t>"❳"</t>
  </si>
  <si>
    <t>"❴"</t>
  </si>
  <si>
    <t>"❵"</t>
  </si>
  <si>
    <t>"❶"</t>
  </si>
  <si>
    <t>"❷"</t>
  </si>
  <si>
    <t>"❸"</t>
  </si>
  <si>
    <t>"❹"</t>
  </si>
  <si>
    <t>"❺"</t>
  </si>
  <si>
    <t>"❻"</t>
  </si>
  <si>
    <t>"❼"</t>
  </si>
  <si>
    <t>"❽"</t>
  </si>
  <si>
    <t>"❾"</t>
  </si>
  <si>
    <t>"❿"</t>
  </si>
  <si>
    <t>"➀"</t>
  </si>
  <si>
    <t>"➁"</t>
  </si>
  <si>
    <t>"➂"</t>
  </si>
  <si>
    <t>"➃"</t>
  </si>
  <si>
    <t>"➄"</t>
  </si>
  <si>
    <t>"➅"</t>
  </si>
  <si>
    <t>"➆"</t>
  </si>
  <si>
    <t>"➇"</t>
  </si>
  <si>
    <t>"➈"</t>
  </si>
  <si>
    <t>"➉"</t>
  </si>
  <si>
    <t>"➊"</t>
  </si>
  <si>
    <t>"➋"</t>
  </si>
  <si>
    <t>"➌"</t>
  </si>
  <si>
    <t>"➍"</t>
  </si>
  <si>
    <t>"➎"</t>
  </si>
  <si>
    <t>"➏"</t>
  </si>
  <si>
    <t>"➐"</t>
  </si>
  <si>
    <t>"➑"</t>
  </si>
  <si>
    <t>"➒"</t>
  </si>
  <si>
    <t>"➓"</t>
  </si>
  <si>
    <t>"➔"</t>
  </si>
  <si>
    <t>"➕"</t>
  </si>
  <si>
    <t>"➖"</t>
  </si>
  <si>
    <t>"➗"</t>
  </si>
  <si>
    <t>"➘"</t>
  </si>
  <si>
    <t>"➙"</t>
  </si>
  <si>
    <t>"➚"</t>
  </si>
  <si>
    <t>"➛"</t>
  </si>
  <si>
    <t>"➜"</t>
  </si>
  <si>
    <t>"➝"</t>
  </si>
  <si>
    <t>"➞"</t>
  </si>
  <si>
    <t>"➟"</t>
  </si>
  <si>
    <t>"➠"</t>
  </si>
  <si>
    <t>"➡"</t>
  </si>
  <si>
    <t>"➢"</t>
  </si>
  <si>
    <t>"➣"</t>
  </si>
  <si>
    <t>"➤"</t>
  </si>
  <si>
    <t>"➥"</t>
  </si>
  <si>
    <t>"➦"</t>
  </si>
  <si>
    <t>"➧"</t>
  </si>
  <si>
    <t>"➨"</t>
  </si>
  <si>
    <t>"➩"</t>
  </si>
  <si>
    <t>"➪"</t>
  </si>
  <si>
    <t>"➫"</t>
  </si>
  <si>
    <t>"➬"</t>
  </si>
  <si>
    <t>"➭"</t>
  </si>
  <si>
    <t>"➮"</t>
  </si>
  <si>
    <t>"➯"</t>
  </si>
  <si>
    <t>"➰"</t>
  </si>
  <si>
    <t>"➱"</t>
  </si>
  <si>
    <t>"➲"</t>
  </si>
  <si>
    <t>"➳"</t>
  </si>
  <si>
    <t>"➴"</t>
  </si>
  <si>
    <t>"➵"</t>
  </si>
  <si>
    <t>"➶"</t>
  </si>
  <si>
    <t>"➷"</t>
  </si>
  <si>
    <t>"➸"</t>
  </si>
  <si>
    <t>"➹"</t>
  </si>
  <si>
    <t>"➺"</t>
  </si>
  <si>
    <t>"➻"</t>
  </si>
  <si>
    <t>"➼"</t>
  </si>
  <si>
    <t>"➽"</t>
  </si>
  <si>
    <t>"➾"</t>
  </si>
  <si>
    <t>"➿"</t>
  </si>
  <si>
    <t>"⟀"</t>
  </si>
  <si>
    <t>"⟁"</t>
  </si>
  <si>
    <t>"⟂"</t>
  </si>
  <si>
    <t>"⟃"</t>
  </si>
  <si>
    <t>"⟄"</t>
  </si>
  <si>
    <t>"⟅"</t>
  </si>
  <si>
    <t>"⟆"</t>
  </si>
  <si>
    <t>"⟇"</t>
  </si>
  <si>
    <t>"⟈"</t>
  </si>
  <si>
    <t>"⟉"</t>
  </si>
  <si>
    <t>"⟊"</t>
  </si>
  <si>
    <t>"⟋"</t>
  </si>
  <si>
    <t>"⟌"</t>
  </si>
  <si>
    <t>"⟍"</t>
  </si>
  <si>
    <t>"⟎"</t>
  </si>
  <si>
    <t>"⟏"</t>
  </si>
  <si>
    <t>"⟐"</t>
  </si>
  <si>
    <t>"⟑"</t>
  </si>
  <si>
    <t>"⟒"</t>
  </si>
  <si>
    <t>"⟓"</t>
  </si>
  <si>
    <t>"⟔"</t>
  </si>
  <si>
    <t>"⟕"</t>
  </si>
  <si>
    <t>"⟖"</t>
  </si>
  <si>
    <t>"⟗"</t>
  </si>
  <si>
    <t>"⟘"</t>
  </si>
  <si>
    <t>"⟙"</t>
  </si>
  <si>
    <t>"⟚"</t>
  </si>
  <si>
    <t>"⟛"</t>
  </si>
  <si>
    <t>"⟜"</t>
  </si>
  <si>
    <t>"⟝"</t>
  </si>
  <si>
    <t>"⟞"</t>
  </si>
  <si>
    <t>"⟟"</t>
  </si>
  <si>
    <t>"⟠"</t>
  </si>
  <si>
    <t>"⟡"</t>
  </si>
  <si>
    <t>"⟢"</t>
  </si>
  <si>
    <t>"⟣"</t>
  </si>
  <si>
    <t>"⟤"</t>
  </si>
  <si>
    <t>"⟥"</t>
  </si>
  <si>
    <t>"⟦"</t>
  </si>
  <si>
    <t>"⟧"</t>
  </si>
  <si>
    <t>"⟨"</t>
  </si>
  <si>
    <t>"⟩"</t>
  </si>
  <si>
    <t>"⟪"</t>
  </si>
  <si>
    <t>"⟫"</t>
  </si>
  <si>
    <t>"⟬"</t>
  </si>
  <si>
    <t>"⟭"</t>
  </si>
  <si>
    <t>"⟮"</t>
  </si>
  <si>
    <t>"⟯"</t>
  </si>
  <si>
    <t>"⟰"</t>
  </si>
  <si>
    <t>"⟱"</t>
  </si>
  <si>
    <t>"⟲"</t>
  </si>
  <si>
    <t>"⟳"</t>
  </si>
  <si>
    <t>"⟴"</t>
  </si>
  <si>
    <t>"⟵"</t>
  </si>
  <si>
    <t>"⟶"</t>
  </si>
  <si>
    <t>"⟷"</t>
  </si>
  <si>
    <t>"⟸"</t>
  </si>
  <si>
    <t>"⟹"</t>
  </si>
  <si>
    <t>"⟺"</t>
  </si>
  <si>
    <t>"⟻"</t>
  </si>
  <si>
    <t>"⟼"</t>
  </si>
  <si>
    <t>"⟽"</t>
  </si>
  <si>
    <t>"⟾"</t>
  </si>
  <si>
    <t>"⟿"</t>
  </si>
  <si>
    <t>"⠀"</t>
  </si>
  <si>
    <t>"⠁"</t>
  </si>
  <si>
    <t>"⠂"</t>
  </si>
  <si>
    <t>"⠃"</t>
  </si>
  <si>
    <t>"⠄"</t>
  </si>
  <si>
    <t>"⠅"</t>
  </si>
  <si>
    <t>"⠆"</t>
  </si>
  <si>
    <t>"⠇"</t>
  </si>
  <si>
    <t>"⠈"</t>
  </si>
  <si>
    <t>"⠉"</t>
  </si>
  <si>
    <t>"⠊"</t>
  </si>
  <si>
    <t>"⠋"</t>
  </si>
  <si>
    <t>"⠌"</t>
  </si>
  <si>
    <t>"⠍"</t>
  </si>
  <si>
    <t>"⠎"</t>
  </si>
  <si>
    <t>"⠏"</t>
  </si>
  <si>
    <t>"⠐"</t>
  </si>
  <si>
    <t>"⠑"</t>
  </si>
  <si>
    <t>"⠒"</t>
  </si>
  <si>
    <t>"⠓"</t>
  </si>
  <si>
    <t>"⠔"</t>
  </si>
  <si>
    <t>"⠕"</t>
  </si>
  <si>
    <t>"⠖"</t>
  </si>
  <si>
    <t>"⠗"</t>
  </si>
  <si>
    <t>"⠘"</t>
  </si>
  <si>
    <t>"⠙"</t>
  </si>
  <si>
    <t>"⠚"</t>
  </si>
  <si>
    <t>"⠛"</t>
  </si>
  <si>
    <t>"⠜"</t>
  </si>
  <si>
    <t>"⠝"</t>
  </si>
  <si>
    <t>"⠞"</t>
  </si>
  <si>
    <t>"⠟"</t>
  </si>
  <si>
    <t>"⠠"</t>
  </si>
  <si>
    <t>"⠡"</t>
  </si>
  <si>
    <t>"⠢"</t>
  </si>
  <si>
    <t>"⠣"</t>
  </si>
  <si>
    <t>"⠤"</t>
  </si>
  <si>
    <t>"⠥"</t>
  </si>
  <si>
    <t>"⠦"</t>
  </si>
  <si>
    <t>"⠧"</t>
  </si>
  <si>
    <t>"⠨"</t>
  </si>
  <si>
    <t>"⠩"</t>
  </si>
  <si>
    <t>"⠪"</t>
  </si>
  <si>
    <t>"⠫"</t>
  </si>
  <si>
    <t>"⠬"</t>
  </si>
  <si>
    <t>"⠭"</t>
  </si>
  <si>
    <t>"⠮"</t>
  </si>
  <si>
    <t>"⠯"</t>
  </si>
  <si>
    <t>"⠰"</t>
  </si>
  <si>
    <t>"⠱"</t>
  </si>
  <si>
    <t>"⠲"</t>
  </si>
  <si>
    <t>"⠳"</t>
  </si>
  <si>
    <t>"⠴"</t>
  </si>
  <si>
    <t>"⠵"</t>
  </si>
  <si>
    <t>"⠶"</t>
  </si>
  <si>
    <t>"⠷"</t>
  </si>
  <si>
    <t>"⠸"</t>
  </si>
  <si>
    <t>"⠹"</t>
  </si>
  <si>
    <t>"⠺"</t>
  </si>
  <si>
    <t>"⠻"</t>
  </si>
  <si>
    <t>"⠼"</t>
  </si>
  <si>
    <t>"⠽"</t>
  </si>
  <si>
    <t>"⠾"</t>
  </si>
  <si>
    <t>"⠿"</t>
  </si>
  <si>
    <t>"⡀"</t>
  </si>
  <si>
    <t>"⡁"</t>
  </si>
  <si>
    <t>"⡂"</t>
  </si>
  <si>
    <t>"⡃"</t>
  </si>
  <si>
    <t>"⡄"</t>
  </si>
  <si>
    <t>"⡅"</t>
  </si>
  <si>
    <t>"⡆"</t>
  </si>
  <si>
    <t>"⡇"</t>
  </si>
  <si>
    <t>"⡈"</t>
  </si>
  <si>
    <t>"⡉"</t>
  </si>
  <si>
    <t>"⡊"</t>
  </si>
  <si>
    <t>"⡋"</t>
  </si>
  <si>
    <t>"⡌"</t>
  </si>
  <si>
    <t>"⡍"</t>
  </si>
  <si>
    <t>"⡎"</t>
  </si>
  <si>
    <t>"⡏"</t>
  </si>
  <si>
    <t>"⡐"</t>
  </si>
  <si>
    <t>"⡑"</t>
  </si>
  <si>
    <t>"⡒"</t>
  </si>
  <si>
    <t>"⡓"</t>
  </si>
  <si>
    <t>"⡔"</t>
  </si>
  <si>
    <t>"⡕"</t>
  </si>
  <si>
    <t>"⡖"</t>
  </si>
  <si>
    <t>"⡗"</t>
  </si>
  <si>
    <t>"⡘"</t>
  </si>
  <si>
    <t>"⡙"</t>
  </si>
  <si>
    <t>"⡚"</t>
  </si>
  <si>
    <t>"⡛"</t>
  </si>
  <si>
    <t>"⡜"</t>
  </si>
  <si>
    <t>"⡝"</t>
  </si>
  <si>
    <t>"⡞"</t>
  </si>
  <si>
    <t>"⡟"</t>
  </si>
  <si>
    <t>"⡠"</t>
  </si>
  <si>
    <t>"⡡"</t>
  </si>
  <si>
    <t>"⡢"</t>
  </si>
  <si>
    <t>"⡣"</t>
  </si>
  <si>
    <t>"⡤"</t>
  </si>
  <si>
    <t>"⡥"</t>
  </si>
  <si>
    <t>"⡦"</t>
  </si>
  <si>
    <t>"⡧"</t>
  </si>
  <si>
    <t>"⡨"</t>
  </si>
  <si>
    <t>"⡩"</t>
  </si>
  <si>
    <t>"⡪"</t>
  </si>
  <si>
    <t>"⡫"</t>
  </si>
  <si>
    <t>"⡬"</t>
  </si>
  <si>
    <t>"⡭"</t>
  </si>
  <si>
    <t>"⡮"</t>
  </si>
  <si>
    <t>"⡯"</t>
  </si>
  <si>
    <t>"⡰"</t>
  </si>
  <si>
    <t>"⡱"</t>
  </si>
  <si>
    <t>"⡲"</t>
  </si>
  <si>
    <t>"⡳"</t>
  </si>
  <si>
    <t>"⡴"</t>
  </si>
  <si>
    <t>"⡵"</t>
  </si>
  <si>
    <t>"⡶"</t>
  </si>
  <si>
    <t>"⡷"</t>
  </si>
  <si>
    <t>"⡸"</t>
  </si>
  <si>
    <t>"⡹"</t>
  </si>
  <si>
    <t>"⡺"</t>
  </si>
  <si>
    <t>"⡻"</t>
  </si>
  <si>
    <t>"⡼"</t>
  </si>
  <si>
    <t>"⡽"</t>
  </si>
  <si>
    <t>"⡾"</t>
  </si>
  <si>
    <t>"⡿"</t>
  </si>
  <si>
    <t>"⢀"</t>
  </si>
  <si>
    <t>"⢁"</t>
  </si>
  <si>
    <t>"⢂"</t>
  </si>
  <si>
    <t>"⢃"</t>
  </si>
  <si>
    <t>"⢄"</t>
  </si>
  <si>
    <t>"⢅"</t>
  </si>
  <si>
    <t>"⢆"</t>
  </si>
  <si>
    <t>"⢇"</t>
  </si>
  <si>
    <t>"⢈"</t>
  </si>
  <si>
    <t>"⢉"</t>
  </si>
  <si>
    <t>"⢊"</t>
  </si>
  <si>
    <t>"⢋"</t>
  </si>
  <si>
    <t>"⢌"</t>
  </si>
  <si>
    <t>"⢍"</t>
  </si>
  <si>
    <t>"⢎"</t>
  </si>
  <si>
    <t>"⢏"</t>
  </si>
  <si>
    <t>"⢐"</t>
  </si>
  <si>
    <t>"⢑"</t>
  </si>
  <si>
    <t>"⢒"</t>
  </si>
  <si>
    <t>"⢓"</t>
  </si>
  <si>
    <t>"⢔"</t>
  </si>
  <si>
    <t>"⢕"</t>
  </si>
  <si>
    <t>"⢖"</t>
  </si>
  <si>
    <t>"⢗"</t>
  </si>
  <si>
    <t>"⢘"</t>
  </si>
  <si>
    <t>"⢙"</t>
  </si>
  <si>
    <t>"⢚"</t>
  </si>
  <si>
    <t>"⢛"</t>
  </si>
  <si>
    <t>"⢜"</t>
  </si>
  <si>
    <t>"⢝"</t>
  </si>
  <si>
    <t>"⢞"</t>
  </si>
  <si>
    <t>"⢟"</t>
  </si>
  <si>
    <t>"⢠"</t>
  </si>
  <si>
    <t>"⢡"</t>
  </si>
  <si>
    <t>"⢢"</t>
  </si>
  <si>
    <t>"⢣"</t>
  </si>
  <si>
    <t>"⢤"</t>
  </si>
  <si>
    <t>"⢥"</t>
  </si>
  <si>
    <t>"⢦"</t>
  </si>
  <si>
    <t>"⢧"</t>
  </si>
  <si>
    <t>"⢨"</t>
  </si>
  <si>
    <t>"⢩"</t>
  </si>
  <si>
    <t>"⢪"</t>
  </si>
  <si>
    <t>"⢫"</t>
  </si>
  <si>
    <t>"⢬"</t>
  </si>
  <si>
    <t>"⢭"</t>
  </si>
  <si>
    <t>"⢮"</t>
  </si>
  <si>
    <t>"⢯"</t>
  </si>
  <si>
    <t>"⢰"</t>
  </si>
  <si>
    <t>"⢱"</t>
  </si>
  <si>
    <t>"⢲"</t>
  </si>
  <si>
    <t>"⢳"</t>
  </si>
  <si>
    <t>"⢴"</t>
  </si>
  <si>
    <t>"⢵"</t>
  </si>
  <si>
    <t>"⢶"</t>
  </si>
  <si>
    <t>"⢷"</t>
  </si>
  <si>
    <t>"⢸"</t>
  </si>
  <si>
    <t>"⢹"</t>
  </si>
  <si>
    <t>"⢺"</t>
  </si>
  <si>
    <t>"⢻"</t>
  </si>
  <si>
    <t>"⢼"</t>
  </si>
  <si>
    <t>"⢽"</t>
  </si>
  <si>
    <t>"⢾"</t>
  </si>
  <si>
    <t>"⢿"</t>
  </si>
  <si>
    <t>"⣀"</t>
  </si>
  <si>
    <t>"⣁"</t>
  </si>
  <si>
    <t>"⣂"</t>
  </si>
  <si>
    <t>"⣃"</t>
  </si>
  <si>
    <t>"⣄"</t>
  </si>
  <si>
    <t>"⣅"</t>
  </si>
  <si>
    <t>"⣆"</t>
  </si>
  <si>
    <t>"⣇"</t>
  </si>
  <si>
    <t>"⣈"</t>
  </si>
  <si>
    <t>"⣉"</t>
  </si>
  <si>
    <t>"⣊"</t>
  </si>
  <si>
    <t>"⣋"</t>
  </si>
  <si>
    <t>"⣌"</t>
  </si>
  <si>
    <t>"⣍"</t>
  </si>
  <si>
    <t>"⣎"</t>
  </si>
  <si>
    <t>"⣏"</t>
  </si>
  <si>
    <t>"⣐"</t>
  </si>
  <si>
    <t>"⣑"</t>
  </si>
  <si>
    <t>"⣒"</t>
  </si>
  <si>
    <t>"⣓"</t>
  </si>
  <si>
    <t>"⣔"</t>
  </si>
  <si>
    <t>"⣕"</t>
  </si>
  <si>
    <t>"⣖"</t>
  </si>
  <si>
    <t>"⣗"</t>
  </si>
  <si>
    <t>"⣘"</t>
  </si>
  <si>
    <t>"⣙"</t>
  </si>
  <si>
    <t>"⣚"</t>
  </si>
  <si>
    <t>"⣛"</t>
  </si>
  <si>
    <t>"⣜"</t>
  </si>
  <si>
    <t>"⣝"</t>
  </si>
  <si>
    <t>"⣞"</t>
  </si>
  <si>
    <t>"⣟"</t>
  </si>
  <si>
    <t>"⣠"</t>
  </si>
  <si>
    <t>"⣡"</t>
  </si>
  <si>
    <t>"⣢"</t>
  </si>
  <si>
    <t>"⣣"</t>
  </si>
  <si>
    <t>"⣤"</t>
  </si>
  <si>
    <t>"⣥"</t>
  </si>
  <si>
    <t>"⣦"</t>
  </si>
  <si>
    <t>"⣧"</t>
  </si>
  <si>
    <t>"⣨"</t>
  </si>
  <si>
    <t>"⣩"</t>
  </si>
  <si>
    <t>"⣪"</t>
  </si>
  <si>
    <t>"⣫"</t>
  </si>
  <si>
    <t>"⣬"</t>
  </si>
  <si>
    <t>"⣭"</t>
  </si>
  <si>
    <t>"⣮"</t>
  </si>
  <si>
    <t>"⣯"</t>
  </si>
  <si>
    <t>"⣰"</t>
  </si>
  <si>
    <t>"⣱"</t>
  </si>
  <si>
    <t>"⣲"</t>
  </si>
  <si>
    <t>"⣳"</t>
  </si>
  <si>
    <t>"⣴"</t>
  </si>
  <si>
    <t>"⣵"</t>
  </si>
  <si>
    <t>"⣶"</t>
  </si>
  <si>
    <t>"⣷"</t>
  </si>
  <si>
    <t>"⣸"</t>
  </si>
  <si>
    <t>"⣹"</t>
  </si>
  <si>
    <t>"⣺"</t>
  </si>
  <si>
    <t>"⣻"</t>
  </si>
  <si>
    <t>"⣼"</t>
  </si>
  <si>
    <t>"⣽"</t>
  </si>
  <si>
    <t>"⣾"</t>
  </si>
  <si>
    <t>"⣿"</t>
  </si>
  <si>
    <t>"⤀"</t>
  </si>
  <si>
    <t>"⤁"</t>
  </si>
  <si>
    <t>"⤂"</t>
  </si>
  <si>
    <t>"⤃"</t>
  </si>
  <si>
    <t>"⤄"</t>
  </si>
  <si>
    <t>☑;☑;☐;☐</t>
  </si>
  <si>
    <t>"⤅"</t>
  </si>
  <si>
    <t>"⤆"</t>
  </si>
  <si>
    <t>"⤇"</t>
  </si>
  <si>
    <t>"⤈"</t>
  </si>
  <si>
    <t>"⤉"</t>
  </si>
  <si>
    <t>"⤊"</t>
  </si>
  <si>
    <t>"⤋"</t>
  </si>
  <si>
    <t>"⤌"</t>
  </si>
  <si>
    <t>"⤍"</t>
  </si>
  <si>
    <t>"⤎"</t>
  </si>
  <si>
    <t>"⤏"</t>
  </si>
  <si>
    <t>"⤐"</t>
  </si>
  <si>
    <t>"⤑"</t>
  </si>
  <si>
    <t>"⤒"</t>
  </si>
  <si>
    <t>"⤓"</t>
  </si>
  <si>
    <t>"⤔"</t>
  </si>
  <si>
    <t>"⤕"</t>
  </si>
  <si>
    <t>"⤖"</t>
  </si>
  <si>
    <t>"⤗"</t>
  </si>
  <si>
    <t>"⤘"</t>
  </si>
  <si>
    <t>"⤙"</t>
  </si>
  <si>
    <t>"⤚"</t>
  </si>
  <si>
    <t>"⤛"</t>
  </si>
  <si>
    <t>"⤜"</t>
  </si>
  <si>
    <t>"⤝"</t>
  </si>
  <si>
    <t>"⤞"</t>
  </si>
  <si>
    <t>"⤟"</t>
  </si>
  <si>
    <t>"⤠"</t>
  </si>
  <si>
    <t>"⤡"</t>
  </si>
  <si>
    <t>"⤢"</t>
  </si>
  <si>
    <t>"⤣"</t>
  </si>
  <si>
    <t>"⤤"</t>
  </si>
  <si>
    <t>"⤥"</t>
  </si>
  <si>
    <t>"⤦"</t>
  </si>
  <si>
    <t>"⤧"</t>
  </si>
  <si>
    <t>"⤨"</t>
  </si>
  <si>
    <t>"⤩"</t>
  </si>
  <si>
    <t>"⤪"</t>
  </si>
  <si>
    <t>"⤫"</t>
  </si>
  <si>
    <t>"⤬"</t>
  </si>
  <si>
    <t>"⤭"</t>
  </si>
  <si>
    <t>"⤮"</t>
  </si>
  <si>
    <t>"⤯"</t>
  </si>
  <si>
    <t>"⤰"</t>
  </si>
  <si>
    <t>"⤱"</t>
  </si>
  <si>
    <t>"⤲"</t>
  </si>
  <si>
    <t>"⤳"</t>
  </si>
  <si>
    <t>"⤴"</t>
  </si>
  <si>
    <t>"⤵"</t>
  </si>
  <si>
    <t>"⤶"</t>
  </si>
  <si>
    <t>"⤷"</t>
  </si>
  <si>
    <t>"⤸"</t>
  </si>
  <si>
    <t>"⤹"</t>
  </si>
  <si>
    <t>"⤺"</t>
  </si>
  <si>
    <t>"⤻"</t>
  </si>
  <si>
    <t>"⤼"</t>
  </si>
  <si>
    <t>"⤽"</t>
  </si>
  <si>
    <t>"⤾"</t>
  </si>
  <si>
    <t>"⤿"</t>
  </si>
  <si>
    <t>"⥀"</t>
  </si>
  <si>
    <t>"⥁"</t>
  </si>
  <si>
    <t>"⥂"</t>
  </si>
  <si>
    <t>"⥃"</t>
  </si>
  <si>
    <t>"⥄"</t>
  </si>
  <si>
    <t>"⥅"</t>
  </si>
  <si>
    <t>"⥆"</t>
  </si>
  <si>
    <t>"⥇"</t>
  </si>
  <si>
    <t>"⥈"</t>
  </si>
  <si>
    <t>"⥉"</t>
  </si>
  <si>
    <t>"⥊"</t>
  </si>
  <si>
    <t>"⥋"</t>
  </si>
  <si>
    <t>"⥌"</t>
  </si>
  <si>
    <t>"⥍"</t>
  </si>
  <si>
    <t>"⥎"</t>
  </si>
  <si>
    <t>"⥏"</t>
  </si>
  <si>
    <t>"⥐"</t>
  </si>
  <si>
    <t>"⥑"</t>
  </si>
  <si>
    <t>"⥒"</t>
  </si>
  <si>
    <t>"⥓"</t>
  </si>
  <si>
    <t>"⥔"</t>
  </si>
  <si>
    <t>"⥕"</t>
  </si>
  <si>
    <t>"⥖"</t>
  </si>
  <si>
    <t>"⥗"</t>
  </si>
  <si>
    <t>"⥘"</t>
  </si>
  <si>
    <t>"⥙"</t>
  </si>
  <si>
    <t>"⥚"</t>
  </si>
  <si>
    <t>"⥛"</t>
  </si>
  <si>
    <t>"⥜"</t>
  </si>
  <si>
    <t>"⥝"</t>
  </si>
  <si>
    <t>"⥞"</t>
  </si>
  <si>
    <t>"⥟"</t>
  </si>
  <si>
    <t>"⥠"</t>
  </si>
  <si>
    <t>"⥡"</t>
  </si>
  <si>
    <t>"⥢"</t>
  </si>
  <si>
    <t>"⥣"</t>
  </si>
  <si>
    <t>"⥤"</t>
  </si>
  <si>
    <t>"⥥"</t>
  </si>
  <si>
    <t>"⥦"</t>
  </si>
  <si>
    <t>"⥧"</t>
  </si>
  <si>
    <t>"⥨"</t>
  </si>
  <si>
    <t>"⥩"</t>
  </si>
  <si>
    <t>"⥪"</t>
  </si>
  <si>
    <t>"⥫"</t>
  </si>
  <si>
    <t>"⥬"</t>
  </si>
  <si>
    <t>"⥭"</t>
  </si>
  <si>
    <t>"⥮"</t>
  </si>
  <si>
    <t>"⥯"</t>
  </si>
  <si>
    <t>"⥰"</t>
  </si>
  <si>
    <t>"⥱"</t>
  </si>
  <si>
    <t>"⥲"</t>
  </si>
  <si>
    <t>"⥳"</t>
  </si>
  <si>
    <t>"⥴"</t>
  </si>
  <si>
    <t>"⥵"</t>
  </si>
  <si>
    <t>"⥶"</t>
  </si>
  <si>
    <t>"⥷"</t>
  </si>
  <si>
    <t>"⥸"</t>
  </si>
  <si>
    <t>"⥹"</t>
  </si>
  <si>
    <t>"⥺"</t>
  </si>
  <si>
    <t>"⥻"</t>
  </si>
  <si>
    <t>"⥼"</t>
  </si>
  <si>
    <t>"⥽"</t>
  </si>
  <si>
    <t>"⥾"</t>
  </si>
  <si>
    <t>"⥿"</t>
  </si>
  <si>
    <t>"⦀"</t>
  </si>
  <si>
    <t>"⦁"</t>
  </si>
  <si>
    <t>"⦂"</t>
  </si>
  <si>
    <t>"⦃"</t>
  </si>
  <si>
    <t>"⦄"</t>
  </si>
  <si>
    <t>"⦅"</t>
  </si>
  <si>
    <t>"⦆"</t>
  </si>
  <si>
    <t>"⦇"</t>
  </si>
  <si>
    <t>"⦈"</t>
  </si>
  <si>
    <t>"⦉"</t>
  </si>
  <si>
    <t>"⦊"</t>
  </si>
  <si>
    <t>"⦋"</t>
  </si>
  <si>
    <t>"⦌"</t>
  </si>
  <si>
    <t>"⦍"</t>
  </si>
  <si>
    <t>"⦎"</t>
  </si>
  <si>
    <t>"⦏"</t>
  </si>
  <si>
    <t>"⦐"</t>
  </si>
  <si>
    <t>"⦑"</t>
  </si>
  <si>
    <t>"⦒"</t>
  </si>
  <si>
    <t>"⦓"</t>
  </si>
  <si>
    <t>"⦔"</t>
  </si>
  <si>
    <t>"⦕"</t>
  </si>
  <si>
    <t>"⦖"</t>
  </si>
  <si>
    <t>"⦗"</t>
  </si>
  <si>
    <t>"⦘"</t>
  </si>
  <si>
    <t>"⦙"</t>
  </si>
  <si>
    <t>"⦚"</t>
  </si>
  <si>
    <t>"⦛"</t>
  </si>
  <si>
    <t>"⦜"</t>
  </si>
  <si>
    <t>"⦝"</t>
  </si>
  <si>
    <t>"⦞"</t>
  </si>
  <si>
    <t>"⦟"</t>
  </si>
  <si>
    <t>"⦠"</t>
  </si>
  <si>
    <t>"⦡"</t>
  </si>
  <si>
    <t>"⦢"</t>
  </si>
  <si>
    <t>"⦣"</t>
  </si>
  <si>
    <t>"⦤"</t>
  </si>
  <si>
    <t>"⦥"</t>
  </si>
  <si>
    <t>"⦦"</t>
  </si>
  <si>
    <t>"⦧"</t>
  </si>
  <si>
    <t>"⦨"</t>
  </si>
  <si>
    <t>"⦩"</t>
  </si>
  <si>
    <t>"⦪"</t>
  </si>
  <si>
    <t>"⦫"</t>
  </si>
  <si>
    <t>"⦬"</t>
  </si>
  <si>
    <t>"⦭"</t>
  </si>
  <si>
    <t>"⦮"</t>
  </si>
  <si>
    <t>"⦯"</t>
  </si>
  <si>
    <t>"⦰"</t>
  </si>
  <si>
    <t>"⦱"</t>
  </si>
  <si>
    <t>"⦲"</t>
  </si>
  <si>
    <t>"⦳"</t>
  </si>
  <si>
    <t>"⦴"</t>
  </si>
  <si>
    <t>"⦵"</t>
  </si>
  <si>
    <t>"⦶"</t>
  </si>
  <si>
    <t>"⦷"</t>
  </si>
  <si>
    <t>"⦸"</t>
  </si>
  <si>
    <t>"⦹"</t>
  </si>
  <si>
    <t>"⦺"</t>
  </si>
  <si>
    <t>"⦻"</t>
  </si>
  <si>
    <t>"⦼"</t>
  </si>
  <si>
    <t>"⦽"</t>
  </si>
  <si>
    <t>"⦾"</t>
  </si>
  <si>
    <t>"⦿"</t>
  </si>
  <si>
    <t>"⧀"</t>
  </si>
  <si>
    <t>"⧁"</t>
  </si>
  <si>
    <t>"⧂"</t>
  </si>
  <si>
    <t>"⧃"</t>
  </si>
  <si>
    <t>"⧄"</t>
  </si>
  <si>
    <t>"⧅"</t>
  </si>
  <si>
    <t>"⧆"</t>
  </si>
  <si>
    <t>"⧇"</t>
  </si>
  <si>
    <t>"⧈"</t>
  </si>
  <si>
    <t>"⧉"</t>
  </si>
  <si>
    <t>"⧊"</t>
  </si>
  <si>
    <t>"⧋"</t>
  </si>
  <si>
    <t>"⧌"</t>
  </si>
  <si>
    <t>"⧍"</t>
  </si>
  <si>
    <t>"⧎"</t>
  </si>
  <si>
    <t>"⧏"</t>
  </si>
  <si>
    <t>"⧐"</t>
  </si>
  <si>
    <t>"⧑"</t>
  </si>
  <si>
    <t>"⧒"</t>
  </si>
  <si>
    <t>"⧓"</t>
  </si>
  <si>
    <t>"⧔"</t>
  </si>
  <si>
    <t>"⧕"</t>
  </si>
  <si>
    <t>"⧖"</t>
  </si>
  <si>
    <t>"⧗"</t>
  </si>
  <si>
    <t>"⧘"</t>
  </si>
  <si>
    <t>"⧙"</t>
  </si>
  <si>
    <t>"⧚"</t>
  </si>
  <si>
    <t>"⧛"</t>
  </si>
  <si>
    <t>"⧜"</t>
  </si>
  <si>
    <t>"⧝"</t>
  </si>
  <si>
    <t>"⧞"</t>
  </si>
  <si>
    <t>"⧟"</t>
  </si>
  <si>
    <t>"⧠"</t>
  </si>
  <si>
    <t>"⧡"</t>
  </si>
  <si>
    <t>"⧢"</t>
  </si>
  <si>
    <t>"⧣"</t>
  </si>
  <si>
    <t>"⧤"</t>
  </si>
  <si>
    <t>"⧥"</t>
  </si>
  <si>
    <t>"⧦"</t>
  </si>
  <si>
    <t>"⧧"</t>
  </si>
  <si>
    <t>"⧨"</t>
  </si>
  <si>
    <t>"⧩"</t>
  </si>
  <si>
    <t>"⧪"</t>
  </si>
  <si>
    <t>"⧫"</t>
  </si>
  <si>
    <t>"⧬"</t>
  </si>
  <si>
    <t>"⧭"</t>
  </si>
  <si>
    <t>"⧮"</t>
  </si>
  <si>
    <t>"⧯"</t>
  </si>
  <si>
    <t>"⧰"</t>
  </si>
  <si>
    <t>"⧱"</t>
  </si>
  <si>
    <t>"⧲"</t>
  </si>
  <si>
    <t>"⧳"</t>
  </si>
  <si>
    <t>"⧴"</t>
  </si>
  <si>
    <t>"⧵"</t>
  </si>
  <si>
    <t>"⧶"</t>
  </si>
  <si>
    <t>"⧷"</t>
  </si>
  <si>
    <t>"⧸"</t>
  </si>
  <si>
    <t>"⧹"</t>
  </si>
  <si>
    <t>"⧺"</t>
  </si>
  <si>
    <t>"⧻"</t>
  </si>
  <si>
    <t>"⧼"</t>
  </si>
  <si>
    <t>"⧽"</t>
  </si>
  <si>
    <t>"⧾"</t>
  </si>
  <si>
    <t>"⧿"</t>
  </si>
  <si>
    <t>"⨀"</t>
  </si>
  <si>
    <t>"⨁"</t>
  </si>
  <si>
    <t>"⨂"</t>
  </si>
  <si>
    <t>"⨃"</t>
  </si>
  <si>
    <t>"⨄"</t>
  </si>
  <si>
    <t>"⨅"</t>
  </si>
  <si>
    <t>"⨆"</t>
  </si>
  <si>
    <t>"⨇"</t>
  </si>
  <si>
    <t>"⨈"</t>
  </si>
  <si>
    <t>"⨉"</t>
  </si>
  <si>
    <t>"⨊"</t>
  </si>
  <si>
    <t>"⨋"</t>
  </si>
  <si>
    <t>"⨌"</t>
  </si>
  <si>
    <t>"⨍"</t>
  </si>
  <si>
    <t>"⨎"</t>
  </si>
  <si>
    <t>"⨏"</t>
  </si>
  <si>
    <t>"⨐"</t>
  </si>
  <si>
    <t>"⨑"</t>
  </si>
  <si>
    <t>"⨒"</t>
  </si>
  <si>
    <t>"⨓"</t>
  </si>
  <si>
    <t>"⨔"</t>
  </si>
  <si>
    <t>"⨕"</t>
  </si>
  <si>
    <t>"⨖"</t>
  </si>
  <si>
    <t>"⨗"</t>
  </si>
  <si>
    <t>"⨘"</t>
  </si>
  <si>
    <t>"⨙"</t>
  </si>
  <si>
    <t>"⨚"</t>
  </si>
  <si>
    <t>"⨛"</t>
  </si>
  <si>
    <t>"⨜"</t>
  </si>
  <si>
    <t>"⨝"</t>
  </si>
  <si>
    <t>"⨞"</t>
  </si>
  <si>
    <t>"⨟"</t>
  </si>
  <si>
    <t>"⨠"</t>
  </si>
  <si>
    <t>"⨡"</t>
  </si>
  <si>
    <t>"⨢"</t>
  </si>
  <si>
    <t>"⨣"</t>
  </si>
  <si>
    <t>"⨤"</t>
  </si>
  <si>
    <t>"⨥"</t>
  </si>
  <si>
    <t>"⨦"</t>
  </si>
  <si>
    <t>"⨧"</t>
  </si>
  <si>
    <t>"⨨"</t>
  </si>
  <si>
    <t>"⨩"</t>
  </si>
  <si>
    <t>"⨪"</t>
  </si>
  <si>
    <t>"⨫"</t>
  </si>
  <si>
    <t>"⨬"</t>
  </si>
  <si>
    <t>"⨭"</t>
  </si>
  <si>
    <t>"⨮"</t>
  </si>
  <si>
    <t>"⨯"</t>
  </si>
  <si>
    <t>"⨰"</t>
  </si>
  <si>
    <t>"⨱"</t>
  </si>
  <si>
    <t>"⨲"</t>
  </si>
  <si>
    <t>"⨳"</t>
  </si>
  <si>
    <t>"⨴"</t>
  </si>
  <si>
    <t>"⨵"</t>
  </si>
  <si>
    <t>"⨶"</t>
  </si>
  <si>
    <t>"⨷"</t>
  </si>
  <si>
    <t>"⨸"</t>
  </si>
  <si>
    <t>"⨹"</t>
  </si>
  <si>
    <t>"⨺"</t>
  </si>
  <si>
    <t>"⨻"</t>
  </si>
  <si>
    <t>"⨼"</t>
  </si>
  <si>
    <t>"⨽"</t>
  </si>
  <si>
    <t>"⨾"</t>
  </si>
  <si>
    <t>"⨿"</t>
  </si>
  <si>
    <t>"⩀"</t>
  </si>
  <si>
    <t>"⩁"</t>
  </si>
  <si>
    <t>"⩂"</t>
  </si>
  <si>
    <t>"⩃"</t>
  </si>
  <si>
    <t>"⩄"</t>
  </si>
  <si>
    <t>"⩅"</t>
  </si>
  <si>
    <t>"⩆"</t>
  </si>
  <si>
    <t>"⩇"</t>
  </si>
  <si>
    <t>"⩈"</t>
  </si>
  <si>
    <t>"⩉"</t>
  </si>
  <si>
    <t>"⩊"</t>
  </si>
  <si>
    <t>"⩋"</t>
  </si>
  <si>
    <t>"⩌"</t>
  </si>
  <si>
    <t>"⩍"</t>
  </si>
  <si>
    <t>"⩎"</t>
  </si>
  <si>
    <t>"⩏"</t>
  </si>
  <si>
    <t>"⩐"</t>
  </si>
  <si>
    <t>"⩑"</t>
  </si>
  <si>
    <t>"⩒"</t>
  </si>
  <si>
    <t>"⩓"</t>
  </si>
  <si>
    <t>"⩔"</t>
  </si>
  <si>
    <t>"⩕"</t>
  </si>
  <si>
    <t>"⩖"</t>
  </si>
  <si>
    <t>"⩗"</t>
  </si>
  <si>
    <t>"⩘"</t>
  </si>
  <si>
    <t>"⩙"</t>
  </si>
  <si>
    <t>"⩚"</t>
  </si>
  <si>
    <t>"⩛"</t>
  </si>
  <si>
    <t>"⩜"</t>
  </si>
  <si>
    <t>"⩝"</t>
  </si>
  <si>
    <t>"⩞"</t>
  </si>
  <si>
    <t>"⩟"</t>
  </si>
  <si>
    <t>"⩠"</t>
  </si>
  <si>
    <t>"⩡"</t>
  </si>
  <si>
    <t>"⩢"</t>
  </si>
  <si>
    <t>"⩣"</t>
  </si>
  <si>
    <t>"⩤"</t>
  </si>
  <si>
    <t>"⩥"</t>
  </si>
  <si>
    <t>"⩦"</t>
  </si>
  <si>
    <t>"⩧"</t>
  </si>
  <si>
    <t>"⩨"</t>
  </si>
  <si>
    <t>"⩩"</t>
  </si>
  <si>
    <t>"⩪"</t>
  </si>
  <si>
    <t>"⩫"</t>
  </si>
  <si>
    <t>"⩬"</t>
  </si>
  <si>
    <t>"⩭"</t>
  </si>
  <si>
    <t>"⩮"</t>
  </si>
  <si>
    <t>"⩯"</t>
  </si>
  <si>
    <t>"⩰"</t>
  </si>
  <si>
    <t>"⩱"</t>
  </si>
  <si>
    <t>"⩲"</t>
  </si>
  <si>
    <t>"⩳"</t>
  </si>
  <si>
    <t>"⩴"</t>
  </si>
  <si>
    <t>"⩵"</t>
  </si>
  <si>
    <t>"⩶"</t>
  </si>
  <si>
    <t>"⩷"</t>
  </si>
  <si>
    <t>"⩸"</t>
  </si>
  <si>
    <t>"⩹"</t>
  </si>
  <si>
    <t>"⩺"</t>
  </si>
  <si>
    <t>"⩻"</t>
  </si>
  <si>
    <t>"⩼"</t>
  </si>
  <si>
    <t>"⩽"</t>
  </si>
  <si>
    <t>"⩾"</t>
  </si>
  <si>
    <t>"⩿"</t>
  </si>
  <si>
    <t>"⪀"</t>
  </si>
  <si>
    <t>"⪁"</t>
  </si>
  <si>
    <t>"⪂"</t>
  </si>
  <si>
    <t>"⪃"</t>
  </si>
  <si>
    <t>"⪄"</t>
  </si>
  <si>
    <t>"⪅"</t>
  </si>
  <si>
    <t>"⪆"</t>
  </si>
  <si>
    <t>"⪇"</t>
  </si>
  <si>
    <t>"⪈"</t>
  </si>
  <si>
    <t>"⪉"</t>
  </si>
  <si>
    <t>"⪊"</t>
  </si>
  <si>
    <t>"⪋"</t>
  </si>
  <si>
    <t>"⪌"</t>
  </si>
  <si>
    <t>"⪍"</t>
  </si>
  <si>
    <t>"⪎"</t>
  </si>
  <si>
    <t>"⪏"</t>
  </si>
  <si>
    <t>"⪐"</t>
  </si>
  <si>
    <t>"⪑"</t>
  </si>
  <si>
    <t>"⪒"</t>
  </si>
  <si>
    <t>"⪓"</t>
  </si>
  <si>
    <t>"⪔"</t>
  </si>
  <si>
    <t>"⪕"</t>
  </si>
  <si>
    <t>"⪖"</t>
  </si>
  <si>
    <t>"⪗"</t>
  </si>
  <si>
    <t>"⪘"</t>
  </si>
  <si>
    <t>"⪙"</t>
  </si>
  <si>
    <t>"⪚"</t>
  </si>
  <si>
    <t>"⪛"</t>
  </si>
  <si>
    <t>"⪜"</t>
  </si>
  <si>
    <t>"⪝"</t>
  </si>
  <si>
    <t>"⪞"</t>
  </si>
  <si>
    <t>"⪟"</t>
  </si>
  <si>
    <t>"⪠"</t>
  </si>
  <si>
    <t>"⪡"</t>
  </si>
  <si>
    <t>"⪢"</t>
  </si>
  <si>
    <t>"⪣"</t>
  </si>
  <si>
    <t>"⪤"</t>
  </si>
  <si>
    <t>"⪥"</t>
  </si>
  <si>
    <t>"⪦"</t>
  </si>
  <si>
    <t>"⪧"</t>
  </si>
  <si>
    <t>"⪨"</t>
  </si>
  <si>
    <t>"⪩"</t>
  </si>
  <si>
    <t>"⪪"</t>
  </si>
  <si>
    <t>"⪫"</t>
  </si>
  <si>
    <t>"⪬"</t>
  </si>
  <si>
    <t>"⪭"</t>
  </si>
  <si>
    <t>"⪮"</t>
  </si>
  <si>
    <t>"⪯"</t>
  </si>
  <si>
    <t>"⪰"</t>
  </si>
  <si>
    <t>"⪱"</t>
  </si>
  <si>
    <t>"⪲"</t>
  </si>
  <si>
    <t>"⪳"</t>
  </si>
  <si>
    <t>"⪴"</t>
  </si>
  <si>
    <t>"⪵"</t>
  </si>
  <si>
    <t>"⪶"</t>
  </si>
  <si>
    <t>"⪷"</t>
  </si>
  <si>
    <t>"⪸"</t>
  </si>
  <si>
    <t>"⪹"</t>
  </si>
  <si>
    <t>"⪺"</t>
  </si>
  <si>
    <t>"⪻"</t>
  </si>
  <si>
    <t>"⪼"</t>
  </si>
  <si>
    <t>"⪽"</t>
  </si>
  <si>
    <t>"⪾"</t>
  </si>
  <si>
    <t>"⪿"</t>
  </si>
  <si>
    <t>"⫀"</t>
  </si>
  <si>
    <t>"⫁"</t>
  </si>
  <si>
    <t>"⫂"</t>
  </si>
  <si>
    <t>"⫃"</t>
  </si>
  <si>
    <t>"⫄"</t>
  </si>
  <si>
    <t>"⫅"</t>
  </si>
  <si>
    <t>"⫆"</t>
  </si>
  <si>
    <t>"⫇"</t>
  </si>
  <si>
    <t>"⫈"</t>
  </si>
  <si>
    <t>"⫉"</t>
  </si>
  <si>
    <t>"⫊"</t>
  </si>
  <si>
    <t>"⫋"</t>
  </si>
  <si>
    <t>"⫌"</t>
  </si>
  <si>
    <t>"⫍"</t>
  </si>
  <si>
    <t>"⫎"</t>
  </si>
  <si>
    <t>"⫏"</t>
  </si>
  <si>
    <t>"⫐"</t>
  </si>
  <si>
    <t>"⫑"</t>
  </si>
  <si>
    <t>"⫒"</t>
  </si>
  <si>
    <t>"⫓"</t>
  </si>
  <si>
    <t>"⫔"</t>
  </si>
  <si>
    <t>"⫕"</t>
  </si>
  <si>
    <t>"⫖"</t>
  </si>
  <si>
    <t>"⫗"</t>
  </si>
  <si>
    <t>"⫘"</t>
  </si>
  <si>
    <t>"⫙"</t>
  </si>
  <si>
    <t>"⫚"</t>
  </si>
  <si>
    <t>"⫛"</t>
  </si>
  <si>
    <t>"⫝̸"</t>
  </si>
  <si>
    <t>"⫝"</t>
  </si>
  <si>
    <t>"⫞"</t>
  </si>
  <si>
    <t>"⫟"</t>
  </si>
  <si>
    <t>"⫠"</t>
  </si>
  <si>
    <t>"⫡"</t>
  </si>
  <si>
    <t>"⫢"</t>
  </si>
  <si>
    <t>"⫣"</t>
  </si>
  <si>
    <t>"⫤"</t>
  </si>
  <si>
    <t>"⫥"</t>
  </si>
  <si>
    <t>"⫦"</t>
  </si>
  <si>
    <t>"⫧"</t>
  </si>
  <si>
    <t>"⫨"</t>
  </si>
  <si>
    <t>"⫩"</t>
  </si>
  <si>
    <t>"⫪"</t>
  </si>
  <si>
    <t>"⫫"</t>
  </si>
  <si>
    <t>"⫬"</t>
  </si>
  <si>
    <t>"⫭"</t>
  </si>
  <si>
    <t>"⫮"</t>
  </si>
  <si>
    <t>"⫯"</t>
  </si>
  <si>
    <t>"⫰"</t>
  </si>
  <si>
    <t>"⫱"</t>
  </si>
  <si>
    <t>"⫲"</t>
  </si>
  <si>
    <t>"⫳"</t>
  </si>
  <si>
    <t>"⫴"</t>
  </si>
  <si>
    <t>"⫵"</t>
  </si>
  <si>
    <t>"⫶"</t>
  </si>
  <si>
    <t>"⫷"</t>
  </si>
  <si>
    <t>"⫸"</t>
  </si>
  <si>
    <t>"⫹"</t>
  </si>
  <si>
    <t>"⫺"</t>
  </si>
  <si>
    <t>"⫻"</t>
  </si>
  <si>
    <t>"⫼"</t>
  </si>
  <si>
    <t>"⫽"</t>
  </si>
  <si>
    <t>"⫾"</t>
  </si>
  <si>
    <t>"⫿"</t>
  </si>
  <si>
    <t>"⬀"</t>
  </si>
  <si>
    <t>"⬁"</t>
  </si>
  <si>
    <t>"⬂"</t>
  </si>
  <si>
    <t>"⬃"</t>
  </si>
  <si>
    <t>"⬄"</t>
  </si>
  <si>
    <t>"⬅"</t>
  </si>
  <si>
    <t>"⬆"</t>
  </si>
  <si>
    <t>"⬇"</t>
  </si>
  <si>
    <t>"⬈"</t>
  </si>
  <si>
    <t>"⬉"</t>
  </si>
  <si>
    <t>"⬊"</t>
  </si>
  <si>
    <t>"⬋"</t>
  </si>
  <si>
    <t>"⬌"</t>
  </si>
  <si>
    <t>"⬍"</t>
  </si>
  <si>
    <t>"⬎"</t>
  </si>
  <si>
    <t>"⬏"</t>
  </si>
  <si>
    <t>"⬐"</t>
  </si>
  <si>
    <t>"⬑"</t>
  </si>
  <si>
    <t>"⬒"</t>
  </si>
  <si>
    <t>"⬓"</t>
  </si>
  <si>
    <t>"⬔"</t>
  </si>
  <si>
    <t>"⬕"</t>
  </si>
  <si>
    <t>"⬖"</t>
  </si>
  <si>
    <t>"⬗"</t>
  </si>
  <si>
    <t>"⬘"</t>
  </si>
  <si>
    <t>"⬙"</t>
  </si>
  <si>
    <t>"⬚"</t>
  </si>
  <si>
    <t>"⬛"</t>
  </si>
  <si>
    <t>"⬜"</t>
  </si>
  <si>
    <t>"⬝"</t>
  </si>
  <si>
    <t>"⬞"</t>
  </si>
  <si>
    <t>"⬟"</t>
  </si>
  <si>
    <t>"⬠"</t>
  </si>
  <si>
    <t>"⬡"</t>
  </si>
  <si>
    <t>"⬢"</t>
  </si>
  <si>
    <t>"⬣"</t>
  </si>
  <si>
    <t>"⬤"</t>
  </si>
  <si>
    <t>"⬥"</t>
  </si>
  <si>
    <t>"⬦"</t>
  </si>
  <si>
    <t>"⬧"</t>
  </si>
  <si>
    <t>"⬨"</t>
  </si>
  <si>
    <t>"⬩"</t>
  </si>
  <si>
    <t>"⬪"</t>
  </si>
  <si>
    <t>"⬫"</t>
  </si>
  <si>
    <t>"⬬"</t>
  </si>
  <si>
    <t>"⬭"</t>
  </si>
  <si>
    <t>"⬮"</t>
  </si>
  <si>
    <t>"⬯"</t>
  </si>
  <si>
    <t>"⬰"</t>
  </si>
  <si>
    <t>"⬱"</t>
  </si>
  <si>
    <t>"⬲"</t>
  </si>
  <si>
    <t>"⬳"</t>
  </si>
  <si>
    <t>"⬴"</t>
  </si>
  <si>
    <t>"⬵"</t>
  </si>
  <si>
    <t>"⬶"</t>
  </si>
  <si>
    <t>"⬷"</t>
  </si>
  <si>
    <t>"⬸"</t>
  </si>
  <si>
    <t>"⬹"</t>
  </si>
  <si>
    <t>"⬺"</t>
  </si>
  <si>
    <t>"⬻"</t>
  </si>
  <si>
    <t>"⬼"</t>
  </si>
  <si>
    <t>"⬽"</t>
  </si>
  <si>
    <t>"⬾"</t>
  </si>
  <si>
    <t>"⬿"</t>
  </si>
  <si>
    <t>"⭀"</t>
  </si>
  <si>
    <t>"⭁"</t>
  </si>
  <si>
    <t>"⭂"</t>
  </si>
  <si>
    <t>"⭃"</t>
  </si>
  <si>
    <t>"⭄"</t>
  </si>
  <si>
    <t>"⭅"</t>
  </si>
  <si>
    <t>"⭆"</t>
  </si>
  <si>
    <t>"⭇"</t>
  </si>
  <si>
    <t>"⭈"</t>
  </si>
  <si>
    <t>"⭉"</t>
  </si>
  <si>
    <t>"⭊"</t>
  </si>
  <si>
    <t>"⭋"</t>
  </si>
  <si>
    <t>"⭌"</t>
  </si>
  <si>
    <t>"⭍"</t>
  </si>
  <si>
    <t>"⭎"</t>
  </si>
  <si>
    <t>"⭏"</t>
  </si>
  <si>
    <t>"⭐"</t>
  </si>
  <si>
    <t>"⭑"</t>
  </si>
  <si>
    <t>"⭒"</t>
  </si>
  <si>
    <t>"⭓"</t>
  </si>
  <si>
    <t>"⭔"</t>
  </si>
  <si>
    <t>"⭕"</t>
  </si>
  <si>
    <t>"⭖"</t>
  </si>
  <si>
    <t>"⭗"</t>
  </si>
  <si>
    <t>"⭘"</t>
  </si>
  <si>
    <t>"⭙"</t>
  </si>
  <si>
    <t>"⭚"</t>
  </si>
  <si>
    <t>"⭛"</t>
  </si>
  <si>
    <t>"⭜"</t>
  </si>
  <si>
    <t>"⭝"</t>
  </si>
  <si>
    <t>"⭞"</t>
  </si>
  <si>
    <t>"⭟"</t>
  </si>
  <si>
    <t>"⭠"</t>
  </si>
  <si>
    <t>"⭡"</t>
  </si>
  <si>
    <t>"⭢"</t>
  </si>
  <si>
    <t>"⭣"</t>
  </si>
  <si>
    <t>"⭤"</t>
  </si>
  <si>
    <t>"⭥"</t>
  </si>
  <si>
    <t>"⭦"</t>
  </si>
  <si>
    <t>"⭧"</t>
  </si>
  <si>
    <t>"⭨"</t>
  </si>
  <si>
    <t>"⭩"</t>
  </si>
  <si>
    <t>"⭪"</t>
  </si>
  <si>
    <t>"⭫"</t>
  </si>
  <si>
    <t>"⭬"</t>
  </si>
  <si>
    <t>"⭭"</t>
  </si>
  <si>
    <t>"⭮"</t>
  </si>
  <si>
    <t>"⭯"</t>
  </si>
  <si>
    <t>"⭰"</t>
  </si>
  <si>
    <t>"⭱"</t>
  </si>
  <si>
    <t>"⭲"</t>
  </si>
  <si>
    <t>"⭳"</t>
  </si>
  <si>
    <t>"⭴"</t>
  </si>
  <si>
    <t>"⭵"</t>
  </si>
  <si>
    <t>"⭶"</t>
  </si>
  <si>
    <t>"⭷"</t>
  </si>
  <si>
    <t>"⭸"</t>
  </si>
  <si>
    <t>"⭹"</t>
  </si>
  <si>
    <t>"⭺"</t>
  </si>
  <si>
    <t>"⭻"</t>
  </si>
  <si>
    <t>"⭼"</t>
  </si>
  <si>
    <t>"⭽"</t>
  </si>
  <si>
    <t>"⭾"</t>
  </si>
  <si>
    <t>"⭿"</t>
  </si>
  <si>
    <t>"⮀"</t>
  </si>
  <si>
    <t>"⮁"</t>
  </si>
  <si>
    <t>"⮂"</t>
  </si>
  <si>
    <t>"⮃"</t>
  </si>
  <si>
    <t>"⮄"</t>
  </si>
  <si>
    <t>"⮅"</t>
  </si>
  <si>
    <t>"⮆"</t>
  </si>
  <si>
    <t>"⮇"</t>
  </si>
  <si>
    <t>"⮈"</t>
  </si>
  <si>
    <t>"⮉"</t>
  </si>
  <si>
    <t>"⮊"</t>
  </si>
  <si>
    <t>"⮋"</t>
  </si>
  <si>
    <t>"⮌"</t>
  </si>
  <si>
    <t>"⮍"</t>
  </si>
  <si>
    <t>"⮎"</t>
  </si>
  <si>
    <t>"⮏"</t>
  </si>
  <si>
    <t>"⮐"</t>
  </si>
  <si>
    <t>"⮑"</t>
  </si>
  <si>
    <t>"⮒"</t>
  </si>
  <si>
    <t>"⮓"</t>
  </si>
  <si>
    <t>"⮔"</t>
  </si>
  <si>
    <t>"⮕"</t>
  </si>
  <si>
    <t>"⮖"</t>
  </si>
  <si>
    <t>"⮗"</t>
  </si>
  <si>
    <t>"⮘"</t>
  </si>
  <si>
    <t>"⮙"</t>
  </si>
  <si>
    <t>"⮚"</t>
  </si>
  <si>
    <t>"⮛"</t>
  </si>
  <si>
    <t>"⮜"</t>
  </si>
  <si>
    <t>"⮝"</t>
  </si>
  <si>
    <t>"⮞"</t>
  </si>
  <si>
    <t>"⮟"</t>
  </si>
  <si>
    <t>"⮠"</t>
  </si>
  <si>
    <t>"⮡"</t>
  </si>
  <si>
    <t>"⮢"</t>
  </si>
  <si>
    <t>"⮣"</t>
  </si>
  <si>
    <t>"⮤"</t>
  </si>
  <si>
    <t>"⮥"</t>
  </si>
  <si>
    <t>"⮦"</t>
  </si>
  <si>
    <t>"⮧"</t>
  </si>
  <si>
    <t>"⮨"</t>
  </si>
  <si>
    <t>"⮩"</t>
  </si>
  <si>
    <t>"⮪"</t>
  </si>
  <si>
    <t>"⮫"</t>
  </si>
  <si>
    <t>"⮬"</t>
  </si>
  <si>
    <t>"⮭"</t>
  </si>
  <si>
    <t>"⮮"</t>
  </si>
  <si>
    <t>"⮯"</t>
  </si>
  <si>
    <t>"⮰"</t>
  </si>
  <si>
    <t>"⮱"</t>
  </si>
  <si>
    <t>"⮲"</t>
  </si>
  <si>
    <t>"⮳"</t>
  </si>
  <si>
    <t>"⮴"</t>
  </si>
  <si>
    <t>"⮵"</t>
  </si>
  <si>
    <t>"⮶"</t>
  </si>
  <si>
    <t>"⮷"</t>
  </si>
  <si>
    <t>"⮸"</t>
  </si>
  <si>
    <t>"⮹"</t>
  </si>
  <si>
    <t>"⮺"</t>
  </si>
  <si>
    <t>"⮻"</t>
  </si>
  <si>
    <t>"⮼"</t>
  </si>
  <si>
    <t>"⮽"</t>
  </si>
  <si>
    <t>"⮾"</t>
  </si>
  <si>
    <t>"⮿"</t>
  </si>
  <si>
    <t>"⯀"</t>
  </si>
  <si>
    <t>"⯁"</t>
  </si>
  <si>
    <t>"⯂"</t>
  </si>
  <si>
    <t>"⯃"</t>
  </si>
  <si>
    <t>"⯄"</t>
  </si>
  <si>
    <t>"⯅"</t>
  </si>
  <si>
    <t>"⯆"</t>
  </si>
  <si>
    <t>"⯇"</t>
  </si>
  <si>
    <t>"⯈"</t>
  </si>
  <si>
    <t>"⯉"</t>
  </si>
  <si>
    <t>"⯊"</t>
  </si>
  <si>
    <t>"⯋"</t>
  </si>
  <si>
    <t>"⯌"</t>
  </si>
  <si>
    <t>"⯍"</t>
  </si>
  <si>
    <t>"⯎"</t>
  </si>
  <si>
    <t>"⯏"</t>
  </si>
  <si>
    <t>"⯐"</t>
  </si>
  <si>
    <t>"⯑"</t>
  </si>
  <si>
    <t>"⯒"</t>
  </si>
  <si>
    <t>"⯓"</t>
  </si>
  <si>
    <t>"⯔"</t>
  </si>
  <si>
    <t>"⯕"</t>
  </si>
  <si>
    <t>"⯖"</t>
  </si>
  <si>
    <t>"⯗"</t>
  </si>
  <si>
    <t>"⯘"</t>
  </si>
  <si>
    <t>"⯙"</t>
  </si>
  <si>
    <t>"⯚"</t>
  </si>
  <si>
    <t>"⯛"</t>
  </si>
  <si>
    <t>"⯜"</t>
  </si>
  <si>
    <t>"⯝"</t>
  </si>
  <si>
    <t>"⯞"</t>
  </si>
  <si>
    <t>"⯟"</t>
  </si>
  <si>
    <t>"⯠"</t>
  </si>
  <si>
    <t>"⯡"</t>
  </si>
  <si>
    <t>"⯢"</t>
  </si>
  <si>
    <t>"⯣"</t>
  </si>
  <si>
    <t>"⯤"</t>
  </si>
  <si>
    <t>"⯥"</t>
  </si>
  <si>
    <t>"⯦"</t>
  </si>
  <si>
    <t>"⯧"</t>
  </si>
  <si>
    <t>"⯨"</t>
  </si>
  <si>
    <t>"⯩"</t>
  </si>
  <si>
    <t>"⯪"</t>
  </si>
  <si>
    <t>"⯫"</t>
  </si>
  <si>
    <t>"⯬"</t>
  </si>
  <si>
    <t>"⯭"</t>
  </si>
  <si>
    <t>"⯮"</t>
  </si>
  <si>
    <t>"⯯"</t>
  </si>
  <si>
    <t>"⯰"</t>
  </si>
  <si>
    <t>"⯱"</t>
  </si>
  <si>
    <t>"⯲"</t>
  </si>
  <si>
    <t>"⯳"</t>
  </si>
  <si>
    <t>"⯴"</t>
  </si>
  <si>
    <t>"⯵"</t>
  </si>
  <si>
    <t>"⯶"</t>
  </si>
  <si>
    <t>"⯷"</t>
  </si>
  <si>
    <t>"⯸"</t>
  </si>
  <si>
    <t>"⯹"</t>
  </si>
  <si>
    <t>"⯺"</t>
  </si>
  <si>
    <t>"⯻"</t>
  </si>
  <si>
    <t>"⯼"</t>
  </si>
  <si>
    <t>"⯽"</t>
  </si>
  <si>
    <t>"⯾"</t>
  </si>
  <si>
    <t>"⯿"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</si>
  <si>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</si>
  <si>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</si>
  <si>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</si>
  <si>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</si>
  <si>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</si>
  <si>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</si>
  <si>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</si>
  <si>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</si>
  <si>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</si>
  <si>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</si>
  <si>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</si>
  <si>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</si>
  <si>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</si>
  <si>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</si>
  <si>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</si>
  <si>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</si>
  <si>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</si>
  <si>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</si>
  <si>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</si>
  <si>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</si>
  <si>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</si>
  <si>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</si>
  <si>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</si>
  <si>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</si>
  <si>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</si>
  <si>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</si>
  <si>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</si>
  <si>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</si>
  <si>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</si>
  <si>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</si>
  <si>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</si>
  <si>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</si>
  <si>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</si>
  <si>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</si>
  <si>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</si>
  <si>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</si>
  <si>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</si>
  <si>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</si>
  <si>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</si>
  <si>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</si>
  <si>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</si>
  <si>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</si>
  <si>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</si>
  <si>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</si>
  <si>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</si>
  <si>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</si>
  <si>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</si>
  <si>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</si>
  <si>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</si>
  <si>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</si>
  <si>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</si>
  <si>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</si>
  <si>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</si>
  <si>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</si>
  <si>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</si>
  <si>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</si>
  <si>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</si>
  <si>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</si>
  <si>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</si>
  <si>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</si>
  <si>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</si>
  <si>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</si>
  <si>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</si>
  <si>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</si>
  <si>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</si>
  <si>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</si>
  <si>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</si>
  <si>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</si>
  <si>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</si>
  <si>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</si>
  <si>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</si>
  <si>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</si>
  <si>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</si>
  <si>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</si>
  <si>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</si>
  <si>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</si>
  <si>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</si>
  <si>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</si>
  <si>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</si>
  <si>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</si>
  <si>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</si>
  <si>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</si>
  <si>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</si>
  <si>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</si>
  <si>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</si>
  <si>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</si>
  <si>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</si>
  <si>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</si>
  <si>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</si>
  <si>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</si>
  <si>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</si>
  <si>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</si>
  <si>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</si>
  <si>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</si>
  <si>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</si>
  <si>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</si>
  <si>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"Ⱡ"</t>
  </si>
  <si>
    <t>"ⱡ"</t>
  </si>
  <si>
    <t>"Ɫ"</t>
  </si>
  <si>
    <t>"Ᵽ"</t>
  </si>
  <si>
    <t>"Ɽ"</t>
  </si>
  <si>
    <t>"ⱥ"</t>
  </si>
  <si>
    <t>"ⱦ"</t>
  </si>
  <si>
    <t>"Ⱨ"</t>
  </si>
  <si>
    <t>"ⱨ"</t>
  </si>
  <si>
    <t>"Ⱪ"</t>
  </si>
  <si>
    <t>"ⱪ"</t>
  </si>
  <si>
    <t>"Ⱬ"</t>
  </si>
  <si>
    <t>"ⱬ"</t>
  </si>
  <si>
    <t>"Ɑ"</t>
  </si>
  <si>
    <t>"Ɱ"</t>
  </si>
  <si>
    <t>"Ɐ"</t>
  </si>
  <si>
    <t>"Ɒ"</t>
  </si>
  <si>
    <t>"ⱱ"</t>
  </si>
  <si>
    <t>"Ⱳ"</t>
  </si>
  <si>
    <t>"ⱳ"</t>
  </si>
  <si>
    <t>"ⱴ"</t>
  </si>
  <si>
    <t>"Ⱶ"</t>
  </si>
  <si>
    <t>"ⱶ"</t>
  </si>
  <si>
    <t>"ⱷ"</t>
  </si>
  <si>
    <t>"ⱸ"</t>
  </si>
  <si>
    <t>"ⱹ"</t>
  </si>
  <si>
    <t>"ⱺ"</t>
  </si>
  <si>
    <t>"ⱻ"</t>
  </si>
  <si>
    <t>"ⱼ"</t>
  </si>
  <si>
    <t>"ⱽ"</t>
  </si>
  <si>
    <t>"Ȿ"</t>
  </si>
  <si>
    <t>"Ɀ"</t>
  </si>
  <si>
    <t>"Ⲁ"</t>
  </si>
  <si>
    <t>"ⲁ"</t>
  </si>
  <si>
    <t>"Ⲃ"</t>
  </si>
  <si>
    <t>"ⲃ"</t>
  </si>
  <si>
    <t>"Ⲅ"</t>
  </si>
  <si>
    <t>"ⲅ"</t>
  </si>
  <si>
    <t>"Ⲇ"</t>
  </si>
  <si>
    <t>"ⲇ"</t>
  </si>
  <si>
    <t>"Ⲉ"</t>
  </si>
  <si>
    <t>"ⲉ"</t>
  </si>
  <si>
    <t>"Ⲋ"</t>
  </si>
  <si>
    <t>"ⲋ"</t>
  </si>
  <si>
    <t>"Ⲍ"</t>
  </si>
  <si>
    <t>"ⲍ"</t>
  </si>
  <si>
    <t>"Ⲏ"</t>
  </si>
  <si>
    <t>"ⲏ"</t>
  </si>
  <si>
    <t>"Ⲑ"</t>
  </si>
  <si>
    <t>"ⲑ"</t>
  </si>
  <si>
    <t>"Ⲓ"</t>
  </si>
  <si>
    <t>"ⲓ"</t>
  </si>
  <si>
    <t>"Ⲕ"</t>
  </si>
  <si>
    <t>"ⲕ"</t>
  </si>
  <si>
    <t>"Ⲗ"</t>
  </si>
  <si>
    <t>"ⲗ"</t>
  </si>
  <si>
    <t>"Ⲙ"</t>
  </si>
  <si>
    <t>"ⲙ"</t>
  </si>
  <si>
    <t>"Ⲛ"</t>
  </si>
  <si>
    <t>"ⲛ"</t>
  </si>
  <si>
    <t>"Ⲝ"</t>
  </si>
  <si>
    <t>"ⲝ"</t>
  </si>
  <si>
    <t>"Ⲟ"</t>
  </si>
  <si>
    <t>"ⲟ"</t>
  </si>
  <si>
    <t>"Ⲡ"</t>
  </si>
  <si>
    <t>"ⲡ"</t>
  </si>
  <si>
    <t>"Ⲣ"</t>
  </si>
  <si>
    <t>"ⲣ"</t>
  </si>
  <si>
    <t>"Ⲥ"</t>
  </si>
  <si>
    <t>"ⲥ"</t>
  </si>
  <si>
    <t>"Ⲧ"</t>
  </si>
  <si>
    <t>"ⲧ"</t>
  </si>
  <si>
    <t>"Ⲩ"</t>
  </si>
  <si>
    <t>"ⲩ"</t>
  </si>
  <si>
    <t>"Ⲫ"</t>
  </si>
  <si>
    <t>"ⲫ"</t>
  </si>
  <si>
    <t>"Ⲭ"</t>
  </si>
  <si>
    <t>"ⲭ"</t>
  </si>
  <si>
    <t>"Ⲯ"</t>
  </si>
  <si>
    <t>"ⲯ"</t>
  </si>
  <si>
    <t>"Ⲱ"</t>
  </si>
  <si>
    <t>"ⲱ"</t>
  </si>
  <si>
    <t>"Ⲳ"</t>
  </si>
  <si>
    <t>"ⲳ"</t>
  </si>
  <si>
    <t>"Ⲵ"</t>
  </si>
  <si>
    <t>"ⲵ"</t>
  </si>
  <si>
    <t>"Ⲷ"</t>
  </si>
  <si>
    <t>"ⲷ"</t>
  </si>
  <si>
    <t>"Ⲹ"</t>
  </si>
  <si>
    <t>"ⲹ"</t>
  </si>
  <si>
    <t>"Ⲻ"</t>
  </si>
  <si>
    <t>"ⲻ"</t>
  </si>
  <si>
    <t>"Ⲽ"</t>
  </si>
  <si>
    <t>"ⲽ"</t>
  </si>
  <si>
    <t>"Ⲿ"</t>
  </si>
  <si>
    <t>"ⲿ"</t>
  </si>
  <si>
    <t>"Ⳁ"</t>
  </si>
  <si>
    <t>"ⳁ"</t>
  </si>
  <si>
    <t>"Ⳃ"</t>
  </si>
  <si>
    <t>"ⳃ"</t>
  </si>
  <si>
    <t>"Ⳅ"</t>
  </si>
  <si>
    <t>"ⳅ"</t>
  </si>
  <si>
    <t>"Ⳇ"</t>
  </si>
  <si>
    <t>"ⳇ"</t>
  </si>
  <si>
    <t>"Ⳉ"</t>
  </si>
  <si>
    <t>"ⳉ"</t>
  </si>
  <si>
    <t>"Ⳋ"</t>
  </si>
  <si>
    <t>"ⳋ"</t>
  </si>
  <si>
    <t>"Ⳍ"</t>
  </si>
  <si>
    <t>"ⳍ"</t>
  </si>
  <si>
    <t>"Ⳏ"</t>
  </si>
  <si>
    <t>"ⳏ"</t>
  </si>
  <si>
    <t>"Ⳑ"</t>
  </si>
  <si>
    <t>"ⳑ"</t>
  </si>
  <si>
    <t>"Ⳓ"</t>
  </si>
  <si>
    <t>"ⳓ"</t>
  </si>
  <si>
    <t>"Ⳕ"</t>
  </si>
  <si>
    <t>"ⳕ"</t>
  </si>
  <si>
    <t>"Ⳗ"</t>
  </si>
  <si>
    <t>"ⳗ"</t>
  </si>
  <si>
    <t>"Ⳙ"</t>
  </si>
  <si>
    <t>"ⳙ"</t>
  </si>
  <si>
    <t>"Ⳛ"</t>
  </si>
  <si>
    <t>"ⳛ"</t>
  </si>
  <si>
    <t>"Ⳝ"</t>
  </si>
  <si>
    <t>"ⳝ"</t>
  </si>
  <si>
    <t>"Ⳟ"</t>
  </si>
  <si>
    <t>"ⳟ"</t>
  </si>
  <si>
    <t>"Ⳡ"</t>
  </si>
  <si>
    <t>"ⳡ"</t>
  </si>
  <si>
    <t>"Ⳣ"</t>
  </si>
  <si>
    <t>"ⳣ"</t>
  </si>
  <si>
    <t>"ⳤ"</t>
  </si>
  <si>
    <t>"⳥"</t>
  </si>
  <si>
    <t>"⳦"</t>
  </si>
  <si>
    <t>"⳧"</t>
  </si>
  <si>
    <t>"⳨"</t>
  </si>
  <si>
    <t>"⳩"</t>
  </si>
  <si>
    <t>"⳪"</t>
  </si>
  <si>
    <t>"Ⳬ"</t>
  </si>
  <si>
    <t>"ⳬ"</t>
  </si>
  <si>
    <t>"Ⳮ"</t>
  </si>
  <si>
    <t>"ⳮ"</t>
  </si>
  <si>
    <t>"⳯"</t>
  </si>
  <si>
    <t>"⳰"</t>
  </si>
  <si>
    <t>"⳱"</t>
  </si>
  <si>
    <t>"Ⳳ"</t>
  </si>
  <si>
    <t>"ⳳ"</t>
  </si>
  <si>
    <t>"⳴"</t>
  </si>
  <si>
    <t>"⳵"</t>
  </si>
  <si>
    <t>"⳶"</t>
  </si>
  <si>
    <t>"⳷"</t>
  </si>
  <si>
    <t>"⳸"</t>
  </si>
  <si>
    <t>"⳹"</t>
  </si>
  <si>
    <t>"⳺"</t>
  </si>
  <si>
    <t>"⳻"</t>
  </si>
  <si>
    <t>"⳼"</t>
  </si>
  <si>
    <t>"⳽"</t>
  </si>
  <si>
    <t>"⳾"</t>
  </si>
  <si>
    <t>"⳿"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</si>
  <si>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</si>
  <si>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</si>
  <si>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</si>
  <si>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</si>
  <si>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</si>
  <si>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</si>
  <si>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</si>
  <si>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</si>
  <si>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</si>
  <si>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</si>
  <si>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</si>
  <si>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</si>
  <si>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</si>
  <si>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</si>
  <si>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</si>
  <si>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</si>
  <si>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</si>
  <si>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</si>
  <si>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</si>
  <si>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</si>
  <si>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</si>
  <si>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</si>
  <si>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</si>
  <si>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</si>
  <si>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</si>
  <si>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</si>
  <si>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</si>
  <si>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</si>
  <si>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</si>
  <si>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</si>
  <si>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</si>
  <si>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</si>
  <si>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</si>
  <si>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</si>
  <si>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</si>
  <si>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</si>
  <si>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</si>
  <si>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</si>
  <si>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"⴦"</t>
  </si>
  <si>
    <t>"ⴧ"</t>
  </si>
  <si>
    <t>"⴨"</t>
  </si>
  <si>
    <t>"⴩"</t>
  </si>
  <si>
    <t>"⴪"</t>
  </si>
  <si>
    <t>"⴫"</t>
  </si>
  <si>
    <t>"⴬"</t>
  </si>
  <si>
    <t>"ⴭ"</t>
  </si>
  <si>
    <t>"⴮"</t>
  </si>
  <si>
    <t>"⴯"</t>
  </si>
  <si>
    <t>"ⴰ"</t>
  </si>
  <si>
    <t>"ⴱ"</t>
  </si>
  <si>
    <t>"ⴲ"</t>
  </si>
  <si>
    <t>"ⴳ"</t>
  </si>
  <si>
    <t>"ⴴ"</t>
  </si>
  <si>
    <t>"ⴵ"</t>
  </si>
  <si>
    <t>"ⴶ"</t>
  </si>
  <si>
    <t>"ⴷ"</t>
  </si>
  <si>
    <t>"ⴸ"</t>
  </si>
  <si>
    <t>"ⴹ"</t>
  </si>
  <si>
    <t>"ⴺ"</t>
  </si>
  <si>
    <t>"ⴻ"</t>
  </si>
  <si>
    <t>"ⴼ"</t>
  </si>
  <si>
    <t>"ⴽ"</t>
  </si>
  <si>
    <t>"ⴾ"</t>
  </si>
  <si>
    <t>"ⴿ"</t>
  </si>
  <si>
    <t>"ⵀ"</t>
  </si>
  <si>
    <t>"ⵁ"</t>
  </si>
  <si>
    <t>"ⵂ"</t>
  </si>
  <si>
    <t>"ⵃ"</t>
  </si>
  <si>
    <t>"ⵄ"</t>
  </si>
  <si>
    <t>"ⵅ"</t>
  </si>
  <si>
    <t>"ⵆ"</t>
  </si>
  <si>
    <t>"ⵇ"</t>
  </si>
  <si>
    <t>"ⵈ"</t>
  </si>
  <si>
    <t>"ⵉ"</t>
  </si>
  <si>
    <t>"ⵊ"</t>
  </si>
  <si>
    <t>"ⵋ"</t>
  </si>
  <si>
    <t>"ⵌ"</t>
  </si>
  <si>
    <t>"ⵍ"</t>
  </si>
  <si>
    <t>"ⵎ"</t>
  </si>
  <si>
    <t>"ⵏ"</t>
  </si>
  <si>
    <t>"ⵐ"</t>
  </si>
  <si>
    <t>"ⵑ"</t>
  </si>
  <si>
    <t>"ⵒ"</t>
  </si>
  <si>
    <t>"ⵓ"</t>
  </si>
  <si>
    <t>"ⵔ"</t>
  </si>
  <si>
    <t>"ⵕ"</t>
  </si>
  <si>
    <t>"ⵖ"</t>
  </si>
  <si>
    <t>"ⵗ"</t>
  </si>
  <si>
    <t>"ⵘ"</t>
  </si>
  <si>
    <t>"ⵙ"</t>
  </si>
  <si>
    <t>"ⵚ"</t>
  </si>
  <si>
    <t>"ⵛ"</t>
  </si>
  <si>
    <t>"ⵜ"</t>
  </si>
  <si>
    <t>"ⵝ"</t>
  </si>
  <si>
    <t>"ⵞ"</t>
  </si>
  <si>
    <t>"ⵟ"</t>
  </si>
  <si>
    <t>"ⵠ"</t>
  </si>
  <si>
    <t>"ⵡ"</t>
  </si>
  <si>
    <t>"ⵢ"</t>
  </si>
  <si>
    <t>"ⵣ"</t>
  </si>
  <si>
    <t>"ⵤ"</t>
  </si>
  <si>
    <t>"ⵥ"</t>
  </si>
  <si>
    <t>"ⵦ"</t>
  </si>
  <si>
    <t>"ⵧ"</t>
  </si>
  <si>
    <t>"⵨"</t>
  </si>
  <si>
    <t>"⵩"</t>
  </si>
  <si>
    <t>"⵪"</t>
  </si>
  <si>
    <t>"⵫"</t>
  </si>
  <si>
    <t>"⵬"</t>
  </si>
  <si>
    <t>"⵭"</t>
  </si>
  <si>
    <t>"⵮"</t>
  </si>
  <si>
    <t>"ⵯ"</t>
  </si>
  <si>
    <t>"⵰"</t>
  </si>
  <si>
    <t>"⵱"</t>
  </si>
  <si>
    <t>"⵲"</t>
  </si>
  <si>
    <t>"⵳"</t>
  </si>
  <si>
    <t>"⵴"</t>
  </si>
  <si>
    <t>"⵵"</t>
  </si>
  <si>
    <t>"⵶"</t>
  </si>
  <si>
    <t>"⵷"</t>
  </si>
  <si>
    <t>"⵸"</t>
  </si>
  <si>
    <t>"⵹"</t>
  </si>
  <si>
    <t>"⵺"</t>
  </si>
  <si>
    <t>"⵻"</t>
  </si>
  <si>
    <t>"⵼"</t>
  </si>
  <si>
    <t>"⵽"</t>
  </si>
  <si>
    <t>"⵾"</t>
  </si>
  <si>
    <t>"⵿"</t>
  </si>
  <si>
    <t>"ⶀ"</t>
  </si>
  <si>
    <t>"ⶁ"</t>
  </si>
  <si>
    <t>"ⶂ"</t>
  </si>
  <si>
    <t>"ⶃ"</t>
  </si>
  <si>
    <t>"ⶄ"</t>
  </si>
  <si>
    <t>"ⶅ"</t>
  </si>
  <si>
    <t>"ⶆ"</t>
  </si>
  <si>
    <t>"ⶇ"</t>
  </si>
  <si>
    <t>"ⶈ"</t>
  </si>
  <si>
    <t>"ⶉ"</t>
  </si>
  <si>
    <t>"ⶊ"</t>
  </si>
  <si>
    <t>"ⶋ"</t>
  </si>
  <si>
    <t>"ⶌ"</t>
  </si>
  <si>
    <t>"ⶍ"</t>
  </si>
  <si>
    <t>"ⶎ"</t>
  </si>
  <si>
    <t>"ⶏ"</t>
  </si>
  <si>
    <t>"ⶐ"</t>
  </si>
  <si>
    <t>"ⶑ"</t>
  </si>
  <si>
    <t>"ⶒ"</t>
  </si>
  <si>
    <t>"ⶓ"</t>
  </si>
  <si>
    <t>"ⶔ"</t>
  </si>
  <si>
    <t>"ⶕ"</t>
  </si>
  <si>
    <t>"ⶖ"</t>
  </si>
  <si>
    <t>"⶗"</t>
  </si>
  <si>
    <t>"⶘"</t>
  </si>
  <si>
    <t>"⶙"</t>
  </si>
  <si>
    <t>"⶚"</t>
  </si>
  <si>
    <t>"⶛"</t>
  </si>
  <si>
    <t>"⶜"</t>
  </si>
  <si>
    <t>"⶝"</t>
  </si>
  <si>
    <t>"⶞"</t>
  </si>
  <si>
    <t>"⶟"</t>
  </si>
  <si>
    <t>"ⶠ"</t>
  </si>
  <si>
    <t>"ⶡ"</t>
  </si>
  <si>
    <t>"ⶢ"</t>
  </si>
  <si>
    <t>"ⶣ"</t>
  </si>
  <si>
    <t>"ⶤ"</t>
  </si>
  <si>
    <t>"ⶥ"</t>
  </si>
  <si>
    <t>"ⶦ"</t>
  </si>
  <si>
    <t>"⶧"</t>
  </si>
  <si>
    <t>"ⶨ"</t>
  </si>
  <si>
    <t>"ⶩ"</t>
  </si>
  <si>
    <t>"ⶪ"</t>
  </si>
  <si>
    <t>"ⶫ"</t>
  </si>
  <si>
    <t>"ⶬ"</t>
  </si>
  <si>
    <t>"ⶭ"</t>
  </si>
  <si>
    <t>"ⶮ"</t>
  </si>
  <si>
    <t>"⶯"</t>
  </si>
  <si>
    <t>"ⶰ"</t>
  </si>
  <si>
    <t>"ⶱ"</t>
  </si>
  <si>
    <t>"ⶲ"</t>
  </si>
  <si>
    <t>"ⶳ"</t>
  </si>
  <si>
    <t>"ⶴ"</t>
  </si>
  <si>
    <t>"ⶵ"</t>
  </si>
  <si>
    <t>"ⶶ"</t>
  </si>
  <si>
    <t>"⶷"</t>
  </si>
  <si>
    <t>"ⶸ"</t>
  </si>
  <si>
    <t>"ⶹ"</t>
  </si>
  <si>
    <t>"ⶺ"</t>
  </si>
  <si>
    <t>"ⶻ"</t>
  </si>
  <si>
    <t>"ⶼ"</t>
  </si>
  <si>
    <t>"ⶽ"</t>
  </si>
  <si>
    <t>"ⶾ"</t>
  </si>
  <si>
    <t>"⶿"</t>
  </si>
  <si>
    <t>"ⷀ"</t>
  </si>
  <si>
    <t>"ⷁ"</t>
  </si>
  <si>
    <t>"ⷂ"</t>
  </si>
  <si>
    <t>"ⷃ"</t>
  </si>
  <si>
    <t>"ⷄ"</t>
  </si>
  <si>
    <t>"ⷅ"</t>
  </si>
  <si>
    <t>"ⷆ"</t>
  </si>
  <si>
    <t>"⷇"</t>
  </si>
  <si>
    <t>"ⷈ"</t>
  </si>
  <si>
    <t>"ⷉ"</t>
  </si>
  <si>
    <t>"ⷊ"</t>
  </si>
  <si>
    <t>"ⷋ"</t>
  </si>
  <si>
    <t>"ⷌ"</t>
  </si>
  <si>
    <t>"ⷍ"</t>
  </si>
  <si>
    <t>"ⷎ"</t>
  </si>
  <si>
    <t>"⷏"</t>
  </si>
  <si>
    <t>"ⷐ"</t>
  </si>
  <si>
    <t>"ⷑ"</t>
  </si>
  <si>
    <t>"ⷒ"</t>
  </si>
  <si>
    <t>"ⷓ"</t>
  </si>
  <si>
    <t>"ⷔ"</t>
  </si>
  <si>
    <t>"ⷕ"</t>
  </si>
  <si>
    <t>"ⷖ"</t>
  </si>
  <si>
    <t>"⷗"</t>
  </si>
  <si>
    <t>"ⷘ"</t>
  </si>
  <si>
    <t>"ⷙ"</t>
  </si>
  <si>
    <t>"ⷚ"</t>
  </si>
  <si>
    <t>"ⷛ"</t>
  </si>
  <si>
    <t>"ⷜ"</t>
  </si>
  <si>
    <t>"ⷝ"</t>
  </si>
  <si>
    <t>"ⷞ"</t>
  </si>
  <si>
    <t>"⷟"</t>
  </si>
  <si>
    <t>"ⷠ"</t>
  </si>
  <si>
    <t>"ⷡ"</t>
  </si>
  <si>
    <t>"ⷢ"</t>
  </si>
  <si>
    <t>"ⷣ"</t>
  </si>
  <si>
    <t>"ⷤ"</t>
  </si>
  <si>
    <t>"ⷥ"</t>
  </si>
  <si>
    <t>"ⷦ"</t>
  </si>
  <si>
    <t>"ⷧ"</t>
  </si>
  <si>
    <t>"ⷨ"</t>
  </si>
  <si>
    <t>"ⷩ"</t>
  </si>
  <si>
    <t>"ⷪ"</t>
  </si>
  <si>
    <t>"ⷫ"</t>
  </si>
  <si>
    <t>"ⷬ"</t>
  </si>
  <si>
    <t>"ⷭ"</t>
  </si>
  <si>
    <t>"ⷮ"</t>
  </si>
  <si>
    <t>"ⷯ"</t>
  </si>
  <si>
    <t>"ⷰ"</t>
  </si>
  <si>
    <t>"ⷱ"</t>
  </si>
  <si>
    <t>"ⷲ"</t>
  </si>
  <si>
    <t>"ⷳ"</t>
  </si>
  <si>
    <t>"ⷴ"</t>
  </si>
  <si>
    <t>"ⷵ"</t>
  </si>
  <si>
    <t>"ⷶ"</t>
  </si>
  <si>
    <t>"ⷷ"</t>
  </si>
  <si>
    <t>"ⷸ"</t>
  </si>
  <si>
    <t>"ⷹ"</t>
  </si>
  <si>
    <t>"ⷺ"</t>
  </si>
  <si>
    <t>"ⷻ"</t>
  </si>
  <si>
    <t>"ⷼ"</t>
  </si>
  <si>
    <t>"ⷽ"</t>
  </si>
  <si>
    <t>"ⷾ"</t>
  </si>
  <si>
    <t>"ⷿ"</t>
  </si>
  <si>
    <t>"⸀"</t>
  </si>
  <si>
    <t>"⸁"</t>
  </si>
  <si>
    <t>"⸂"</t>
  </si>
  <si>
    <t>"⸃"</t>
  </si>
  <si>
    <t>"⸄"</t>
  </si>
  <si>
    <t>"⸅"</t>
  </si>
  <si>
    <t>"⸆"</t>
  </si>
  <si>
    <t>"⸇"</t>
  </si>
  <si>
    <t>"⸈"</t>
  </si>
  <si>
    <t>"⸉"</t>
  </si>
  <si>
    <t>"⸊"</t>
  </si>
  <si>
    <t>"⸋"</t>
  </si>
  <si>
    <t>"⸌"</t>
  </si>
  <si>
    <t>"⸍"</t>
  </si>
  <si>
    <t>"⸎"</t>
  </si>
  <si>
    <t>"⸏"</t>
  </si>
  <si>
    <t>"⸐"</t>
  </si>
  <si>
    <t>"⸑"</t>
  </si>
  <si>
    <t>"⸒"</t>
  </si>
  <si>
    <t>"⸓"</t>
  </si>
  <si>
    <t>"⸔"</t>
  </si>
  <si>
    <t>"⸕"</t>
  </si>
  <si>
    <t>"⸖"</t>
  </si>
  <si>
    <t>"⸗"</t>
  </si>
  <si>
    <t>"⸘"</t>
  </si>
  <si>
    <t>"⸙"</t>
  </si>
  <si>
    <t>"⸚"</t>
  </si>
  <si>
    <t>"⸛"</t>
  </si>
  <si>
    <t>"⸜"</t>
  </si>
  <si>
    <t>"⸝"</t>
  </si>
  <si>
    <t>"⸞"</t>
  </si>
  <si>
    <t>"⸟"</t>
  </si>
  <si>
    <t>"⸠"</t>
  </si>
  <si>
    <t>"⸡"</t>
  </si>
  <si>
    <t>"⸢"</t>
  </si>
  <si>
    <t>"⸣"</t>
  </si>
  <si>
    <t>"⸤"</t>
  </si>
  <si>
    <t>"⸥"</t>
  </si>
  <si>
    <t>"⸦"</t>
  </si>
  <si>
    <t>"⸧"</t>
  </si>
  <si>
    <t>"⸨"</t>
  </si>
  <si>
    <t>"⸩"</t>
  </si>
  <si>
    <t>"⸪"</t>
  </si>
  <si>
    <t>"⸫"</t>
  </si>
  <si>
    <t>"⸬"</t>
  </si>
  <si>
    <t>"⸭"</t>
  </si>
  <si>
    <t>"⸮"</t>
  </si>
  <si>
    <t>"ⸯ"</t>
  </si>
  <si>
    <t>"⸰"</t>
  </si>
  <si>
    <t>"⸱"</t>
  </si>
  <si>
    <t>"⸲"</t>
  </si>
  <si>
    <t>"⸳"</t>
  </si>
  <si>
    <t>"⸴"</t>
  </si>
  <si>
    <t>"⸵"</t>
  </si>
  <si>
    <t>"⸶"</t>
  </si>
  <si>
    <t>"⸷"</t>
  </si>
  <si>
    <t>"⸸"</t>
  </si>
  <si>
    <t>"⸹"</t>
  </si>
  <si>
    <t>"⸺"</t>
  </si>
  <si>
    <t>"⸻"</t>
  </si>
  <si>
    <t>"⸼"</t>
  </si>
  <si>
    <t>"⸽"</t>
  </si>
  <si>
    <t>"⸾"</t>
  </si>
  <si>
    <t>"⸿"</t>
  </si>
  <si>
    <t>"⹀"</t>
  </si>
  <si>
    <t>"⹁"</t>
  </si>
  <si>
    <t>"⹂"</t>
  </si>
  <si>
    <t>"⹃"</t>
  </si>
  <si>
    <t>"⹄"</t>
  </si>
  <si>
    <t>"⹅"</t>
  </si>
  <si>
    <t>"⹆"</t>
  </si>
  <si>
    <t>"⹇"</t>
  </si>
  <si>
    <t>"⹈"</t>
  </si>
  <si>
    <t>"⹉"</t>
  </si>
  <si>
    <t>"⹊"</t>
  </si>
  <si>
    <t>"⹋"</t>
  </si>
  <si>
    <t>"⹌"</t>
  </si>
  <si>
    <t>"⹍"</t>
  </si>
  <si>
    <t>"⹎"</t>
  </si>
  <si>
    <t>"⹏"</t>
  </si>
  <si>
    <t>"⹐"</t>
  </si>
  <si>
    <t>"⹑"</t>
  </si>
  <si>
    <t>"⹒"</t>
  </si>
  <si>
    <t>"⹓"</t>
  </si>
  <si>
    <t>"⹔"</t>
  </si>
  <si>
    <t>"⹕"</t>
  </si>
  <si>
    <t>"⹖"</t>
  </si>
  <si>
    <t>"⹗"</t>
  </si>
  <si>
    <t>"⹘"</t>
  </si>
  <si>
    <t>"⹙"</t>
  </si>
  <si>
    <t>"⹚"</t>
  </si>
  <si>
    <t>"⹛"</t>
  </si>
  <si>
    <t>"⹜"</t>
  </si>
  <si>
    <t>"⹝"</t>
  </si>
  <si>
    <t>"⹞"</t>
  </si>
  <si>
    <t>"⹟"</t>
  </si>
  <si>
    <t>"⹠"</t>
  </si>
  <si>
    <t>"⹡"</t>
  </si>
  <si>
    <t>"⹢"</t>
  </si>
  <si>
    <t>"⹣"</t>
  </si>
  <si>
    <t>"⹤"</t>
  </si>
  <si>
    <t>"⹥"</t>
  </si>
  <si>
    <t>"⹦"</t>
  </si>
  <si>
    <t>"⹧"</t>
  </si>
  <si>
    <t>"⹨"</t>
  </si>
  <si>
    <t>"⹩"</t>
  </si>
  <si>
    <t>"⹪"</t>
  </si>
  <si>
    <t>"⹫"</t>
  </si>
  <si>
    <t>"⹬"</t>
  </si>
  <si>
    <t>"⹭"</t>
  </si>
  <si>
    <t>"⹮"</t>
  </si>
  <si>
    <t>"⹯"</t>
  </si>
  <si>
    <t>"⹰"</t>
  </si>
  <si>
    <t>"⹱"</t>
  </si>
  <si>
    <t>"⹲"</t>
  </si>
  <si>
    <t>"⹳"</t>
  </si>
  <si>
    <t>"⹴"</t>
  </si>
  <si>
    <t>"⹵"</t>
  </si>
  <si>
    <t>"⹶"</t>
  </si>
  <si>
    <t>"⹷"</t>
  </si>
  <si>
    <t>"⹸"</t>
  </si>
  <si>
    <t>"⹹"</t>
  </si>
  <si>
    <t>"⹺"</t>
  </si>
  <si>
    <t>"⹻"</t>
  </si>
  <si>
    <t>"⹼"</t>
  </si>
  <si>
    <t>"⹽"</t>
  </si>
  <si>
    <t>"⹾"</t>
  </si>
  <si>
    <t>"⹿"</t>
  </si>
  <si>
    <t>"⺀"</t>
  </si>
  <si>
    <t>"⺁"</t>
  </si>
  <si>
    <t>"⺂"</t>
  </si>
  <si>
    <t>"⺃"</t>
  </si>
  <si>
    <t>"⺄"</t>
  </si>
  <si>
    <t>"⺅"</t>
  </si>
  <si>
    <t>"⺆"</t>
  </si>
  <si>
    <t>"⺇"</t>
  </si>
  <si>
    <t>"⺈"</t>
  </si>
  <si>
    <t>"⺉"</t>
  </si>
  <si>
    <t>"⺊"</t>
  </si>
  <si>
    <t>"⺋"</t>
  </si>
  <si>
    <t>"⺌"</t>
  </si>
  <si>
    <t>"⺍"</t>
  </si>
  <si>
    <t>"⺎"</t>
  </si>
  <si>
    <t>"⺏"</t>
  </si>
  <si>
    <t>"⺐"</t>
  </si>
  <si>
    <t>"⺑"</t>
  </si>
  <si>
    <t>"⺒"</t>
  </si>
  <si>
    <t>"⺓"</t>
  </si>
  <si>
    <t>"⺔"</t>
  </si>
  <si>
    <t>"⺕"</t>
  </si>
  <si>
    <t>"⺖"</t>
  </si>
  <si>
    <t>"⺗"</t>
  </si>
  <si>
    <t>"⺘"</t>
  </si>
  <si>
    <t>"⺙"</t>
  </si>
  <si>
    <t>"⺚"</t>
  </si>
  <si>
    <t>"⺛"</t>
  </si>
  <si>
    <t>"⺜"</t>
  </si>
  <si>
    <t>"⺝"</t>
  </si>
  <si>
    <t>"⺞"</t>
  </si>
  <si>
    <t>"⺟"</t>
  </si>
  <si>
    <t>"⺠"</t>
  </si>
  <si>
    <t>"⺡"</t>
  </si>
  <si>
    <t>"⺢"</t>
  </si>
  <si>
    <t>"⺣"</t>
  </si>
  <si>
    <t>"⺤"</t>
  </si>
  <si>
    <t>"⺥"</t>
  </si>
  <si>
    <t>"⺦"</t>
  </si>
  <si>
    <t>"⺧"</t>
  </si>
  <si>
    <t>"⺨"</t>
  </si>
  <si>
    <t>"⺩"</t>
  </si>
  <si>
    <t>"⺪"</t>
  </si>
  <si>
    <t>"⺫"</t>
  </si>
  <si>
    <t>"⺬"</t>
  </si>
  <si>
    <t>"⺭"</t>
  </si>
  <si>
    <t>"⺮"</t>
  </si>
  <si>
    <t>"⺯"</t>
  </si>
  <si>
    <t>"⺰"</t>
  </si>
  <si>
    <t>"⺱"</t>
  </si>
  <si>
    <t>"⺲"</t>
  </si>
  <si>
    <t>"⺳"</t>
  </si>
  <si>
    <t>"⺴"</t>
  </si>
  <si>
    <t>"⺵"</t>
  </si>
  <si>
    <t>"⺶"</t>
  </si>
  <si>
    <t>"⺷"</t>
  </si>
  <si>
    <t>"⺸"</t>
  </si>
  <si>
    <t>"⺹"</t>
  </si>
  <si>
    <t>"⺺"</t>
  </si>
  <si>
    <t>"⺻"</t>
  </si>
  <si>
    <t>"⺼"</t>
  </si>
  <si>
    <t>"⺽"</t>
  </si>
  <si>
    <t>"⺾"</t>
  </si>
  <si>
    <t>"⺿"</t>
  </si>
  <si>
    <t>"⻀"</t>
  </si>
  <si>
    <t>"⻁"</t>
  </si>
  <si>
    <t>"⻂"</t>
  </si>
  <si>
    <t>"⻃"</t>
  </si>
  <si>
    <t>"⻄"</t>
  </si>
  <si>
    <t>"⻅"</t>
  </si>
  <si>
    <t>"⻆"</t>
  </si>
  <si>
    <t>"⻇"</t>
  </si>
  <si>
    <t>"⻈"</t>
  </si>
  <si>
    <t>"⻉"</t>
  </si>
  <si>
    <t>"⻊"</t>
  </si>
  <si>
    <t>"⻋"</t>
  </si>
  <si>
    <t>"⻌"</t>
  </si>
  <si>
    <t>"⻍"</t>
  </si>
  <si>
    <t>"⻎"</t>
  </si>
  <si>
    <t>"⻏"</t>
  </si>
  <si>
    <t>"⻐"</t>
  </si>
  <si>
    <t>"⻑"</t>
  </si>
  <si>
    <t>"⻒"</t>
  </si>
  <si>
    <t>"⻓"</t>
  </si>
  <si>
    <t>"⻔"</t>
  </si>
  <si>
    <t>"⻕"</t>
  </si>
  <si>
    <t>"⻖"</t>
  </si>
  <si>
    <t>"⻗"</t>
  </si>
  <si>
    <t>"⻘"</t>
  </si>
  <si>
    <t>"⻙"</t>
  </si>
  <si>
    <t>"⻚"</t>
  </si>
  <si>
    <t>"⻛"</t>
  </si>
  <si>
    <t>"⻜"</t>
  </si>
  <si>
    <t>"⻝"</t>
  </si>
  <si>
    <t>"⻞"</t>
  </si>
  <si>
    <t>"⻟"</t>
  </si>
  <si>
    <t>"⻠"</t>
  </si>
  <si>
    <t>"⻡"</t>
  </si>
  <si>
    <t>"⻢"</t>
  </si>
  <si>
    <t>"⻣"</t>
  </si>
  <si>
    <t>"⻤"</t>
  </si>
  <si>
    <t>"⻥"</t>
  </si>
  <si>
    <t>"⻦"</t>
  </si>
  <si>
    <t>"⻧"</t>
  </si>
  <si>
    <t>"⻨"</t>
  </si>
  <si>
    <t>"⻩"</t>
  </si>
  <si>
    <t>"⻪"</t>
  </si>
  <si>
    <t>"⻫"</t>
  </si>
  <si>
    <t>"⻬"</t>
  </si>
  <si>
    <t>"⻭"</t>
  </si>
  <si>
    <t>"⻮"</t>
  </si>
  <si>
    <t>"⻯"</t>
  </si>
  <si>
    <t>"⻰"</t>
  </si>
  <si>
    <t>"⻱"</t>
  </si>
  <si>
    <t>"⻲"</t>
  </si>
  <si>
    <t>"⻳"</t>
  </si>
  <si>
    <t>"⻴"</t>
  </si>
  <si>
    <t>"⻵"</t>
  </si>
  <si>
    <t>"⻶"</t>
  </si>
  <si>
    <t>"⻷"</t>
  </si>
  <si>
    <t>"⻸"</t>
  </si>
  <si>
    <t>"⻹"</t>
  </si>
  <si>
    <t>"⻺"</t>
  </si>
  <si>
    <t>"⻻"</t>
  </si>
  <si>
    <t>"⻼"</t>
  </si>
  <si>
    <t>"⻽"</t>
  </si>
  <si>
    <t>"⻾"</t>
  </si>
  <si>
    <t>"⻿"</t>
  </si>
  <si>
    <t>"⼀"</t>
  </si>
  <si>
    <t>"⼁"</t>
  </si>
  <si>
    <t>"⼂"</t>
  </si>
  <si>
    <t>"⼃"</t>
  </si>
  <si>
    <t>"⼄"</t>
  </si>
  <si>
    <t>"⼅"</t>
  </si>
  <si>
    <t>"⼆"</t>
  </si>
  <si>
    <t>"⼇"</t>
  </si>
  <si>
    <t>"⼈"</t>
  </si>
  <si>
    <t>"⼉"</t>
  </si>
  <si>
    <t>"⼊"</t>
  </si>
  <si>
    <t>"⼋"</t>
  </si>
  <si>
    <t>"⼌"</t>
  </si>
  <si>
    <t>"⼍"</t>
  </si>
  <si>
    <t>"⼎"</t>
  </si>
  <si>
    <t>"⼏"</t>
  </si>
  <si>
    <t>"⼐"</t>
  </si>
  <si>
    <t>"⼑"</t>
  </si>
  <si>
    <t>"⼒"</t>
  </si>
  <si>
    <t>"⼓"</t>
  </si>
  <si>
    <t>"⼔"</t>
  </si>
  <si>
    <t>"⼕"</t>
  </si>
  <si>
    <t>"⼖"</t>
  </si>
  <si>
    <t>"⼗"</t>
  </si>
  <si>
    <t>"⼘"</t>
  </si>
  <si>
    <t>"⼙"</t>
  </si>
  <si>
    <t>"⼚"</t>
  </si>
  <si>
    <t>"⼛"</t>
  </si>
  <si>
    <t>"⼜"</t>
  </si>
  <si>
    <t>"⼝"</t>
  </si>
  <si>
    <t>"⼞"</t>
  </si>
  <si>
    <t>"⼟"</t>
  </si>
  <si>
    <t>"⼠"</t>
  </si>
  <si>
    <t>"⼡"</t>
  </si>
  <si>
    <t>"⼢"</t>
  </si>
  <si>
    <t>"⼣"</t>
  </si>
  <si>
    <t>"⼤"</t>
  </si>
  <si>
    <t>"⼥"</t>
  </si>
  <si>
    <t>"⼦"</t>
  </si>
  <si>
    <t>"⼧"</t>
  </si>
  <si>
    <t>"⼨"</t>
  </si>
  <si>
    <t>"⼩"</t>
  </si>
  <si>
    <t>"⼪"</t>
  </si>
  <si>
    <t>"⼫"</t>
  </si>
  <si>
    <t>"⼬"</t>
  </si>
  <si>
    <t>"⼭"</t>
  </si>
  <si>
    <t>"⼮"</t>
  </si>
  <si>
    <t>"⼯"</t>
  </si>
  <si>
    <t>"⼰"</t>
  </si>
  <si>
    <t>"⼱"</t>
  </si>
  <si>
    <t>"⼲"</t>
  </si>
  <si>
    <t>"⼳"</t>
  </si>
  <si>
    <t>"⼴"</t>
  </si>
  <si>
    <t>"⼵"</t>
  </si>
  <si>
    <t>"⼶"</t>
  </si>
  <si>
    <t>"⼷"</t>
  </si>
  <si>
    <t>"⼸"</t>
  </si>
  <si>
    <t>"⼹"</t>
  </si>
  <si>
    <t>"⼺"</t>
  </si>
  <si>
    <t>"⼻"</t>
  </si>
  <si>
    <t>"⼼"</t>
  </si>
  <si>
    <t>"⼽"</t>
  </si>
  <si>
    <t>"⼾"</t>
  </si>
  <si>
    <t>"⼿"</t>
  </si>
  <si>
    <t>"⽀"</t>
  </si>
  <si>
    <t>"⽁"</t>
  </si>
  <si>
    <t>"⽂"</t>
  </si>
  <si>
    <t>"⽃"</t>
  </si>
  <si>
    <t>"⽄"</t>
  </si>
  <si>
    <t>"⽅"</t>
  </si>
  <si>
    <t>"⽆"</t>
  </si>
  <si>
    <t>"⽇"</t>
  </si>
  <si>
    <t>"⽈"</t>
  </si>
  <si>
    <t>"⽉"</t>
  </si>
  <si>
    <t>"⽊"</t>
  </si>
  <si>
    <t>"⽋"</t>
  </si>
  <si>
    <t>"⽌"</t>
  </si>
  <si>
    <t>"⽍"</t>
  </si>
  <si>
    <t>"⽎"</t>
  </si>
  <si>
    <t>"⽏"</t>
  </si>
  <si>
    <t>"⽐"</t>
  </si>
  <si>
    <t>"⽑"</t>
  </si>
  <si>
    <t>"⽒"</t>
  </si>
  <si>
    <t>"⽓"</t>
  </si>
  <si>
    <t>"⽔"</t>
  </si>
  <si>
    <t>"⽕"</t>
  </si>
  <si>
    <t>"⽖"</t>
  </si>
  <si>
    <t>"⽗"</t>
  </si>
  <si>
    <t>"⽘"</t>
  </si>
  <si>
    <t>"⽙"</t>
  </si>
  <si>
    <t>"⽚"</t>
  </si>
  <si>
    <t>"⽛"</t>
  </si>
  <si>
    <t>"⽜"</t>
  </si>
  <si>
    <t>"⽝"</t>
  </si>
  <si>
    <t>"⽞"</t>
  </si>
  <si>
    <t>"⽟"</t>
  </si>
  <si>
    <t>"⽠"</t>
  </si>
  <si>
    <t>"⽡"</t>
  </si>
  <si>
    <t>"⽢"</t>
  </si>
  <si>
    <t>"⽣"</t>
  </si>
  <si>
    <t>"⽤"</t>
  </si>
  <si>
    <t>"⽥"</t>
  </si>
  <si>
    <t>"⽦"</t>
  </si>
  <si>
    <t>"⽧"</t>
  </si>
  <si>
    <t>"⽨"</t>
  </si>
  <si>
    <t>"⽩"</t>
  </si>
  <si>
    <t>"⽪"</t>
  </si>
  <si>
    <t>"⽫"</t>
  </si>
  <si>
    <t>"⽬"</t>
  </si>
  <si>
    <t>"⽭"</t>
  </si>
  <si>
    <t>"⽮"</t>
  </si>
  <si>
    <t>"⽯"</t>
  </si>
  <si>
    <t>"⽰"</t>
  </si>
  <si>
    <t>"⽱"</t>
  </si>
  <si>
    <t>"⽲"</t>
  </si>
  <si>
    <t>"⽳"</t>
  </si>
  <si>
    <t>"⽴"</t>
  </si>
  <si>
    <t>"⽵"</t>
  </si>
  <si>
    <t>"⽶"</t>
  </si>
  <si>
    <t>"⽷"</t>
  </si>
  <si>
    <t>"⽸"</t>
  </si>
  <si>
    <t>"⽹"</t>
  </si>
  <si>
    <t>"⽺"</t>
  </si>
  <si>
    <t>"⽻"</t>
  </si>
  <si>
    <t>"⽼"</t>
  </si>
  <si>
    <t>"⽽"</t>
  </si>
  <si>
    <t>"⽾"</t>
  </si>
  <si>
    <t>"⽿"</t>
  </si>
  <si>
    <t>"⾀"</t>
  </si>
  <si>
    <t>"⾁"</t>
  </si>
  <si>
    <t>"⾂"</t>
  </si>
  <si>
    <t>"⾃"</t>
  </si>
  <si>
    <t>"⾄"</t>
  </si>
  <si>
    <t>"⾅"</t>
  </si>
  <si>
    <t>"⾆"</t>
  </si>
  <si>
    <t>"⾇"</t>
  </si>
  <si>
    <t>"⾈"</t>
  </si>
  <si>
    <t>"⾉"</t>
  </si>
  <si>
    <t>"⾊"</t>
  </si>
  <si>
    <t>"⾋"</t>
  </si>
  <si>
    <t>"⾌"</t>
  </si>
  <si>
    <t>"⾍"</t>
  </si>
  <si>
    <t>"⾎"</t>
  </si>
  <si>
    <t>"⾏"</t>
  </si>
  <si>
    <t>"⾐"</t>
  </si>
  <si>
    <t>"⾑"</t>
  </si>
  <si>
    <t>"⾒"</t>
  </si>
  <si>
    <t>"⾓"</t>
  </si>
  <si>
    <t>"⾔"</t>
  </si>
  <si>
    <t>"⾕"</t>
  </si>
  <si>
    <t>"⾖"</t>
  </si>
  <si>
    <t>"⾗"</t>
  </si>
  <si>
    <t>"⾘"</t>
  </si>
  <si>
    <t>"⾙"</t>
  </si>
  <si>
    <t>"⾚"</t>
  </si>
  <si>
    <t>"⾛"</t>
  </si>
  <si>
    <t>"⾜"</t>
  </si>
  <si>
    <t>"⾝"</t>
  </si>
  <si>
    <t>"⾞"</t>
  </si>
  <si>
    <t>"⾟"</t>
  </si>
  <si>
    <t>"⾠"</t>
  </si>
  <si>
    <t>"⾡"</t>
  </si>
  <si>
    <t>"⾢"</t>
  </si>
  <si>
    <t>"⾣"</t>
  </si>
  <si>
    <t>"⾤"</t>
  </si>
  <si>
    <t>"⾥"</t>
  </si>
  <si>
    <t>"⾦"</t>
  </si>
  <si>
    <t>"⾧"</t>
  </si>
  <si>
    <t>"⾨"</t>
  </si>
  <si>
    <t>"⾩"</t>
  </si>
  <si>
    <t>"⾪"</t>
  </si>
  <si>
    <t>"⾫"</t>
  </si>
  <si>
    <t>"⾬"</t>
  </si>
  <si>
    <t>"⾭"</t>
  </si>
  <si>
    <t>"⾮"</t>
  </si>
  <si>
    <t>"⾯"</t>
  </si>
  <si>
    <t>"⾰"</t>
  </si>
  <si>
    <t>"⾱"</t>
  </si>
  <si>
    <t>"⾲"</t>
  </si>
  <si>
    <t>"⾳"</t>
  </si>
  <si>
    <t>"⾴"</t>
  </si>
  <si>
    <t>"⾵"</t>
  </si>
  <si>
    <t>"⾶"</t>
  </si>
  <si>
    <t>"⾷"</t>
  </si>
  <si>
    <t>"⾸"</t>
  </si>
  <si>
    <t>"⾹"</t>
  </si>
  <si>
    <t>"⾺"</t>
  </si>
  <si>
    <t>"⾻"</t>
  </si>
  <si>
    <t>"⾼"</t>
  </si>
  <si>
    <t>"⾽"</t>
  </si>
  <si>
    <t>"⾾"</t>
  </si>
  <si>
    <t>"⾿"</t>
  </si>
  <si>
    <t>"⿀"</t>
  </si>
  <si>
    <t>"⿁"</t>
  </si>
  <si>
    <t>"⿂"</t>
  </si>
  <si>
    <t>"⿃"</t>
  </si>
  <si>
    <t>"⿄"</t>
  </si>
  <si>
    <t>"⿅"</t>
  </si>
  <si>
    <t>"⿆"</t>
  </si>
  <si>
    <t>"⿇"</t>
  </si>
  <si>
    <t>"⿈"</t>
  </si>
  <si>
    <t>"⿉"</t>
  </si>
  <si>
    <t>"⿊"</t>
  </si>
  <si>
    <t>"⿋"</t>
  </si>
  <si>
    <t>"⿌"</t>
  </si>
  <si>
    <t>"⿍"</t>
  </si>
  <si>
    <t>"⿎"</t>
  </si>
  <si>
    <t>"⿏"</t>
  </si>
  <si>
    <t>"⿐"</t>
  </si>
  <si>
    <t>"⿑"</t>
  </si>
  <si>
    <t>"⿒"</t>
  </si>
  <si>
    <t>"⿓"</t>
  </si>
  <si>
    <t>"⿔"</t>
  </si>
  <si>
    <t>"⿕"</t>
  </si>
  <si>
    <t>"⿖"</t>
  </si>
  <si>
    <t>"⿗"</t>
  </si>
  <si>
    <t>"⿘"</t>
  </si>
  <si>
    <t>"⿙"</t>
  </si>
  <si>
    <t>"⿚"</t>
  </si>
  <si>
    <t>"⿛"</t>
  </si>
  <si>
    <t>"⿜"</t>
  </si>
  <si>
    <t>"⿝"</t>
  </si>
  <si>
    <t>"⿞"</t>
  </si>
  <si>
    <t>"⿟"</t>
  </si>
  <si>
    <t>"⿠"</t>
  </si>
  <si>
    <t>"⿡"</t>
  </si>
  <si>
    <t>"⿢"</t>
  </si>
  <si>
    <t>"⿣"</t>
  </si>
  <si>
    <t>"⿤"</t>
  </si>
  <si>
    <t>"⿥"</t>
  </si>
  <si>
    <t>"⿦"</t>
  </si>
  <si>
    <t>"⿧"</t>
  </si>
  <si>
    <t>"⿨"</t>
  </si>
  <si>
    <t>"⿩"</t>
  </si>
  <si>
    <t>"⿪"</t>
  </si>
  <si>
    <t>"⿫"</t>
  </si>
  <si>
    <t>"⿬"</t>
  </si>
  <si>
    <t>"⿭"</t>
  </si>
  <si>
    <t>"⿮"</t>
  </si>
  <si>
    <t>"⿯"</t>
  </si>
  <si>
    <t>"⿰"</t>
  </si>
  <si>
    <t>"⿱"</t>
  </si>
  <si>
    <t>"⿲"</t>
  </si>
  <si>
    <t>"⿳"</t>
  </si>
  <si>
    <t>"⿴"</t>
  </si>
  <si>
    <t>"⿵"</t>
  </si>
  <si>
    <t>"⿶"</t>
  </si>
  <si>
    <t>"⿷"</t>
  </si>
  <si>
    <t>"⿸"</t>
  </si>
  <si>
    <t>"⿹"</t>
  </si>
  <si>
    <t>"⿺"</t>
  </si>
  <si>
    <t>"⿻"</t>
  </si>
  <si>
    <t>"⿼"</t>
  </si>
  <si>
    <t>"⿽"</t>
  </si>
  <si>
    <t>"⿾"</t>
  </si>
  <si>
    <t>"⿿"</t>
  </si>
  <si>
    <t>"　"</t>
  </si>
  <si>
    <t>"、"</t>
  </si>
  <si>
    <t>"。"</t>
  </si>
  <si>
    <t>"〃"</t>
  </si>
  <si>
    <t>"〄"</t>
  </si>
  <si>
    <t>"々"</t>
  </si>
  <si>
    <t>"〆"</t>
  </si>
  <si>
    <t>"〇"</t>
  </si>
  <si>
    <t>"〈"</t>
  </si>
  <si>
    <t>"〉"</t>
  </si>
  <si>
    <t>"《"</t>
  </si>
  <si>
    <t>"》"</t>
  </si>
  <si>
    <t>"「"</t>
  </si>
  <si>
    <t>"」"</t>
  </si>
  <si>
    <t>"『"</t>
  </si>
  <si>
    <t>"』"</t>
  </si>
  <si>
    <t>"【"</t>
  </si>
  <si>
    <t>"】"</t>
  </si>
  <si>
    <t>"〒"</t>
  </si>
  <si>
    <t>"〓"</t>
  </si>
  <si>
    <t>"〔"</t>
  </si>
  <si>
    <t>"〕"</t>
  </si>
  <si>
    <t>"〖"</t>
  </si>
  <si>
    <t>"〗"</t>
  </si>
  <si>
    <t>"〘"</t>
  </si>
  <si>
    <t>"〙"</t>
  </si>
  <si>
    <t>"〚"</t>
  </si>
  <si>
    <t>"〛"</t>
  </si>
  <si>
    <t>"〜"</t>
  </si>
  <si>
    <t>"〝"</t>
  </si>
  <si>
    <t>"〞"</t>
  </si>
  <si>
    <t>"〟"</t>
  </si>
  <si>
    <t>"〠"</t>
  </si>
  <si>
    <t>"〡"</t>
  </si>
  <si>
    <t>"〢"</t>
  </si>
  <si>
    <t>"〣"</t>
  </si>
  <si>
    <t>"〤"</t>
  </si>
  <si>
    <t>"〥"</t>
  </si>
  <si>
    <t>"〦"</t>
  </si>
  <si>
    <t>"〧"</t>
  </si>
  <si>
    <t>"〨"</t>
  </si>
  <si>
    <t>"〩"</t>
  </si>
  <si>
    <t>"〪"</t>
  </si>
  <si>
    <t>"〫"</t>
  </si>
  <si>
    <t>"〬"</t>
  </si>
  <si>
    <t>"〭"</t>
  </si>
  <si>
    <t>"〮"</t>
  </si>
  <si>
    <t>"〯"</t>
  </si>
  <si>
    <t>"〰"</t>
  </si>
  <si>
    <t>"〱"</t>
  </si>
  <si>
    <t>"〲"</t>
  </si>
  <si>
    <t>"〳"</t>
  </si>
  <si>
    <t>"〴"</t>
  </si>
  <si>
    <t>"〵"</t>
  </si>
  <si>
    <t>"〶"</t>
  </si>
  <si>
    <t>"〷"</t>
  </si>
  <si>
    <t>"〸"</t>
  </si>
  <si>
    <t>"〹"</t>
  </si>
  <si>
    <t>"〺"</t>
  </si>
  <si>
    <t>"〻"</t>
  </si>
  <si>
    <t>"〼"</t>
  </si>
  <si>
    <t>"〽"</t>
  </si>
  <si>
    <t>"〾"</t>
  </si>
  <si>
    <t>"〿"</t>
  </si>
  <si>
    <t>"぀"</t>
  </si>
  <si>
    <t>"ぁ"</t>
  </si>
  <si>
    <t>"あ"</t>
  </si>
  <si>
    <t>"ぃ"</t>
  </si>
  <si>
    <t>"い"</t>
  </si>
  <si>
    <t>"ぅ"</t>
  </si>
  <si>
    <t>"う"</t>
  </si>
  <si>
    <t>"ぇ"</t>
  </si>
  <si>
    <t>"え"</t>
  </si>
  <si>
    <t>"ぉ"</t>
  </si>
  <si>
    <t>"お"</t>
  </si>
  <si>
    <t>"か"</t>
  </si>
  <si>
    <t>"が"</t>
  </si>
  <si>
    <t>"き"</t>
  </si>
  <si>
    <t>"ぎ"</t>
  </si>
  <si>
    <t>"く"</t>
  </si>
  <si>
    <t>"ぐ"</t>
  </si>
  <si>
    <t>"け"</t>
  </si>
  <si>
    <t>"げ"</t>
  </si>
  <si>
    <t>"こ"</t>
  </si>
  <si>
    <t>"ご"</t>
  </si>
  <si>
    <t>"さ"</t>
  </si>
  <si>
    <t>"ざ"</t>
  </si>
  <si>
    <t>"し"</t>
  </si>
  <si>
    <t>"じ"</t>
  </si>
  <si>
    <t>"す"</t>
  </si>
  <si>
    <t>"ず"</t>
  </si>
  <si>
    <t>"せ"</t>
  </si>
  <si>
    <t>"ぜ"</t>
  </si>
  <si>
    <t>"そ"</t>
  </si>
  <si>
    <t>"ぞ"</t>
  </si>
  <si>
    <t>"た"</t>
  </si>
  <si>
    <t>"だ"</t>
  </si>
  <si>
    <t>"ち"</t>
  </si>
  <si>
    <t>"ぢ"</t>
  </si>
  <si>
    <t>"っ"</t>
  </si>
  <si>
    <t>"つ"</t>
  </si>
  <si>
    <t>"づ"</t>
  </si>
  <si>
    <t>"て"</t>
  </si>
  <si>
    <t>"で"</t>
  </si>
  <si>
    <t>"と"</t>
  </si>
  <si>
    <t>"ど"</t>
  </si>
  <si>
    <t>"な"</t>
  </si>
  <si>
    <t>"に"</t>
  </si>
  <si>
    <t>"ぬ"</t>
  </si>
  <si>
    <t>"ね"</t>
  </si>
  <si>
    <t>"の"</t>
  </si>
  <si>
    <t>"は"</t>
  </si>
  <si>
    <t>"ば"</t>
  </si>
  <si>
    <t>"ぱ"</t>
  </si>
  <si>
    <t>"ひ"</t>
  </si>
  <si>
    <t>"び"</t>
  </si>
  <si>
    <t>"ぴ"</t>
  </si>
  <si>
    <t>"ふ"</t>
  </si>
  <si>
    <t>"ぶ"</t>
  </si>
  <si>
    <t>"ぷ"</t>
  </si>
  <si>
    <t>"へ"</t>
  </si>
  <si>
    <t>"べ"</t>
  </si>
  <si>
    <t>"ぺ"</t>
  </si>
  <si>
    <t>"ほ"</t>
  </si>
  <si>
    <t>"ぼ"</t>
  </si>
  <si>
    <t>"ぽ"</t>
  </si>
  <si>
    <t>"ま"</t>
  </si>
  <si>
    <t>"み"</t>
  </si>
  <si>
    <t>"む"</t>
  </si>
  <si>
    <t>"め"</t>
  </si>
  <si>
    <t>"も"</t>
  </si>
  <si>
    <t>"ゃ"</t>
  </si>
  <si>
    <t>"や"</t>
  </si>
  <si>
    <t>"ゅ"</t>
  </si>
  <si>
    <t>"ゆ"</t>
  </si>
  <si>
    <t>"ょ"</t>
  </si>
  <si>
    <t>"よ"</t>
  </si>
  <si>
    <t>"ら"</t>
  </si>
  <si>
    <t>"り"</t>
  </si>
  <si>
    <t>"る"</t>
  </si>
  <si>
    <t>"れ"</t>
  </si>
  <si>
    <t>"ろ"</t>
  </si>
  <si>
    <t>"ゎ"</t>
  </si>
  <si>
    <t>"わ"</t>
  </si>
  <si>
    <t>"ゐ"</t>
  </si>
  <si>
    <t>"ゑ"</t>
  </si>
  <si>
    <t>"を"</t>
  </si>
  <si>
    <t>"ん"</t>
  </si>
  <si>
    <t>"ゔ"</t>
  </si>
  <si>
    <t>"ゕ"</t>
  </si>
  <si>
    <t>"ゖ"</t>
  </si>
  <si>
    <t>"゗"</t>
  </si>
  <si>
    <t>"゘"</t>
  </si>
  <si>
    <t>"゙"</t>
  </si>
  <si>
    <t>"゚"</t>
  </si>
  <si>
    <t>"゛"</t>
  </si>
  <si>
    <t>"゜"</t>
  </si>
  <si>
    <t>"ゝ"</t>
  </si>
  <si>
    <t>"ゞ"</t>
  </si>
  <si>
    <t>"ゟ"</t>
  </si>
  <si>
    <t>"゠"</t>
  </si>
  <si>
    <t>"ァ"</t>
  </si>
  <si>
    <t>"ア"</t>
  </si>
  <si>
    <t>"ィ"</t>
  </si>
  <si>
    <t>"イ"</t>
  </si>
  <si>
    <t>"ゥ"</t>
  </si>
  <si>
    <t>"ウ"</t>
  </si>
  <si>
    <t>"ェ"</t>
  </si>
  <si>
    <t>"エ"</t>
  </si>
  <si>
    <t>"ォ"</t>
  </si>
  <si>
    <t>"オ"</t>
  </si>
  <si>
    <t>"カ"</t>
  </si>
  <si>
    <t>"ガ"</t>
  </si>
  <si>
    <t>"キ"</t>
  </si>
  <si>
    <t>"ギ"</t>
  </si>
  <si>
    <t>"ク"</t>
  </si>
  <si>
    <t>"グ"</t>
  </si>
  <si>
    <t>"ケ"</t>
  </si>
  <si>
    <t>"ゲ"</t>
  </si>
  <si>
    <t>"コ"</t>
  </si>
  <si>
    <t>"ゴ"</t>
  </si>
  <si>
    <t>"サ"</t>
  </si>
  <si>
    <t>"ザ"</t>
  </si>
  <si>
    <t>"シ"</t>
  </si>
  <si>
    <t>"ジ"</t>
  </si>
  <si>
    <t>"ス"</t>
  </si>
  <si>
    <t>"ズ"</t>
  </si>
  <si>
    <t>"セ"</t>
  </si>
  <si>
    <t>"ゼ"</t>
  </si>
  <si>
    <t>"ソ"</t>
  </si>
  <si>
    <t>"ゾ"</t>
  </si>
  <si>
    <t>"タ"</t>
  </si>
  <si>
    <t>"ダ"</t>
  </si>
  <si>
    <t>"チ"</t>
  </si>
  <si>
    <t>"ヂ"</t>
  </si>
  <si>
    <t>"ッ"</t>
  </si>
  <si>
    <t>"ツ"</t>
  </si>
  <si>
    <t>"ヅ"</t>
  </si>
  <si>
    <t>"テ"</t>
  </si>
  <si>
    <t>"デ"</t>
  </si>
  <si>
    <t>"ト"</t>
  </si>
  <si>
    <t>"ド"</t>
  </si>
  <si>
    <t>"ナ"</t>
  </si>
  <si>
    <t>"ニ"</t>
  </si>
  <si>
    <t>"ヌ"</t>
  </si>
  <si>
    <t>"ネ"</t>
  </si>
  <si>
    <t>"ノ"</t>
  </si>
  <si>
    <t>"ハ"</t>
  </si>
  <si>
    <t>"バ"</t>
  </si>
  <si>
    <t>"パ"</t>
  </si>
  <si>
    <t>"ヒ"</t>
  </si>
  <si>
    <t>"ビ"</t>
  </si>
  <si>
    <t>"ピ"</t>
  </si>
  <si>
    <t>"フ"</t>
  </si>
  <si>
    <t>"ブ"</t>
  </si>
  <si>
    <t>"プ"</t>
  </si>
  <si>
    <t>"ヘ"</t>
  </si>
  <si>
    <t>"ベ"</t>
  </si>
  <si>
    <t>"ペ"</t>
  </si>
  <si>
    <t>"ホ"</t>
  </si>
  <si>
    <t>"ボ"</t>
  </si>
  <si>
    <t>"ポ"</t>
  </si>
  <si>
    <t>"マ"</t>
  </si>
  <si>
    <t>"ミ"</t>
  </si>
  <si>
    <t>"ム"</t>
  </si>
  <si>
    <t>"メ"</t>
  </si>
  <si>
    <t>"モ"</t>
  </si>
  <si>
    <t>"ャ"</t>
  </si>
  <si>
    <t>"ヤ"</t>
  </si>
  <si>
    <t>"ュ"</t>
  </si>
  <si>
    <t>"ユ"</t>
  </si>
  <si>
    <t>"ョ"</t>
  </si>
  <si>
    <t>"ヨ"</t>
  </si>
  <si>
    <t>"ラ"</t>
  </si>
  <si>
    <t>"リ"</t>
  </si>
  <si>
    <t>"ル"</t>
  </si>
  <si>
    <t>"レ"</t>
  </si>
  <si>
    <t>"ロ"</t>
  </si>
  <si>
    <t>"ヮ"</t>
  </si>
  <si>
    <t>"ワ"</t>
  </si>
  <si>
    <t>"ヰ"</t>
  </si>
  <si>
    <t>"ヱ"</t>
  </si>
  <si>
    <t>"ヲ"</t>
  </si>
  <si>
    <t>"ン"</t>
  </si>
  <si>
    <t>"ヴ"</t>
  </si>
  <si>
    <t>"ヵ"</t>
  </si>
  <si>
    <t>"ヶ"</t>
  </si>
  <si>
    <t>"ヷ"</t>
  </si>
  <si>
    <t>"ヸ"</t>
  </si>
  <si>
    <t>"ヹ"</t>
  </si>
  <si>
    <t>"ヺ"</t>
  </si>
  <si>
    <t>"・"</t>
  </si>
  <si>
    <t>"ー"</t>
  </si>
  <si>
    <t>"ヽ"</t>
  </si>
  <si>
    <t>"ヾ"</t>
  </si>
  <si>
    <t>"ヿ"</t>
  </si>
  <si>
    <t>"㄀"</t>
  </si>
  <si>
    <t>"㄁"</t>
  </si>
  <si>
    <t>"㄂"</t>
  </si>
  <si>
    <t>"㄃"</t>
  </si>
  <si>
    <t>"㄄"</t>
  </si>
  <si>
    <t>"ㄅ"</t>
  </si>
  <si>
    <t>"ㄆ"</t>
  </si>
  <si>
    <t>"ㄇ"</t>
  </si>
  <si>
    <t>"ㄈ"</t>
  </si>
  <si>
    <t>"ㄉ"</t>
  </si>
  <si>
    <t>"ㄊ"</t>
  </si>
  <si>
    <t>"ㄋ"</t>
  </si>
  <si>
    <t>"ㄌ"</t>
  </si>
  <si>
    <t>"ㄍ"</t>
  </si>
  <si>
    <t>"ㄎ"</t>
  </si>
  <si>
    <t>"ㄏ"</t>
  </si>
  <si>
    <t>"ㄐ"</t>
  </si>
  <si>
    <t>"ㄑ"</t>
  </si>
  <si>
    <t>"ㄒ"</t>
  </si>
  <si>
    <t>"ㄓ"</t>
  </si>
  <si>
    <t>"ㄔ"</t>
  </si>
  <si>
    <t>"ㄕ"</t>
  </si>
  <si>
    <t>"ㄖ"</t>
  </si>
  <si>
    <t>"ㄗ"</t>
  </si>
  <si>
    <t>"ㄘ"</t>
  </si>
  <si>
    <t>"ㄙ"</t>
  </si>
  <si>
    <t>"ㄚ"</t>
  </si>
  <si>
    <t>"ㄛ"</t>
  </si>
  <si>
    <t>"ㄜ"</t>
  </si>
  <si>
    <t>"ㄝ"</t>
  </si>
  <si>
    <t>"ㄞ"</t>
  </si>
  <si>
    <t>"ㄟ"</t>
  </si>
  <si>
    <t>"ㄠ"</t>
  </si>
  <si>
    <t>"ㄡ"</t>
  </si>
  <si>
    <t>"ㄢ"</t>
  </si>
  <si>
    <t>"ㄣ"</t>
  </si>
  <si>
    <t>"ㄤ"</t>
  </si>
  <si>
    <t>"ㄥ"</t>
  </si>
  <si>
    <t>"ㄦ"</t>
  </si>
  <si>
    <t>"ㄧ"</t>
  </si>
  <si>
    <t>"ㄨ"</t>
  </si>
  <si>
    <t>"ㄩ"</t>
  </si>
  <si>
    <t>"ㄪ"</t>
  </si>
  <si>
    <t>"ㄫ"</t>
  </si>
  <si>
    <t>"ㄬ"</t>
  </si>
  <si>
    <t>"ㄭ"</t>
  </si>
  <si>
    <t>"ㄮ"</t>
  </si>
  <si>
    <t>"ㄯ"</t>
  </si>
  <si>
    <t>"㄰"</t>
  </si>
  <si>
    <t>"ㄱ"</t>
  </si>
  <si>
    <t>"ㄲ"</t>
  </si>
  <si>
    <t>"ㄳ"</t>
  </si>
  <si>
    <t>"ㄴ"</t>
  </si>
  <si>
    <t>"ㄵ"</t>
  </si>
  <si>
    <t>"ㄶ"</t>
  </si>
  <si>
    <t>"ㄷ"</t>
  </si>
  <si>
    <t>"ㄸ"</t>
  </si>
  <si>
    <t>"ㄹ"</t>
  </si>
  <si>
    <t>"ㄺ"</t>
  </si>
  <si>
    <t>"ㄻ"</t>
  </si>
  <si>
    <t>"ㄼ"</t>
  </si>
  <si>
    <t>"ㄽ"</t>
  </si>
  <si>
    <t>"ㄾ"</t>
  </si>
  <si>
    <t>"ㄿ"</t>
  </si>
  <si>
    <t>"ㅀ"</t>
  </si>
  <si>
    <t>"ㅁ"</t>
  </si>
  <si>
    <t>"ㅂ"</t>
  </si>
  <si>
    <t>"ㅃ"</t>
  </si>
  <si>
    <t>"ㅄ"</t>
  </si>
  <si>
    <t>"ㅅ"</t>
  </si>
  <si>
    <t>"ㅆ"</t>
  </si>
  <si>
    <t>"ㅇ"</t>
  </si>
  <si>
    <t>"ㅈ"</t>
  </si>
  <si>
    <t>"ㅉ"</t>
  </si>
  <si>
    <t>"ㅊ"</t>
  </si>
  <si>
    <t>"ㅋ"</t>
  </si>
  <si>
    <t>"ㅌ"</t>
  </si>
  <si>
    <t>"ㅍ"</t>
  </si>
  <si>
    <t>"ㅎ"</t>
  </si>
  <si>
    <t>"ㅏ"</t>
  </si>
  <si>
    <t>"ㅐ"</t>
  </si>
  <si>
    <t>"ㅑ"</t>
  </si>
  <si>
    <t>"ㅒ"</t>
  </si>
  <si>
    <t>"ㅓ"</t>
  </si>
  <si>
    <t>"ㅔ"</t>
  </si>
  <si>
    <t>"ㅕ"</t>
  </si>
  <si>
    <t>"ㅖ"</t>
  </si>
  <si>
    <t>"ㅗ"</t>
  </si>
  <si>
    <t>"ㅘ"</t>
  </si>
  <si>
    <t>"ㅙ"</t>
  </si>
  <si>
    <t>"ㅚ"</t>
  </si>
  <si>
    <t>"ㅛ"</t>
  </si>
  <si>
    <t>"ㅜ"</t>
  </si>
  <si>
    <t>"ㅝ"</t>
  </si>
  <si>
    <t>"ㅞ"</t>
  </si>
  <si>
    <t>"ㅟ"</t>
  </si>
  <si>
    <t>"ㅠ"</t>
  </si>
  <si>
    <t>"ㅡ"</t>
  </si>
  <si>
    <t>"ㅢ"</t>
  </si>
  <si>
    <t>"ㅣ"</t>
  </si>
  <si>
    <t>"ㅤ"</t>
  </si>
  <si>
    <t>"ㅥ"</t>
  </si>
  <si>
    <t>"ㅦ"</t>
  </si>
  <si>
    <t>"ㅧ"</t>
  </si>
  <si>
    <t>"ㅨ"</t>
  </si>
  <si>
    <t>"ㅩ"</t>
  </si>
  <si>
    <t>"ㅪ"</t>
  </si>
  <si>
    <t>"ㅫ"</t>
  </si>
  <si>
    <t>"ㅬ"</t>
  </si>
  <si>
    <t>"ㅭ"</t>
  </si>
  <si>
    <t>"ㅮ"</t>
  </si>
  <si>
    <t>"ㅯ"</t>
  </si>
  <si>
    <t>"ㅰ"</t>
  </si>
  <si>
    <t>"ㅱ"</t>
  </si>
  <si>
    <t>"ㅲ"</t>
  </si>
  <si>
    <t>"ㅳ"</t>
  </si>
  <si>
    <t>"ㅴ"</t>
  </si>
  <si>
    <t>"ㅵ"</t>
  </si>
  <si>
    <t>"ㅶ"</t>
  </si>
  <si>
    <t>"ㅷ"</t>
  </si>
  <si>
    <t>"ㅸ"</t>
  </si>
  <si>
    <t>"ㅹ"</t>
  </si>
  <si>
    <t>"ㅺ"</t>
  </si>
  <si>
    <t>"ㅻ"</t>
  </si>
  <si>
    <t>"ㅼ"</t>
  </si>
  <si>
    <t>"ㅽ"</t>
  </si>
  <si>
    <t>"ㅾ"</t>
  </si>
  <si>
    <t>"ㅿ"</t>
  </si>
  <si>
    <t>"ㆀ"</t>
  </si>
  <si>
    <t>"ㆁ"</t>
  </si>
  <si>
    <t>"ㆂ"</t>
  </si>
  <si>
    <t>"ㆃ"</t>
  </si>
  <si>
    <t>"ㆄ"</t>
  </si>
  <si>
    <t>"ㆅ"</t>
  </si>
  <si>
    <t>"ㆆ"</t>
  </si>
  <si>
    <t>"ㆇ"</t>
  </si>
  <si>
    <t>"ㆈ"</t>
  </si>
  <si>
    <t>"ㆉ"</t>
  </si>
  <si>
    <t>"ㆊ"</t>
  </si>
  <si>
    <t>"ㆋ"</t>
  </si>
  <si>
    <t>"ㆌ"</t>
  </si>
  <si>
    <t>"ㆍ"</t>
  </si>
  <si>
    <t>"ㆎ"</t>
  </si>
  <si>
    <t>"㆏"</t>
  </si>
  <si>
    <t>"㆐"</t>
  </si>
  <si>
    <t>"㆑"</t>
  </si>
  <si>
    <t>"㆒"</t>
  </si>
  <si>
    <t>"㆓"</t>
  </si>
  <si>
    <t>"㆔"</t>
  </si>
  <si>
    <t>"㆕"</t>
  </si>
  <si>
    <t>"㆖"</t>
  </si>
  <si>
    <t>"㆗"</t>
  </si>
  <si>
    <t>"㆘"</t>
  </si>
  <si>
    <t>"㆙"</t>
  </si>
  <si>
    <t>"㆚"</t>
  </si>
  <si>
    <t>"㆛"</t>
  </si>
  <si>
    <t>"㆜"</t>
  </si>
  <si>
    <t>"㆝"</t>
  </si>
  <si>
    <t>"㆞"</t>
  </si>
  <si>
    <t>"㆟"</t>
  </si>
  <si>
    <t>"ㆠ"</t>
  </si>
  <si>
    <t>"ㆡ"</t>
  </si>
  <si>
    <t>"ㆢ"</t>
  </si>
  <si>
    <t>"ㆣ"</t>
  </si>
  <si>
    <t>"ㆤ"</t>
  </si>
  <si>
    <t>"ㆥ"</t>
  </si>
  <si>
    <t>"ㆦ"</t>
  </si>
  <si>
    <t>"ㆧ"</t>
  </si>
  <si>
    <t>"ㆨ"</t>
  </si>
  <si>
    <t>"ㆩ"</t>
  </si>
  <si>
    <t>"ㆪ"</t>
  </si>
  <si>
    <t>"ㆫ"</t>
  </si>
  <si>
    <t>"ㆬ"</t>
  </si>
  <si>
    <t>"ㆭ"</t>
  </si>
  <si>
    <t>"ㆮ"</t>
  </si>
  <si>
    <t>"ㆯ"</t>
  </si>
  <si>
    <t>"ㆰ"</t>
  </si>
  <si>
    <t>"ㆱ"</t>
  </si>
  <si>
    <t>"ㆲ"</t>
  </si>
  <si>
    <t>"ㆳ"</t>
  </si>
  <si>
    <t>"ㆴ"</t>
  </si>
  <si>
    <t>"ㆵ"</t>
  </si>
  <si>
    <t>"ㆶ"</t>
  </si>
  <si>
    <t>"ㆷ"</t>
  </si>
  <si>
    <t>"ㆸ"</t>
  </si>
  <si>
    <t>"ㆹ"</t>
  </si>
  <si>
    <t>"ㆺ"</t>
  </si>
  <si>
    <t>"ㆻ"</t>
  </si>
  <si>
    <t>"ㆼ"</t>
  </si>
  <si>
    <t>"ㆽ"</t>
  </si>
  <si>
    <t>"ㆾ"</t>
  </si>
  <si>
    <t>"ㆿ"</t>
  </si>
  <si>
    <t>"㇀"</t>
  </si>
  <si>
    <t>"㇁"</t>
  </si>
  <si>
    <t>"㇂"</t>
  </si>
  <si>
    <t>"㇃"</t>
  </si>
  <si>
    <t>"㇄"</t>
  </si>
  <si>
    <t>"㇅"</t>
  </si>
  <si>
    <t>"㇆"</t>
  </si>
  <si>
    <t>"㇇"</t>
  </si>
  <si>
    <t>"㇈"</t>
  </si>
  <si>
    <t>"㇉"</t>
  </si>
  <si>
    <t>"㇊"</t>
  </si>
  <si>
    <t>"㇋"</t>
  </si>
  <si>
    <t>"㇌"</t>
  </si>
  <si>
    <t>"㇍"</t>
  </si>
  <si>
    <t>"㇎"</t>
  </si>
  <si>
    <t>"㇏"</t>
  </si>
  <si>
    <t>"㇐"</t>
  </si>
  <si>
    <t>"㇑"</t>
  </si>
  <si>
    <t>"㇒"</t>
  </si>
  <si>
    <t>"㇓"</t>
  </si>
  <si>
    <t>"㇔"</t>
  </si>
  <si>
    <t>"㇕"</t>
  </si>
  <si>
    <t>"㇖"</t>
  </si>
  <si>
    <t>"㇗"</t>
  </si>
  <si>
    <t>"㇘"</t>
  </si>
  <si>
    <t>"㇙"</t>
  </si>
  <si>
    <t>"㇚"</t>
  </si>
  <si>
    <t>"㇛"</t>
  </si>
  <si>
    <t>"㇜"</t>
  </si>
  <si>
    <t>"㇝"</t>
  </si>
  <si>
    <t>"㇞"</t>
  </si>
  <si>
    <t>"㇟"</t>
  </si>
  <si>
    <t>"㇠"</t>
  </si>
  <si>
    <t>"㇡"</t>
  </si>
  <si>
    <t>"㇢"</t>
  </si>
  <si>
    <t>"㇣"</t>
  </si>
  <si>
    <t>"㇤"</t>
  </si>
  <si>
    <t>"㇥"</t>
  </si>
  <si>
    <t>"㇦"</t>
  </si>
  <si>
    <t>"㇧"</t>
  </si>
  <si>
    <t>"㇨"</t>
  </si>
  <si>
    <t>"㇩"</t>
  </si>
  <si>
    <t>"㇪"</t>
  </si>
  <si>
    <t>"㇫"</t>
  </si>
  <si>
    <t>"㇬"</t>
  </si>
  <si>
    <t>"㇭"</t>
  </si>
  <si>
    <t>"㇮"</t>
  </si>
  <si>
    <t>"㇯"</t>
  </si>
  <si>
    <t>"ㇰ"</t>
  </si>
  <si>
    <t>"ㇱ"</t>
  </si>
  <si>
    <t>"ㇲ"</t>
  </si>
  <si>
    <t>"ㇳ"</t>
  </si>
  <si>
    <t>"ㇴ"</t>
  </si>
  <si>
    <t>"ㇵ"</t>
  </si>
  <si>
    <t>"ㇶ"</t>
  </si>
  <si>
    <t>"ㇷ"</t>
  </si>
  <si>
    <t>"ㇸ"</t>
  </si>
  <si>
    <t>"ㇹ"</t>
  </si>
  <si>
    <t>"ㇺ"</t>
  </si>
  <si>
    <t>"ㇻ"</t>
  </si>
  <si>
    <t>"ㇼ"</t>
  </si>
  <si>
    <t>"ㇽ"</t>
  </si>
  <si>
    <t>"ㇾ"</t>
  </si>
  <si>
    <t>"ㇿ"</t>
  </si>
  <si>
    <t>"㈀"</t>
  </si>
  <si>
    <t>"㈁"</t>
  </si>
  <si>
    <t>"㈂"</t>
  </si>
  <si>
    <t>"㈃"</t>
  </si>
  <si>
    <t>"㈄"</t>
  </si>
  <si>
    <t>"㈅"</t>
  </si>
  <si>
    <t>"㈆"</t>
  </si>
  <si>
    <t>"㈇"</t>
  </si>
  <si>
    <t>"㈈"</t>
  </si>
  <si>
    <t>"㈉"</t>
  </si>
  <si>
    <t>"㈊"</t>
  </si>
  <si>
    <t>"㈋"</t>
  </si>
  <si>
    <t>"㈌"</t>
  </si>
  <si>
    <t>"㈍"</t>
  </si>
  <si>
    <t>"㈎"</t>
  </si>
  <si>
    <t>"㈏"</t>
  </si>
  <si>
    <t>"㈐"</t>
  </si>
  <si>
    <t>"㈑"</t>
  </si>
  <si>
    <t>"㈒"</t>
  </si>
  <si>
    <t>"㈓"</t>
  </si>
  <si>
    <t>"㈔"</t>
  </si>
  <si>
    <t>"㈕"</t>
  </si>
  <si>
    <t>"㈖"</t>
  </si>
  <si>
    <t>"㈗"</t>
  </si>
  <si>
    <t>"㈘"</t>
  </si>
  <si>
    <t>"㈙"</t>
  </si>
  <si>
    <t>"㈚"</t>
  </si>
  <si>
    <t>"㈛"</t>
  </si>
  <si>
    <t>"㈜"</t>
  </si>
  <si>
    <t>"㈝"</t>
  </si>
  <si>
    <t>"㈞"</t>
  </si>
  <si>
    <t>"㈟"</t>
  </si>
  <si>
    <t>"㈠"</t>
  </si>
  <si>
    <t>"㈡"</t>
  </si>
  <si>
    <t>"㈢"</t>
  </si>
  <si>
    <t>"㈣"</t>
  </si>
  <si>
    <t>"㈤"</t>
  </si>
  <si>
    <t>"㈥"</t>
  </si>
  <si>
    <t>"㈦"</t>
  </si>
  <si>
    <t>"㈧"</t>
  </si>
  <si>
    <t>"㈨"</t>
  </si>
  <si>
    <t>"㈩"</t>
  </si>
  <si>
    <t>"㈪"</t>
  </si>
  <si>
    <t>"㈫"</t>
  </si>
  <si>
    <t>"㈬"</t>
  </si>
  <si>
    <t>"㈭"</t>
  </si>
  <si>
    <t>"㈮"</t>
  </si>
  <si>
    <t>"㈯"</t>
  </si>
  <si>
    <t>"㈰"</t>
  </si>
  <si>
    <t>"㈱"</t>
  </si>
  <si>
    <t>"㈲"</t>
  </si>
  <si>
    <t>"㈳"</t>
  </si>
  <si>
    <t>"㈴"</t>
  </si>
  <si>
    <t>"㈵"</t>
  </si>
  <si>
    <t>"㈶"</t>
  </si>
  <si>
    <t>"㈷"</t>
  </si>
  <si>
    <t>"㈸"</t>
  </si>
  <si>
    <t>"㈹"</t>
  </si>
  <si>
    <t>"㈺"</t>
  </si>
  <si>
    <t>"㈻"</t>
  </si>
  <si>
    <t>"㈼"</t>
  </si>
  <si>
    <t>"㈽"</t>
  </si>
  <si>
    <t>"㈾"</t>
  </si>
  <si>
    <t>"㈿"</t>
  </si>
  <si>
    <t>"㉀"</t>
  </si>
  <si>
    <t>"㉁"</t>
  </si>
  <si>
    <t>"㉂"</t>
  </si>
  <si>
    <t>"㉃"</t>
  </si>
  <si>
    <t>"㉄"</t>
  </si>
  <si>
    <t>"㉅"</t>
  </si>
  <si>
    <t>"㉆"</t>
  </si>
  <si>
    <t>"㉇"</t>
  </si>
  <si>
    <t>"㉈"</t>
  </si>
  <si>
    <t>"㉉"</t>
  </si>
  <si>
    <t>"㉊"</t>
  </si>
  <si>
    <t>"㉋"</t>
  </si>
  <si>
    <t>"㉌"</t>
  </si>
  <si>
    <t>"㉍"</t>
  </si>
  <si>
    <t>"㉎"</t>
  </si>
  <si>
    <t>"㉏"</t>
  </si>
  <si>
    <t>"㉐"</t>
  </si>
  <si>
    <t>"㉑"</t>
  </si>
  <si>
    <t>"㉒"</t>
  </si>
  <si>
    <t>"㉓"</t>
  </si>
  <si>
    <t>"㉔"</t>
  </si>
  <si>
    <t>"㉕"</t>
  </si>
  <si>
    <t>"㉖"</t>
  </si>
  <si>
    <t>"㉗"</t>
  </si>
  <si>
    <t>"㉘"</t>
  </si>
  <si>
    <t>"㉙"</t>
  </si>
  <si>
    <t>"㉚"</t>
  </si>
  <si>
    <t>"㉛"</t>
  </si>
  <si>
    <t>"㉜"</t>
  </si>
  <si>
    <t>"㉝"</t>
  </si>
  <si>
    <t>"㉞"</t>
  </si>
  <si>
    <t>"㉟"</t>
  </si>
  <si>
    <t>"㉠"</t>
  </si>
  <si>
    <t>"㉡"</t>
  </si>
  <si>
    <t>"㉢"</t>
  </si>
  <si>
    <t>"㉣"</t>
  </si>
  <si>
    <t>"㉤"</t>
  </si>
  <si>
    <t>"㉥"</t>
  </si>
  <si>
    <t>"㉦"</t>
  </si>
  <si>
    <t>"㉧"</t>
  </si>
  <si>
    <t>"㉨"</t>
  </si>
  <si>
    <t>"㉩"</t>
  </si>
  <si>
    <t>"㉪"</t>
  </si>
  <si>
    <t>"㉫"</t>
  </si>
  <si>
    <t>"㉬"</t>
  </si>
  <si>
    <t>"㉭"</t>
  </si>
  <si>
    <t>"㉮"</t>
  </si>
  <si>
    <t>"㉯"</t>
  </si>
  <si>
    <t>"㉰"</t>
  </si>
  <si>
    <t>"㉱"</t>
  </si>
  <si>
    <t>"㉲"</t>
  </si>
  <si>
    <t>"㉳"</t>
  </si>
  <si>
    <t>"㉴"</t>
  </si>
  <si>
    <t>"㉵"</t>
  </si>
  <si>
    <t>"㉶"</t>
  </si>
  <si>
    <t>"㉷"</t>
  </si>
  <si>
    <t>"㉸"</t>
  </si>
  <si>
    <t>"㉹"</t>
  </si>
  <si>
    <t>"㉺"</t>
  </si>
  <si>
    <t>"㉻"</t>
  </si>
  <si>
    <t>"㉼"</t>
  </si>
  <si>
    <t>"㉽"</t>
  </si>
  <si>
    <t>"㉾"</t>
  </si>
  <si>
    <t>"㉿"</t>
  </si>
  <si>
    <t>"㊀"</t>
  </si>
  <si>
    <t>"㊁"</t>
  </si>
  <si>
    <t>"㊂"</t>
  </si>
  <si>
    <t>"㊃"</t>
  </si>
  <si>
    <t>"㊄"</t>
  </si>
  <si>
    <t>"㊅"</t>
  </si>
  <si>
    <t>"㊆"</t>
  </si>
  <si>
    <t>"㊇"</t>
  </si>
  <si>
    <t>"㊈"</t>
  </si>
  <si>
    <t>"㊉"</t>
  </si>
  <si>
    <t>"㊊"</t>
  </si>
  <si>
    <t>"㊋"</t>
  </si>
  <si>
    <t>"㊌"</t>
  </si>
  <si>
    <t>"㊍"</t>
  </si>
  <si>
    <t>"㊎"</t>
  </si>
  <si>
    <t>"㊏"</t>
  </si>
  <si>
    <t>"㊐"</t>
  </si>
  <si>
    <t>"㊑"</t>
  </si>
  <si>
    <t>"㊒"</t>
  </si>
  <si>
    <t>"㊓"</t>
  </si>
  <si>
    <t>"㊔"</t>
  </si>
  <si>
    <t>"㊕"</t>
  </si>
  <si>
    <t>"㊖"</t>
  </si>
  <si>
    <t>"㊗"</t>
  </si>
  <si>
    <t>"㊘"</t>
  </si>
  <si>
    <t>"㊙"</t>
  </si>
  <si>
    <t>"㊚"</t>
  </si>
  <si>
    <t>"㊛"</t>
  </si>
  <si>
    <t>"㊜"</t>
  </si>
  <si>
    <t>"㊝"</t>
  </si>
  <si>
    <t>"㊞"</t>
  </si>
  <si>
    <t>"㊟"</t>
  </si>
  <si>
    <t>"㊠"</t>
  </si>
  <si>
    <t>"㊡"</t>
  </si>
  <si>
    <t>"㊢"</t>
  </si>
  <si>
    <t>"㊣"</t>
  </si>
  <si>
    <t>"㊤"</t>
  </si>
  <si>
    <t>"㊥"</t>
  </si>
  <si>
    <t>"㊦"</t>
  </si>
  <si>
    <t>"㊧"</t>
  </si>
  <si>
    <t>"㊨"</t>
  </si>
  <si>
    <t>"㊩"</t>
  </si>
  <si>
    <t>"㊪"</t>
  </si>
  <si>
    <t>"㊫"</t>
  </si>
  <si>
    <t>"㊬"</t>
  </si>
  <si>
    <t>"㊭"</t>
  </si>
  <si>
    <t>"㊮"</t>
  </si>
  <si>
    <t>"㊯"</t>
  </si>
  <si>
    <t>"㊰"</t>
  </si>
  <si>
    <t>"㊱"</t>
  </si>
  <si>
    <t>"㊲"</t>
  </si>
  <si>
    <t>"㊳"</t>
  </si>
  <si>
    <t>"㊴"</t>
  </si>
  <si>
    <t>"㊵"</t>
  </si>
  <si>
    <t>"㊶"</t>
  </si>
  <si>
    <t>"㊷"</t>
  </si>
  <si>
    <t>"㊸"</t>
  </si>
  <si>
    <t>"㊹"</t>
  </si>
  <si>
    <t>"㊺"</t>
  </si>
  <si>
    <t>"㊻"</t>
  </si>
  <si>
    <t>"㊼"</t>
  </si>
  <si>
    <t>"㊽"</t>
  </si>
  <si>
    <t>"㊾"</t>
  </si>
  <si>
    <t>"㊿"</t>
  </si>
  <si>
    <t>"㋀"</t>
  </si>
  <si>
    <t>"㋁"</t>
  </si>
  <si>
    <t>"㋂"</t>
  </si>
  <si>
    <t>"㋃"</t>
  </si>
  <si>
    <t>"㋄"</t>
  </si>
  <si>
    <t>"㋅"</t>
  </si>
  <si>
    <t>"㋆"</t>
  </si>
  <si>
    <t>"㋇"</t>
  </si>
  <si>
    <t>"㋈"</t>
  </si>
  <si>
    <t>"㋉"</t>
  </si>
  <si>
    <t>"㋊"</t>
  </si>
  <si>
    <t>"㋋"</t>
  </si>
  <si>
    <t>"㋌"</t>
  </si>
  <si>
    <t>"㋍"</t>
  </si>
  <si>
    <t>"㋎"</t>
  </si>
  <si>
    <t>"㋏"</t>
  </si>
  <si>
    <t>"㋐"</t>
  </si>
  <si>
    <t>"㋑"</t>
  </si>
  <si>
    <t>"㋒"</t>
  </si>
  <si>
    <t>"㋓"</t>
  </si>
  <si>
    <t>"㋔"</t>
  </si>
  <si>
    <t>"㋕"</t>
  </si>
  <si>
    <t>"㋖"</t>
  </si>
  <si>
    <t>"㋗"</t>
  </si>
  <si>
    <t>"㋘"</t>
  </si>
  <si>
    <t>"㋙"</t>
  </si>
  <si>
    <t>"㋚"</t>
  </si>
  <si>
    <t>"㋛"</t>
  </si>
  <si>
    <t>"㋜"</t>
  </si>
  <si>
    <t>"㋝"</t>
  </si>
  <si>
    <t>"㋞"</t>
  </si>
  <si>
    <t>"㋟"</t>
  </si>
  <si>
    <t>"㋠"</t>
  </si>
  <si>
    <t>"㋡"</t>
  </si>
  <si>
    <t>"㋢"</t>
  </si>
  <si>
    <t>"㋣"</t>
  </si>
  <si>
    <t>"㋤"</t>
  </si>
  <si>
    <t>"㋥"</t>
  </si>
  <si>
    <t>"㋦"</t>
  </si>
  <si>
    <t>"㋧"</t>
  </si>
  <si>
    <t>"㋨"</t>
  </si>
  <si>
    <t>"㋩"</t>
  </si>
  <si>
    <t>"㋪"</t>
  </si>
  <si>
    <t>"㋫"</t>
  </si>
  <si>
    <t>"㋬"</t>
  </si>
  <si>
    <t>"㋭"</t>
  </si>
  <si>
    <t>"㋮"</t>
  </si>
  <si>
    <t>"㋯"</t>
  </si>
  <si>
    <t>"㋰"</t>
  </si>
  <si>
    <t>"㋱"</t>
  </si>
  <si>
    <t>"㋲"</t>
  </si>
  <si>
    <t>"㋳"</t>
  </si>
  <si>
    <t>"㋴"</t>
  </si>
  <si>
    <t>"㋵"</t>
  </si>
  <si>
    <t>"㋶"</t>
  </si>
  <si>
    <t>"㋷"</t>
  </si>
  <si>
    <t>"㋸"</t>
  </si>
  <si>
    <t>"㋹"</t>
  </si>
  <si>
    <t>"㋺"</t>
  </si>
  <si>
    <t>"㋻"</t>
  </si>
  <si>
    <t>"㋼"</t>
  </si>
  <si>
    <t>"㋽"</t>
  </si>
  <si>
    <t>"㋾"</t>
  </si>
  <si>
    <t>"㋿"</t>
  </si>
  <si>
    <t>"㌀"</t>
  </si>
  <si>
    <t>"㌁"</t>
  </si>
  <si>
    <t>"㌂"</t>
  </si>
  <si>
    <t>"㌃"</t>
  </si>
  <si>
    <t>"㌄"</t>
  </si>
  <si>
    <t>"㌅"</t>
  </si>
  <si>
    <t>"㌆"</t>
  </si>
  <si>
    <t>"㌇"</t>
  </si>
  <si>
    <t>"㌈"</t>
  </si>
  <si>
    <t>"㌉"</t>
  </si>
  <si>
    <t>"㌊"</t>
  </si>
  <si>
    <t>"㌋"</t>
  </si>
  <si>
    <t>"㌌"</t>
  </si>
  <si>
    <t>"㌍"</t>
  </si>
  <si>
    <t>"㌎"</t>
  </si>
  <si>
    <t>"㌏"</t>
  </si>
  <si>
    <t>"㌐"</t>
  </si>
  <si>
    <t>"㌑"</t>
  </si>
  <si>
    <t>"㌒"</t>
  </si>
  <si>
    <t>"㌓"</t>
  </si>
  <si>
    <t>"㌔"</t>
  </si>
  <si>
    <t>"㌕"</t>
  </si>
  <si>
    <t>"㌖"</t>
  </si>
  <si>
    <t>"㌗"</t>
  </si>
  <si>
    <t>"㌘"</t>
  </si>
  <si>
    <t>"㌙"</t>
  </si>
  <si>
    <t>"㌚"</t>
  </si>
  <si>
    <t>"㌛"</t>
  </si>
  <si>
    <t>"㌜"</t>
  </si>
  <si>
    <t>"㌝"</t>
  </si>
  <si>
    <t>"㌞"</t>
  </si>
  <si>
    <t>"㌟"</t>
  </si>
  <si>
    <t>"㌠"</t>
  </si>
  <si>
    <t>"㌡"</t>
  </si>
  <si>
    <t>"㌢"</t>
  </si>
  <si>
    <t>"㌣"</t>
  </si>
  <si>
    <t>"㌤"</t>
  </si>
  <si>
    <t>"㌥"</t>
  </si>
  <si>
    <t>"㌦"</t>
  </si>
  <si>
    <t>"㌧"</t>
  </si>
  <si>
    <t>"㌨"</t>
  </si>
  <si>
    <t>"㌩"</t>
  </si>
  <si>
    <t>"㌪"</t>
  </si>
  <si>
    <t>"㌫"</t>
  </si>
  <si>
    <t>"㌬"</t>
  </si>
  <si>
    <t>"㌭"</t>
  </si>
  <si>
    <t>"㌮"</t>
  </si>
  <si>
    <t>"㌯"</t>
  </si>
  <si>
    <t>"㌰"</t>
  </si>
  <si>
    <t>"㌱"</t>
  </si>
  <si>
    <t>"㌲"</t>
  </si>
  <si>
    <t>"㌳"</t>
  </si>
  <si>
    <t>"㌴"</t>
  </si>
  <si>
    <t>"㌵"</t>
  </si>
  <si>
    <t>"㌶"</t>
  </si>
  <si>
    <t>"㌷"</t>
  </si>
  <si>
    <t>"㌸"</t>
  </si>
  <si>
    <t>"㌹"</t>
  </si>
  <si>
    <t>"㌺"</t>
  </si>
  <si>
    <t>"㌻"</t>
  </si>
  <si>
    <t>"㌼"</t>
  </si>
  <si>
    <t>"㌽"</t>
  </si>
  <si>
    <t>"㌾"</t>
  </si>
  <si>
    <t>"㌿"</t>
  </si>
  <si>
    <t>"㍀"</t>
  </si>
  <si>
    <t>"㍁"</t>
  </si>
  <si>
    <t>"㍂"</t>
  </si>
  <si>
    <t>"㍃"</t>
  </si>
  <si>
    <t>"㍄"</t>
  </si>
  <si>
    <t>"㍅"</t>
  </si>
  <si>
    <t>"㍆"</t>
  </si>
  <si>
    <t>"㍇"</t>
  </si>
  <si>
    <t>"㍈"</t>
  </si>
  <si>
    <t>"㍉"</t>
  </si>
  <si>
    <t>"㍊"</t>
  </si>
  <si>
    <t>"㍋"</t>
  </si>
  <si>
    <t>"㍌"</t>
  </si>
  <si>
    <t>"㍍"</t>
  </si>
  <si>
    <t>"㍎"</t>
  </si>
  <si>
    <t>"㍏"</t>
  </si>
  <si>
    <t>"㍐"</t>
  </si>
  <si>
    <t>"㍑"</t>
  </si>
  <si>
    <t>"㍒"</t>
  </si>
  <si>
    <t>"㍓"</t>
  </si>
  <si>
    <t>"㍔"</t>
  </si>
  <si>
    <t>"㍕"</t>
  </si>
  <si>
    <t>"㍖"</t>
  </si>
  <si>
    <t>"㍗"</t>
  </si>
  <si>
    <t>"㍘"</t>
  </si>
  <si>
    <t>"㍙"</t>
  </si>
  <si>
    <t>"㍚"</t>
  </si>
  <si>
    <t>"㍛"</t>
  </si>
  <si>
    <t>"㍜"</t>
  </si>
  <si>
    <t>"㍝"</t>
  </si>
  <si>
    <t>"㍞"</t>
  </si>
  <si>
    <t>"㍟"</t>
  </si>
  <si>
    <t>"㍠"</t>
  </si>
  <si>
    <t>"㍡"</t>
  </si>
  <si>
    <t>"㍢"</t>
  </si>
  <si>
    <t>"㍣"</t>
  </si>
  <si>
    <t>"㍤"</t>
  </si>
  <si>
    <t>"㍥"</t>
  </si>
  <si>
    <t>"㍦"</t>
  </si>
  <si>
    <t>"㍧"</t>
  </si>
  <si>
    <t>"㍨"</t>
  </si>
  <si>
    <t>"㍩"</t>
  </si>
  <si>
    <t>"㍪"</t>
  </si>
  <si>
    <t>"㍫"</t>
  </si>
  <si>
    <t>"㍬"</t>
  </si>
  <si>
    <t>"㍭"</t>
  </si>
  <si>
    <t>"㍮"</t>
  </si>
  <si>
    <t>"㍯"</t>
  </si>
  <si>
    <t>"㍰"</t>
  </si>
  <si>
    <t>"㍱"</t>
  </si>
  <si>
    <t>"㍲"</t>
  </si>
  <si>
    <t>"㍳"</t>
  </si>
  <si>
    <t>"㍴"</t>
  </si>
  <si>
    <t>"㍵"</t>
  </si>
  <si>
    <t>"㍶"</t>
  </si>
  <si>
    <t>"㍷"</t>
  </si>
  <si>
    <t>"㍸"</t>
  </si>
  <si>
    <t>"㍹"</t>
  </si>
  <si>
    <t>"㍺"</t>
  </si>
  <si>
    <t>"㍻"</t>
  </si>
  <si>
    <t>"㍼"</t>
  </si>
  <si>
    <t>"㍽"</t>
  </si>
  <si>
    <t>"㍾"</t>
  </si>
  <si>
    <t>"㍿"</t>
  </si>
  <si>
    <t>"㎀"</t>
  </si>
  <si>
    <t>"㎁"</t>
  </si>
  <si>
    <t>"㎂"</t>
  </si>
  <si>
    <t>"㎃"</t>
  </si>
  <si>
    <t>"㎄"</t>
  </si>
  <si>
    <t>"㎅"</t>
  </si>
  <si>
    <t>"㎆"</t>
  </si>
  <si>
    <t>"㎇"</t>
  </si>
  <si>
    <t>"㎈"</t>
  </si>
  <si>
    <t>"㎉"</t>
  </si>
  <si>
    <t>"㎊"</t>
  </si>
  <si>
    <t>"㎋"</t>
  </si>
  <si>
    <t>"㎌"</t>
  </si>
  <si>
    <t>"㎍"</t>
  </si>
  <si>
    <t>"㎎"</t>
  </si>
  <si>
    <t>"㎏"</t>
  </si>
  <si>
    <t>"㎐"</t>
  </si>
  <si>
    <t>"㎑"</t>
  </si>
  <si>
    <t>"㎒"</t>
  </si>
  <si>
    <t>"㎓"</t>
  </si>
  <si>
    <t>"㎔"</t>
  </si>
  <si>
    <t>"㎕"</t>
  </si>
  <si>
    <t>"㎖"</t>
  </si>
  <si>
    <t>"㎗"</t>
  </si>
  <si>
    <t>"㎘"</t>
  </si>
  <si>
    <t>"㎙"</t>
  </si>
  <si>
    <t>"㎚"</t>
  </si>
  <si>
    <t>"㎛"</t>
  </si>
  <si>
    <t>"㎜"</t>
  </si>
  <si>
    <t>"㎝"</t>
  </si>
  <si>
    <t>"㎞"</t>
  </si>
  <si>
    <t>"㎟"</t>
  </si>
  <si>
    <t>"㎠"</t>
  </si>
  <si>
    <t>"㎡"</t>
  </si>
  <si>
    <t>"㎢"</t>
  </si>
  <si>
    <t>"㎣"</t>
  </si>
  <si>
    <t>"㎤"</t>
  </si>
  <si>
    <t>"㎥"</t>
  </si>
  <si>
    <t>"㎦"</t>
  </si>
  <si>
    <t>"㎧"</t>
  </si>
  <si>
    <t>"㎨"</t>
  </si>
  <si>
    <t>"㎩"</t>
  </si>
  <si>
    <t>"㎪"</t>
  </si>
  <si>
    <t>"㎫"</t>
  </si>
  <si>
    <t>"㎬"</t>
  </si>
  <si>
    <t>"㎭"</t>
  </si>
  <si>
    <t>"㎮"</t>
  </si>
  <si>
    <t>"㎯"</t>
  </si>
  <si>
    <t>"㎰"</t>
  </si>
  <si>
    <t>"㎱"</t>
  </si>
  <si>
    <t>"㎲"</t>
  </si>
  <si>
    <t>"㎳"</t>
  </si>
  <si>
    <t>"㎴"</t>
  </si>
  <si>
    <t>"㎵"</t>
  </si>
  <si>
    <t>"㎶"</t>
  </si>
  <si>
    <t>"㎷"</t>
  </si>
  <si>
    <t>"㎸"</t>
  </si>
  <si>
    <t>"㎹"</t>
  </si>
  <si>
    <t>"㎺"</t>
  </si>
  <si>
    <t>"㎻"</t>
  </si>
  <si>
    <t>"㎼"</t>
  </si>
  <si>
    <t>"㎽"</t>
  </si>
  <si>
    <t>"㎾"</t>
  </si>
  <si>
    <t>"㎿"</t>
  </si>
  <si>
    <t>"㏀"</t>
  </si>
  <si>
    <t>"㏁"</t>
  </si>
  <si>
    <t>"㏂"</t>
  </si>
  <si>
    <t>"㏃"</t>
  </si>
  <si>
    <t>"㏄"</t>
  </si>
  <si>
    <t>"㏅"</t>
  </si>
  <si>
    <t>"㏆"</t>
  </si>
  <si>
    <t>"㏇"</t>
  </si>
  <si>
    <t>"㏈"</t>
  </si>
  <si>
    <t>"㏉"</t>
  </si>
  <si>
    <t>"㏊"</t>
  </si>
  <si>
    <t>"㏋"</t>
  </si>
  <si>
    <t>"㏌"</t>
  </si>
  <si>
    <t>"㏍"</t>
  </si>
  <si>
    <t>"㏎"</t>
  </si>
  <si>
    <t>"㏏"</t>
  </si>
  <si>
    <t>"㏐"</t>
  </si>
  <si>
    <t>"㏑"</t>
  </si>
  <si>
    <t>"㏒"</t>
  </si>
  <si>
    <t>"㏓"</t>
  </si>
  <si>
    <t>"㏔"</t>
  </si>
  <si>
    <t>"㏕"</t>
  </si>
  <si>
    <t>"㏖"</t>
  </si>
  <si>
    <t>"㏗"</t>
  </si>
  <si>
    <t>"㏘"</t>
  </si>
  <si>
    <t>"㏙"</t>
  </si>
  <si>
    <t>"㏚"</t>
  </si>
  <si>
    <t>"㏛"</t>
  </si>
  <si>
    <t>"㏜"</t>
  </si>
  <si>
    <t>"㏝"</t>
  </si>
  <si>
    <t>"㏞"</t>
  </si>
  <si>
    <t>"㏟"</t>
  </si>
  <si>
    <t>"㏠"</t>
  </si>
  <si>
    <t>"㏡"</t>
  </si>
  <si>
    <t>"㏢"</t>
  </si>
  <si>
    <t>"㏣"</t>
  </si>
  <si>
    <t>"㏤"</t>
  </si>
  <si>
    <t>"㏥"</t>
  </si>
  <si>
    <t>"㏦"</t>
  </si>
  <si>
    <t>"㏧"</t>
  </si>
  <si>
    <t>"㏨"</t>
  </si>
  <si>
    <t>"㏩"</t>
  </si>
  <si>
    <t>"㏪"</t>
  </si>
  <si>
    <t>"㏫"</t>
  </si>
  <si>
    <t>"㏬"</t>
  </si>
  <si>
    <t>"㏭"</t>
  </si>
  <si>
    <t>"㏮"</t>
  </si>
  <si>
    <t>"㏯"</t>
  </si>
  <si>
    <t>"㏰"</t>
  </si>
  <si>
    <t>"㏱"</t>
  </si>
  <si>
    <t>"㏲"</t>
  </si>
  <si>
    <t>"㏳"</t>
  </si>
  <si>
    <t>"㏴"</t>
  </si>
  <si>
    <t>"㏵"</t>
  </si>
  <si>
    <t>"㏶"</t>
  </si>
  <si>
    <t>"㏷"</t>
  </si>
  <si>
    <t>"㏸"</t>
  </si>
  <si>
    <t>"㏹"</t>
  </si>
  <si>
    <t>"㏺"</t>
  </si>
  <si>
    <t>"㏻"</t>
  </si>
  <si>
    <t>"㏼"</t>
  </si>
  <si>
    <t>"㏽"</t>
  </si>
  <si>
    <t>"㏾"</t>
  </si>
  <si>
    <t>"㏿"</t>
  </si>
  <si>
    <t>"㐀"</t>
  </si>
  <si>
    <t>"㐁"</t>
  </si>
  <si>
    <t>"㐂"</t>
  </si>
  <si>
    <t>"㐃"</t>
  </si>
  <si>
    <t>"㐄"</t>
  </si>
  <si>
    <t>"㐅"</t>
  </si>
  <si>
    <t>"㐆"</t>
  </si>
  <si>
    <t>"㐇"</t>
  </si>
  <si>
    <t>"㐈"</t>
  </si>
  <si>
    <t>"㐉"</t>
  </si>
  <si>
    <t>"㐊"</t>
  </si>
  <si>
    <t>"㐋"</t>
  </si>
  <si>
    <t>"㐌"</t>
  </si>
  <si>
    <t>"㐍"</t>
  </si>
  <si>
    <t>"㐎"</t>
  </si>
  <si>
    <t>"㐏"</t>
  </si>
  <si>
    <t>"㐐"</t>
  </si>
  <si>
    <t>"㐑"</t>
  </si>
  <si>
    <t>"㐒"</t>
  </si>
  <si>
    <t>"㐓"</t>
  </si>
  <si>
    <t>"㐔"</t>
  </si>
  <si>
    <t>"㐕"</t>
  </si>
  <si>
    <t>"㐖"</t>
  </si>
  <si>
    <t>"㐗"</t>
  </si>
  <si>
    <t>"㐘"</t>
  </si>
  <si>
    <t>"㐙"</t>
  </si>
  <si>
    <t>"㐚"</t>
  </si>
  <si>
    <t>"㐛"</t>
  </si>
  <si>
    <t>"㐜"</t>
  </si>
  <si>
    <t>"㐝"</t>
  </si>
  <si>
    <t>"㐞"</t>
  </si>
  <si>
    <t>"㐟"</t>
  </si>
  <si>
    <t>"㐠"</t>
  </si>
  <si>
    <t>"㐡"</t>
  </si>
  <si>
    <t>"㐢"</t>
  </si>
  <si>
    <t>"㐣"</t>
  </si>
  <si>
    <t>"㐤"</t>
  </si>
  <si>
    <t>"㐥"</t>
  </si>
  <si>
    <t>"㐦"</t>
  </si>
  <si>
    <t>"㐧"</t>
  </si>
  <si>
    <t>"㐨"</t>
  </si>
  <si>
    <t>"㐩"</t>
  </si>
  <si>
    <t>"㐪"</t>
  </si>
  <si>
    <t>"㐫"</t>
  </si>
  <si>
    <t>"㐬"</t>
  </si>
  <si>
    <t>"㐭"</t>
  </si>
  <si>
    <t>"㐮"</t>
  </si>
  <si>
    <t>"㐯"</t>
  </si>
  <si>
    <t>"㐰"</t>
  </si>
  <si>
    <t>"㐱"</t>
  </si>
  <si>
    <t>"㐲"</t>
  </si>
  <si>
    <t>"㐳"</t>
  </si>
  <si>
    <t>"㐴"</t>
  </si>
  <si>
    <t>"㐵"</t>
  </si>
  <si>
    <t>"㐶"</t>
  </si>
  <si>
    <t>"㐷"</t>
  </si>
  <si>
    <t>"㐸"</t>
  </si>
  <si>
    <t>"㐹"</t>
  </si>
  <si>
    <t>"㐺"</t>
  </si>
  <si>
    <t>"㐻"</t>
  </si>
  <si>
    <t>"㐼"</t>
  </si>
  <si>
    <t>"㐽"</t>
  </si>
  <si>
    <t>"㐾"</t>
  </si>
  <si>
    <t>"㐿"</t>
  </si>
  <si>
    <t>"㑀"</t>
  </si>
  <si>
    <t>"㑁"</t>
  </si>
  <si>
    <t>"㑂"</t>
  </si>
  <si>
    <t>"㑃"</t>
  </si>
  <si>
    <t>"㑄"</t>
  </si>
  <si>
    <t>"㑅"</t>
  </si>
  <si>
    <t>"㑆"</t>
  </si>
  <si>
    <t>"㑇"</t>
  </si>
  <si>
    <t>"㑈"</t>
  </si>
  <si>
    <t>"㑉"</t>
  </si>
  <si>
    <t>"㑊"</t>
  </si>
  <si>
    <t>"㑋"</t>
  </si>
  <si>
    <t>"㑌"</t>
  </si>
  <si>
    <t>"㑍"</t>
  </si>
  <si>
    <t>"㑎"</t>
  </si>
  <si>
    <t>"㑏"</t>
  </si>
  <si>
    <t>"㑐"</t>
  </si>
  <si>
    <t>"㑑"</t>
  </si>
  <si>
    <t>"㑒"</t>
  </si>
  <si>
    <t>"㑓"</t>
  </si>
  <si>
    <t>"㑔"</t>
  </si>
  <si>
    <t>"㑕"</t>
  </si>
  <si>
    <t>"㑖"</t>
  </si>
  <si>
    <t>"㑗"</t>
  </si>
  <si>
    <t>"㑘"</t>
  </si>
  <si>
    <t>"㑙"</t>
  </si>
  <si>
    <t>"㑚"</t>
  </si>
  <si>
    <t>"㑛"</t>
  </si>
  <si>
    <t>"㑜"</t>
  </si>
  <si>
    <t>"㑝"</t>
  </si>
  <si>
    <t>"㑞"</t>
  </si>
  <si>
    <t>"㑟"</t>
  </si>
  <si>
    <t>"㑠"</t>
  </si>
  <si>
    <t>"㑡"</t>
  </si>
  <si>
    <t>"㑢"</t>
  </si>
  <si>
    <t>"㑣"</t>
  </si>
  <si>
    <t>"㑤"</t>
  </si>
  <si>
    <t>"㑥"</t>
  </si>
  <si>
    <t>"㑦"</t>
  </si>
  <si>
    <t>"㑧"</t>
  </si>
  <si>
    <t>"㑨"</t>
  </si>
  <si>
    <t>"㑩"</t>
  </si>
  <si>
    <t>"㑪"</t>
  </si>
  <si>
    <t>"㑫"</t>
  </si>
  <si>
    <t>"㑬"</t>
  </si>
  <si>
    <t>"㑭"</t>
  </si>
  <si>
    <t>"㑮"</t>
  </si>
  <si>
    <t>"㑯"</t>
  </si>
  <si>
    <t>"㑰"</t>
  </si>
  <si>
    <t>"㑱"</t>
  </si>
  <si>
    <t>"㑲"</t>
  </si>
  <si>
    <t>"㑳"</t>
  </si>
  <si>
    <t>"㑴"</t>
  </si>
  <si>
    <t>"㑵"</t>
  </si>
  <si>
    <t>"㑶"</t>
  </si>
  <si>
    <t>"㑷"</t>
  </si>
  <si>
    <t>"㑸"</t>
  </si>
  <si>
    <t>"㑹"</t>
  </si>
  <si>
    <t>"㑺"</t>
  </si>
  <si>
    <t>"㑻"</t>
  </si>
  <si>
    <t>"㑼"</t>
  </si>
  <si>
    <t>"㑽"</t>
  </si>
  <si>
    <t>"㑾"</t>
  </si>
  <si>
    <t>"㑿"</t>
  </si>
  <si>
    <t>"㒀"</t>
  </si>
  <si>
    <t>"㒁"</t>
  </si>
  <si>
    <t>"㒂"</t>
  </si>
  <si>
    <t>"㒃"</t>
  </si>
  <si>
    <t>"㒄"</t>
  </si>
  <si>
    <t>"㒅"</t>
  </si>
  <si>
    <t>"㒆"</t>
  </si>
  <si>
    <t>"㒇"</t>
  </si>
  <si>
    <t>"㒈"</t>
  </si>
  <si>
    <t>"㒉"</t>
  </si>
  <si>
    <t>"㒊"</t>
  </si>
  <si>
    <t>"㒋"</t>
  </si>
  <si>
    <t>"㒌"</t>
  </si>
  <si>
    <t>"㒍"</t>
  </si>
  <si>
    <t>"㒎"</t>
  </si>
  <si>
    <t>"㒏"</t>
  </si>
  <si>
    <t>"㒐"</t>
  </si>
  <si>
    <t>"㒑"</t>
  </si>
  <si>
    <t>"㒒"</t>
  </si>
  <si>
    <t>"㒓"</t>
  </si>
  <si>
    <t>"㒔"</t>
  </si>
  <si>
    <t>"㒕"</t>
  </si>
  <si>
    <t>"㒖"</t>
  </si>
  <si>
    <t>"㒗"</t>
  </si>
  <si>
    <t>"㒘"</t>
  </si>
  <si>
    <t>"㒙"</t>
  </si>
  <si>
    <t>"㒚"</t>
  </si>
  <si>
    <t>"㒛"</t>
  </si>
  <si>
    <t>"㒜"</t>
  </si>
  <si>
    <t>"㒝"</t>
  </si>
  <si>
    <t>"㒞"</t>
  </si>
  <si>
    <t>"㒟"</t>
  </si>
  <si>
    <t>"㒠"</t>
  </si>
  <si>
    <t>"㒡"</t>
  </si>
  <si>
    <t>"㒢"</t>
  </si>
  <si>
    <t>"㒣"</t>
  </si>
  <si>
    <t>"㒤"</t>
  </si>
  <si>
    <t>"㒥"</t>
  </si>
  <si>
    <t>"㒦"</t>
  </si>
  <si>
    <t>"㒧"</t>
  </si>
  <si>
    <t>"㒨"</t>
  </si>
  <si>
    <t>"㒩"</t>
  </si>
  <si>
    <t>"㒪"</t>
  </si>
  <si>
    <t>"㒫"</t>
  </si>
  <si>
    <t>"㒬"</t>
  </si>
  <si>
    <t>"㒭"</t>
  </si>
  <si>
    <t>"㒮"</t>
  </si>
  <si>
    <t>"㒯"</t>
  </si>
  <si>
    <t>"㒰"</t>
  </si>
  <si>
    <t>"㒱"</t>
  </si>
  <si>
    <t>"㒲"</t>
  </si>
  <si>
    <t>"㒳"</t>
  </si>
  <si>
    <t>"㒴"</t>
  </si>
  <si>
    <t>"㒵"</t>
  </si>
  <si>
    <t>"㒶"</t>
  </si>
  <si>
    <t>"㒷"</t>
  </si>
  <si>
    <t>"㒸"</t>
  </si>
  <si>
    <t>"㒹"</t>
  </si>
  <si>
    <t>"㒺"</t>
  </si>
  <si>
    <t>"㒻"</t>
  </si>
  <si>
    <t>"㒼"</t>
  </si>
  <si>
    <t>"㒽"</t>
  </si>
  <si>
    <t>"㒾"</t>
  </si>
  <si>
    <t>"㒿"</t>
  </si>
  <si>
    <t>"㓀"</t>
  </si>
  <si>
    <t>"㓁"</t>
  </si>
  <si>
    <t>"㓂"</t>
  </si>
  <si>
    <t>"㓃"</t>
  </si>
  <si>
    <t>"㓄"</t>
  </si>
  <si>
    <t>"㓅"</t>
  </si>
  <si>
    <t>"㓆"</t>
  </si>
  <si>
    <t>"㓇"</t>
  </si>
  <si>
    <t>"㓈"</t>
  </si>
  <si>
    <t>"㓉"</t>
  </si>
  <si>
    <t>"㓊"</t>
  </si>
  <si>
    <t>"㓋"</t>
  </si>
  <si>
    <t>"㓌"</t>
  </si>
  <si>
    <t>"㓍"</t>
  </si>
  <si>
    <t>"㓎"</t>
  </si>
  <si>
    <t>"㓏"</t>
  </si>
  <si>
    <t>"㓐"</t>
  </si>
  <si>
    <t>"㓑"</t>
  </si>
  <si>
    <t>"㓒"</t>
  </si>
  <si>
    <t>"㓓"</t>
  </si>
  <si>
    <t>"㓔"</t>
  </si>
  <si>
    <t>"㓕"</t>
  </si>
  <si>
    <t>"㓖"</t>
  </si>
  <si>
    <t>"㓗"</t>
  </si>
  <si>
    <t>"㓘"</t>
  </si>
  <si>
    <t>"㓙"</t>
  </si>
  <si>
    <t>"㓚"</t>
  </si>
  <si>
    <t>"㓛"</t>
  </si>
  <si>
    <t>"㓜"</t>
  </si>
  <si>
    <t>"㓝"</t>
  </si>
  <si>
    <t>"㓞"</t>
  </si>
  <si>
    <t>"㓟"</t>
  </si>
  <si>
    <t>"㓠"</t>
  </si>
  <si>
    <t>"㓡"</t>
  </si>
  <si>
    <t>"㓢"</t>
  </si>
  <si>
    <t>"㓣"</t>
  </si>
  <si>
    <t>"㓤"</t>
  </si>
  <si>
    <t>"㓥"</t>
  </si>
  <si>
    <t>"㓦"</t>
  </si>
  <si>
    <t>"㓧"</t>
  </si>
  <si>
    <t>"㓨"</t>
  </si>
  <si>
    <t>"㓩"</t>
  </si>
  <si>
    <t>"㓪"</t>
  </si>
  <si>
    <t>"㓫"</t>
  </si>
  <si>
    <t>"㓬"</t>
  </si>
  <si>
    <t>"㓭"</t>
  </si>
  <si>
    <t>"㓮"</t>
  </si>
  <si>
    <t>"㓯"</t>
  </si>
  <si>
    <t>"㓰"</t>
  </si>
  <si>
    <t>"㓱"</t>
  </si>
  <si>
    <t>"㓲"</t>
  </si>
  <si>
    <t>"㓳"</t>
  </si>
  <si>
    <t>"㓴"</t>
  </si>
  <si>
    <t>"㓵"</t>
  </si>
  <si>
    <t>"㓶"</t>
  </si>
  <si>
    <t>"㓷"</t>
  </si>
  <si>
    <t>"㓸"</t>
  </si>
  <si>
    <t>"㓹"</t>
  </si>
  <si>
    <t>"㓺"</t>
  </si>
  <si>
    <t>"㓻"</t>
  </si>
  <si>
    <t>"㓼"</t>
  </si>
  <si>
    <t>"㓽"</t>
  </si>
  <si>
    <t>"㓾"</t>
  </si>
  <si>
    <t>"㓿"</t>
  </si>
  <si>
    <t>"㔀"</t>
  </si>
  <si>
    <t>"㔁"</t>
  </si>
  <si>
    <t>"㔂"</t>
  </si>
  <si>
    <t>"㔃"</t>
  </si>
  <si>
    <t>"㔄"</t>
  </si>
  <si>
    <t>"㔅"</t>
  </si>
  <si>
    <t>"㔆"</t>
  </si>
  <si>
    <t>"㔇"</t>
  </si>
  <si>
    <t>"㔈"</t>
  </si>
  <si>
    <t>"㔉"</t>
  </si>
  <si>
    <t>"㔊"</t>
  </si>
  <si>
    <t>"㔋"</t>
  </si>
  <si>
    <t>"㔌"</t>
  </si>
  <si>
    <t>"㔍"</t>
  </si>
  <si>
    <t>"㔎"</t>
  </si>
  <si>
    <t>"㔏"</t>
  </si>
  <si>
    <t>"㔐"</t>
  </si>
  <si>
    <t>"㔑"</t>
  </si>
  <si>
    <t>"㔒"</t>
  </si>
  <si>
    <t>"㔓"</t>
  </si>
  <si>
    <t>"㔔"</t>
  </si>
  <si>
    <t>"㔕"</t>
  </si>
  <si>
    <t>"㔖"</t>
  </si>
  <si>
    <t>"㔗"</t>
  </si>
  <si>
    <t>"㔘"</t>
  </si>
  <si>
    <t>"㔙"</t>
  </si>
  <si>
    <t>"㔚"</t>
  </si>
  <si>
    <t>"㔛"</t>
  </si>
  <si>
    <t>"㔜"</t>
  </si>
  <si>
    <t>"㔝"</t>
  </si>
  <si>
    <t>"㔞"</t>
  </si>
  <si>
    <t>"㔟"</t>
  </si>
  <si>
    <t>"㔠"</t>
  </si>
  <si>
    <t>"㔡"</t>
  </si>
  <si>
    <t>"㔢"</t>
  </si>
  <si>
    <t>"㔣"</t>
  </si>
  <si>
    <t>"㔤"</t>
  </si>
  <si>
    <t>"㔥"</t>
  </si>
  <si>
    <t>"㔦"</t>
  </si>
  <si>
    <t>"㔧"</t>
  </si>
  <si>
    <t>"㔨"</t>
  </si>
  <si>
    <t>"㔩"</t>
  </si>
  <si>
    <t>"㔪"</t>
  </si>
  <si>
    <t>"㔫"</t>
  </si>
  <si>
    <t>"㔬"</t>
  </si>
  <si>
    <t>"㔭"</t>
  </si>
  <si>
    <t>"㔮"</t>
  </si>
  <si>
    <t>"㔯"</t>
  </si>
  <si>
    <t>"㔰"</t>
  </si>
  <si>
    <t>"㔱"</t>
  </si>
  <si>
    <t>"㔲"</t>
  </si>
  <si>
    <t>"㔳"</t>
  </si>
  <si>
    <t>"㔴"</t>
  </si>
  <si>
    <t>"㔵"</t>
  </si>
  <si>
    <t>"㔶"</t>
  </si>
  <si>
    <t>"㔷"</t>
  </si>
  <si>
    <t>"㔸"</t>
  </si>
  <si>
    <t>"㔹"</t>
  </si>
  <si>
    <t>"㔺"</t>
  </si>
  <si>
    <t>"㔻"</t>
  </si>
  <si>
    <t>"㔼"</t>
  </si>
  <si>
    <t>"㔽"</t>
  </si>
  <si>
    <t>"㔾"</t>
  </si>
  <si>
    <t>"㔿"</t>
  </si>
  <si>
    <t>"㕀"</t>
  </si>
  <si>
    <t>"㕁"</t>
  </si>
  <si>
    <t>"㕂"</t>
  </si>
  <si>
    <t>"㕃"</t>
  </si>
  <si>
    <t>"㕄"</t>
  </si>
  <si>
    <t>"㕅"</t>
  </si>
  <si>
    <t>"㕆"</t>
  </si>
  <si>
    <t>"㕇"</t>
  </si>
  <si>
    <t>"㕈"</t>
  </si>
  <si>
    <t>"㕉"</t>
  </si>
  <si>
    <t>"㕊"</t>
  </si>
  <si>
    <t>"㕋"</t>
  </si>
  <si>
    <t>"㕌"</t>
  </si>
  <si>
    <t>"㕍"</t>
  </si>
  <si>
    <t>"㕎"</t>
  </si>
  <si>
    <t>"㕏"</t>
  </si>
  <si>
    <t>"㕐"</t>
  </si>
  <si>
    <t>"㕑"</t>
  </si>
  <si>
    <t>"㕒"</t>
  </si>
  <si>
    <t>"㕓"</t>
  </si>
  <si>
    <t>"㕔"</t>
  </si>
  <si>
    <t>"㕕"</t>
  </si>
  <si>
    <t>"㕖"</t>
  </si>
  <si>
    <t>"㕗"</t>
  </si>
  <si>
    <t>"㕘"</t>
  </si>
  <si>
    <t>"㕙"</t>
  </si>
  <si>
    <t>"㕚"</t>
  </si>
  <si>
    <t>"㕛"</t>
  </si>
  <si>
    <t>"㕜"</t>
  </si>
  <si>
    <t>"㕝"</t>
  </si>
  <si>
    <t>"㕞"</t>
  </si>
  <si>
    <t>"㕟"</t>
  </si>
  <si>
    <t>"㕠"</t>
  </si>
  <si>
    <t>"㕡"</t>
  </si>
  <si>
    <t>"㕢"</t>
  </si>
  <si>
    <t>"㕣"</t>
  </si>
  <si>
    <t>"㕤"</t>
  </si>
  <si>
    <t>"㕥"</t>
  </si>
  <si>
    <t>"㕦"</t>
  </si>
  <si>
    <t>"㕧"</t>
  </si>
  <si>
    <t>"㕨"</t>
  </si>
  <si>
    <t>"㕩"</t>
  </si>
  <si>
    <t>"㕪"</t>
  </si>
  <si>
    <t>"㕫"</t>
  </si>
  <si>
    <t>"㕬"</t>
  </si>
  <si>
    <t>"㕭"</t>
  </si>
  <si>
    <t>"㕮"</t>
  </si>
  <si>
    <t>"㕯"</t>
  </si>
  <si>
    <t>"㕰"</t>
  </si>
  <si>
    <t>"㕱"</t>
  </si>
  <si>
    <t>"㕲"</t>
  </si>
  <si>
    <t>"㕳"</t>
  </si>
  <si>
    <t>"㕴"</t>
  </si>
  <si>
    <t>"㕵"</t>
  </si>
  <si>
    <t>"㕶"</t>
  </si>
  <si>
    <t>"㕷"</t>
  </si>
  <si>
    <t>"㕸"</t>
  </si>
  <si>
    <t>"㕹"</t>
  </si>
  <si>
    <t>"㕺"</t>
  </si>
  <si>
    <t>"㕻"</t>
  </si>
  <si>
    <t>"㕼"</t>
  </si>
  <si>
    <t>"㕽"</t>
  </si>
  <si>
    <t>"㕾"</t>
  </si>
  <si>
    <t>"㕿"</t>
  </si>
  <si>
    <t>"㖀"</t>
  </si>
  <si>
    <t>"㖁"</t>
  </si>
  <si>
    <t>"㖂"</t>
  </si>
  <si>
    <t>"㖃"</t>
  </si>
  <si>
    <t>"㖄"</t>
  </si>
  <si>
    <t>"㖅"</t>
  </si>
  <si>
    <t>"㖆"</t>
  </si>
  <si>
    <t>"㖇"</t>
  </si>
  <si>
    <t>"㖈"</t>
  </si>
  <si>
    <t>"㖉"</t>
  </si>
  <si>
    <t>"㖊"</t>
  </si>
  <si>
    <t>"㖋"</t>
  </si>
  <si>
    <t>"㖌"</t>
  </si>
  <si>
    <t>"㖍"</t>
  </si>
  <si>
    <t>"㖎"</t>
  </si>
  <si>
    <t>"㖏"</t>
  </si>
  <si>
    <t>"㖐"</t>
  </si>
  <si>
    <t>"㖑"</t>
  </si>
  <si>
    <t>"㖒"</t>
  </si>
  <si>
    <t>"㖓"</t>
  </si>
  <si>
    <t>"㖔"</t>
  </si>
  <si>
    <t>"㖕"</t>
  </si>
  <si>
    <t>"㖖"</t>
  </si>
  <si>
    <t>"㖗"</t>
  </si>
  <si>
    <t>"㖘"</t>
  </si>
  <si>
    <t>"㖙"</t>
  </si>
  <si>
    <t>"㖚"</t>
  </si>
  <si>
    <t>"㖛"</t>
  </si>
  <si>
    <t>"㖜"</t>
  </si>
  <si>
    <t>"㖝"</t>
  </si>
  <si>
    <t>"㖞"</t>
  </si>
  <si>
    <t>"㖟"</t>
  </si>
  <si>
    <t>"㖠"</t>
  </si>
  <si>
    <t>"㖡"</t>
  </si>
  <si>
    <t>"㖢"</t>
  </si>
  <si>
    <t>"㖣"</t>
  </si>
  <si>
    <t>"㖤"</t>
  </si>
  <si>
    <t>"㖥"</t>
  </si>
  <si>
    <t>"㖦"</t>
  </si>
  <si>
    <t>"㖧"</t>
  </si>
  <si>
    <t>"㖨"</t>
  </si>
  <si>
    <t>"㖩"</t>
  </si>
  <si>
    <t>"㖪"</t>
  </si>
  <si>
    <t>"㖫"</t>
  </si>
  <si>
    <t>"㖬"</t>
  </si>
  <si>
    <t>"㖭"</t>
  </si>
  <si>
    <t>"㖮"</t>
  </si>
  <si>
    <t>"㖯"</t>
  </si>
  <si>
    <t>"㖰"</t>
  </si>
  <si>
    <t>"㖱"</t>
  </si>
  <si>
    <t>"㖲"</t>
  </si>
  <si>
    <t>"㖳"</t>
  </si>
  <si>
    <t>"㖴"</t>
  </si>
  <si>
    <t>"㖵"</t>
  </si>
  <si>
    <t>"㖶"</t>
  </si>
  <si>
    <t>"㖷"</t>
  </si>
  <si>
    <t>"㖸"</t>
  </si>
  <si>
    <t>"㖹"</t>
  </si>
  <si>
    <t>"㖺"</t>
  </si>
  <si>
    <t>"㖻"</t>
  </si>
  <si>
    <t>"㖼"</t>
  </si>
  <si>
    <t>"㖽"</t>
  </si>
  <si>
    <t>"㖾"</t>
  </si>
  <si>
    <t>"㖿"</t>
  </si>
  <si>
    <t>"㗀"</t>
  </si>
  <si>
    <t>"㗁"</t>
  </si>
  <si>
    <t>"㗂"</t>
  </si>
  <si>
    <t>"㗃"</t>
  </si>
  <si>
    <t>"㗄"</t>
  </si>
  <si>
    <t>"㗅"</t>
  </si>
  <si>
    <t>"㗆"</t>
  </si>
  <si>
    <t>"㗇"</t>
  </si>
  <si>
    <t>"㗈"</t>
  </si>
  <si>
    <t>"㗉"</t>
  </si>
  <si>
    <t>"㗊"</t>
  </si>
  <si>
    <t>"㗋"</t>
  </si>
  <si>
    <t>"㗌"</t>
  </si>
  <si>
    <t>"㗍"</t>
  </si>
  <si>
    <t>"㗎"</t>
  </si>
  <si>
    <t>"㗏"</t>
  </si>
  <si>
    <t>"㗐"</t>
  </si>
  <si>
    <t>"㗑"</t>
  </si>
  <si>
    <t>"㗒"</t>
  </si>
  <si>
    <t>"㗓"</t>
  </si>
  <si>
    <t>"㗔"</t>
  </si>
  <si>
    <t>"㗕"</t>
  </si>
  <si>
    <t>"㗖"</t>
  </si>
  <si>
    <t>"㗗"</t>
  </si>
  <si>
    <t>"㗘"</t>
  </si>
  <si>
    <t>"㗙"</t>
  </si>
  <si>
    <t>"㗚"</t>
  </si>
  <si>
    <t>"㗛"</t>
  </si>
  <si>
    <t>"㗜"</t>
  </si>
  <si>
    <t>"㗝"</t>
  </si>
  <si>
    <t>"㗞"</t>
  </si>
  <si>
    <t>"㗟"</t>
  </si>
  <si>
    <t>"㗠"</t>
  </si>
  <si>
    <t>"㗡"</t>
  </si>
  <si>
    <t>"㗢"</t>
  </si>
  <si>
    <t>"㗣"</t>
  </si>
  <si>
    <t>"㗤"</t>
  </si>
  <si>
    <t>"㗥"</t>
  </si>
  <si>
    <t>"㗦"</t>
  </si>
  <si>
    <t>"㗧"</t>
  </si>
  <si>
    <t>"㗨"</t>
  </si>
  <si>
    <t>"㗩"</t>
  </si>
  <si>
    <t>"㗪"</t>
  </si>
  <si>
    <t>"㗫"</t>
  </si>
  <si>
    <t>"㗬"</t>
  </si>
  <si>
    <t>"㗭"</t>
  </si>
  <si>
    <t>"㗮"</t>
  </si>
  <si>
    <t>"㗯"</t>
  </si>
  <si>
    <t>"㗰"</t>
  </si>
  <si>
    <t>"㗱"</t>
  </si>
  <si>
    <t>"㗲"</t>
  </si>
  <si>
    <t>"㗳"</t>
  </si>
  <si>
    <t>"㗴"</t>
  </si>
  <si>
    <t>"㗵"</t>
  </si>
  <si>
    <t>"㗶"</t>
  </si>
  <si>
    <t>"㗷"</t>
  </si>
  <si>
    <t>"㗸"</t>
  </si>
  <si>
    <t>"㗹"</t>
  </si>
  <si>
    <t>"㗺"</t>
  </si>
  <si>
    <t>"㗻"</t>
  </si>
  <si>
    <t>"㗼"</t>
  </si>
  <si>
    <t>"㗽"</t>
  </si>
  <si>
    <t>"㗾"</t>
  </si>
  <si>
    <t>"㗿"</t>
  </si>
  <si>
    <t>"㘀"</t>
  </si>
  <si>
    <t>"㘁"</t>
  </si>
  <si>
    <t>"㘂"</t>
  </si>
  <si>
    <t>"㘃"</t>
  </si>
  <si>
    <t>"㘄"</t>
  </si>
  <si>
    <t>"㘅"</t>
  </si>
  <si>
    <t>"㘆"</t>
  </si>
  <si>
    <t>"㘇"</t>
  </si>
  <si>
    <t>"㘈"</t>
  </si>
  <si>
    <t>"㘉"</t>
  </si>
  <si>
    <t>"㘊"</t>
  </si>
  <si>
    <t>"㘋"</t>
  </si>
  <si>
    <t>"㘌"</t>
  </si>
  <si>
    <t>"㘍"</t>
  </si>
  <si>
    <t>"㘎"</t>
  </si>
  <si>
    <t>"㘏"</t>
  </si>
  <si>
    <t>"㘐"</t>
  </si>
  <si>
    <t>"㘑"</t>
  </si>
  <si>
    <t>"㘒"</t>
  </si>
  <si>
    <t>"㘓"</t>
  </si>
  <si>
    <t>"㘔"</t>
  </si>
  <si>
    <t>"㘕"</t>
  </si>
  <si>
    <t>"㘖"</t>
  </si>
  <si>
    <t>"㘗"</t>
  </si>
  <si>
    <t>"㘘"</t>
  </si>
  <si>
    <t>"㘙"</t>
  </si>
  <si>
    <t>"㘚"</t>
  </si>
  <si>
    <t>"㘛"</t>
  </si>
  <si>
    <t>"㘜"</t>
  </si>
  <si>
    <t>"㘝"</t>
  </si>
  <si>
    <t>"㘞"</t>
  </si>
  <si>
    <t>"㘟"</t>
  </si>
  <si>
    <t>"㘠"</t>
  </si>
  <si>
    <t>"㘡"</t>
  </si>
  <si>
    <t>"㘢"</t>
  </si>
  <si>
    <t>"㘣"</t>
  </si>
  <si>
    <t>"㘤"</t>
  </si>
  <si>
    <t>"㘥"</t>
  </si>
  <si>
    <t>"㘦"</t>
  </si>
  <si>
    <t>"㘧"</t>
  </si>
  <si>
    <t>"㘨"</t>
  </si>
  <si>
    <t>"㘩"</t>
  </si>
  <si>
    <t>"㘪"</t>
  </si>
  <si>
    <t>"㘫"</t>
  </si>
  <si>
    <t>"㘬"</t>
  </si>
  <si>
    <t>"㘭"</t>
  </si>
  <si>
    <t>"㘮"</t>
  </si>
  <si>
    <t>"㘯"</t>
  </si>
  <si>
    <t>"㘰"</t>
  </si>
  <si>
    <t>"㘱"</t>
  </si>
  <si>
    <t>"㘲"</t>
  </si>
  <si>
    <t>"㘳"</t>
  </si>
  <si>
    <t>"㘴"</t>
  </si>
  <si>
    <t>"㘵"</t>
  </si>
  <si>
    <t>"㘶"</t>
  </si>
  <si>
    <t>"㘷"</t>
  </si>
  <si>
    <t>"㘸"</t>
  </si>
  <si>
    <t>"㘹"</t>
  </si>
  <si>
    <t>"㘺"</t>
  </si>
  <si>
    <t>"㘻"</t>
  </si>
  <si>
    <t>"㘼"</t>
  </si>
  <si>
    <t>"㘽"</t>
  </si>
  <si>
    <t>"㘾"</t>
  </si>
  <si>
    <t>"㘿"</t>
  </si>
  <si>
    <t>"㙀"</t>
  </si>
  <si>
    <t>"㙁"</t>
  </si>
  <si>
    <t>"㙂"</t>
  </si>
  <si>
    <t>"㙃"</t>
  </si>
  <si>
    <t>"㙄"</t>
  </si>
  <si>
    <t>"㙅"</t>
  </si>
  <si>
    <t>"㙆"</t>
  </si>
  <si>
    <t>"㙇"</t>
  </si>
  <si>
    <t>"㙈"</t>
  </si>
  <si>
    <t>"㙉"</t>
  </si>
  <si>
    <t>"㙊"</t>
  </si>
  <si>
    <t>"㙋"</t>
  </si>
  <si>
    <t>"㙌"</t>
  </si>
  <si>
    <t>"㙍"</t>
  </si>
  <si>
    <t>"㙎"</t>
  </si>
  <si>
    <t>"㙏"</t>
  </si>
  <si>
    <t>"㙐"</t>
  </si>
  <si>
    <t>"㙑"</t>
  </si>
  <si>
    <t>"㙒"</t>
  </si>
  <si>
    <t>"㙓"</t>
  </si>
  <si>
    <t>"㙔"</t>
  </si>
  <si>
    <t>"㙕"</t>
  </si>
  <si>
    <t>"㙖"</t>
  </si>
  <si>
    <t>"㙗"</t>
  </si>
  <si>
    <t>"㙘"</t>
  </si>
  <si>
    <t>"㙙"</t>
  </si>
  <si>
    <t>"㙚"</t>
  </si>
  <si>
    <t>"㙛"</t>
  </si>
  <si>
    <t>"㙜"</t>
  </si>
  <si>
    <t>"㙝"</t>
  </si>
  <si>
    <t>"㙞"</t>
  </si>
  <si>
    <t>"㙟"</t>
  </si>
  <si>
    <t>"㙠"</t>
  </si>
  <si>
    <t>"㙡"</t>
  </si>
  <si>
    <t>"㙢"</t>
  </si>
  <si>
    <t>"㙣"</t>
  </si>
  <si>
    <t>"㙤"</t>
  </si>
  <si>
    <t>"㙥"</t>
  </si>
  <si>
    <t>"㙦"</t>
  </si>
  <si>
    <t>"㙧"</t>
  </si>
  <si>
    <t>"㙨"</t>
  </si>
  <si>
    <t>"㙩"</t>
  </si>
  <si>
    <t>"㙪"</t>
  </si>
  <si>
    <t>"㙫"</t>
  </si>
  <si>
    <t>"㙬"</t>
  </si>
  <si>
    <t>"㙭"</t>
  </si>
  <si>
    <t>"㙮"</t>
  </si>
  <si>
    <t>"㙯"</t>
  </si>
  <si>
    <t>"㙰"</t>
  </si>
  <si>
    <t>"㙱"</t>
  </si>
  <si>
    <t>"㙲"</t>
  </si>
  <si>
    <t>"㙳"</t>
  </si>
  <si>
    <t>"㙴"</t>
  </si>
  <si>
    <t>"㙵"</t>
  </si>
  <si>
    <t>"㙶"</t>
  </si>
  <si>
    <t>"㙷"</t>
  </si>
  <si>
    <t>"㙸"</t>
  </si>
  <si>
    <t>"㙹"</t>
  </si>
  <si>
    <t>"㙺"</t>
  </si>
  <si>
    <t>"㙻"</t>
  </si>
  <si>
    <t>"㙼"</t>
  </si>
  <si>
    <t>"㙽"</t>
  </si>
  <si>
    <t>"㙾"</t>
  </si>
  <si>
    <t>"㙿"</t>
  </si>
  <si>
    <t>"㚀"</t>
  </si>
  <si>
    <t>"㚁"</t>
  </si>
  <si>
    <t>"㚂"</t>
  </si>
  <si>
    <t>"㚃"</t>
  </si>
  <si>
    <t>"㚄"</t>
  </si>
  <si>
    <t>"㚅"</t>
  </si>
  <si>
    <t>"㚆"</t>
  </si>
  <si>
    <t>"㚇"</t>
  </si>
  <si>
    <t>"㚈"</t>
  </si>
  <si>
    <t>"㚉"</t>
  </si>
  <si>
    <t>"㚊"</t>
  </si>
  <si>
    <t>"㚋"</t>
  </si>
  <si>
    <t>"㚌"</t>
  </si>
  <si>
    <t>"㚍"</t>
  </si>
  <si>
    <t>"㚎"</t>
  </si>
  <si>
    <t>"㚏"</t>
  </si>
  <si>
    <t>"㚐"</t>
  </si>
  <si>
    <t>"㚑"</t>
  </si>
  <si>
    <t>"㚒"</t>
  </si>
  <si>
    <t>"㚓"</t>
  </si>
  <si>
    <t>"㚔"</t>
  </si>
  <si>
    <t>"㚕"</t>
  </si>
  <si>
    <t>"㚖"</t>
  </si>
  <si>
    <t>"㚗"</t>
  </si>
  <si>
    <t>"㚘"</t>
  </si>
  <si>
    <t>"㚙"</t>
  </si>
  <si>
    <t>"㚚"</t>
  </si>
  <si>
    <t>"㚛"</t>
  </si>
  <si>
    <t>"㚜"</t>
  </si>
  <si>
    <t>"㚝"</t>
  </si>
  <si>
    <t>"㚞"</t>
  </si>
  <si>
    <t>"㚟"</t>
  </si>
  <si>
    <t>"㚠"</t>
  </si>
  <si>
    <t>"㚡"</t>
  </si>
  <si>
    <t>"㚢"</t>
  </si>
  <si>
    <t>"㚣"</t>
  </si>
  <si>
    <t>"㚤"</t>
  </si>
  <si>
    <t>"㚥"</t>
  </si>
  <si>
    <t>"㚦"</t>
  </si>
  <si>
    <t>"㚧"</t>
  </si>
  <si>
    <t>"㚨"</t>
  </si>
  <si>
    <t>"㚩"</t>
  </si>
  <si>
    <t>"㚪"</t>
  </si>
  <si>
    <t>"㚫"</t>
  </si>
  <si>
    <t>"㚬"</t>
  </si>
  <si>
    <t>"㚭"</t>
  </si>
  <si>
    <t>"㚮"</t>
  </si>
  <si>
    <t>"㚯"</t>
  </si>
  <si>
    <t>"㚰"</t>
  </si>
  <si>
    <t>"㚱"</t>
  </si>
  <si>
    <t>"㚲"</t>
  </si>
  <si>
    <t>"㚳"</t>
  </si>
  <si>
    <t>"㚴"</t>
  </si>
  <si>
    <t>"㚵"</t>
  </si>
  <si>
    <t>"㚶"</t>
  </si>
  <si>
    <t>"㚷"</t>
  </si>
  <si>
    <t>"㚸"</t>
  </si>
  <si>
    <t>"㚹"</t>
  </si>
  <si>
    <t>"㚺"</t>
  </si>
  <si>
    <t>"㚻"</t>
  </si>
  <si>
    <t>"㚼"</t>
  </si>
  <si>
    <t>"㚽"</t>
  </si>
  <si>
    <t>"㚾"</t>
  </si>
  <si>
    <t>"㚿"</t>
  </si>
  <si>
    <t>"㛀"</t>
  </si>
  <si>
    <t>"㛁"</t>
  </si>
  <si>
    <t>"㛂"</t>
  </si>
  <si>
    <t>"㛃"</t>
  </si>
  <si>
    <t>"㛄"</t>
  </si>
  <si>
    <t>"㛅"</t>
  </si>
  <si>
    <t>"㛆"</t>
  </si>
  <si>
    <t>"㛇"</t>
  </si>
  <si>
    <t>"㛈"</t>
  </si>
  <si>
    <t>"㛉"</t>
  </si>
  <si>
    <t>"㛊"</t>
  </si>
  <si>
    <t>"㛋"</t>
  </si>
  <si>
    <t>"㛌"</t>
  </si>
  <si>
    <t>"㛍"</t>
  </si>
  <si>
    <t>"㛎"</t>
  </si>
  <si>
    <t>"㛏"</t>
  </si>
  <si>
    <t>"㛐"</t>
  </si>
  <si>
    <t>"㛑"</t>
  </si>
  <si>
    <t>"㛒"</t>
  </si>
  <si>
    <t>"㛓"</t>
  </si>
  <si>
    <t>"㛔"</t>
  </si>
  <si>
    <t>"㛕"</t>
  </si>
  <si>
    <t>"㛖"</t>
  </si>
  <si>
    <t>"㛗"</t>
  </si>
  <si>
    <t>"㛘"</t>
  </si>
  <si>
    <t>"㛙"</t>
  </si>
  <si>
    <t>"㛚"</t>
  </si>
  <si>
    <t>"㛛"</t>
  </si>
  <si>
    <t>"㛜"</t>
  </si>
  <si>
    <t>"㛝"</t>
  </si>
  <si>
    <t>"㛞"</t>
  </si>
  <si>
    <t>"㛟"</t>
  </si>
  <si>
    <t>"㛠"</t>
  </si>
  <si>
    <t>"㛡"</t>
  </si>
  <si>
    <t>"㛢"</t>
  </si>
  <si>
    <t>"㛣"</t>
  </si>
  <si>
    <t>"㛤"</t>
  </si>
  <si>
    <t>"㛥"</t>
  </si>
  <si>
    <t>"㛦"</t>
  </si>
  <si>
    <t>"㛧"</t>
  </si>
  <si>
    <t>"㛨"</t>
  </si>
  <si>
    <t>"㛩"</t>
  </si>
  <si>
    <t>"㛪"</t>
  </si>
  <si>
    <t>"㛫"</t>
  </si>
  <si>
    <t>"㛬"</t>
  </si>
  <si>
    <t>"㛭"</t>
  </si>
  <si>
    <t>"㛮"</t>
  </si>
  <si>
    <t>"㛯"</t>
  </si>
  <si>
    <t>"㛰"</t>
  </si>
  <si>
    <t>"㛱"</t>
  </si>
  <si>
    <t>"㛲"</t>
  </si>
  <si>
    <t>"㛳"</t>
  </si>
  <si>
    <t>"㛴"</t>
  </si>
  <si>
    <t>"㛵"</t>
  </si>
  <si>
    <t>"㛶"</t>
  </si>
  <si>
    <t>"㛷"</t>
  </si>
  <si>
    <t>"㛸"</t>
  </si>
  <si>
    <t>"㛹"</t>
  </si>
  <si>
    <t>"㛺"</t>
  </si>
  <si>
    <t>"㛻"</t>
  </si>
  <si>
    <t>"㛼"</t>
  </si>
  <si>
    <t>"㛽"</t>
  </si>
  <si>
    <t>"㛾"</t>
  </si>
  <si>
    <t>"㛿"</t>
  </si>
  <si>
    <t>"㜀"</t>
  </si>
  <si>
    <t>"㜁"</t>
  </si>
  <si>
    <t>"㜂"</t>
  </si>
  <si>
    <t>"㜃"</t>
  </si>
  <si>
    <t>"㜄"</t>
  </si>
  <si>
    <t>"㜅"</t>
  </si>
  <si>
    <t>"㜆"</t>
  </si>
  <si>
    <t>"㜇"</t>
  </si>
  <si>
    <t>"㜈"</t>
  </si>
  <si>
    <t>"㜉"</t>
  </si>
  <si>
    <t>"㜊"</t>
  </si>
  <si>
    <t>"㜋"</t>
  </si>
  <si>
    <t>"㜌"</t>
  </si>
  <si>
    <t>"㜍"</t>
  </si>
  <si>
    <t>"㜎"</t>
  </si>
  <si>
    <t>"㜏"</t>
  </si>
  <si>
    <t>"㜐"</t>
  </si>
  <si>
    <t>"㜑"</t>
  </si>
  <si>
    <t>"㜒"</t>
  </si>
  <si>
    <t>"㜓"</t>
  </si>
  <si>
    <t>"㜔"</t>
  </si>
  <si>
    <t>"㜕"</t>
  </si>
  <si>
    <t>"㜖"</t>
  </si>
  <si>
    <t>"㜗"</t>
  </si>
  <si>
    <t>"㜘"</t>
  </si>
  <si>
    <t>"㜙"</t>
  </si>
  <si>
    <t>"㜚"</t>
  </si>
  <si>
    <t>"㜛"</t>
  </si>
  <si>
    <t>"㜜"</t>
  </si>
  <si>
    <t>"㜝"</t>
  </si>
  <si>
    <t>"㜞"</t>
  </si>
  <si>
    <t>"㜟"</t>
  </si>
  <si>
    <t>"㜠"</t>
  </si>
  <si>
    <t>"㜡"</t>
  </si>
  <si>
    <t>"㜢"</t>
  </si>
  <si>
    <t>"㜣"</t>
  </si>
  <si>
    <t>"㜤"</t>
  </si>
  <si>
    <t>"㜥"</t>
  </si>
  <si>
    <t>"㜦"</t>
  </si>
  <si>
    <t>"㜧"</t>
  </si>
  <si>
    <t>"㜨"</t>
  </si>
  <si>
    <t>"㜩"</t>
  </si>
  <si>
    <t>"㜪"</t>
  </si>
  <si>
    <t>"㜫"</t>
  </si>
  <si>
    <t>"㜬"</t>
  </si>
  <si>
    <t>"㜭"</t>
  </si>
  <si>
    <t>"㜮"</t>
  </si>
  <si>
    <t>"㜯"</t>
  </si>
  <si>
    <t>"㜰"</t>
  </si>
  <si>
    <t>"㜱"</t>
  </si>
  <si>
    <t>"㜲"</t>
  </si>
  <si>
    <t>"㜳"</t>
  </si>
  <si>
    <t>"㜴"</t>
  </si>
  <si>
    <t>"㜵"</t>
  </si>
  <si>
    <t>"㜶"</t>
  </si>
  <si>
    <t>"㜷"</t>
  </si>
  <si>
    <t>"㜸"</t>
  </si>
  <si>
    <t>"㜹"</t>
  </si>
  <si>
    <t>"㜺"</t>
  </si>
  <si>
    <t>"㜻"</t>
  </si>
  <si>
    <t>"㜼"</t>
  </si>
  <si>
    <t>"㜽"</t>
  </si>
  <si>
    <t>"㜾"</t>
  </si>
  <si>
    <t>"㜿"</t>
  </si>
  <si>
    <t>"㝀"</t>
  </si>
  <si>
    <t>"㝁"</t>
  </si>
  <si>
    <t>"㝂"</t>
  </si>
  <si>
    <t>"㝃"</t>
  </si>
  <si>
    <t>"㝄"</t>
  </si>
  <si>
    <t>"㝅"</t>
  </si>
  <si>
    <t>"㝆"</t>
  </si>
  <si>
    <t>"㝇"</t>
  </si>
  <si>
    <t>"㝈"</t>
  </si>
  <si>
    <t>"㝉"</t>
  </si>
  <si>
    <t>"㝊"</t>
  </si>
  <si>
    <t>"㝋"</t>
  </si>
  <si>
    <t>"㝌"</t>
  </si>
  <si>
    <t>"㝍"</t>
  </si>
  <si>
    <t>"㝎"</t>
  </si>
  <si>
    <t>"㝏"</t>
  </si>
  <si>
    <t>"㝐"</t>
  </si>
  <si>
    <t>"㝑"</t>
  </si>
  <si>
    <t>"㝒"</t>
  </si>
  <si>
    <t>"㝓"</t>
  </si>
  <si>
    <t>"㝔"</t>
  </si>
  <si>
    <t>"㝕"</t>
  </si>
  <si>
    <t>"㝖"</t>
  </si>
  <si>
    <t>"㝗"</t>
  </si>
  <si>
    <t>"㝘"</t>
  </si>
  <si>
    <t>"㝙"</t>
  </si>
  <si>
    <t>"㝚"</t>
  </si>
  <si>
    <t>"㝛"</t>
  </si>
  <si>
    <t>"㝜"</t>
  </si>
  <si>
    <t>"㝝"</t>
  </si>
  <si>
    <t>"㝞"</t>
  </si>
  <si>
    <t>"㝟"</t>
  </si>
  <si>
    <t>"㝠"</t>
  </si>
  <si>
    <t>"㝡"</t>
  </si>
  <si>
    <t>"㝢"</t>
  </si>
  <si>
    <t>"㝣"</t>
  </si>
  <si>
    <t>"㝤"</t>
  </si>
  <si>
    <t>"㝥"</t>
  </si>
  <si>
    <t>"㝦"</t>
  </si>
  <si>
    <t>"㝧"</t>
  </si>
  <si>
    <t>"㝨"</t>
  </si>
  <si>
    <t>"㝩"</t>
  </si>
  <si>
    <t>"㝪"</t>
  </si>
  <si>
    <t>"㝫"</t>
  </si>
  <si>
    <t>"㝬"</t>
  </si>
  <si>
    <t>"㝭"</t>
  </si>
  <si>
    <t>"㝮"</t>
  </si>
  <si>
    <t>"㝯"</t>
  </si>
  <si>
    <t>"㝰"</t>
  </si>
  <si>
    <t>"㝱"</t>
  </si>
  <si>
    <t>"㝲"</t>
  </si>
  <si>
    <t>"㝳"</t>
  </si>
  <si>
    <t>"㝴"</t>
  </si>
  <si>
    <t>"㝵"</t>
  </si>
  <si>
    <t>"㝶"</t>
  </si>
  <si>
    <t>"㝷"</t>
  </si>
  <si>
    <t>"㝸"</t>
  </si>
  <si>
    <t>"㝹"</t>
  </si>
  <si>
    <t>"㝺"</t>
  </si>
  <si>
    <t>"㝻"</t>
  </si>
  <si>
    <t>"㝼"</t>
  </si>
  <si>
    <t>"㝽"</t>
  </si>
  <si>
    <t>"㝾"</t>
  </si>
  <si>
    <t>"㝿"</t>
  </si>
  <si>
    <t>"㞀"</t>
  </si>
  <si>
    <t>"㞁"</t>
  </si>
  <si>
    <t>"㞂"</t>
  </si>
  <si>
    <t>"㞃"</t>
  </si>
  <si>
    <t>"㞄"</t>
  </si>
  <si>
    <t>"㞅"</t>
  </si>
  <si>
    <t>"㞆"</t>
  </si>
  <si>
    <t>"㞇"</t>
  </si>
  <si>
    <t>"㞈"</t>
  </si>
  <si>
    <t>"㞉"</t>
  </si>
  <si>
    <t>"㞊"</t>
  </si>
  <si>
    <t>"㞋"</t>
  </si>
  <si>
    <t>"㞌"</t>
  </si>
  <si>
    <t>"㞍"</t>
  </si>
  <si>
    <t>"㞎"</t>
  </si>
  <si>
    <t>"㞏"</t>
  </si>
  <si>
    <t>"㞐"</t>
  </si>
  <si>
    <t>"㞑"</t>
  </si>
  <si>
    <t>"㞒"</t>
  </si>
  <si>
    <t>"㞓"</t>
  </si>
  <si>
    <t>"㞔"</t>
  </si>
  <si>
    <t>"㞕"</t>
  </si>
  <si>
    <t>"㞖"</t>
  </si>
  <si>
    <t>"㞗"</t>
  </si>
  <si>
    <t>"㞘"</t>
  </si>
  <si>
    <t>"㞙"</t>
  </si>
  <si>
    <t>"㞚"</t>
  </si>
  <si>
    <t>"㞛"</t>
  </si>
  <si>
    <t>"㞜"</t>
  </si>
  <si>
    <t>"㞝"</t>
  </si>
  <si>
    <t>"㞞"</t>
  </si>
  <si>
    <t>"㞟"</t>
  </si>
  <si>
    <t>"㞠"</t>
  </si>
  <si>
    <t>"㞡"</t>
  </si>
  <si>
    <t>"㞢"</t>
  </si>
  <si>
    <t>"㞣"</t>
  </si>
  <si>
    <t>"㞤"</t>
  </si>
  <si>
    <t>"㞥"</t>
  </si>
  <si>
    <t>"㞦"</t>
  </si>
  <si>
    <t>"㞧"</t>
  </si>
  <si>
    <t>"㞨"</t>
  </si>
  <si>
    <t>"㞩"</t>
  </si>
  <si>
    <t>"㞪"</t>
  </si>
  <si>
    <t>"㞫"</t>
  </si>
  <si>
    <t>"㞬"</t>
  </si>
  <si>
    <t>"㞭"</t>
  </si>
  <si>
    <t>"㞮"</t>
  </si>
  <si>
    <t>"㞯"</t>
  </si>
  <si>
    <t>"㞰"</t>
  </si>
  <si>
    <t>"㞱"</t>
  </si>
  <si>
    <t>"㞲"</t>
  </si>
  <si>
    <t>"㞳"</t>
  </si>
  <si>
    <t>"㞴"</t>
  </si>
  <si>
    <t>"㞵"</t>
  </si>
  <si>
    <t>"㞶"</t>
  </si>
  <si>
    <t>"㞷"</t>
  </si>
  <si>
    <t>"㞸"</t>
  </si>
  <si>
    <t>"㞹"</t>
  </si>
  <si>
    <t>"㞺"</t>
  </si>
  <si>
    <t>"㞻"</t>
  </si>
  <si>
    <t>"㞼"</t>
  </si>
  <si>
    <t>"㞽"</t>
  </si>
  <si>
    <t>"㞾"</t>
  </si>
  <si>
    <t>"㞿"</t>
  </si>
  <si>
    <t>"㟀"</t>
  </si>
  <si>
    <t>"㟁"</t>
  </si>
  <si>
    <t>"㟂"</t>
  </si>
  <si>
    <t>"㟃"</t>
  </si>
  <si>
    <t>"㟄"</t>
  </si>
  <si>
    <t>"㟅"</t>
  </si>
  <si>
    <t>"㟆"</t>
  </si>
  <si>
    <t>"㟇"</t>
  </si>
  <si>
    <t>"㟈"</t>
  </si>
  <si>
    <t>"㟉"</t>
  </si>
  <si>
    <t>"㟊"</t>
  </si>
  <si>
    <t>"㟋"</t>
  </si>
  <si>
    <t>"㟌"</t>
  </si>
  <si>
    <t>"㟍"</t>
  </si>
  <si>
    <t>"㟎"</t>
  </si>
  <si>
    <t>"㟏"</t>
  </si>
  <si>
    <t>"㟐"</t>
  </si>
  <si>
    <t>"㟑"</t>
  </si>
  <si>
    <t>"㟒"</t>
  </si>
  <si>
    <t>"㟓"</t>
  </si>
  <si>
    <t>"㟔"</t>
  </si>
  <si>
    <t>"㟕"</t>
  </si>
  <si>
    <t>"㟖"</t>
  </si>
  <si>
    <t>"㟗"</t>
  </si>
  <si>
    <t>"㟘"</t>
  </si>
  <si>
    <t>"㟙"</t>
  </si>
  <si>
    <t>"㟚"</t>
  </si>
  <si>
    <t>"㟛"</t>
  </si>
  <si>
    <t>"㟜"</t>
  </si>
  <si>
    <t>"㟝"</t>
  </si>
  <si>
    <t>"㟞"</t>
  </si>
  <si>
    <t>"㟟"</t>
  </si>
  <si>
    <t>"㟠"</t>
  </si>
  <si>
    <t>"㟡"</t>
  </si>
  <si>
    <t>"㟢"</t>
  </si>
  <si>
    <t>"㟣"</t>
  </si>
  <si>
    <t>"㟤"</t>
  </si>
  <si>
    <t>"㟥"</t>
  </si>
  <si>
    <t>"㟦"</t>
  </si>
  <si>
    <t>"㟧"</t>
  </si>
  <si>
    <t>"㟨"</t>
  </si>
  <si>
    <t>"㟩"</t>
  </si>
  <si>
    <t>"㟪"</t>
  </si>
  <si>
    <t>"㟫"</t>
  </si>
  <si>
    <t>"㟬"</t>
  </si>
  <si>
    <t>"㟭"</t>
  </si>
  <si>
    <t>"㟮"</t>
  </si>
  <si>
    <t>"㟯"</t>
  </si>
  <si>
    <t>"㟰"</t>
  </si>
  <si>
    <t>"㟱"</t>
  </si>
  <si>
    <t>"㟲"</t>
  </si>
  <si>
    <t>"㟳"</t>
  </si>
  <si>
    <t>"㟴"</t>
  </si>
  <si>
    <t>"㟵"</t>
  </si>
  <si>
    <t>"㟶"</t>
  </si>
  <si>
    <t>"㟷"</t>
  </si>
  <si>
    <t>"㟸"</t>
  </si>
  <si>
    <t>"㟹"</t>
  </si>
  <si>
    <t>"㟺"</t>
  </si>
  <si>
    <t>"㟻"</t>
  </si>
  <si>
    <t>"㟼"</t>
  </si>
  <si>
    <t>"㟽"</t>
  </si>
  <si>
    <t>"㟾"</t>
  </si>
  <si>
    <t>"㟿"</t>
  </si>
  <si>
    <t>"㠀"</t>
  </si>
  <si>
    <t>"㠁"</t>
  </si>
  <si>
    <t>"㠂"</t>
  </si>
  <si>
    <t>"㠃"</t>
  </si>
  <si>
    <t>"㠄"</t>
  </si>
  <si>
    <t>"㠅"</t>
  </si>
  <si>
    <t>"㠆"</t>
  </si>
  <si>
    <t>"㠇"</t>
  </si>
  <si>
    <t>"㠈"</t>
  </si>
  <si>
    <t>"㠉"</t>
  </si>
  <si>
    <t>"㠊"</t>
  </si>
  <si>
    <t>"㠋"</t>
  </si>
  <si>
    <t>"㠌"</t>
  </si>
  <si>
    <t>"㠍"</t>
  </si>
  <si>
    <t>"㠎"</t>
  </si>
  <si>
    <t>"㠏"</t>
  </si>
  <si>
    <t>"㠐"</t>
  </si>
  <si>
    <t>"㠑"</t>
  </si>
  <si>
    <t>"㠒"</t>
  </si>
  <si>
    <t>"㠓"</t>
  </si>
  <si>
    <t>"㠔"</t>
  </si>
  <si>
    <t>"㠕"</t>
  </si>
  <si>
    <t>"㠖"</t>
  </si>
  <si>
    <t>"㠗"</t>
  </si>
  <si>
    <t>"㠘"</t>
  </si>
  <si>
    <t>"㠙"</t>
  </si>
  <si>
    <t>"㠚"</t>
  </si>
  <si>
    <t>"㠛"</t>
  </si>
  <si>
    <t>"㠜"</t>
  </si>
  <si>
    <t>"㠝"</t>
  </si>
  <si>
    <t>"㠞"</t>
  </si>
  <si>
    <t>"㠟"</t>
  </si>
  <si>
    <t>"㠠"</t>
  </si>
  <si>
    <t>"㠡"</t>
  </si>
  <si>
    <t>"㠢"</t>
  </si>
  <si>
    <t>"㠣"</t>
  </si>
  <si>
    <t>"㠤"</t>
  </si>
  <si>
    <t>"㠥"</t>
  </si>
  <si>
    <t>"㠦"</t>
  </si>
  <si>
    <t>"㠧"</t>
  </si>
  <si>
    <t>"㠨"</t>
  </si>
  <si>
    <t>"㠩"</t>
  </si>
  <si>
    <t>"㠪"</t>
  </si>
  <si>
    <t>"㠫"</t>
  </si>
  <si>
    <t>"㠬"</t>
  </si>
  <si>
    <t>"㠭"</t>
  </si>
  <si>
    <t>"㠮"</t>
  </si>
  <si>
    <t>"㠯"</t>
  </si>
  <si>
    <t>"㠰"</t>
  </si>
  <si>
    <t>"㠱"</t>
  </si>
  <si>
    <t>"㠲"</t>
  </si>
  <si>
    <t>"㠳"</t>
  </si>
  <si>
    <t>"㠴"</t>
  </si>
  <si>
    <t>"㠵"</t>
  </si>
  <si>
    <t>"㠶"</t>
  </si>
  <si>
    <t>"㠷"</t>
  </si>
  <si>
    <t>"㠸"</t>
  </si>
  <si>
    <t>"㠹"</t>
  </si>
  <si>
    <t>"㠺"</t>
  </si>
  <si>
    <t>"㠻"</t>
  </si>
  <si>
    <t>"㠼"</t>
  </si>
  <si>
    <t>"㠽"</t>
  </si>
  <si>
    <t>"㠾"</t>
  </si>
  <si>
    <t>"㠿"</t>
  </si>
  <si>
    <t>"㡀"</t>
  </si>
  <si>
    <t>"㡁"</t>
  </si>
  <si>
    <t>"㡂"</t>
  </si>
  <si>
    <t>"㡃"</t>
  </si>
  <si>
    <t>"㡄"</t>
  </si>
  <si>
    <t>"㡅"</t>
  </si>
  <si>
    <t>"㡆"</t>
  </si>
  <si>
    <t>"㡇"</t>
  </si>
  <si>
    <t>"㡈"</t>
  </si>
  <si>
    <t>"㡉"</t>
  </si>
  <si>
    <t>"㡊"</t>
  </si>
  <si>
    <t>"㡋"</t>
  </si>
  <si>
    <t>"㡌"</t>
  </si>
  <si>
    <t>"㡍"</t>
  </si>
  <si>
    <t>"㡎"</t>
  </si>
  <si>
    <t>"㡏"</t>
  </si>
  <si>
    <t>"㡐"</t>
  </si>
  <si>
    <t>"㡑"</t>
  </si>
  <si>
    <t>"㡒"</t>
  </si>
  <si>
    <t>"㡓"</t>
  </si>
  <si>
    <t>"㡔"</t>
  </si>
  <si>
    <t>"㡕"</t>
  </si>
  <si>
    <t>"㡖"</t>
  </si>
  <si>
    <t>"㡗"</t>
  </si>
  <si>
    <t>"㡘"</t>
  </si>
  <si>
    <t>"㡙"</t>
  </si>
  <si>
    <t>"㡚"</t>
  </si>
  <si>
    <t>"㡛"</t>
  </si>
  <si>
    <t>"㡜"</t>
  </si>
  <si>
    <t>"㡝"</t>
  </si>
  <si>
    <t>"㡞"</t>
  </si>
  <si>
    <t>"㡟"</t>
  </si>
  <si>
    <t>"㡠"</t>
  </si>
  <si>
    <t>"㡡"</t>
  </si>
  <si>
    <t>"㡢"</t>
  </si>
  <si>
    <t>"㡣"</t>
  </si>
  <si>
    <t>"㡤"</t>
  </si>
  <si>
    <t>"㡥"</t>
  </si>
  <si>
    <t>"㡦"</t>
  </si>
  <si>
    <t>"㡧"</t>
  </si>
  <si>
    <t>"㡨"</t>
  </si>
  <si>
    <t>"㡩"</t>
  </si>
  <si>
    <t>"㡪"</t>
  </si>
  <si>
    <t>"㡫"</t>
  </si>
  <si>
    <t>"㡬"</t>
  </si>
  <si>
    <t>"㡭"</t>
  </si>
  <si>
    <t>"㡮"</t>
  </si>
  <si>
    <t>"㡯"</t>
  </si>
  <si>
    <t>"㡰"</t>
  </si>
  <si>
    <t>"㡱"</t>
  </si>
  <si>
    <t>"㡲"</t>
  </si>
  <si>
    <t>"㡳"</t>
  </si>
  <si>
    <t>"㡴"</t>
  </si>
  <si>
    <t>"㡵"</t>
  </si>
  <si>
    <t>"㡶"</t>
  </si>
  <si>
    <t>"㡷"</t>
  </si>
  <si>
    <t>"㡸"</t>
  </si>
  <si>
    <t>"㡹"</t>
  </si>
  <si>
    <t>"㡺"</t>
  </si>
  <si>
    <t>"㡻"</t>
  </si>
  <si>
    <t>"㡼"</t>
  </si>
  <si>
    <t>"㡽"</t>
  </si>
  <si>
    <t>"㡾"</t>
  </si>
  <si>
    <t>"㡿"</t>
  </si>
  <si>
    <t>"㢀"</t>
  </si>
  <si>
    <t>"㢁"</t>
  </si>
  <si>
    <t>"㢂"</t>
  </si>
  <si>
    <t>"㢃"</t>
  </si>
  <si>
    <t>"㢄"</t>
  </si>
  <si>
    <t>"㢅"</t>
  </si>
  <si>
    <t>"㢆"</t>
  </si>
  <si>
    <t>"㢇"</t>
  </si>
  <si>
    <t>"㢈"</t>
  </si>
  <si>
    <t>"㢉"</t>
  </si>
  <si>
    <t>"㢊"</t>
  </si>
  <si>
    <t>"㢋"</t>
  </si>
  <si>
    <t>"㢌"</t>
  </si>
  <si>
    <t>"㢍"</t>
  </si>
  <si>
    <t>"㢎"</t>
  </si>
  <si>
    <t>"㢏"</t>
  </si>
  <si>
    <t>"㢐"</t>
  </si>
  <si>
    <t>"㢑"</t>
  </si>
  <si>
    <t>"㢒"</t>
  </si>
  <si>
    <t>"㢓"</t>
  </si>
  <si>
    <t>"㢔"</t>
  </si>
  <si>
    <t>"㢕"</t>
  </si>
  <si>
    <t>"㢖"</t>
  </si>
  <si>
    <t>"㢗"</t>
  </si>
  <si>
    <t>"㢘"</t>
  </si>
  <si>
    <t>"㢙"</t>
  </si>
  <si>
    <t>"㢚"</t>
  </si>
  <si>
    <t>"㢛"</t>
  </si>
  <si>
    <t>"㢜"</t>
  </si>
  <si>
    <t>"㢝"</t>
  </si>
  <si>
    <t>"㢞"</t>
  </si>
  <si>
    <t>"㢟"</t>
  </si>
  <si>
    <t>"㢠"</t>
  </si>
  <si>
    <t>"㢡"</t>
  </si>
  <si>
    <t>"㢢"</t>
  </si>
  <si>
    <t>"㢣"</t>
  </si>
  <si>
    <t>"㢤"</t>
  </si>
  <si>
    <t>"㢥"</t>
  </si>
  <si>
    <t>"㢦"</t>
  </si>
  <si>
    <t>"㢧"</t>
  </si>
  <si>
    <t>"㢨"</t>
  </si>
  <si>
    <t>"㢩"</t>
  </si>
  <si>
    <t>"㢪"</t>
  </si>
  <si>
    <t>"㢫"</t>
  </si>
  <si>
    <t>"㢬"</t>
  </si>
  <si>
    <t>"㢭"</t>
  </si>
  <si>
    <t>"㢮"</t>
  </si>
  <si>
    <t>"㢯"</t>
  </si>
  <si>
    <t>"㢰"</t>
  </si>
  <si>
    <t>"㢱"</t>
  </si>
  <si>
    <t>"㢲"</t>
  </si>
  <si>
    <t>"㢳"</t>
  </si>
  <si>
    <t>"㢴"</t>
  </si>
  <si>
    <t>"㢵"</t>
  </si>
  <si>
    <t>"㢶"</t>
  </si>
  <si>
    <t>"㢷"</t>
  </si>
  <si>
    <t>"㢸"</t>
  </si>
  <si>
    <t>"㢹"</t>
  </si>
  <si>
    <t>"㢺"</t>
  </si>
  <si>
    <t>"㢻"</t>
  </si>
  <si>
    <t>"㢼"</t>
  </si>
  <si>
    <t>"㢽"</t>
  </si>
  <si>
    <t>"㢾"</t>
  </si>
  <si>
    <t>"㢿"</t>
  </si>
  <si>
    <t>"㣀"</t>
  </si>
  <si>
    <t>"㣁"</t>
  </si>
  <si>
    <t>"㣂"</t>
  </si>
  <si>
    <t>"㣃"</t>
  </si>
  <si>
    <t>"㣄"</t>
  </si>
  <si>
    <t>"㣅"</t>
  </si>
  <si>
    <t>"㣆"</t>
  </si>
  <si>
    <t>"㣇"</t>
  </si>
  <si>
    <t>"㣈"</t>
  </si>
  <si>
    <t>"㣉"</t>
  </si>
  <si>
    <t>"㣊"</t>
  </si>
  <si>
    <t>"㣋"</t>
  </si>
  <si>
    <t>"㣌"</t>
  </si>
  <si>
    <t>"㣍"</t>
  </si>
  <si>
    <t>"㣎"</t>
  </si>
  <si>
    <t>"㣏"</t>
  </si>
  <si>
    <t>"㣐"</t>
  </si>
  <si>
    <t>"㣑"</t>
  </si>
  <si>
    <t>"㣒"</t>
  </si>
  <si>
    <t>"㣓"</t>
  </si>
  <si>
    <t>"㣔"</t>
  </si>
  <si>
    <t>"㣕"</t>
  </si>
  <si>
    <t>"㣖"</t>
  </si>
  <si>
    <t>"㣗"</t>
  </si>
  <si>
    <t>"㣘"</t>
  </si>
  <si>
    <t>"㣙"</t>
  </si>
  <si>
    <t>"㣚"</t>
  </si>
  <si>
    <t>"㣛"</t>
  </si>
  <si>
    <t>"㣜"</t>
  </si>
  <si>
    <t>"㣝"</t>
  </si>
  <si>
    <t>"㣞"</t>
  </si>
  <si>
    <t>"㣟"</t>
  </si>
  <si>
    <t>"㣠"</t>
  </si>
  <si>
    <t>"㣡"</t>
  </si>
  <si>
    <t>"㣢"</t>
  </si>
  <si>
    <t>"㣣"</t>
  </si>
  <si>
    <t>"㣤"</t>
  </si>
  <si>
    <t>"㣥"</t>
  </si>
  <si>
    <t>"㣦"</t>
  </si>
  <si>
    <t>"㣧"</t>
  </si>
  <si>
    <t>"㣨"</t>
  </si>
  <si>
    <t>"㣩"</t>
  </si>
  <si>
    <t>"㣪"</t>
  </si>
  <si>
    <t>"㣫"</t>
  </si>
  <si>
    <t>"㣬"</t>
  </si>
  <si>
    <t>"㣭"</t>
  </si>
  <si>
    <t>"㣮"</t>
  </si>
  <si>
    <t>"㣯"</t>
  </si>
  <si>
    <t>"㣰"</t>
  </si>
  <si>
    <t>"㣱"</t>
  </si>
  <si>
    <t>"㣲"</t>
  </si>
  <si>
    <t>"㣳"</t>
  </si>
  <si>
    <t>"㣴"</t>
  </si>
  <si>
    <t>"㣵"</t>
  </si>
  <si>
    <t>"㣶"</t>
  </si>
  <si>
    <t>"㣷"</t>
  </si>
  <si>
    <t>"㣸"</t>
  </si>
  <si>
    <t>"㣹"</t>
  </si>
  <si>
    <t>"㣺"</t>
  </si>
  <si>
    <t>"㣻"</t>
  </si>
  <si>
    <t>"㣼"</t>
  </si>
  <si>
    <t>"㣽"</t>
  </si>
  <si>
    <t>"㣾"</t>
  </si>
  <si>
    <t>"㣿"</t>
  </si>
  <si>
    <t>"㤀"</t>
  </si>
  <si>
    <t>"㤁"</t>
  </si>
  <si>
    <t>"㤂"</t>
  </si>
  <si>
    <t>"㤃"</t>
  </si>
  <si>
    <t>"㤄"</t>
  </si>
  <si>
    <t>"㤅"</t>
  </si>
  <si>
    <t>"㤆"</t>
  </si>
  <si>
    <t>"㤇"</t>
  </si>
  <si>
    <t>"㤈"</t>
  </si>
  <si>
    <t>"㤉"</t>
  </si>
  <si>
    <t>"㤊"</t>
  </si>
  <si>
    <t>"㤋"</t>
  </si>
  <si>
    <t>"㤌"</t>
  </si>
  <si>
    <t>"㤍"</t>
  </si>
  <si>
    <t>"㤎"</t>
  </si>
  <si>
    <t>"㤏"</t>
  </si>
  <si>
    <t>"㤐"</t>
  </si>
  <si>
    <t>"㤑"</t>
  </si>
  <si>
    <t>"㤒"</t>
  </si>
  <si>
    <t>"㤓"</t>
  </si>
  <si>
    <t>"㤔"</t>
  </si>
  <si>
    <t>"㤕"</t>
  </si>
  <si>
    <t>"㤖"</t>
  </si>
  <si>
    <t>"㤗"</t>
  </si>
  <si>
    <t>"㤘"</t>
  </si>
  <si>
    <t>"㤙"</t>
  </si>
  <si>
    <t>"㤚"</t>
  </si>
  <si>
    <t>"㤛"</t>
  </si>
  <si>
    <t>"㤜"</t>
  </si>
  <si>
    <t>"㤝"</t>
  </si>
  <si>
    <t>"㤞"</t>
  </si>
  <si>
    <t>"㤟"</t>
  </si>
  <si>
    <t>"㤠"</t>
  </si>
  <si>
    <t>"㤡"</t>
  </si>
  <si>
    <t>"㤢"</t>
  </si>
  <si>
    <t>"㤣"</t>
  </si>
  <si>
    <t>"㤤"</t>
  </si>
  <si>
    <t>"㤥"</t>
  </si>
  <si>
    <t>"㤦"</t>
  </si>
  <si>
    <t>"㤧"</t>
  </si>
  <si>
    <t>"㤨"</t>
  </si>
  <si>
    <t>"㤩"</t>
  </si>
  <si>
    <t>"㤪"</t>
  </si>
  <si>
    <t>"㤫"</t>
  </si>
  <si>
    <t>"㤬"</t>
  </si>
  <si>
    <t>"㤭"</t>
  </si>
  <si>
    <t>"㤮"</t>
  </si>
  <si>
    <t>"㤯"</t>
  </si>
  <si>
    <t>"㤰"</t>
  </si>
  <si>
    <t>"㤱"</t>
  </si>
  <si>
    <t>"㤲"</t>
  </si>
  <si>
    <t>"㤳"</t>
  </si>
  <si>
    <t>"㤴"</t>
  </si>
  <si>
    <t>"㤵"</t>
  </si>
  <si>
    <t>"㤶"</t>
  </si>
  <si>
    <t>"㤷"</t>
  </si>
  <si>
    <t>"㤸"</t>
  </si>
  <si>
    <t>"㤹"</t>
  </si>
  <si>
    <t>"㤺"</t>
  </si>
  <si>
    <t>"㤻"</t>
  </si>
  <si>
    <t>"㤼"</t>
  </si>
  <si>
    <t>"㤽"</t>
  </si>
  <si>
    <t>"㤾"</t>
  </si>
  <si>
    <t>"㤿"</t>
  </si>
  <si>
    <t>"㥀"</t>
  </si>
  <si>
    <t>"㥁"</t>
  </si>
  <si>
    <t>"㥂"</t>
  </si>
  <si>
    <t>"㥃"</t>
  </si>
  <si>
    <t>"㥄"</t>
  </si>
  <si>
    <t>"㥅"</t>
  </si>
  <si>
    <t>"㥆"</t>
  </si>
  <si>
    <t>"㥇"</t>
  </si>
  <si>
    <t>"㥈"</t>
  </si>
  <si>
    <t>"㥉"</t>
  </si>
  <si>
    <t>"㥊"</t>
  </si>
  <si>
    <t>"㥋"</t>
  </si>
  <si>
    <t>"㥌"</t>
  </si>
  <si>
    <t>"㥍"</t>
  </si>
  <si>
    <t>"㥎"</t>
  </si>
  <si>
    <t>"㥏"</t>
  </si>
  <si>
    <t>"㥐"</t>
  </si>
  <si>
    <t>"㥑"</t>
  </si>
  <si>
    <t>"㥒"</t>
  </si>
  <si>
    <t>"㥓"</t>
  </si>
  <si>
    <t>"㥔"</t>
  </si>
  <si>
    <t>"㥕"</t>
  </si>
  <si>
    <t>"㥖"</t>
  </si>
  <si>
    <t>"㥗"</t>
  </si>
  <si>
    <t>"㥘"</t>
  </si>
  <si>
    <t>"㥙"</t>
  </si>
  <si>
    <t>"㥚"</t>
  </si>
  <si>
    <t>"㥛"</t>
  </si>
  <si>
    <t>"㥜"</t>
  </si>
  <si>
    <t>"㥝"</t>
  </si>
  <si>
    <t>"㥞"</t>
  </si>
  <si>
    <t>"㥟"</t>
  </si>
  <si>
    <t>"㥠"</t>
  </si>
  <si>
    <t>"㥡"</t>
  </si>
  <si>
    <t>"㥢"</t>
  </si>
  <si>
    <t>"㥣"</t>
  </si>
  <si>
    <t>"㥤"</t>
  </si>
  <si>
    <t>"㥥"</t>
  </si>
  <si>
    <t>"㥦"</t>
  </si>
  <si>
    <t>"㥧"</t>
  </si>
  <si>
    <t>"㥨"</t>
  </si>
  <si>
    <t>"㥩"</t>
  </si>
  <si>
    <t>"㥪"</t>
  </si>
  <si>
    <t>"㥫"</t>
  </si>
  <si>
    <t>"㥬"</t>
  </si>
  <si>
    <t>"㥭"</t>
  </si>
  <si>
    <t>"㥮"</t>
  </si>
  <si>
    <t>"㥯"</t>
  </si>
  <si>
    <t>"㥰"</t>
  </si>
  <si>
    <t>"㥱"</t>
  </si>
  <si>
    <t>"㥲"</t>
  </si>
  <si>
    <t>"㥳"</t>
  </si>
  <si>
    <t>"㥴"</t>
  </si>
  <si>
    <t>"㥵"</t>
  </si>
  <si>
    <t>"㥶"</t>
  </si>
  <si>
    <t>"㥷"</t>
  </si>
  <si>
    <t>"㥸"</t>
  </si>
  <si>
    <t>"㥹"</t>
  </si>
  <si>
    <t>"㥺"</t>
  </si>
  <si>
    <t>"㥻"</t>
  </si>
  <si>
    <t>"㥼"</t>
  </si>
  <si>
    <t>"㥽"</t>
  </si>
  <si>
    <t>"㥾"</t>
  </si>
  <si>
    <t>"㥿"</t>
  </si>
  <si>
    <t>"㦀"</t>
  </si>
  <si>
    <t>"㦁"</t>
  </si>
  <si>
    <t>"㦂"</t>
  </si>
  <si>
    <t>"㦃"</t>
  </si>
  <si>
    <t>"㦄"</t>
  </si>
  <si>
    <t>"㦅"</t>
  </si>
  <si>
    <t>"㦆"</t>
  </si>
  <si>
    <t>"㦇"</t>
  </si>
  <si>
    <t>"㦈"</t>
  </si>
  <si>
    <t>"㦉"</t>
  </si>
  <si>
    <t>"㦊"</t>
  </si>
  <si>
    <t>"㦋"</t>
  </si>
  <si>
    <t>"㦌"</t>
  </si>
  <si>
    <t>"㦍"</t>
  </si>
  <si>
    <t>"㦎"</t>
  </si>
  <si>
    <t>"㦏"</t>
  </si>
  <si>
    <t>"㦐"</t>
  </si>
  <si>
    <t>"㦑"</t>
  </si>
  <si>
    <t>"㦒"</t>
  </si>
  <si>
    <t>"㦓"</t>
  </si>
  <si>
    <t>"㦔"</t>
  </si>
  <si>
    <t>"㦕"</t>
  </si>
  <si>
    <t>"㦖"</t>
  </si>
  <si>
    <t>"㦗"</t>
  </si>
  <si>
    <t>"㦘"</t>
  </si>
  <si>
    <t>"㦙"</t>
  </si>
  <si>
    <t>"㦚"</t>
  </si>
  <si>
    <t>"㦛"</t>
  </si>
  <si>
    <t>"㦜"</t>
  </si>
  <si>
    <t>"㦝"</t>
  </si>
  <si>
    <t>"㦞"</t>
  </si>
  <si>
    <t>"㦟"</t>
  </si>
  <si>
    <t>"㦠"</t>
  </si>
  <si>
    <t>"㦡"</t>
  </si>
  <si>
    <t>"㦢"</t>
  </si>
  <si>
    <t>"㦣"</t>
  </si>
  <si>
    <t>"㦤"</t>
  </si>
  <si>
    <t>"㦥"</t>
  </si>
  <si>
    <t>"㦦"</t>
  </si>
  <si>
    <t>"㦧"</t>
  </si>
  <si>
    <t>"㦨"</t>
  </si>
  <si>
    <t>"㦩"</t>
  </si>
  <si>
    <t>"㦪"</t>
  </si>
  <si>
    <t>"㦫"</t>
  </si>
  <si>
    <t>"㦬"</t>
  </si>
  <si>
    <t>"㦭"</t>
  </si>
  <si>
    <t>"㦮"</t>
  </si>
  <si>
    <t>"㦯"</t>
  </si>
  <si>
    <t>"㦰"</t>
  </si>
  <si>
    <t>"㦱"</t>
  </si>
  <si>
    <t>"㦲"</t>
  </si>
  <si>
    <t>"㦳"</t>
  </si>
  <si>
    <t>"㦴"</t>
  </si>
  <si>
    <t>"㦵"</t>
  </si>
  <si>
    <t>"㦶"</t>
  </si>
  <si>
    <t>"㦷"</t>
  </si>
  <si>
    <t>"㦸"</t>
  </si>
  <si>
    <t>"㦹"</t>
  </si>
  <si>
    <t>"㦺"</t>
  </si>
  <si>
    <t>"㦻"</t>
  </si>
  <si>
    <t>"㦼"</t>
  </si>
  <si>
    <t>"㦽"</t>
  </si>
  <si>
    <t>"㦾"</t>
  </si>
  <si>
    <t>"㦿"</t>
  </si>
  <si>
    <t>"㧀"</t>
  </si>
  <si>
    <t>"㧁"</t>
  </si>
  <si>
    <t>"㧂"</t>
  </si>
  <si>
    <t>"㧃"</t>
  </si>
  <si>
    <t>"㧄"</t>
  </si>
  <si>
    <t>"㧅"</t>
  </si>
  <si>
    <t>"㧆"</t>
  </si>
  <si>
    <t>"㧇"</t>
  </si>
  <si>
    <t>"㧈"</t>
  </si>
  <si>
    <t>"㧉"</t>
  </si>
  <si>
    <t>"㧊"</t>
  </si>
  <si>
    <t>"㧋"</t>
  </si>
  <si>
    <t>"㧌"</t>
  </si>
  <si>
    <t>"㧍"</t>
  </si>
  <si>
    <t>"㧎"</t>
  </si>
  <si>
    <t>"㧏"</t>
  </si>
  <si>
    <t>"㧐"</t>
  </si>
  <si>
    <t>"㧑"</t>
  </si>
  <si>
    <t>"㧒"</t>
  </si>
  <si>
    <t>"㧓"</t>
  </si>
  <si>
    <t>"㧔"</t>
  </si>
  <si>
    <t>"㧕"</t>
  </si>
  <si>
    <t>"㧖"</t>
  </si>
  <si>
    <t>"㧗"</t>
  </si>
  <si>
    <t>"㧘"</t>
  </si>
  <si>
    <t>"㧙"</t>
  </si>
  <si>
    <t>"㧚"</t>
  </si>
  <si>
    <t>"㧛"</t>
  </si>
  <si>
    <t>"㧜"</t>
  </si>
  <si>
    <t>"㧝"</t>
  </si>
  <si>
    <t>"㧞"</t>
  </si>
  <si>
    <t>"㧟"</t>
  </si>
  <si>
    <t>"㧠"</t>
  </si>
  <si>
    <t>"㧡"</t>
  </si>
  <si>
    <t>"㧢"</t>
  </si>
  <si>
    <t>"㧣"</t>
  </si>
  <si>
    <t>"㧤"</t>
  </si>
  <si>
    <t>"㧥"</t>
  </si>
  <si>
    <t>"㧦"</t>
  </si>
  <si>
    <t>"㧧"</t>
  </si>
  <si>
    <t>"㧨"</t>
  </si>
  <si>
    <t>"㧩"</t>
  </si>
  <si>
    <t>"㧪"</t>
  </si>
  <si>
    <t>"㧫"</t>
  </si>
  <si>
    <t>"㧬"</t>
  </si>
  <si>
    <t>"㧭"</t>
  </si>
  <si>
    <t>"㧮"</t>
  </si>
  <si>
    <t>"㧯"</t>
  </si>
  <si>
    <t>"㧰"</t>
  </si>
  <si>
    <t>"㧱"</t>
  </si>
  <si>
    <t>"㧲"</t>
  </si>
  <si>
    <t>"㧳"</t>
  </si>
  <si>
    <t>"㧴"</t>
  </si>
  <si>
    <t>"㧵"</t>
  </si>
  <si>
    <t>"㧶"</t>
  </si>
  <si>
    <t>"㧷"</t>
  </si>
  <si>
    <t>"㧸"</t>
  </si>
  <si>
    <t>"㧹"</t>
  </si>
  <si>
    <t>"㧺"</t>
  </si>
  <si>
    <t>"㧻"</t>
  </si>
  <si>
    <t>"㧼"</t>
  </si>
  <si>
    <t>"㧽"</t>
  </si>
  <si>
    <t>"㧾"</t>
  </si>
  <si>
    <t>"㧿"</t>
  </si>
  <si>
    <t>"㨀"</t>
  </si>
  <si>
    <t>"㨁"</t>
  </si>
  <si>
    <t>"㨂"</t>
  </si>
  <si>
    <t>"㨃"</t>
  </si>
  <si>
    <t>"㨄"</t>
  </si>
  <si>
    <t>"㨅"</t>
  </si>
  <si>
    <t>"㨆"</t>
  </si>
  <si>
    <t>"㨇"</t>
  </si>
  <si>
    <t>"㨈"</t>
  </si>
  <si>
    <t>"㨉"</t>
  </si>
  <si>
    <t>"㨊"</t>
  </si>
  <si>
    <t>"㨋"</t>
  </si>
  <si>
    <t>"㨌"</t>
  </si>
  <si>
    <t>"㨍"</t>
  </si>
  <si>
    <t>"㨎"</t>
  </si>
  <si>
    <t>"㨏"</t>
  </si>
  <si>
    <t>"㨐"</t>
  </si>
  <si>
    <t>"㨑"</t>
  </si>
  <si>
    <t>"㨒"</t>
  </si>
  <si>
    <t>"㨓"</t>
  </si>
  <si>
    <t>"㨔"</t>
  </si>
  <si>
    <t>"㨕"</t>
  </si>
  <si>
    <t>"㨖"</t>
  </si>
  <si>
    <t>"㨗"</t>
  </si>
  <si>
    <t>"㨘"</t>
  </si>
  <si>
    <t>"㨙"</t>
  </si>
  <si>
    <t>"㨚"</t>
  </si>
  <si>
    <t>"㨛"</t>
  </si>
  <si>
    <t>"㨜"</t>
  </si>
  <si>
    <t>"㨝"</t>
  </si>
  <si>
    <t>"㨞"</t>
  </si>
  <si>
    <t>"㨟"</t>
  </si>
  <si>
    <t>"㨠"</t>
  </si>
  <si>
    <t>"㨡"</t>
  </si>
  <si>
    <t>"㨢"</t>
  </si>
  <si>
    <t>"㨣"</t>
  </si>
  <si>
    <t>"㨤"</t>
  </si>
  <si>
    <t>"㨥"</t>
  </si>
  <si>
    <t>"㨦"</t>
  </si>
  <si>
    <t>"㨧"</t>
  </si>
  <si>
    <t>"㨨"</t>
  </si>
  <si>
    <t>"㨩"</t>
  </si>
  <si>
    <t>"㨪"</t>
  </si>
  <si>
    <t>"㨫"</t>
  </si>
  <si>
    <t>"㨬"</t>
  </si>
  <si>
    <t>"㨭"</t>
  </si>
  <si>
    <t>"㨮"</t>
  </si>
  <si>
    <t>"㨯"</t>
  </si>
  <si>
    <t>"㨰"</t>
  </si>
  <si>
    <t>"㨱"</t>
  </si>
  <si>
    <t>"㨲"</t>
  </si>
  <si>
    <t>"㨳"</t>
  </si>
  <si>
    <t>"㨴"</t>
  </si>
  <si>
    <t>"㨵"</t>
  </si>
  <si>
    <t>"㨶"</t>
  </si>
  <si>
    <t>"㨷"</t>
  </si>
  <si>
    <t>"㨸"</t>
  </si>
  <si>
    <t>"㨹"</t>
  </si>
  <si>
    <t>"㨺"</t>
  </si>
  <si>
    <t>"㨻"</t>
  </si>
  <si>
    <t>"㨼"</t>
  </si>
  <si>
    <t>"㨽"</t>
  </si>
  <si>
    <t>"㨾"</t>
  </si>
  <si>
    <t>"㨿"</t>
  </si>
  <si>
    <t>"㩀"</t>
  </si>
  <si>
    <t>"㩁"</t>
  </si>
  <si>
    <t>"㩂"</t>
  </si>
  <si>
    <t>"㩃"</t>
  </si>
  <si>
    <t>"㩄"</t>
  </si>
  <si>
    <t>"㩅"</t>
  </si>
  <si>
    <t>"㩆"</t>
  </si>
  <si>
    <t>"㩇"</t>
  </si>
  <si>
    <t>"㩈"</t>
  </si>
  <si>
    <t>"㩉"</t>
  </si>
  <si>
    <t>"㩊"</t>
  </si>
  <si>
    <t>"㩋"</t>
  </si>
  <si>
    <t>"㩌"</t>
  </si>
  <si>
    <t>"㩍"</t>
  </si>
  <si>
    <t>"㩎"</t>
  </si>
  <si>
    <t>"㩏"</t>
  </si>
  <si>
    <t>"㩐"</t>
  </si>
  <si>
    <t>"㩑"</t>
  </si>
  <si>
    <t>"㩒"</t>
  </si>
  <si>
    <t>"㩓"</t>
  </si>
  <si>
    <t>"㩔"</t>
  </si>
  <si>
    <t>"㩕"</t>
  </si>
  <si>
    <t>"㩖"</t>
  </si>
  <si>
    <t>"㩗"</t>
  </si>
  <si>
    <t>"㩘"</t>
  </si>
  <si>
    <t>"㩙"</t>
  </si>
  <si>
    <t>"㩚"</t>
  </si>
  <si>
    <t>"㩛"</t>
  </si>
  <si>
    <t>"㩜"</t>
  </si>
  <si>
    <t>"㩝"</t>
  </si>
  <si>
    <t>"㩞"</t>
  </si>
  <si>
    <t>"㩟"</t>
  </si>
  <si>
    <t>"㩠"</t>
  </si>
  <si>
    <t>"㩡"</t>
  </si>
  <si>
    <t>"㩢"</t>
  </si>
  <si>
    <t>"㩣"</t>
  </si>
  <si>
    <t>"㩤"</t>
  </si>
  <si>
    <t>"㩥"</t>
  </si>
  <si>
    <t>"㩦"</t>
  </si>
  <si>
    <t>"㩧"</t>
  </si>
  <si>
    <t>"㩨"</t>
  </si>
  <si>
    <t>"㩩"</t>
  </si>
  <si>
    <t>"㩪"</t>
  </si>
  <si>
    <t>"㩫"</t>
  </si>
  <si>
    <t>"㩬"</t>
  </si>
  <si>
    <t>"㩭"</t>
  </si>
  <si>
    <t>"㩮"</t>
  </si>
  <si>
    <t>"㩯"</t>
  </si>
  <si>
    <t>"㩰"</t>
  </si>
  <si>
    <t>"㩱"</t>
  </si>
  <si>
    <t>"㩲"</t>
  </si>
  <si>
    <t>"㩳"</t>
  </si>
  <si>
    <t>"㩴"</t>
  </si>
  <si>
    <t>"㩵"</t>
  </si>
  <si>
    <t>"㩶"</t>
  </si>
  <si>
    <t>"㩷"</t>
  </si>
  <si>
    <t>"㩸"</t>
  </si>
  <si>
    <t>"㩹"</t>
  </si>
  <si>
    <t>"㩺"</t>
  </si>
  <si>
    <t>"㩻"</t>
  </si>
  <si>
    <t>"㩼"</t>
  </si>
  <si>
    <t>"㩽"</t>
  </si>
  <si>
    <t>"㩾"</t>
  </si>
  <si>
    <t>"㩿"</t>
  </si>
  <si>
    <t>"㪀"</t>
  </si>
  <si>
    <t>"㪁"</t>
  </si>
  <si>
    <t>"㪂"</t>
  </si>
  <si>
    <t>"㪃"</t>
  </si>
  <si>
    <t>"㪄"</t>
  </si>
  <si>
    <t>"㪅"</t>
  </si>
  <si>
    <t>"㪆"</t>
  </si>
  <si>
    <t>"㪇"</t>
  </si>
  <si>
    <t>"㪈"</t>
  </si>
  <si>
    <t>"㪉"</t>
  </si>
  <si>
    <t>"㪊"</t>
  </si>
  <si>
    <t>"㪋"</t>
  </si>
  <si>
    <t>"㪌"</t>
  </si>
  <si>
    <t>"㪍"</t>
  </si>
  <si>
    <t>"㪎"</t>
  </si>
  <si>
    <t>"㪏"</t>
  </si>
  <si>
    <t>"㪐"</t>
  </si>
  <si>
    <t>"㪑"</t>
  </si>
  <si>
    <t>"㪒"</t>
  </si>
  <si>
    <t>"㪓"</t>
  </si>
  <si>
    <t>"㪔"</t>
  </si>
  <si>
    <t>"㪕"</t>
  </si>
  <si>
    <t>"㪖"</t>
  </si>
  <si>
    <t>"㪗"</t>
  </si>
  <si>
    <t>"㪘"</t>
  </si>
  <si>
    <t>"㪙"</t>
  </si>
  <si>
    <t>"㪚"</t>
  </si>
  <si>
    <t>"㪛"</t>
  </si>
  <si>
    <t>"㪜"</t>
  </si>
  <si>
    <t>"㪝"</t>
  </si>
  <si>
    <t>"㪞"</t>
  </si>
  <si>
    <t>"㪟"</t>
  </si>
  <si>
    <t>"㪠"</t>
  </si>
  <si>
    <t>"㪡"</t>
  </si>
  <si>
    <t>"㪢"</t>
  </si>
  <si>
    <t>"㪣"</t>
  </si>
  <si>
    <t>"㪤"</t>
  </si>
  <si>
    <t>"㪥"</t>
  </si>
  <si>
    <t>"㪦"</t>
  </si>
  <si>
    <t>"㪧"</t>
  </si>
  <si>
    <t>"㪨"</t>
  </si>
  <si>
    <t>"㪩"</t>
  </si>
  <si>
    <t>"㪪"</t>
  </si>
  <si>
    <t>"㪫"</t>
  </si>
  <si>
    <t>"㪬"</t>
  </si>
  <si>
    <t>"㪭"</t>
  </si>
  <si>
    <t>"㪮"</t>
  </si>
  <si>
    <t>"㪯"</t>
  </si>
  <si>
    <t>"㪰"</t>
  </si>
  <si>
    <t>"㪱"</t>
  </si>
  <si>
    <t>"㪲"</t>
  </si>
  <si>
    <t>"㪳"</t>
  </si>
  <si>
    <t>"㪴"</t>
  </si>
  <si>
    <t>"㪵"</t>
  </si>
  <si>
    <t>"㪶"</t>
  </si>
  <si>
    <t>"㪷"</t>
  </si>
  <si>
    <t>"㪸"</t>
  </si>
  <si>
    <t>"㪹"</t>
  </si>
  <si>
    <t>"㪺"</t>
  </si>
  <si>
    <t>"㪻"</t>
  </si>
  <si>
    <t>"㪼"</t>
  </si>
  <si>
    <t>"㪽"</t>
  </si>
  <si>
    <t>"㪾"</t>
  </si>
  <si>
    <t>"㪿"</t>
  </si>
  <si>
    <t>"㫀"</t>
  </si>
  <si>
    <t>"㫁"</t>
  </si>
  <si>
    <t>"㫂"</t>
  </si>
  <si>
    <t>"㫃"</t>
  </si>
  <si>
    <t>"㫄"</t>
  </si>
  <si>
    <t>"㫅"</t>
  </si>
  <si>
    <t>"㫆"</t>
  </si>
  <si>
    <t>"㫇"</t>
  </si>
  <si>
    <t>"㫈"</t>
  </si>
  <si>
    <t>"㫉"</t>
  </si>
  <si>
    <t>"㫊"</t>
  </si>
  <si>
    <t>"㫋"</t>
  </si>
  <si>
    <t>"㫌"</t>
  </si>
  <si>
    <t>"㫍"</t>
  </si>
  <si>
    <t>"㫎"</t>
  </si>
  <si>
    <t>"㫏"</t>
  </si>
  <si>
    <t>"㫐"</t>
  </si>
  <si>
    <t>"㫑"</t>
  </si>
  <si>
    <t>"㫒"</t>
  </si>
  <si>
    <t>"㫓"</t>
  </si>
  <si>
    <t>"㫔"</t>
  </si>
  <si>
    <t>"㫕"</t>
  </si>
  <si>
    <t>"㫖"</t>
  </si>
  <si>
    <t>"㫗"</t>
  </si>
  <si>
    <t>"㫘"</t>
  </si>
  <si>
    <t>"㫙"</t>
  </si>
  <si>
    <t>"㫚"</t>
  </si>
  <si>
    <t>"㫛"</t>
  </si>
  <si>
    <t>"㫜"</t>
  </si>
  <si>
    <t>"㫝"</t>
  </si>
  <si>
    <t>"㫞"</t>
  </si>
  <si>
    <t>"㫟"</t>
  </si>
  <si>
    <t>"㫠"</t>
  </si>
  <si>
    <t>"㫡"</t>
  </si>
  <si>
    <t>"㫢"</t>
  </si>
  <si>
    <t>"㫣"</t>
  </si>
  <si>
    <t>"㫤"</t>
  </si>
  <si>
    <t>"㫥"</t>
  </si>
  <si>
    <t>"㫦"</t>
  </si>
  <si>
    <t>"㫧"</t>
  </si>
  <si>
    <t>"㫨"</t>
  </si>
  <si>
    <t>"㫩"</t>
  </si>
  <si>
    <t>"㫪"</t>
  </si>
  <si>
    <t>"㫫"</t>
  </si>
  <si>
    <t>"㫬"</t>
  </si>
  <si>
    <t>"㫭"</t>
  </si>
  <si>
    <t>"㫮"</t>
  </si>
  <si>
    <t>"㫯"</t>
  </si>
  <si>
    <t>"㫰"</t>
  </si>
  <si>
    <t>"㫱"</t>
  </si>
  <si>
    <t>"㫲"</t>
  </si>
  <si>
    <t>"㫳"</t>
  </si>
  <si>
    <t>"㫴"</t>
  </si>
  <si>
    <t>"㫵"</t>
  </si>
  <si>
    <t>"㫶"</t>
  </si>
  <si>
    <t>"㫷"</t>
  </si>
  <si>
    <t>"㫸"</t>
  </si>
  <si>
    <t>"㫹"</t>
  </si>
  <si>
    <t>"㫺"</t>
  </si>
  <si>
    <t>"㫻"</t>
  </si>
  <si>
    <t>"㫼"</t>
  </si>
  <si>
    <t>"㫽"</t>
  </si>
  <si>
    <t>"㫾"</t>
  </si>
  <si>
    <t>"㫿"</t>
  </si>
  <si>
    <t>"㬀"</t>
  </si>
  <si>
    <t>"㬁"</t>
  </si>
  <si>
    <t>"㬂"</t>
  </si>
  <si>
    <t>"㬃"</t>
  </si>
  <si>
    <t>"㬄"</t>
  </si>
  <si>
    <t>"㬅"</t>
  </si>
  <si>
    <t>"㬆"</t>
  </si>
  <si>
    <t>"㬇"</t>
  </si>
  <si>
    <t>"㬈"</t>
  </si>
  <si>
    <t>"㬉"</t>
  </si>
  <si>
    <t>"㬊"</t>
  </si>
  <si>
    <t>"㬋"</t>
  </si>
  <si>
    <t>"㬌"</t>
  </si>
  <si>
    <t>"㬍"</t>
  </si>
  <si>
    <t>"㬎"</t>
  </si>
  <si>
    <t>"㬏"</t>
  </si>
  <si>
    <t>"㬐"</t>
  </si>
  <si>
    <t>"㬑"</t>
  </si>
  <si>
    <t>"㬒"</t>
  </si>
  <si>
    <t>"㬓"</t>
  </si>
  <si>
    <t>"㬔"</t>
  </si>
  <si>
    <t>"㬕"</t>
  </si>
  <si>
    <t>"㬖"</t>
  </si>
  <si>
    <t>"㬗"</t>
  </si>
  <si>
    <t>"㬘"</t>
  </si>
  <si>
    <t>"㬙"</t>
  </si>
  <si>
    <t>"㬚"</t>
  </si>
  <si>
    <t>"㬛"</t>
  </si>
  <si>
    <t>"㬜"</t>
  </si>
  <si>
    <t>"㬝"</t>
  </si>
  <si>
    <t>"㬞"</t>
  </si>
  <si>
    <t>"㬟"</t>
  </si>
  <si>
    <t>"㬠"</t>
  </si>
  <si>
    <t>"㬡"</t>
  </si>
  <si>
    <t>"㬢"</t>
  </si>
  <si>
    <t>"㬣"</t>
  </si>
  <si>
    <t>"㬤"</t>
  </si>
  <si>
    <t>"㬥"</t>
  </si>
  <si>
    <t>"㬦"</t>
  </si>
  <si>
    <t>"㬧"</t>
  </si>
  <si>
    <t>"㬨"</t>
  </si>
  <si>
    <t>"㬩"</t>
  </si>
  <si>
    <t>"㬪"</t>
  </si>
  <si>
    <t>"㬫"</t>
  </si>
  <si>
    <t>"㬬"</t>
  </si>
  <si>
    <t>"㬭"</t>
  </si>
  <si>
    <t>"㬮"</t>
  </si>
  <si>
    <t>"㬯"</t>
  </si>
  <si>
    <t>"㬰"</t>
  </si>
  <si>
    <t>"㬱"</t>
  </si>
  <si>
    <t>"㬲"</t>
  </si>
  <si>
    <t>"㬳"</t>
  </si>
  <si>
    <t>"㬴"</t>
  </si>
  <si>
    <t>"㬵"</t>
  </si>
  <si>
    <t>"㬶"</t>
  </si>
  <si>
    <t>"㬷"</t>
  </si>
  <si>
    <t>"㬸"</t>
  </si>
  <si>
    <t>"㬹"</t>
  </si>
  <si>
    <t>"㬺"</t>
  </si>
  <si>
    <t>"㬻"</t>
  </si>
  <si>
    <t>"㬼"</t>
  </si>
  <si>
    <t>"㬽"</t>
  </si>
  <si>
    <t>"㬾"</t>
  </si>
  <si>
    <t>"㬿"</t>
  </si>
  <si>
    <t>"㭀"</t>
  </si>
  <si>
    <t>"㭁"</t>
  </si>
  <si>
    <t>"㭂"</t>
  </si>
  <si>
    <t>"㭃"</t>
  </si>
  <si>
    <t>"㭄"</t>
  </si>
  <si>
    <t>"㭅"</t>
  </si>
  <si>
    <t>"㭆"</t>
  </si>
  <si>
    <t>"㭇"</t>
  </si>
  <si>
    <t>"㭈"</t>
  </si>
  <si>
    <t>"㭉"</t>
  </si>
  <si>
    <t>"㭊"</t>
  </si>
  <si>
    <t>"㭋"</t>
  </si>
  <si>
    <t>"㭌"</t>
  </si>
  <si>
    <t>"㭍"</t>
  </si>
  <si>
    <t>"㭎"</t>
  </si>
  <si>
    <t>"㭏"</t>
  </si>
  <si>
    <t>"㭐"</t>
  </si>
  <si>
    <t>"㭑"</t>
  </si>
  <si>
    <t>"㭒"</t>
  </si>
  <si>
    <t>"㭓"</t>
  </si>
  <si>
    <t>"㭔"</t>
  </si>
  <si>
    <t>"㭕"</t>
  </si>
  <si>
    <t>"㭖"</t>
  </si>
  <si>
    <t>"㭗"</t>
  </si>
  <si>
    <t>"㭘"</t>
  </si>
  <si>
    <t>"㭙"</t>
  </si>
  <si>
    <t>"㭚"</t>
  </si>
  <si>
    <t>"㭛"</t>
  </si>
  <si>
    <t>"㭜"</t>
  </si>
  <si>
    <t>"㭝"</t>
  </si>
  <si>
    <t>"㭞"</t>
  </si>
  <si>
    <t>"㭟"</t>
  </si>
  <si>
    <t>"㭠"</t>
  </si>
  <si>
    <t>"㭡"</t>
  </si>
  <si>
    <t>"㭢"</t>
  </si>
  <si>
    <t>"㭣"</t>
  </si>
  <si>
    <t>"㭤"</t>
  </si>
  <si>
    <t>"㭥"</t>
  </si>
  <si>
    <t>"㭦"</t>
  </si>
  <si>
    <t>"㭧"</t>
  </si>
  <si>
    <t>"㭨"</t>
  </si>
  <si>
    <t>"㭩"</t>
  </si>
  <si>
    <t>"㭪"</t>
  </si>
  <si>
    <t>"㭫"</t>
  </si>
  <si>
    <t>"㭬"</t>
  </si>
  <si>
    <t>"㭭"</t>
  </si>
  <si>
    <t>"㭮"</t>
  </si>
  <si>
    <t>"㭯"</t>
  </si>
  <si>
    <t>"㭰"</t>
  </si>
  <si>
    <t>"㭱"</t>
  </si>
  <si>
    <t>"㭲"</t>
  </si>
  <si>
    <t>"㭳"</t>
  </si>
  <si>
    <t>"㭴"</t>
  </si>
  <si>
    <t>"㭵"</t>
  </si>
  <si>
    <t>"㭶"</t>
  </si>
  <si>
    <t>"㭷"</t>
  </si>
  <si>
    <t>"㭸"</t>
  </si>
  <si>
    <t>"㭹"</t>
  </si>
  <si>
    <t>"㭺"</t>
  </si>
  <si>
    <t>"㭻"</t>
  </si>
  <si>
    <t>"㭼"</t>
  </si>
  <si>
    <t>"㭽"</t>
  </si>
  <si>
    <t>"㭾"</t>
  </si>
  <si>
    <t>"㭿"</t>
  </si>
  <si>
    <t>"㮀"</t>
  </si>
  <si>
    <t>"㮁"</t>
  </si>
  <si>
    <t>"㮂"</t>
  </si>
  <si>
    <t>"㮃"</t>
  </si>
  <si>
    <t>"㮄"</t>
  </si>
  <si>
    <t>"㮅"</t>
  </si>
  <si>
    <t>"㮆"</t>
  </si>
  <si>
    <t>"㮇"</t>
  </si>
  <si>
    <t>"㮈"</t>
  </si>
  <si>
    <t>"㮉"</t>
  </si>
  <si>
    <t>"㮊"</t>
  </si>
  <si>
    <t>"㮋"</t>
  </si>
  <si>
    <t>"㮌"</t>
  </si>
  <si>
    <t>"㮍"</t>
  </si>
  <si>
    <t>"㮎"</t>
  </si>
  <si>
    <t>"㮏"</t>
  </si>
  <si>
    <t>"㮐"</t>
  </si>
  <si>
    <t>"㮑"</t>
  </si>
  <si>
    <t>"㮒"</t>
  </si>
  <si>
    <t>"㮓"</t>
  </si>
  <si>
    <t>"㮔"</t>
  </si>
  <si>
    <t>"㮕"</t>
  </si>
  <si>
    <t>"㮖"</t>
  </si>
  <si>
    <t>"㮗"</t>
  </si>
  <si>
    <t>"㮘"</t>
  </si>
  <si>
    <t>"㮙"</t>
  </si>
  <si>
    <t>"㮚"</t>
  </si>
  <si>
    <t>"㮛"</t>
  </si>
  <si>
    <t>"㮜"</t>
  </si>
  <si>
    <t>"㮝"</t>
  </si>
  <si>
    <t>"㮞"</t>
  </si>
  <si>
    <t>"㮟"</t>
  </si>
  <si>
    <t>"㮠"</t>
  </si>
  <si>
    <t>"㮡"</t>
  </si>
  <si>
    <t>"㮢"</t>
  </si>
  <si>
    <t>"㮣"</t>
  </si>
  <si>
    <t>"㮤"</t>
  </si>
  <si>
    <t>"㮥"</t>
  </si>
  <si>
    <t>"㮦"</t>
  </si>
  <si>
    <t>"㮧"</t>
  </si>
  <si>
    <t>"㮨"</t>
  </si>
  <si>
    <t>"㮩"</t>
  </si>
  <si>
    <t>"㮪"</t>
  </si>
  <si>
    <t>"㮫"</t>
  </si>
  <si>
    <t>"㮬"</t>
  </si>
  <si>
    <t>"㮭"</t>
  </si>
  <si>
    <t>"㮮"</t>
  </si>
  <si>
    <t>"㮯"</t>
  </si>
  <si>
    <t>"㮰"</t>
  </si>
  <si>
    <t>"㮱"</t>
  </si>
  <si>
    <t>"㮲"</t>
  </si>
  <si>
    <t>"㮳"</t>
  </si>
  <si>
    <t>"㮴"</t>
  </si>
  <si>
    <t>"㮵"</t>
  </si>
  <si>
    <t>"㮶"</t>
  </si>
  <si>
    <t>"㮷"</t>
  </si>
  <si>
    <t>"㮸"</t>
  </si>
  <si>
    <t>"㮹"</t>
  </si>
  <si>
    <t>"㮺"</t>
  </si>
  <si>
    <t>"㮻"</t>
  </si>
  <si>
    <t>"㮼"</t>
  </si>
  <si>
    <t>"㮽"</t>
  </si>
  <si>
    <t>"㮾"</t>
  </si>
  <si>
    <t>"㮿"</t>
  </si>
  <si>
    <t>"㯀"</t>
  </si>
  <si>
    <t>"㯁"</t>
  </si>
  <si>
    <t>"㯂"</t>
  </si>
  <si>
    <t>"㯃"</t>
  </si>
  <si>
    <t>"㯄"</t>
  </si>
  <si>
    <t>"㯅"</t>
  </si>
  <si>
    <t>"㯆"</t>
  </si>
  <si>
    <t>"㯇"</t>
  </si>
  <si>
    <t>"㯈"</t>
  </si>
  <si>
    <t>"㯉"</t>
  </si>
  <si>
    <t>"㯊"</t>
  </si>
  <si>
    <t>"㯋"</t>
  </si>
  <si>
    <t>"㯌"</t>
  </si>
  <si>
    <t>"㯍"</t>
  </si>
  <si>
    <t>"㯎"</t>
  </si>
  <si>
    <t>"㯏"</t>
  </si>
  <si>
    <t>"㯐"</t>
  </si>
  <si>
    <t>"㯑"</t>
  </si>
  <si>
    <t>"㯒"</t>
  </si>
  <si>
    <t>"㯓"</t>
  </si>
  <si>
    <t>"㯔"</t>
  </si>
  <si>
    <t>"㯕"</t>
  </si>
  <si>
    <t>"㯖"</t>
  </si>
  <si>
    <t>"㯗"</t>
  </si>
  <si>
    <t>"㯘"</t>
  </si>
  <si>
    <t>"㯙"</t>
  </si>
  <si>
    <t>"㯚"</t>
  </si>
  <si>
    <t>"㯛"</t>
  </si>
  <si>
    <t>"㯜"</t>
  </si>
  <si>
    <t>"㯝"</t>
  </si>
  <si>
    <t>"㯞"</t>
  </si>
  <si>
    <t>"㯟"</t>
  </si>
  <si>
    <t>"㯠"</t>
  </si>
  <si>
    <t>"㯡"</t>
  </si>
  <si>
    <t>"㯢"</t>
  </si>
  <si>
    <t>"㯣"</t>
  </si>
  <si>
    <t>"㯤"</t>
  </si>
  <si>
    <t>"㯥"</t>
  </si>
  <si>
    <t>"㯦"</t>
  </si>
  <si>
    <t>"㯧"</t>
  </si>
  <si>
    <t>"㯨"</t>
  </si>
  <si>
    <t>"㯩"</t>
  </si>
  <si>
    <t>"㯪"</t>
  </si>
  <si>
    <t>"㯫"</t>
  </si>
  <si>
    <t>"㯬"</t>
  </si>
  <si>
    <t>"㯭"</t>
  </si>
  <si>
    <t>"㯮"</t>
  </si>
  <si>
    <t>"㯯"</t>
  </si>
  <si>
    <t>"㯰"</t>
  </si>
  <si>
    <t>"㯱"</t>
  </si>
  <si>
    <t>"㯲"</t>
  </si>
  <si>
    <t>"㯳"</t>
  </si>
  <si>
    <t>"㯴"</t>
  </si>
  <si>
    <t>"㯵"</t>
  </si>
  <si>
    <t>"㯶"</t>
  </si>
  <si>
    <t>"㯷"</t>
  </si>
  <si>
    <t>"㯸"</t>
  </si>
  <si>
    <t>"㯹"</t>
  </si>
  <si>
    <t>"㯺"</t>
  </si>
  <si>
    <t>"㯻"</t>
  </si>
  <si>
    <t>"㯼"</t>
  </si>
  <si>
    <t>"㯽"</t>
  </si>
  <si>
    <t>"㯾"</t>
  </si>
  <si>
    <t>"㯿"</t>
  </si>
  <si>
    <t>"㰀"</t>
  </si>
  <si>
    <t>"㰁"</t>
  </si>
  <si>
    <t>"㰂"</t>
  </si>
  <si>
    <t>"㰃"</t>
  </si>
  <si>
    <t>"㰄"</t>
  </si>
  <si>
    <t>"㰅"</t>
  </si>
  <si>
    <t>"㰆"</t>
  </si>
  <si>
    <t>"㰇"</t>
  </si>
  <si>
    <t>"㰈"</t>
  </si>
  <si>
    <t>"㰉"</t>
  </si>
  <si>
    <t>"㰊"</t>
  </si>
  <si>
    <t>"㰋"</t>
  </si>
  <si>
    <t>"㰌"</t>
  </si>
  <si>
    <t>"㰍"</t>
  </si>
  <si>
    <t>"㰎"</t>
  </si>
  <si>
    <t>"㰏"</t>
  </si>
  <si>
    <t>"㰐"</t>
  </si>
  <si>
    <t>"㰑"</t>
  </si>
  <si>
    <t>"㰒"</t>
  </si>
  <si>
    <t>"㰓"</t>
  </si>
  <si>
    <t>"㰔"</t>
  </si>
  <si>
    <t>"㰕"</t>
  </si>
  <si>
    <t>"㰖"</t>
  </si>
  <si>
    <t>"㰗"</t>
  </si>
  <si>
    <t>"㰘"</t>
  </si>
  <si>
    <t>"㰙"</t>
  </si>
  <si>
    <t>"㰚"</t>
  </si>
  <si>
    <t>"㰛"</t>
  </si>
  <si>
    <t>"㰜"</t>
  </si>
  <si>
    <t>"㰝"</t>
  </si>
  <si>
    <t>"㰞"</t>
  </si>
  <si>
    <t>"㰟"</t>
  </si>
  <si>
    <t>"㰠"</t>
  </si>
  <si>
    <t>"㰡"</t>
  </si>
  <si>
    <t>"㰢"</t>
  </si>
  <si>
    <t>"㰣"</t>
  </si>
  <si>
    <t>"㰤"</t>
  </si>
  <si>
    <t>"㰥"</t>
  </si>
  <si>
    <t>"㰦"</t>
  </si>
  <si>
    <t>"㰧"</t>
  </si>
  <si>
    <t>"㰨"</t>
  </si>
  <si>
    <t>"㰩"</t>
  </si>
  <si>
    <t>"㰪"</t>
  </si>
  <si>
    <t>"㰫"</t>
  </si>
  <si>
    <t>"㰬"</t>
  </si>
  <si>
    <t>"㰭"</t>
  </si>
  <si>
    <t>"㰮"</t>
  </si>
  <si>
    <t>"㰯"</t>
  </si>
  <si>
    <t>"㰰"</t>
  </si>
  <si>
    <t>"㰱"</t>
  </si>
  <si>
    <t>"㰲"</t>
  </si>
  <si>
    <t>"㰳"</t>
  </si>
  <si>
    <t>"㰴"</t>
  </si>
  <si>
    <t>"㰵"</t>
  </si>
  <si>
    <t>"㰶"</t>
  </si>
  <si>
    <t>"㰷"</t>
  </si>
  <si>
    <t>"㰸"</t>
  </si>
  <si>
    <t>"㰹"</t>
  </si>
  <si>
    <t>"㰺"</t>
  </si>
  <si>
    <t>"㰻"</t>
  </si>
  <si>
    <t>"㰼"</t>
  </si>
  <si>
    <t>"㰽"</t>
  </si>
  <si>
    <t>"㰾"</t>
  </si>
  <si>
    <t>"㰿"</t>
  </si>
  <si>
    <t>"㱀"</t>
  </si>
  <si>
    <t>"㱁"</t>
  </si>
  <si>
    <t>"㱂"</t>
  </si>
  <si>
    <t>"㱃"</t>
  </si>
  <si>
    <t>"㱄"</t>
  </si>
  <si>
    <t>"㱅"</t>
  </si>
  <si>
    <t>"㱆"</t>
  </si>
  <si>
    <t>"㱇"</t>
  </si>
  <si>
    <t>"㱈"</t>
  </si>
  <si>
    <t>"㱉"</t>
  </si>
  <si>
    <t>"㱊"</t>
  </si>
  <si>
    <t>"㱋"</t>
  </si>
  <si>
    <t>"㱌"</t>
  </si>
  <si>
    <t>"㱍"</t>
  </si>
  <si>
    <t>"㱎"</t>
  </si>
  <si>
    <t>"㱏"</t>
  </si>
  <si>
    <t>"㱐"</t>
  </si>
  <si>
    <t>"㱑"</t>
  </si>
  <si>
    <t>"㱒"</t>
  </si>
  <si>
    <t>"㱓"</t>
  </si>
  <si>
    <t>"㱔"</t>
  </si>
  <si>
    <t>"㱕"</t>
  </si>
  <si>
    <t>"㱖"</t>
  </si>
  <si>
    <t>"㱗"</t>
  </si>
  <si>
    <t>"㱘"</t>
  </si>
  <si>
    <t>"㱙"</t>
  </si>
  <si>
    <t>"㱚"</t>
  </si>
  <si>
    <t>"㱛"</t>
  </si>
  <si>
    <t>"㱜"</t>
  </si>
  <si>
    <t>"㱝"</t>
  </si>
  <si>
    <t>"㱞"</t>
  </si>
  <si>
    <t>"㱟"</t>
  </si>
  <si>
    <t>"㱠"</t>
  </si>
  <si>
    <t>"㱡"</t>
  </si>
  <si>
    <t>"㱢"</t>
  </si>
  <si>
    <t>"㱣"</t>
  </si>
  <si>
    <t>"㱤"</t>
  </si>
  <si>
    <t>"㱥"</t>
  </si>
  <si>
    <t>"㱦"</t>
  </si>
  <si>
    <t>"㱧"</t>
  </si>
  <si>
    <t>"㱨"</t>
  </si>
  <si>
    <t>"㱩"</t>
  </si>
  <si>
    <t>"㱪"</t>
  </si>
  <si>
    <t>"㱫"</t>
  </si>
  <si>
    <t>"㱬"</t>
  </si>
  <si>
    <t>"㱭"</t>
  </si>
  <si>
    <t>"㱮"</t>
  </si>
  <si>
    <t>"㱯"</t>
  </si>
  <si>
    <t>"㱰"</t>
  </si>
  <si>
    <t>"㱱"</t>
  </si>
  <si>
    <t>"㱲"</t>
  </si>
  <si>
    <t>"㱳"</t>
  </si>
  <si>
    <t>"㱴"</t>
  </si>
  <si>
    <t>"㱵"</t>
  </si>
  <si>
    <t>"㱶"</t>
  </si>
  <si>
    <t>"㱷"</t>
  </si>
  <si>
    <t>"㱸"</t>
  </si>
  <si>
    <t>"㱹"</t>
  </si>
  <si>
    <t>"㱺"</t>
  </si>
  <si>
    <t>"㱻"</t>
  </si>
  <si>
    <t>"㱼"</t>
  </si>
  <si>
    <t>"㱽"</t>
  </si>
  <si>
    <t>"㱾"</t>
  </si>
  <si>
    <t>"㱿"</t>
  </si>
  <si>
    <t>"㲀"</t>
  </si>
  <si>
    <t>"㲁"</t>
  </si>
  <si>
    <t>"㲂"</t>
  </si>
  <si>
    <t>"㲃"</t>
  </si>
  <si>
    <t>"㲄"</t>
  </si>
  <si>
    <t>"㲅"</t>
  </si>
  <si>
    <t>"㲆"</t>
  </si>
  <si>
    <t>"㲇"</t>
  </si>
  <si>
    <t>"㲈"</t>
  </si>
  <si>
    <t>"㲉"</t>
  </si>
  <si>
    <t>"㲊"</t>
  </si>
  <si>
    <t>"㲋"</t>
  </si>
  <si>
    <t>"㲌"</t>
  </si>
  <si>
    <t>"㲍"</t>
  </si>
  <si>
    <t>"㲎"</t>
  </si>
  <si>
    <t>"㲏"</t>
  </si>
  <si>
    <t>"㲐"</t>
  </si>
  <si>
    <t>"㲑"</t>
  </si>
  <si>
    <t>"㲒"</t>
  </si>
  <si>
    <t>"㲓"</t>
  </si>
  <si>
    <t>"㲔"</t>
  </si>
  <si>
    <t>"㲕"</t>
  </si>
  <si>
    <t>"㲖"</t>
  </si>
  <si>
    <t>"㲗"</t>
  </si>
  <si>
    <t>"㲘"</t>
  </si>
  <si>
    <t>"㲙"</t>
  </si>
  <si>
    <t>"㲚"</t>
  </si>
  <si>
    <t>"㲛"</t>
  </si>
  <si>
    <t>"㲜"</t>
  </si>
  <si>
    <t>"㲝"</t>
  </si>
  <si>
    <t>"㲞"</t>
  </si>
  <si>
    <t>"㲟"</t>
  </si>
  <si>
    <t>"㲠"</t>
  </si>
  <si>
    <t>"㲡"</t>
  </si>
  <si>
    <t>"㲢"</t>
  </si>
  <si>
    <t>"㲣"</t>
  </si>
  <si>
    <t>"㲤"</t>
  </si>
  <si>
    <t>"㲥"</t>
  </si>
  <si>
    <t>"㲦"</t>
  </si>
  <si>
    <t>"㲧"</t>
  </si>
  <si>
    <t>"㲨"</t>
  </si>
  <si>
    <t>"㲩"</t>
  </si>
  <si>
    <t>"㲪"</t>
  </si>
  <si>
    <t>"㲫"</t>
  </si>
  <si>
    <t>"㲬"</t>
  </si>
  <si>
    <t>"㲭"</t>
  </si>
  <si>
    <t>"㲮"</t>
  </si>
  <si>
    <t>"㲯"</t>
  </si>
  <si>
    <t>"㲰"</t>
  </si>
  <si>
    <t>"㲱"</t>
  </si>
  <si>
    <t>"㲲"</t>
  </si>
  <si>
    <t>"㲳"</t>
  </si>
  <si>
    <t>"㲴"</t>
  </si>
  <si>
    <t>"㲵"</t>
  </si>
  <si>
    <t>"㲶"</t>
  </si>
  <si>
    <t>"㲷"</t>
  </si>
  <si>
    <t>"㲸"</t>
  </si>
  <si>
    <t>"㲹"</t>
  </si>
  <si>
    <t>"㲺"</t>
  </si>
  <si>
    <t>"㲻"</t>
  </si>
  <si>
    <t>"㲼"</t>
  </si>
  <si>
    <t>"㲽"</t>
  </si>
  <si>
    <t>"㲾"</t>
  </si>
  <si>
    <t>"㲿"</t>
  </si>
  <si>
    <t>"㳀"</t>
  </si>
  <si>
    <t>"㳁"</t>
  </si>
  <si>
    <t>"㳂"</t>
  </si>
  <si>
    <t>"㳃"</t>
  </si>
  <si>
    <t>"㳄"</t>
  </si>
  <si>
    <t>"㳅"</t>
  </si>
  <si>
    <t>"㳆"</t>
  </si>
  <si>
    <t>"㳇"</t>
  </si>
  <si>
    <t>"㳈"</t>
  </si>
  <si>
    <t>"㳉"</t>
  </si>
  <si>
    <t>"㳊"</t>
  </si>
  <si>
    <t>"㳋"</t>
  </si>
  <si>
    <t>"㳌"</t>
  </si>
  <si>
    <t>"㳍"</t>
  </si>
  <si>
    <t>"㳎"</t>
  </si>
  <si>
    <t>"㳏"</t>
  </si>
  <si>
    <t>"㳐"</t>
  </si>
  <si>
    <t>"㳑"</t>
  </si>
  <si>
    <t>"㳒"</t>
  </si>
  <si>
    <t>"㳓"</t>
  </si>
  <si>
    <t>"㳔"</t>
  </si>
  <si>
    <t>"㳕"</t>
  </si>
  <si>
    <t>"㳖"</t>
  </si>
  <si>
    <t>"㳗"</t>
  </si>
  <si>
    <t>"㳘"</t>
  </si>
  <si>
    <t>"㳙"</t>
  </si>
  <si>
    <t>"㳚"</t>
  </si>
  <si>
    <t>"㳛"</t>
  </si>
  <si>
    <t>"㳜"</t>
  </si>
  <si>
    <t>"㳝"</t>
  </si>
  <si>
    <t>"㳞"</t>
  </si>
  <si>
    <t>"㳟"</t>
  </si>
  <si>
    <t>"㳠"</t>
  </si>
  <si>
    <t>"㳡"</t>
  </si>
  <si>
    <t>"㳢"</t>
  </si>
  <si>
    <t>"㳣"</t>
  </si>
  <si>
    <t>"㳤"</t>
  </si>
  <si>
    <t>"㳥"</t>
  </si>
  <si>
    <t>"㳦"</t>
  </si>
  <si>
    <t>"㳧"</t>
  </si>
  <si>
    <t>"㳨"</t>
  </si>
  <si>
    <t>"㳩"</t>
  </si>
  <si>
    <t>"㳪"</t>
  </si>
  <si>
    <t>"㳫"</t>
  </si>
  <si>
    <t>"㳬"</t>
  </si>
  <si>
    <t>"㳭"</t>
  </si>
  <si>
    <t>"㳮"</t>
  </si>
  <si>
    <t>"㳯"</t>
  </si>
  <si>
    <t>"㳰"</t>
  </si>
  <si>
    <t>"㳱"</t>
  </si>
  <si>
    <t>"㳲"</t>
  </si>
  <si>
    <t>"㳳"</t>
  </si>
  <si>
    <t>"㳴"</t>
  </si>
  <si>
    <t>"㳵"</t>
  </si>
  <si>
    <t>"㳶"</t>
  </si>
  <si>
    <t>"㳷"</t>
  </si>
  <si>
    <t>"㳸"</t>
  </si>
  <si>
    <t>"㳹"</t>
  </si>
  <si>
    <t>"㳺"</t>
  </si>
  <si>
    <t>"㳻"</t>
  </si>
  <si>
    <t>"㳼"</t>
  </si>
  <si>
    <t>"㳽"</t>
  </si>
  <si>
    <t>"㳾"</t>
  </si>
  <si>
    <t>"㳿"</t>
  </si>
  <si>
    <t>"㴀"</t>
  </si>
  <si>
    <t>"㴁"</t>
  </si>
  <si>
    <t>"㴂"</t>
  </si>
  <si>
    <t>"㴃"</t>
  </si>
  <si>
    <t>"㴄"</t>
  </si>
  <si>
    <t>"㴅"</t>
  </si>
  <si>
    <t>"㴆"</t>
  </si>
  <si>
    <t>"㴇"</t>
  </si>
  <si>
    <t>"㴈"</t>
  </si>
  <si>
    <t>"㴉"</t>
  </si>
  <si>
    <t>"㴊"</t>
  </si>
  <si>
    <t>"㴋"</t>
  </si>
  <si>
    <t>"㴌"</t>
  </si>
  <si>
    <t>"㴍"</t>
  </si>
  <si>
    <t>"㴎"</t>
  </si>
  <si>
    <t>"㴏"</t>
  </si>
  <si>
    <t>"㴐"</t>
  </si>
  <si>
    <t>"㴑"</t>
  </si>
  <si>
    <t>"㴒"</t>
  </si>
  <si>
    <t>"㴓"</t>
  </si>
  <si>
    <t>"㴔"</t>
  </si>
  <si>
    <t>"㴕"</t>
  </si>
  <si>
    <t>"㴖"</t>
  </si>
  <si>
    <t>"㴗"</t>
  </si>
  <si>
    <t>"㴘"</t>
  </si>
  <si>
    <t>"㴙"</t>
  </si>
  <si>
    <t>"㴚"</t>
  </si>
  <si>
    <t>"㴛"</t>
  </si>
  <si>
    <t>"㴜"</t>
  </si>
  <si>
    <t>"㴝"</t>
  </si>
  <si>
    <t>"㴞"</t>
  </si>
  <si>
    <t>"㴟"</t>
  </si>
  <si>
    <t>"㴠"</t>
  </si>
  <si>
    <t>"㴡"</t>
  </si>
  <si>
    <t>"㴢"</t>
  </si>
  <si>
    <t>"㴣"</t>
  </si>
  <si>
    <t>"㴤"</t>
  </si>
  <si>
    <t>"㴥"</t>
  </si>
  <si>
    <t>"㴦"</t>
  </si>
  <si>
    <t>"㴧"</t>
  </si>
  <si>
    <t>"㴨"</t>
  </si>
  <si>
    <t>"㴩"</t>
  </si>
  <si>
    <t>"㴪"</t>
  </si>
  <si>
    <t>"㴫"</t>
  </si>
  <si>
    <t>"㴬"</t>
  </si>
  <si>
    <t>"㴭"</t>
  </si>
  <si>
    <t>"㴮"</t>
  </si>
  <si>
    <t>"㴯"</t>
  </si>
  <si>
    <t>"㴰"</t>
  </si>
  <si>
    <t>"㴱"</t>
  </si>
  <si>
    <t>"㴲"</t>
  </si>
  <si>
    <t>"㴳"</t>
  </si>
  <si>
    <t>"㴴"</t>
  </si>
  <si>
    <t>"㴵"</t>
  </si>
  <si>
    <t>"㴶"</t>
  </si>
  <si>
    <t>"㴷"</t>
  </si>
  <si>
    <t>"㴸"</t>
  </si>
  <si>
    <t>"㴹"</t>
  </si>
  <si>
    <t>"㴺"</t>
  </si>
  <si>
    <t>"㴻"</t>
  </si>
  <si>
    <t>"㴼"</t>
  </si>
  <si>
    <t>"㴽"</t>
  </si>
  <si>
    <t>"㴾"</t>
  </si>
  <si>
    <t>"㴿"</t>
  </si>
  <si>
    <t>"㵀"</t>
  </si>
  <si>
    <t>"㵁"</t>
  </si>
  <si>
    <t>"㵂"</t>
  </si>
  <si>
    <t>"㵃"</t>
  </si>
  <si>
    <t>"㵄"</t>
  </si>
  <si>
    <t>"㵅"</t>
  </si>
  <si>
    <t>"㵆"</t>
  </si>
  <si>
    <t>"㵇"</t>
  </si>
  <si>
    <t>"㵈"</t>
  </si>
  <si>
    <t>"㵉"</t>
  </si>
  <si>
    <t>"㵊"</t>
  </si>
  <si>
    <t>"㵋"</t>
  </si>
  <si>
    <t>"㵌"</t>
  </si>
  <si>
    <t>"㵍"</t>
  </si>
  <si>
    <t>"㵎"</t>
  </si>
  <si>
    <t>"㵏"</t>
  </si>
  <si>
    <t>"㵐"</t>
  </si>
  <si>
    <t>"㵑"</t>
  </si>
  <si>
    <t>"㵒"</t>
  </si>
  <si>
    <t>"㵓"</t>
  </si>
  <si>
    <t>"㵔"</t>
  </si>
  <si>
    <t>"㵕"</t>
  </si>
  <si>
    <t>"㵖"</t>
  </si>
  <si>
    <t>"㵗"</t>
  </si>
  <si>
    <t>"㵘"</t>
  </si>
  <si>
    <t>"㵙"</t>
  </si>
  <si>
    <t>"㵚"</t>
  </si>
  <si>
    <t>"㵛"</t>
  </si>
  <si>
    <t>"㵜"</t>
  </si>
  <si>
    <t>"㵝"</t>
  </si>
  <si>
    <t>"㵞"</t>
  </si>
  <si>
    <t>"㵟"</t>
  </si>
  <si>
    <t>"㵠"</t>
  </si>
  <si>
    <t>"㵡"</t>
  </si>
  <si>
    <t>"㵢"</t>
  </si>
  <si>
    <t>"㵣"</t>
  </si>
  <si>
    <t>"㵤"</t>
  </si>
  <si>
    <t>"㵥"</t>
  </si>
  <si>
    <t>"㵦"</t>
  </si>
  <si>
    <t>"㵧"</t>
  </si>
  <si>
    <t>"㵨"</t>
  </si>
  <si>
    <t>"㵩"</t>
  </si>
  <si>
    <t>"㵪"</t>
  </si>
  <si>
    <t>"㵫"</t>
  </si>
  <si>
    <t>"㵬"</t>
  </si>
  <si>
    <t>"㵭"</t>
  </si>
  <si>
    <t>"㵮"</t>
  </si>
  <si>
    <t>"㵯"</t>
  </si>
  <si>
    <t>"㵰"</t>
  </si>
  <si>
    <t>"㵱"</t>
  </si>
  <si>
    <t>"㵲"</t>
  </si>
  <si>
    <t>"㵳"</t>
  </si>
  <si>
    <t>"㵴"</t>
  </si>
  <si>
    <t>"㵵"</t>
  </si>
  <si>
    <t>"㵶"</t>
  </si>
  <si>
    <t>"㵷"</t>
  </si>
  <si>
    <t>"㵸"</t>
  </si>
  <si>
    <t>"㵹"</t>
  </si>
  <si>
    <t>"㵺"</t>
  </si>
  <si>
    <t>"㵻"</t>
  </si>
  <si>
    <t>"㵼"</t>
  </si>
  <si>
    <t>"㵽"</t>
  </si>
  <si>
    <t>"㵾"</t>
  </si>
  <si>
    <t>"㵿"</t>
  </si>
  <si>
    <t>"㶀"</t>
  </si>
  <si>
    <t>"㶁"</t>
  </si>
  <si>
    <t>"㶂"</t>
  </si>
  <si>
    <t>"㶃"</t>
  </si>
  <si>
    <t>"㶄"</t>
  </si>
  <si>
    <t>"㶅"</t>
  </si>
  <si>
    <t>"㶆"</t>
  </si>
  <si>
    <t>"㶇"</t>
  </si>
  <si>
    <t>"㶈"</t>
  </si>
  <si>
    <t>"㶉"</t>
  </si>
  <si>
    <t>"㶊"</t>
  </si>
  <si>
    <t>"㶋"</t>
  </si>
  <si>
    <t>"㶌"</t>
  </si>
  <si>
    <t>"㶍"</t>
  </si>
  <si>
    <t>"㶎"</t>
  </si>
  <si>
    <t>"㶏"</t>
  </si>
  <si>
    <t>"㶐"</t>
  </si>
  <si>
    <t>"㶑"</t>
  </si>
  <si>
    <t>"㶒"</t>
  </si>
  <si>
    <t>"㶓"</t>
  </si>
  <si>
    <t>"㶔"</t>
  </si>
  <si>
    <t>"㶕"</t>
  </si>
  <si>
    <t>"㶖"</t>
  </si>
  <si>
    <t>"㶗"</t>
  </si>
  <si>
    <t>"㶘"</t>
  </si>
  <si>
    <t>"㶙"</t>
  </si>
  <si>
    <t>"㶚"</t>
  </si>
  <si>
    <t>"㶛"</t>
  </si>
  <si>
    <t>"㶜"</t>
  </si>
  <si>
    <t>"㶝"</t>
  </si>
  <si>
    <t>"㶞"</t>
  </si>
  <si>
    <t>"㶟"</t>
  </si>
  <si>
    <t>"㶠"</t>
  </si>
  <si>
    <t>"㶡"</t>
  </si>
  <si>
    <t>"㶢"</t>
  </si>
  <si>
    <t>"㶣"</t>
  </si>
  <si>
    <t>"㶤"</t>
  </si>
  <si>
    <t>"㶥"</t>
  </si>
  <si>
    <t>"㶦"</t>
  </si>
  <si>
    <t>"㶧"</t>
  </si>
  <si>
    <t>"㶨"</t>
  </si>
  <si>
    <t>"㶩"</t>
  </si>
  <si>
    <t>"㶪"</t>
  </si>
  <si>
    <t>"㶫"</t>
  </si>
  <si>
    <t>"㶬"</t>
  </si>
  <si>
    <t>"㶭"</t>
  </si>
  <si>
    <t>"㶮"</t>
  </si>
  <si>
    <t>"㶯"</t>
  </si>
  <si>
    <t>"㶰"</t>
  </si>
  <si>
    <t>"㶱"</t>
  </si>
  <si>
    <t>"㶲"</t>
  </si>
  <si>
    <t>"㶳"</t>
  </si>
  <si>
    <t>"㶴"</t>
  </si>
  <si>
    <t>"㶵"</t>
  </si>
  <si>
    <t>"㶶"</t>
  </si>
  <si>
    <t>"㶷"</t>
  </si>
  <si>
    <t>"㶸"</t>
  </si>
  <si>
    <t>"㶹"</t>
  </si>
  <si>
    <t>"㶺"</t>
  </si>
  <si>
    <t>"㶻"</t>
  </si>
  <si>
    <t>"㶼"</t>
  </si>
  <si>
    <t>"㶽"</t>
  </si>
  <si>
    <t>"㶾"</t>
  </si>
  <si>
    <t>"㶿"</t>
  </si>
  <si>
    <t>"㷀"</t>
  </si>
  <si>
    <t>"㷁"</t>
  </si>
  <si>
    <t>"㷂"</t>
  </si>
  <si>
    <t>"㷃"</t>
  </si>
  <si>
    <t>"㷄"</t>
  </si>
  <si>
    <t>"㷅"</t>
  </si>
  <si>
    <t>"㷆"</t>
  </si>
  <si>
    <t>"㷇"</t>
  </si>
  <si>
    <t>"㷈"</t>
  </si>
  <si>
    <t>"㷉"</t>
  </si>
  <si>
    <t>"㷊"</t>
  </si>
  <si>
    <t>"㷋"</t>
  </si>
  <si>
    <t>"㷌"</t>
  </si>
  <si>
    <t>"㷍"</t>
  </si>
  <si>
    <t>"㷎"</t>
  </si>
  <si>
    <t>"㷏"</t>
  </si>
  <si>
    <t>"㷐"</t>
  </si>
  <si>
    <t>"㷑"</t>
  </si>
  <si>
    <t>"㷒"</t>
  </si>
  <si>
    <t>"㷓"</t>
  </si>
  <si>
    <t>"㷔"</t>
  </si>
  <si>
    <t>"㷕"</t>
  </si>
  <si>
    <t>"㷖"</t>
  </si>
  <si>
    <t>"㷗"</t>
  </si>
  <si>
    <t>"㷘"</t>
  </si>
  <si>
    <t>"㷙"</t>
  </si>
  <si>
    <t>"㷚"</t>
  </si>
  <si>
    <t>"㷛"</t>
  </si>
  <si>
    <t>"㷜"</t>
  </si>
  <si>
    <t>"㷝"</t>
  </si>
  <si>
    <t>"㷞"</t>
  </si>
  <si>
    <t>"㷟"</t>
  </si>
  <si>
    <t>"㷠"</t>
  </si>
  <si>
    <t>"㷡"</t>
  </si>
  <si>
    <t>"㷢"</t>
  </si>
  <si>
    <t>"㷣"</t>
  </si>
  <si>
    <t>"㷤"</t>
  </si>
  <si>
    <t>"㷥"</t>
  </si>
  <si>
    <t>"㷦"</t>
  </si>
  <si>
    <t>"㷧"</t>
  </si>
  <si>
    <t>"㷨"</t>
  </si>
  <si>
    <t>"㷩"</t>
  </si>
  <si>
    <t>"㷪"</t>
  </si>
  <si>
    <t>"㷫"</t>
  </si>
  <si>
    <t>"㷬"</t>
  </si>
  <si>
    <t>"㷭"</t>
  </si>
  <si>
    <t>"㷮"</t>
  </si>
  <si>
    <t>"㷯"</t>
  </si>
  <si>
    <t>"㷰"</t>
  </si>
  <si>
    <t>"㷱"</t>
  </si>
  <si>
    <t>"㷲"</t>
  </si>
  <si>
    <t>"㷳"</t>
  </si>
  <si>
    <t>"㷴"</t>
  </si>
  <si>
    <t>"㷵"</t>
  </si>
  <si>
    <t>"㷶"</t>
  </si>
  <si>
    <t>"㷷"</t>
  </si>
  <si>
    <t>"㷸"</t>
  </si>
  <si>
    <t>"㷹"</t>
  </si>
  <si>
    <t>"㷺"</t>
  </si>
  <si>
    <t>"㷻"</t>
  </si>
  <si>
    <t>"㷼"</t>
  </si>
  <si>
    <t>"㷽"</t>
  </si>
  <si>
    <t>"㷾"</t>
  </si>
  <si>
    <t>"㷿"</t>
  </si>
  <si>
    <t>"㸀"</t>
  </si>
  <si>
    <t>"㸁"</t>
  </si>
  <si>
    <t>"㸂"</t>
  </si>
  <si>
    <t>"㸃"</t>
  </si>
  <si>
    <t>"㸄"</t>
  </si>
  <si>
    <t>"㸅"</t>
  </si>
  <si>
    <t>"㸆"</t>
  </si>
  <si>
    <t>"㸇"</t>
  </si>
  <si>
    <t>"㸈"</t>
  </si>
  <si>
    <t>"㸉"</t>
  </si>
  <si>
    <t>"㸊"</t>
  </si>
  <si>
    <t>"㸋"</t>
  </si>
  <si>
    <t>"㸌"</t>
  </si>
  <si>
    <t>"㸍"</t>
  </si>
  <si>
    <t>"㸎"</t>
  </si>
  <si>
    <t>"㸏"</t>
  </si>
  <si>
    <t>"㸐"</t>
  </si>
  <si>
    <t>"㸑"</t>
  </si>
  <si>
    <t>"㸒"</t>
  </si>
  <si>
    <t>"㸓"</t>
  </si>
  <si>
    <t>"㸔"</t>
  </si>
  <si>
    <t>"㸕"</t>
  </si>
  <si>
    <t>"㸖"</t>
  </si>
  <si>
    <t>"㸗"</t>
  </si>
  <si>
    <t>"㸘"</t>
  </si>
  <si>
    <t>"㸙"</t>
  </si>
  <si>
    <t>"㸚"</t>
  </si>
  <si>
    <t>"㸛"</t>
  </si>
  <si>
    <t>"㸜"</t>
  </si>
  <si>
    <t>"㸝"</t>
  </si>
  <si>
    <t>"㸞"</t>
  </si>
  <si>
    <t>"㸟"</t>
  </si>
  <si>
    <t>"㸠"</t>
  </si>
  <si>
    <t>"㸡"</t>
  </si>
  <si>
    <t>"㸢"</t>
  </si>
  <si>
    <t>"㸣"</t>
  </si>
  <si>
    <t>"㸤"</t>
  </si>
  <si>
    <t>"㸥"</t>
  </si>
  <si>
    <t>"㸦"</t>
  </si>
  <si>
    <t>"㸧"</t>
  </si>
  <si>
    <t>"㸨"</t>
  </si>
  <si>
    <t>"㸩"</t>
  </si>
  <si>
    <t>"㸪"</t>
  </si>
  <si>
    <t>"㸫"</t>
  </si>
  <si>
    <t>"㸬"</t>
  </si>
  <si>
    <t>"㸭"</t>
  </si>
  <si>
    <t>"㸮"</t>
  </si>
  <si>
    <t>"㸯"</t>
  </si>
  <si>
    <t>"㸰"</t>
  </si>
  <si>
    <t>"㸱"</t>
  </si>
  <si>
    <t>"㸲"</t>
  </si>
  <si>
    <t>"㸳"</t>
  </si>
  <si>
    <t>"㸴"</t>
  </si>
  <si>
    <t>"㸵"</t>
  </si>
  <si>
    <t>"㸶"</t>
  </si>
  <si>
    <t>"㸷"</t>
  </si>
  <si>
    <t>"㸸"</t>
  </si>
  <si>
    <t>"㸹"</t>
  </si>
  <si>
    <t>"㸺"</t>
  </si>
  <si>
    <t>"㸻"</t>
  </si>
  <si>
    <t>"㸼"</t>
  </si>
  <si>
    <t>"㸽"</t>
  </si>
  <si>
    <t>"㸾"</t>
  </si>
  <si>
    <t>"㸿"</t>
  </si>
  <si>
    <t>"㹀"</t>
  </si>
  <si>
    <t>"㹁"</t>
  </si>
  <si>
    <t>"㹂"</t>
  </si>
  <si>
    <t>"㹃"</t>
  </si>
  <si>
    <t>"㹄"</t>
  </si>
  <si>
    <t>"㹅"</t>
  </si>
  <si>
    <t>"㹆"</t>
  </si>
  <si>
    <t>"㹇"</t>
  </si>
  <si>
    <t>"㹈"</t>
  </si>
  <si>
    <t>"㹉"</t>
  </si>
  <si>
    <t>"㹊"</t>
  </si>
  <si>
    <t>"㹋"</t>
  </si>
  <si>
    <t>"㹌"</t>
  </si>
  <si>
    <t>"㹍"</t>
  </si>
  <si>
    <t>"㹎"</t>
  </si>
  <si>
    <t>"㹏"</t>
  </si>
  <si>
    <t>"㹐"</t>
  </si>
  <si>
    <t>"㹑"</t>
  </si>
  <si>
    <t>"㹒"</t>
  </si>
  <si>
    <t>"㹓"</t>
  </si>
  <si>
    <t>"㹔"</t>
  </si>
  <si>
    <t>"㹕"</t>
  </si>
  <si>
    <t>"㹖"</t>
  </si>
  <si>
    <t>"㹗"</t>
  </si>
  <si>
    <t>"㹘"</t>
  </si>
  <si>
    <t>"㹙"</t>
  </si>
  <si>
    <t>"㹚"</t>
  </si>
  <si>
    <t>"㹛"</t>
  </si>
  <si>
    <t>"㹜"</t>
  </si>
  <si>
    <t>"㹝"</t>
  </si>
  <si>
    <t>"㹞"</t>
  </si>
  <si>
    <t>"㹟"</t>
  </si>
  <si>
    <t>"㹠"</t>
  </si>
  <si>
    <t>"㹡"</t>
  </si>
  <si>
    <t>"㹢"</t>
  </si>
  <si>
    <t>"㹣"</t>
  </si>
  <si>
    <t>"㹤"</t>
  </si>
  <si>
    <t>"㹥"</t>
  </si>
  <si>
    <t>"㹦"</t>
  </si>
  <si>
    <t>"㹧"</t>
  </si>
  <si>
    <t>"㹨"</t>
  </si>
  <si>
    <t>"㹩"</t>
  </si>
  <si>
    <t>"㹪"</t>
  </si>
  <si>
    <t>"㹫"</t>
  </si>
  <si>
    <t>"㹬"</t>
  </si>
  <si>
    <t>"㹭"</t>
  </si>
  <si>
    <t>"㹮"</t>
  </si>
  <si>
    <t>"㹯"</t>
  </si>
  <si>
    <t>"㹰"</t>
  </si>
  <si>
    <t>"㹱"</t>
  </si>
  <si>
    <t>"㹲"</t>
  </si>
  <si>
    <t>"㹳"</t>
  </si>
  <si>
    <t>"㹴"</t>
  </si>
  <si>
    <t>"㹵"</t>
  </si>
  <si>
    <t>"㹶"</t>
  </si>
  <si>
    <t>"㹷"</t>
  </si>
  <si>
    <t>"㹸"</t>
  </si>
  <si>
    <t>"㹹"</t>
  </si>
  <si>
    <t>"㹺"</t>
  </si>
  <si>
    <t>"㹻"</t>
  </si>
  <si>
    <t>"㹼"</t>
  </si>
  <si>
    <t>"㹽"</t>
  </si>
  <si>
    <t>"㹾"</t>
  </si>
  <si>
    <t>"㹿"</t>
  </si>
  <si>
    <t>"㺀"</t>
  </si>
  <si>
    <t>"㺁"</t>
  </si>
  <si>
    <t>"㺂"</t>
  </si>
  <si>
    <t>"㺃"</t>
  </si>
  <si>
    <t>"㺄"</t>
  </si>
  <si>
    <t>"㺅"</t>
  </si>
  <si>
    <t>"㺆"</t>
  </si>
  <si>
    <t>"㺇"</t>
  </si>
  <si>
    <t>"㺈"</t>
  </si>
  <si>
    <t>"㺉"</t>
  </si>
  <si>
    <t>"㺊"</t>
  </si>
  <si>
    <t>"㺋"</t>
  </si>
  <si>
    <t>"㺌"</t>
  </si>
  <si>
    <t>"㺍"</t>
  </si>
  <si>
    <t>"㺎"</t>
  </si>
  <si>
    <t>"㺏"</t>
  </si>
  <si>
    <t>"㺐"</t>
  </si>
  <si>
    <t>"㺑"</t>
  </si>
  <si>
    <t>"㺒"</t>
  </si>
  <si>
    <t>"㺓"</t>
  </si>
  <si>
    <t>"㺔"</t>
  </si>
  <si>
    <t>"㺕"</t>
  </si>
  <si>
    <t>"㺖"</t>
  </si>
  <si>
    <t>"㺗"</t>
  </si>
  <si>
    <t>"㺘"</t>
  </si>
  <si>
    <t>"㺙"</t>
  </si>
  <si>
    <t>"㺚"</t>
  </si>
  <si>
    <t>"㺛"</t>
  </si>
  <si>
    <t>"㺜"</t>
  </si>
  <si>
    <t>"㺝"</t>
  </si>
  <si>
    <t>"㺞"</t>
  </si>
  <si>
    <t>"㺟"</t>
  </si>
  <si>
    <t>"㺠"</t>
  </si>
  <si>
    <t>"㺡"</t>
  </si>
  <si>
    <t>"㺢"</t>
  </si>
  <si>
    <t>"㺣"</t>
  </si>
  <si>
    <t>"㺤"</t>
  </si>
  <si>
    <t>"㺥"</t>
  </si>
  <si>
    <t>"㺦"</t>
  </si>
  <si>
    <t>"㺧"</t>
  </si>
  <si>
    <t>"㺨"</t>
  </si>
  <si>
    <t>"㺩"</t>
  </si>
  <si>
    <t>"㺪"</t>
  </si>
  <si>
    <t>"㺫"</t>
  </si>
  <si>
    <t>"㺬"</t>
  </si>
  <si>
    <t>"㺭"</t>
  </si>
  <si>
    <t>"㺮"</t>
  </si>
  <si>
    <t>"㺯"</t>
  </si>
  <si>
    <t>"㺰"</t>
  </si>
  <si>
    <t>"㺱"</t>
  </si>
  <si>
    <t>"㺲"</t>
  </si>
  <si>
    <t>"㺳"</t>
  </si>
  <si>
    <t>"㺴"</t>
  </si>
  <si>
    <t>"㺵"</t>
  </si>
  <si>
    <t>"㺶"</t>
  </si>
  <si>
    <t>"㺷"</t>
  </si>
  <si>
    <t>"㺸"</t>
  </si>
  <si>
    <t>"㺹"</t>
  </si>
  <si>
    <t>"㺺"</t>
  </si>
  <si>
    <t>"㺻"</t>
  </si>
  <si>
    <t>"㺼"</t>
  </si>
  <si>
    <t>"㺽"</t>
  </si>
  <si>
    <t>"㺾"</t>
  </si>
  <si>
    <t>"㺿"</t>
  </si>
  <si>
    <t>"㻀"</t>
  </si>
  <si>
    <t>"㻁"</t>
  </si>
  <si>
    <t>"㻂"</t>
  </si>
  <si>
    <t>"㻃"</t>
  </si>
  <si>
    <t>"㻄"</t>
  </si>
  <si>
    <t>"㻅"</t>
  </si>
  <si>
    <t>"㻆"</t>
  </si>
  <si>
    <t>"㻇"</t>
  </si>
  <si>
    <t>"㻈"</t>
  </si>
  <si>
    <t>"㻉"</t>
  </si>
  <si>
    <t>"㻊"</t>
  </si>
  <si>
    <t>"㻋"</t>
  </si>
  <si>
    <t>"㻌"</t>
  </si>
  <si>
    <t>"㻍"</t>
  </si>
  <si>
    <t>"㻎"</t>
  </si>
  <si>
    <t>"㻏"</t>
  </si>
  <si>
    <t>"㻐"</t>
  </si>
  <si>
    <t>"㻑"</t>
  </si>
  <si>
    <t>"㻒"</t>
  </si>
  <si>
    <t>"㻓"</t>
  </si>
  <si>
    <t>"㻔"</t>
  </si>
  <si>
    <t>"㻕"</t>
  </si>
  <si>
    <t>"㻖"</t>
  </si>
  <si>
    <t>"㻗"</t>
  </si>
  <si>
    <t>"㻘"</t>
  </si>
  <si>
    <t>"㻙"</t>
  </si>
  <si>
    <t>"㻚"</t>
  </si>
  <si>
    <t>"㻛"</t>
  </si>
  <si>
    <t>"㻜"</t>
  </si>
  <si>
    <t>"㻝"</t>
  </si>
  <si>
    <t>"㻞"</t>
  </si>
  <si>
    <t>"㻟"</t>
  </si>
  <si>
    <t>"㻠"</t>
  </si>
  <si>
    <t>"㻡"</t>
  </si>
  <si>
    <t>"㻢"</t>
  </si>
  <si>
    <t>"㻣"</t>
  </si>
  <si>
    <t>"㻤"</t>
  </si>
  <si>
    <t>"㻥"</t>
  </si>
  <si>
    <t>"㻦"</t>
  </si>
  <si>
    <t>"㻧"</t>
  </si>
  <si>
    <t>"㻨"</t>
  </si>
  <si>
    <t>"㻩"</t>
  </si>
  <si>
    <t>"㻪"</t>
  </si>
  <si>
    <t>"㻫"</t>
  </si>
  <si>
    <t>"㻬"</t>
  </si>
  <si>
    <t>"㻭"</t>
  </si>
  <si>
    <t>"㻮"</t>
  </si>
  <si>
    <t>"㻯"</t>
  </si>
  <si>
    <t>"㻰"</t>
  </si>
  <si>
    <t>"㻱"</t>
  </si>
  <si>
    <t>"㻲"</t>
  </si>
  <si>
    <t>"㻳"</t>
  </si>
  <si>
    <t>"㻴"</t>
  </si>
  <si>
    <t>"㻵"</t>
  </si>
  <si>
    <t>"㻶"</t>
  </si>
  <si>
    <t>"㻷"</t>
  </si>
  <si>
    <t>"㻸"</t>
  </si>
  <si>
    <t>"㻹"</t>
  </si>
  <si>
    <t>"㻺"</t>
  </si>
  <si>
    <t>"㻻"</t>
  </si>
  <si>
    <t>"㻼"</t>
  </si>
  <si>
    <t>"㻽"</t>
  </si>
  <si>
    <t>"㻾"</t>
  </si>
  <si>
    <t>"㻿"</t>
  </si>
  <si>
    <t>"㼀"</t>
  </si>
  <si>
    <t>"㼁"</t>
  </si>
  <si>
    <t>"㼂"</t>
  </si>
  <si>
    <t>"㼃"</t>
  </si>
  <si>
    <t>"㼄"</t>
  </si>
  <si>
    <t>"㼅"</t>
  </si>
  <si>
    <t>"㼆"</t>
  </si>
  <si>
    <t>"㼇"</t>
  </si>
  <si>
    <t>"㼈"</t>
  </si>
  <si>
    <t>"㼉"</t>
  </si>
  <si>
    <t>"㼊"</t>
  </si>
  <si>
    <t>"㼋"</t>
  </si>
  <si>
    <t>"㼌"</t>
  </si>
  <si>
    <t>"㼍"</t>
  </si>
  <si>
    <t>"㼎"</t>
  </si>
  <si>
    <t>"㼏"</t>
  </si>
  <si>
    <t>"㼐"</t>
  </si>
  <si>
    <t>"㼑"</t>
  </si>
  <si>
    <t>"㼒"</t>
  </si>
  <si>
    <t>"㼓"</t>
  </si>
  <si>
    <t>"㼔"</t>
  </si>
  <si>
    <t>"㼕"</t>
  </si>
  <si>
    <t>"㼖"</t>
  </si>
  <si>
    <t>"㼗"</t>
  </si>
  <si>
    <t>"㼘"</t>
  </si>
  <si>
    <t>"㼙"</t>
  </si>
  <si>
    <t>"㼚"</t>
  </si>
  <si>
    <t>"㼛"</t>
  </si>
  <si>
    <t>"㼜"</t>
  </si>
  <si>
    <t>"㼝"</t>
  </si>
  <si>
    <t>"㼞"</t>
  </si>
  <si>
    <t>"㼟"</t>
  </si>
  <si>
    <t>"㼠"</t>
  </si>
  <si>
    <t>"㼡"</t>
  </si>
  <si>
    <t>"㼢"</t>
  </si>
  <si>
    <t>"㼣"</t>
  </si>
  <si>
    <t>"㼤"</t>
  </si>
  <si>
    <t>"㼥"</t>
  </si>
  <si>
    <t>"㼦"</t>
  </si>
  <si>
    <t>"㼧"</t>
  </si>
  <si>
    <t>"㼨"</t>
  </si>
  <si>
    <t>"㼩"</t>
  </si>
  <si>
    <t>"㼪"</t>
  </si>
  <si>
    <t>"㼫"</t>
  </si>
  <si>
    <t>"㼬"</t>
  </si>
  <si>
    <t>"㼭"</t>
  </si>
  <si>
    <t>"㼮"</t>
  </si>
  <si>
    <t>"㼯"</t>
  </si>
  <si>
    <t>"㼰"</t>
  </si>
  <si>
    <t>"㼱"</t>
  </si>
  <si>
    <t>"㼲"</t>
  </si>
  <si>
    <t>"㼳"</t>
  </si>
  <si>
    <t>"㼴"</t>
  </si>
  <si>
    <t>"㼵"</t>
  </si>
  <si>
    <t>"㼶"</t>
  </si>
  <si>
    <t>"㼷"</t>
  </si>
  <si>
    <t>"㼸"</t>
  </si>
  <si>
    <t>"㼹"</t>
  </si>
  <si>
    <t>"㼺"</t>
  </si>
  <si>
    <t>"㼻"</t>
  </si>
  <si>
    <t>"㼼"</t>
  </si>
  <si>
    <t>"㼽"</t>
  </si>
  <si>
    <t>"㼾"</t>
  </si>
  <si>
    <t>"㼿"</t>
  </si>
  <si>
    <t>"㽀"</t>
  </si>
  <si>
    <t>"㽁"</t>
  </si>
  <si>
    <t>"㽂"</t>
  </si>
  <si>
    <t>"㽃"</t>
  </si>
  <si>
    <t>"㽄"</t>
  </si>
  <si>
    <t>"㽅"</t>
  </si>
  <si>
    <t>"㽆"</t>
  </si>
  <si>
    <t>"㽇"</t>
  </si>
  <si>
    <t>"㽈"</t>
  </si>
  <si>
    <t>"㽉"</t>
  </si>
  <si>
    <t>"㽊"</t>
  </si>
  <si>
    <t>"㽋"</t>
  </si>
  <si>
    <t>"㽌"</t>
  </si>
  <si>
    <t>"㽍"</t>
  </si>
  <si>
    <t>"㽎"</t>
  </si>
  <si>
    <t>"㽏"</t>
  </si>
  <si>
    <t>"㽐"</t>
  </si>
  <si>
    <t>"㽑"</t>
  </si>
  <si>
    <t>"㽒"</t>
  </si>
  <si>
    <t>"㽓"</t>
  </si>
  <si>
    <t>"㽔"</t>
  </si>
  <si>
    <t>"㽕"</t>
  </si>
  <si>
    <t>"㽖"</t>
  </si>
  <si>
    <t>"㽗"</t>
  </si>
  <si>
    <t>"㽘"</t>
  </si>
  <si>
    <t>"㽙"</t>
  </si>
  <si>
    <t>"㽚"</t>
  </si>
  <si>
    <t>"㽛"</t>
  </si>
  <si>
    <t>"㽜"</t>
  </si>
  <si>
    <t>"㽝"</t>
  </si>
  <si>
    <t>"㽞"</t>
  </si>
  <si>
    <t>"㽟"</t>
  </si>
  <si>
    <t>"㽠"</t>
  </si>
  <si>
    <t>"㽡"</t>
  </si>
  <si>
    <t>"㽢"</t>
  </si>
  <si>
    <t>"㽣"</t>
  </si>
  <si>
    <t>"㽤"</t>
  </si>
  <si>
    <t>"㽥"</t>
  </si>
  <si>
    <t>"㽦"</t>
  </si>
  <si>
    <t>"㽧"</t>
  </si>
  <si>
    <t>"㽨"</t>
  </si>
  <si>
    <t>"㽩"</t>
  </si>
  <si>
    <t>"㽪"</t>
  </si>
  <si>
    <t>"㽫"</t>
  </si>
  <si>
    <t>"㽬"</t>
  </si>
  <si>
    <t>"㽭"</t>
  </si>
  <si>
    <t>"㽮"</t>
  </si>
  <si>
    <t>"㽯"</t>
  </si>
  <si>
    <t>"㽰"</t>
  </si>
  <si>
    <t>"㽱"</t>
  </si>
  <si>
    <t>"㽲"</t>
  </si>
  <si>
    <t>"㽳"</t>
  </si>
  <si>
    <t>"㽴"</t>
  </si>
  <si>
    <t>"㽵"</t>
  </si>
  <si>
    <t>"㽶"</t>
  </si>
  <si>
    <t>"㽷"</t>
  </si>
  <si>
    <t>"㽸"</t>
  </si>
  <si>
    <t>"㽹"</t>
  </si>
  <si>
    <t>"㽺"</t>
  </si>
  <si>
    <t>"㽻"</t>
  </si>
  <si>
    <t>"㽼"</t>
  </si>
  <si>
    <t>"㽽"</t>
  </si>
  <si>
    <t>"㽾"</t>
  </si>
  <si>
    <t>"㽿"</t>
  </si>
  <si>
    <t>"㾀"</t>
  </si>
  <si>
    <t>"㾁"</t>
  </si>
  <si>
    <t>"㾂"</t>
  </si>
  <si>
    <t>"㾃"</t>
  </si>
  <si>
    <t>"㾄"</t>
  </si>
  <si>
    <t>"㾅"</t>
  </si>
  <si>
    <t>"㾆"</t>
  </si>
  <si>
    <t>"㾇"</t>
  </si>
  <si>
    <t>"㾈"</t>
  </si>
  <si>
    <t>"㾉"</t>
  </si>
  <si>
    <t>"㾊"</t>
  </si>
  <si>
    <t>"㾋"</t>
  </si>
  <si>
    <t>"㾌"</t>
  </si>
  <si>
    <t>"㾍"</t>
  </si>
  <si>
    <t>"㾎"</t>
  </si>
  <si>
    <t>"㾏"</t>
  </si>
  <si>
    <t>"㾐"</t>
  </si>
  <si>
    <t>"㾑"</t>
  </si>
  <si>
    <t>"㾒"</t>
  </si>
  <si>
    <t>"㾓"</t>
  </si>
  <si>
    <t>"㾔"</t>
  </si>
  <si>
    <t>"㾕"</t>
  </si>
  <si>
    <t>"㾖"</t>
  </si>
  <si>
    <t>"㾗"</t>
  </si>
  <si>
    <t>"㾘"</t>
  </si>
  <si>
    <t>"㾙"</t>
  </si>
  <si>
    <t>"㾚"</t>
  </si>
  <si>
    <t>"㾛"</t>
  </si>
  <si>
    <t>"㾜"</t>
  </si>
  <si>
    <t>"㾝"</t>
  </si>
  <si>
    <t>"㾞"</t>
  </si>
  <si>
    <t>"㾟"</t>
  </si>
  <si>
    <t>"㾠"</t>
  </si>
  <si>
    <t>"㾡"</t>
  </si>
  <si>
    <t>"㾢"</t>
  </si>
  <si>
    <t>"㾣"</t>
  </si>
  <si>
    <t>"㾤"</t>
  </si>
  <si>
    <t>"㾥"</t>
  </si>
  <si>
    <t>"㾦"</t>
  </si>
  <si>
    <t>"㾧"</t>
  </si>
  <si>
    <t>"㾨"</t>
  </si>
  <si>
    <t>"㾩"</t>
  </si>
  <si>
    <t>"㾪"</t>
  </si>
  <si>
    <t>"㾫"</t>
  </si>
  <si>
    <t>"㾬"</t>
  </si>
  <si>
    <t>"㾭"</t>
  </si>
  <si>
    <t>"㾮"</t>
  </si>
  <si>
    <t>"㾯"</t>
  </si>
  <si>
    <t>"㾰"</t>
  </si>
  <si>
    <t>"㾱"</t>
  </si>
  <si>
    <t>"㾲"</t>
  </si>
  <si>
    <t>"㾳"</t>
  </si>
  <si>
    <t>"㾴"</t>
  </si>
  <si>
    <t>"㾵"</t>
  </si>
  <si>
    <t>"㾶"</t>
  </si>
  <si>
    <t>"㾷"</t>
  </si>
  <si>
    <t>"㾸"</t>
  </si>
  <si>
    <t>"㾹"</t>
  </si>
  <si>
    <t>"㾺"</t>
  </si>
  <si>
    <t>"㾻"</t>
  </si>
  <si>
    <t>"㾼"</t>
  </si>
  <si>
    <t>"㾽"</t>
  </si>
  <si>
    <t>"㾾"</t>
  </si>
  <si>
    <t>"㾿"</t>
  </si>
  <si>
    <t>"㿀"</t>
  </si>
  <si>
    <t>"㿁"</t>
  </si>
  <si>
    <t>"㿂"</t>
  </si>
  <si>
    <t>"㿃"</t>
  </si>
  <si>
    <t>"㿄"</t>
  </si>
  <si>
    <t>"㿅"</t>
  </si>
  <si>
    <t>"㿆"</t>
  </si>
  <si>
    <t>"㿇"</t>
  </si>
  <si>
    <t>"㿈"</t>
  </si>
  <si>
    <t>"㿉"</t>
  </si>
  <si>
    <t>"㿊"</t>
  </si>
  <si>
    <t>"㿋"</t>
  </si>
  <si>
    <t>"㿌"</t>
  </si>
  <si>
    <t>"㿍"</t>
  </si>
  <si>
    <t>"㿎"</t>
  </si>
  <si>
    <t>"㿏"</t>
  </si>
  <si>
    <t>"㿐"</t>
  </si>
  <si>
    <t>"㿑"</t>
  </si>
  <si>
    <t>"㿒"</t>
  </si>
  <si>
    <t>"㿓"</t>
  </si>
  <si>
    <t>"㿔"</t>
  </si>
  <si>
    <t>"㿕"</t>
  </si>
  <si>
    <t>"㿖"</t>
  </si>
  <si>
    <t>"㿗"</t>
  </si>
  <si>
    <t>"㿘"</t>
  </si>
  <si>
    <t>"㿙"</t>
  </si>
  <si>
    <t>"㿚"</t>
  </si>
  <si>
    <t>"㿛"</t>
  </si>
  <si>
    <t>"㿜"</t>
  </si>
  <si>
    <t>"㿝"</t>
  </si>
  <si>
    <t>"㿞"</t>
  </si>
  <si>
    <t>"㿟"</t>
  </si>
  <si>
    <t>"㿠"</t>
  </si>
  <si>
    <t>"㿡"</t>
  </si>
  <si>
    <t>"㿢"</t>
  </si>
  <si>
    <t>"㿣"</t>
  </si>
  <si>
    <t>"㿤"</t>
  </si>
  <si>
    <t>"㿥"</t>
  </si>
  <si>
    <t>"㿦"</t>
  </si>
  <si>
    <t>"㿧"</t>
  </si>
  <si>
    <t>"㿨"</t>
  </si>
  <si>
    <t>"㿩"</t>
  </si>
  <si>
    <t>"㿪"</t>
  </si>
  <si>
    <t>"㿫"</t>
  </si>
  <si>
    <t>"㿬"</t>
  </si>
  <si>
    <t>"㿭"</t>
  </si>
  <si>
    <t>"㿮"</t>
  </si>
  <si>
    <t>"㿯"</t>
  </si>
  <si>
    <t>"㿰"</t>
  </si>
  <si>
    <t>"㿱"</t>
  </si>
  <si>
    <t>"㿲"</t>
  </si>
  <si>
    <t>"㿳"</t>
  </si>
  <si>
    <t>"㿴"</t>
  </si>
  <si>
    <t>"㿵"</t>
  </si>
  <si>
    <t>"㿶"</t>
  </si>
  <si>
    <t>"㿷"</t>
  </si>
  <si>
    <t>"㿸"</t>
  </si>
  <si>
    <t>"㿹"</t>
  </si>
  <si>
    <t>"㿺"</t>
  </si>
  <si>
    <t>"㿻"</t>
  </si>
  <si>
    <t>"㿼"</t>
  </si>
  <si>
    <t>"㿽"</t>
  </si>
  <si>
    <t>"㿾"</t>
  </si>
  <si>
    <t>"㿿"</t>
  </si>
  <si>
    <t>"䀀"</t>
  </si>
  <si>
    <t>"䀁"</t>
  </si>
  <si>
    <t>"䀂"</t>
  </si>
  <si>
    <t>"䀃"</t>
  </si>
  <si>
    <t>"䀄"</t>
  </si>
  <si>
    <t>"䀅"</t>
  </si>
  <si>
    <t>"䀆"</t>
  </si>
  <si>
    <t>"䀇"</t>
  </si>
  <si>
    <t>"䀈"</t>
  </si>
  <si>
    <t>"䀉"</t>
  </si>
  <si>
    <t>"䀊"</t>
  </si>
  <si>
    <t>"䀋"</t>
  </si>
  <si>
    <t>"䀌"</t>
  </si>
  <si>
    <t>"䀍"</t>
  </si>
  <si>
    <t>"䀎"</t>
  </si>
  <si>
    <t>"䀏"</t>
  </si>
  <si>
    <t>"䀐"</t>
  </si>
  <si>
    <t>"䀑"</t>
  </si>
  <si>
    <t>"䀒"</t>
  </si>
  <si>
    <t>"䀓"</t>
  </si>
  <si>
    <t>"䀔"</t>
  </si>
  <si>
    <t>"䀕"</t>
  </si>
  <si>
    <t>"䀖"</t>
  </si>
  <si>
    <t>"䀗"</t>
  </si>
  <si>
    <t>"䀘"</t>
  </si>
  <si>
    <t>"䀙"</t>
  </si>
  <si>
    <t>"䀚"</t>
  </si>
  <si>
    <t>"䀛"</t>
  </si>
  <si>
    <t>"䀜"</t>
  </si>
  <si>
    <t>"䀝"</t>
  </si>
  <si>
    <t>"䀞"</t>
  </si>
  <si>
    <t>"䀟"</t>
  </si>
  <si>
    <t>"䀠"</t>
  </si>
  <si>
    <t>"䀡"</t>
  </si>
  <si>
    <t>"䀢"</t>
  </si>
  <si>
    <t>"䀣"</t>
  </si>
  <si>
    <t>"䀤"</t>
  </si>
  <si>
    <t>"䀥"</t>
  </si>
  <si>
    <t>"䀦"</t>
  </si>
  <si>
    <t>"䀧"</t>
  </si>
  <si>
    <t>"䀨"</t>
  </si>
  <si>
    <t>"䀩"</t>
  </si>
  <si>
    <t>"䀪"</t>
  </si>
  <si>
    <t>"䀫"</t>
  </si>
  <si>
    <t>"䀬"</t>
  </si>
  <si>
    <t>"䀭"</t>
  </si>
  <si>
    <t>"䀮"</t>
  </si>
  <si>
    <t>"䀯"</t>
  </si>
  <si>
    <t>"䀰"</t>
  </si>
  <si>
    <t>"䀱"</t>
  </si>
  <si>
    <t>"䀲"</t>
  </si>
  <si>
    <t>"䀳"</t>
  </si>
  <si>
    <t>"䀴"</t>
  </si>
  <si>
    <t>"䀵"</t>
  </si>
  <si>
    <t>"䀶"</t>
  </si>
  <si>
    <t>"䀷"</t>
  </si>
  <si>
    <t>"䀸"</t>
  </si>
  <si>
    <t>"䀹"</t>
  </si>
  <si>
    <t>"䀺"</t>
  </si>
  <si>
    <t>"䀻"</t>
  </si>
  <si>
    <t>"䀼"</t>
  </si>
  <si>
    <t>"䀽"</t>
  </si>
  <si>
    <t>"䀾"</t>
  </si>
  <si>
    <t>"䀿"</t>
  </si>
  <si>
    <t>"䁀"</t>
  </si>
  <si>
    <t>"䁁"</t>
  </si>
  <si>
    <t>"䁂"</t>
  </si>
  <si>
    <t>"䁃"</t>
  </si>
  <si>
    <t>"䁄"</t>
  </si>
  <si>
    <t>"䁅"</t>
  </si>
  <si>
    <t>"䁆"</t>
  </si>
  <si>
    <t>"䁇"</t>
  </si>
  <si>
    <t>"䁈"</t>
  </si>
  <si>
    <t>"䁉"</t>
  </si>
  <si>
    <t>"䁊"</t>
  </si>
  <si>
    <t>"䁋"</t>
  </si>
  <si>
    <t>"䁌"</t>
  </si>
  <si>
    <t>"䁍"</t>
  </si>
  <si>
    <t>"䁎"</t>
  </si>
  <si>
    <t>"䁏"</t>
  </si>
  <si>
    <t>"䁐"</t>
  </si>
  <si>
    <t>"䁑"</t>
  </si>
  <si>
    <t>"䁒"</t>
  </si>
  <si>
    <t>"䁓"</t>
  </si>
  <si>
    <t>"䁔"</t>
  </si>
  <si>
    <t>"䁕"</t>
  </si>
  <si>
    <t>"䁖"</t>
  </si>
  <si>
    <t>"䁗"</t>
  </si>
  <si>
    <t>"䁘"</t>
  </si>
  <si>
    <t>"䁙"</t>
  </si>
  <si>
    <t>"䁚"</t>
  </si>
  <si>
    <t>"䁛"</t>
  </si>
  <si>
    <t>"䁜"</t>
  </si>
  <si>
    <t>"䁝"</t>
  </si>
  <si>
    <t>"䁞"</t>
  </si>
  <si>
    <t>"䁟"</t>
  </si>
  <si>
    <t>"䁠"</t>
  </si>
  <si>
    <t>"䁡"</t>
  </si>
  <si>
    <t>"䁢"</t>
  </si>
  <si>
    <t>"䁣"</t>
  </si>
  <si>
    <t>"䁤"</t>
  </si>
  <si>
    <t>"䁥"</t>
  </si>
  <si>
    <t>"䁦"</t>
  </si>
  <si>
    <t>"䁧"</t>
  </si>
  <si>
    <t>"䁨"</t>
  </si>
  <si>
    <t>"䁩"</t>
  </si>
  <si>
    <t>"䁪"</t>
  </si>
  <si>
    <t>"䁫"</t>
  </si>
  <si>
    <t>"䁬"</t>
  </si>
  <si>
    <t>"䁭"</t>
  </si>
  <si>
    <t>"䁮"</t>
  </si>
  <si>
    <t>"䁯"</t>
  </si>
  <si>
    <t>"䁰"</t>
  </si>
  <si>
    <t>"䁱"</t>
  </si>
  <si>
    <t>"䁲"</t>
  </si>
  <si>
    <t>"䁳"</t>
  </si>
  <si>
    <t>"䁴"</t>
  </si>
  <si>
    <t>"䁵"</t>
  </si>
  <si>
    <t>"䁶"</t>
  </si>
  <si>
    <t>"䁷"</t>
  </si>
  <si>
    <t>"䁸"</t>
  </si>
  <si>
    <t>"䁹"</t>
  </si>
  <si>
    <t>"䁺"</t>
  </si>
  <si>
    <t>"䁻"</t>
  </si>
  <si>
    <t>"䁼"</t>
  </si>
  <si>
    <t>"䁽"</t>
  </si>
  <si>
    <t>"䁾"</t>
  </si>
  <si>
    <t>"䁿"</t>
  </si>
  <si>
    <t>"䂀"</t>
  </si>
  <si>
    <t>"䂁"</t>
  </si>
  <si>
    <t>"䂂"</t>
  </si>
  <si>
    <t>"䂃"</t>
  </si>
  <si>
    <t>"䂄"</t>
  </si>
  <si>
    <t>"䂅"</t>
  </si>
  <si>
    <t>"䂆"</t>
  </si>
  <si>
    <t>"䂇"</t>
  </si>
  <si>
    <t>"䂈"</t>
  </si>
  <si>
    <t>"䂉"</t>
  </si>
  <si>
    <t>"䂊"</t>
  </si>
  <si>
    <t>"䂋"</t>
  </si>
  <si>
    <t>"䂌"</t>
  </si>
  <si>
    <t>"䂍"</t>
  </si>
  <si>
    <t>"䂎"</t>
  </si>
  <si>
    <t>"䂏"</t>
  </si>
  <si>
    <t>"䂐"</t>
  </si>
  <si>
    <t>"䂑"</t>
  </si>
  <si>
    <t>"䂒"</t>
  </si>
  <si>
    <t>"䂓"</t>
  </si>
  <si>
    <t>"䂔"</t>
  </si>
  <si>
    <t>"䂕"</t>
  </si>
  <si>
    <t>"䂖"</t>
  </si>
  <si>
    <t>"䂗"</t>
  </si>
  <si>
    <t>"䂘"</t>
  </si>
  <si>
    <t>"䂙"</t>
  </si>
  <si>
    <t>"䂚"</t>
  </si>
  <si>
    <t>"䂛"</t>
  </si>
  <si>
    <t>"䂜"</t>
  </si>
  <si>
    <t>"䂝"</t>
  </si>
  <si>
    <t>"䂞"</t>
  </si>
  <si>
    <t>"䂟"</t>
  </si>
  <si>
    <t>"䂠"</t>
  </si>
  <si>
    <t>"䂡"</t>
  </si>
  <si>
    <t>"䂢"</t>
  </si>
  <si>
    <t>"䂣"</t>
  </si>
  <si>
    <t>"䂤"</t>
  </si>
  <si>
    <t>"䂥"</t>
  </si>
  <si>
    <t>"䂦"</t>
  </si>
  <si>
    <t>"䂧"</t>
  </si>
  <si>
    <t>"䂨"</t>
  </si>
  <si>
    <t>"䂩"</t>
  </si>
  <si>
    <t>"䂪"</t>
  </si>
  <si>
    <t>"䂫"</t>
  </si>
  <si>
    <t>"䂬"</t>
  </si>
  <si>
    <t>"䂭"</t>
  </si>
  <si>
    <t>"䂮"</t>
  </si>
  <si>
    <t>"䂯"</t>
  </si>
  <si>
    <t>"䂰"</t>
  </si>
  <si>
    <t>"䂱"</t>
  </si>
  <si>
    <t>"䂲"</t>
  </si>
  <si>
    <t>"䂳"</t>
  </si>
  <si>
    <t>"䂴"</t>
  </si>
  <si>
    <t>"䂵"</t>
  </si>
  <si>
    <t>"䂶"</t>
  </si>
  <si>
    <t>"䂷"</t>
  </si>
  <si>
    <t>"䂸"</t>
  </si>
  <si>
    <t>"䂹"</t>
  </si>
  <si>
    <t>"䂺"</t>
  </si>
  <si>
    <t>"䂻"</t>
  </si>
  <si>
    <t>"䂼"</t>
  </si>
  <si>
    <t>"䂽"</t>
  </si>
  <si>
    <t>"䂾"</t>
  </si>
  <si>
    <t>"䂿"</t>
  </si>
  <si>
    <t>"䃀"</t>
  </si>
  <si>
    <t>"䃁"</t>
  </si>
  <si>
    <t>"䃂"</t>
  </si>
  <si>
    <t>"䃃"</t>
  </si>
  <si>
    <t>"䃄"</t>
  </si>
  <si>
    <t>"䃅"</t>
  </si>
  <si>
    <t>"䃆"</t>
  </si>
  <si>
    <t>"䃇"</t>
  </si>
  <si>
    <t>"䃈"</t>
  </si>
  <si>
    <t>"䃉"</t>
  </si>
  <si>
    <t>"䃊"</t>
  </si>
  <si>
    <t>"䃋"</t>
  </si>
  <si>
    <t>"䃌"</t>
  </si>
  <si>
    <t>"䃍"</t>
  </si>
  <si>
    <t>"䃎"</t>
  </si>
  <si>
    <t>"䃏"</t>
  </si>
  <si>
    <t>"䃐"</t>
  </si>
  <si>
    <t>"䃑"</t>
  </si>
  <si>
    <t>"䃒"</t>
  </si>
  <si>
    <t>"䃓"</t>
  </si>
  <si>
    <t>"䃔"</t>
  </si>
  <si>
    <t>"䃕"</t>
  </si>
  <si>
    <t>"䃖"</t>
  </si>
  <si>
    <t>"䃗"</t>
  </si>
  <si>
    <t>"䃘"</t>
  </si>
  <si>
    <t>"䃙"</t>
  </si>
  <si>
    <t>"䃚"</t>
  </si>
  <si>
    <t>"䃛"</t>
  </si>
  <si>
    <t>"䃜"</t>
  </si>
  <si>
    <t>"䃝"</t>
  </si>
  <si>
    <t>"䃞"</t>
  </si>
  <si>
    <t>"䃟"</t>
  </si>
  <si>
    <t>"䃠"</t>
  </si>
  <si>
    <t>"䃡"</t>
  </si>
  <si>
    <t>"䃢"</t>
  </si>
  <si>
    <t>"䃣"</t>
  </si>
  <si>
    <t>"䃤"</t>
  </si>
  <si>
    <t>"䃥"</t>
  </si>
  <si>
    <t>"䃦"</t>
  </si>
  <si>
    <t>"䃧"</t>
  </si>
  <si>
    <t>"䃨"</t>
  </si>
  <si>
    <t>"䃩"</t>
  </si>
  <si>
    <t>"䃪"</t>
  </si>
  <si>
    <t>"䃫"</t>
  </si>
  <si>
    <t>"䃬"</t>
  </si>
  <si>
    <t>"䃭"</t>
  </si>
  <si>
    <t>"䃮"</t>
  </si>
  <si>
    <t>"䃯"</t>
  </si>
  <si>
    <t>"䃰"</t>
  </si>
  <si>
    <t>"䃱"</t>
  </si>
  <si>
    <t>"䃲"</t>
  </si>
  <si>
    <t>"䃳"</t>
  </si>
  <si>
    <t>"䃴"</t>
  </si>
  <si>
    <t>"䃵"</t>
  </si>
  <si>
    <t>"䃶"</t>
  </si>
  <si>
    <t>"䃷"</t>
  </si>
  <si>
    <t>"䃸"</t>
  </si>
  <si>
    <t>"䃹"</t>
  </si>
  <si>
    <t>"䃺"</t>
  </si>
  <si>
    <t>"䃻"</t>
  </si>
  <si>
    <t>"䃼"</t>
  </si>
  <si>
    <t>"䃽"</t>
  </si>
  <si>
    <t>"䃾"</t>
  </si>
  <si>
    <t>"䃿"</t>
  </si>
  <si>
    <t>"䄀"</t>
  </si>
  <si>
    <t>"䄁"</t>
  </si>
  <si>
    <t>"䄂"</t>
  </si>
  <si>
    <t>"䄃"</t>
  </si>
  <si>
    <t>"䄄"</t>
  </si>
  <si>
    <t>"䄅"</t>
  </si>
  <si>
    <t>"䄆"</t>
  </si>
  <si>
    <t>"䄇"</t>
  </si>
  <si>
    <t>"䄈"</t>
  </si>
  <si>
    <t>"䄉"</t>
  </si>
  <si>
    <t>"䄊"</t>
  </si>
  <si>
    <t>"䄋"</t>
  </si>
  <si>
    <t>"䄌"</t>
  </si>
  <si>
    <t>"䄍"</t>
  </si>
  <si>
    <t>"䄎"</t>
  </si>
  <si>
    <t>"䄏"</t>
  </si>
  <si>
    <t>"䄐"</t>
  </si>
  <si>
    <t>"䄑"</t>
  </si>
  <si>
    <t>"䄒"</t>
  </si>
  <si>
    <t>"䄓"</t>
  </si>
  <si>
    <t>"䄔"</t>
  </si>
  <si>
    <t>"䄕"</t>
  </si>
  <si>
    <t>"䄖"</t>
  </si>
  <si>
    <t>"䄗"</t>
  </si>
  <si>
    <t>"䄘"</t>
  </si>
  <si>
    <t>"䄙"</t>
  </si>
  <si>
    <t>"䄚"</t>
  </si>
  <si>
    <t>"䄛"</t>
  </si>
  <si>
    <t>"䄜"</t>
  </si>
  <si>
    <t>"䄝"</t>
  </si>
  <si>
    <t>"䄞"</t>
  </si>
  <si>
    <t>"䄟"</t>
  </si>
  <si>
    <t>"䄠"</t>
  </si>
  <si>
    <t>"䄡"</t>
  </si>
  <si>
    <t>"䄢"</t>
  </si>
  <si>
    <t>"䄣"</t>
  </si>
  <si>
    <t>"䄤"</t>
  </si>
  <si>
    <t>"䄥"</t>
  </si>
  <si>
    <t>"䄦"</t>
  </si>
  <si>
    <t>"䄧"</t>
  </si>
  <si>
    <t>"䄨"</t>
  </si>
  <si>
    <t>"䄩"</t>
  </si>
  <si>
    <t>"䄪"</t>
  </si>
  <si>
    <t>"䄫"</t>
  </si>
  <si>
    <t>"䄬"</t>
  </si>
  <si>
    <t>"䄭"</t>
  </si>
  <si>
    <t>"䄮"</t>
  </si>
  <si>
    <t>"䄯"</t>
  </si>
  <si>
    <t>"䄰"</t>
  </si>
  <si>
    <t>"䄱"</t>
  </si>
  <si>
    <t>"䄲"</t>
  </si>
  <si>
    <t>"䄳"</t>
  </si>
  <si>
    <t>"䄴"</t>
  </si>
  <si>
    <t>"䄵"</t>
  </si>
  <si>
    <t>"䄶"</t>
  </si>
  <si>
    <t>"䄷"</t>
  </si>
  <si>
    <t>"䄸"</t>
  </si>
  <si>
    <t>"䄹"</t>
  </si>
  <si>
    <t>"䄺"</t>
  </si>
  <si>
    <t>"䄻"</t>
  </si>
  <si>
    <t>"䄼"</t>
  </si>
  <si>
    <t>"䄽"</t>
  </si>
  <si>
    <t>"䄾"</t>
  </si>
  <si>
    <t>"䄿"</t>
  </si>
  <si>
    <t>"䅀"</t>
  </si>
  <si>
    <t>"䅁"</t>
  </si>
  <si>
    <t>"䅂"</t>
  </si>
  <si>
    <t>"䅃"</t>
  </si>
  <si>
    <t>"䅄"</t>
  </si>
  <si>
    <t>"䅅"</t>
  </si>
  <si>
    <t>"䅆"</t>
  </si>
  <si>
    <t>"䅇"</t>
  </si>
  <si>
    <t>"䅈"</t>
  </si>
  <si>
    <t>"䅉"</t>
  </si>
  <si>
    <t>"䅊"</t>
  </si>
  <si>
    <t>"䅋"</t>
  </si>
  <si>
    <t>"䅌"</t>
  </si>
  <si>
    <t>"䅍"</t>
  </si>
  <si>
    <t>"䅎"</t>
  </si>
  <si>
    <t>"䅏"</t>
  </si>
  <si>
    <t>"䅐"</t>
  </si>
  <si>
    <t>"䅑"</t>
  </si>
  <si>
    <t>"䅒"</t>
  </si>
  <si>
    <t>"䅓"</t>
  </si>
  <si>
    <t>"䅔"</t>
  </si>
  <si>
    <t>"䅕"</t>
  </si>
  <si>
    <t>"䅖"</t>
  </si>
  <si>
    <t>"䅗"</t>
  </si>
  <si>
    <t>"䅘"</t>
  </si>
  <si>
    <t>"䅙"</t>
  </si>
  <si>
    <t>"䅚"</t>
  </si>
  <si>
    <t>"䅛"</t>
  </si>
  <si>
    <t>"䅜"</t>
  </si>
  <si>
    <t>"䅝"</t>
  </si>
  <si>
    <t>"䅞"</t>
  </si>
  <si>
    <t>"䅟"</t>
  </si>
  <si>
    <t>"䅠"</t>
  </si>
  <si>
    <t>"䅡"</t>
  </si>
  <si>
    <t>"䅢"</t>
  </si>
  <si>
    <t>"䅣"</t>
  </si>
  <si>
    <t>"䅤"</t>
  </si>
  <si>
    <t>"䅥"</t>
  </si>
  <si>
    <t>"䅦"</t>
  </si>
  <si>
    <t>"䅧"</t>
  </si>
  <si>
    <t>"䅨"</t>
  </si>
  <si>
    <t>"䅩"</t>
  </si>
  <si>
    <t>"䅪"</t>
  </si>
  <si>
    <t>"䅫"</t>
  </si>
  <si>
    <t>"䅬"</t>
  </si>
  <si>
    <t>"䅭"</t>
  </si>
  <si>
    <t>"䅮"</t>
  </si>
  <si>
    <t>"䅯"</t>
  </si>
  <si>
    <t>"䅰"</t>
  </si>
  <si>
    <t>"䅱"</t>
  </si>
  <si>
    <t>"䅲"</t>
  </si>
  <si>
    <t>"䅳"</t>
  </si>
  <si>
    <t>"䅴"</t>
  </si>
  <si>
    <t>"䅵"</t>
  </si>
  <si>
    <t>"䅶"</t>
  </si>
  <si>
    <t>"䅷"</t>
  </si>
  <si>
    <t>"䅸"</t>
  </si>
  <si>
    <t>"䅹"</t>
  </si>
  <si>
    <t>"䅺"</t>
  </si>
  <si>
    <t>"䅻"</t>
  </si>
  <si>
    <t>"䅼"</t>
  </si>
  <si>
    <t>"䅽"</t>
  </si>
  <si>
    <t>"䅾"</t>
  </si>
  <si>
    <t>"䅿"</t>
  </si>
  <si>
    <t>"䆀"</t>
  </si>
  <si>
    <t>"䆁"</t>
  </si>
  <si>
    <t>"䆂"</t>
  </si>
  <si>
    <t>"䆃"</t>
  </si>
  <si>
    <t>"䆄"</t>
  </si>
  <si>
    <t>"䆅"</t>
  </si>
  <si>
    <t>"䆆"</t>
  </si>
  <si>
    <t>"䆇"</t>
  </si>
  <si>
    <t>"䆈"</t>
  </si>
  <si>
    <t>"䆉"</t>
  </si>
  <si>
    <t>"䆊"</t>
  </si>
  <si>
    <t>"䆋"</t>
  </si>
  <si>
    <t>"䆌"</t>
  </si>
  <si>
    <t>"䆍"</t>
  </si>
  <si>
    <t>"䆎"</t>
  </si>
  <si>
    <t>"䆏"</t>
  </si>
  <si>
    <t>"䆐"</t>
  </si>
  <si>
    <t>"䆑"</t>
  </si>
  <si>
    <t>"䆒"</t>
  </si>
  <si>
    <t>"䆓"</t>
  </si>
  <si>
    <t>"䆔"</t>
  </si>
  <si>
    <t>"䆕"</t>
  </si>
  <si>
    <t>"䆖"</t>
  </si>
  <si>
    <t>"䆗"</t>
  </si>
  <si>
    <t>"䆘"</t>
  </si>
  <si>
    <t>"䆙"</t>
  </si>
  <si>
    <t>"䆚"</t>
  </si>
  <si>
    <t>"䆛"</t>
  </si>
  <si>
    <t>"䆜"</t>
  </si>
  <si>
    <t>"䆝"</t>
  </si>
  <si>
    <t>"䆞"</t>
  </si>
  <si>
    <t>"䆟"</t>
  </si>
  <si>
    <t>"䆠"</t>
  </si>
  <si>
    <t>"䆡"</t>
  </si>
  <si>
    <t>"䆢"</t>
  </si>
  <si>
    <t>"䆣"</t>
  </si>
  <si>
    <t>"䆤"</t>
  </si>
  <si>
    <t>"䆥"</t>
  </si>
  <si>
    <t>"䆦"</t>
  </si>
  <si>
    <t>"䆧"</t>
  </si>
  <si>
    <t>"䆨"</t>
  </si>
  <si>
    <t>"䆩"</t>
  </si>
  <si>
    <t>"䆪"</t>
  </si>
  <si>
    <t>"䆫"</t>
  </si>
  <si>
    <t>"䆬"</t>
  </si>
  <si>
    <t>"䆭"</t>
  </si>
  <si>
    <t>"䆮"</t>
  </si>
  <si>
    <t>"䆯"</t>
  </si>
  <si>
    <t>"䆰"</t>
  </si>
  <si>
    <t>"䆱"</t>
  </si>
  <si>
    <t>"䆲"</t>
  </si>
  <si>
    <t>"䆳"</t>
  </si>
  <si>
    <t>"䆴"</t>
  </si>
  <si>
    <t>"䆵"</t>
  </si>
  <si>
    <t>"䆶"</t>
  </si>
  <si>
    <t>"䆷"</t>
  </si>
  <si>
    <t>"䆸"</t>
  </si>
  <si>
    <t>"䆹"</t>
  </si>
  <si>
    <t>"䆺"</t>
  </si>
  <si>
    <t>"䆻"</t>
  </si>
  <si>
    <t>"䆼"</t>
  </si>
  <si>
    <t>"䆽"</t>
  </si>
  <si>
    <t>"䆾"</t>
  </si>
  <si>
    <t>"䆿"</t>
  </si>
  <si>
    <t>"䇀"</t>
  </si>
  <si>
    <t>"䇁"</t>
  </si>
  <si>
    <t>"䇂"</t>
  </si>
  <si>
    <t>"䇃"</t>
  </si>
  <si>
    <t>"䇄"</t>
  </si>
  <si>
    <t>"䇅"</t>
  </si>
  <si>
    <t>"䇆"</t>
  </si>
  <si>
    <t>"䇇"</t>
  </si>
  <si>
    <t>"䇈"</t>
  </si>
  <si>
    <t>"䇉"</t>
  </si>
  <si>
    <t>"䇊"</t>
  </si>
  <si>
    <t>"䇋"</t>
  </si>
  <si>
    <t>"䇌"</t>
  </si>
  <si>
    <t>"䇍"</t>
  </si>
  <si>
    <t>"䇎"</t>
  </si>
  <si>
    <t>"䇏"</t>
  </si>
  <si>
    <t>"䇐"</t>
  </si>
  <si>
    <t>"䇑"</t>
  </si>
  <si>
    <t>"䇒"</t>
  </si>
  <si>
    <t>"䇓"</t>
  </si>
  <si>
    <t>"䇔"</t>
  </si>
  <si>
    <t>"䇕"</t>
  </si>
  <si>
    <t>"䇖"</t>
  </si>
  <si>
    <t>"䇗"</t>
  </si>
  <si>
    <t>"䇘"</t>
  </si>
  <si>
    <t>"䇙"</t>
  </si>
  <si>
    <t>"䇚"</t>
  </si>
  <si>
    <t>"䇛"</t>
  </si>
  <si>
    <t>"䇜"</t>
  </si>
  <si>
    <t>"䇝"</t>
  </si>
  <si>
    <t>"䇞"</t>
  </si>
  <si>
    <t>"䇟"</t>
  </si>
  <si>
    <t>"䇠"</t>
  </si>
  <si>
    <t>"䇡"</t>
  </si>
  <si>
    <t>"䇢"</t>
  </si>
  <si>
    <t>"䇣"</t>
  </si>
  <si>
    <t>"䇤"</t>
  </si>
  <si>
    <t>"䇥"</t>
  </si>
  <si>
    <t>"䇦"</t>
  </si>
  <si>
    <t>"䇧"</t>
  </si>
  <si>
    <t>"䇨"</t>
  </si>
  <si>
    <t>"䇩"</t>
  </si>
  <si>
    <t>"䇪"</t>
  </si>
  <si>
    <t>"䇫"</t>
  </si>
  <si>
    <t>"䇬"</t>
  </si>
  <si>
    <t>"䇭"</t>
  </si>
  <si>
    <t>"䇮"</t>
  </si>
  <si>
    <t>"䇯"</t>
  </si>
  <si>
    <t>"䇰"</t>
  </si>
  <si>
    <t>"䇱"</t>
  </si>
  <si>
    <t>"䇲"</t>
  </si>
  <si>
    <t>"䇳"</t>
  </si>
  <si>
    <t>"䇴"</t>
  </si>
  <si>
    <t>"䇵"</t>
  </si>
  <si>
    <t>"䇶"</t>
  </si>
  <si>
    <t>"䇷"</t>
  </si>
  <si>
    <t>"䇸"</t>
  </si>
  <si>
    <t>"䇹"</t>
  </si>
  <si>
    <t>"䇺"</t>
  </si>
  <si>
    <t>"䇻"</t>
  </si>
  <si>
    <t>"䇼"</t>
  </si>
  <si>
    <t>"䇽"</t>
  </si>
  <si>
    <t>"䇾"</t>
  </si>
  <si>
    <t>"䇿"</t>
  </si>
  <si>
    <t>"䈀"</t>
  </si>
  <si>
    <t>"䈁"</t>
  </si>
  <si>
    <t>"䈂"</t>
  </si>
  <si>
    <t>"䈃"</t>
  </si>
  <si>
    <t>"䈄"</t>
  </si>
  <si>
    <t>"䈅"</t>
  </si>
  <si>
    <t>"䈆"</t>
  </si>
  <si>
    <t>"䈇"</t>
  </si>
  <si>
    <t>"䈈"</t>
  </si>
  <si>
    <t>"䈉"</t>
  </si>
  <si>
    <t>"䈊"</t>
  </si>
  <si>
    <t>"䈋"</t>
  </si>
  <si>
    <t>"䈌"</t>
  </si>
  <si>
    <t>"䈍"</t>
  </si>
  <si>
    <t>"䈎"</t>
  </si>
  <si>
    <t>"䈏"</t>
  </si>
  <si>
    <t>"䈐"</t>
  </si>
  <si>
    <t>"䈑"</t>
  </si>
  <si>
    <t>"䈒"</t>
  </si>
  <si>
    <t>"䈓"</t>
  </si>
  <si>
    <t>"䈔"</t>
  </si>
  <si>
    <t>"䈕"</t>
  </si>
  <si>
    <t>"䈖"</t>
  </si>
  <si>
    <t>"䈗"</t>
  </si>
  <si>
    <t>"䈘"</t>
  </si>
  <si>
    <t>"䈙"</t>
  </si>
  <si>
    <t>"䈚"</t>
  </si>
  <si>
    <t>"䈛"</t>
  </si>
  <si>
    <t>"䈜"</t>
  </si>
  <si>
    <t>"䈝"</t>
  </si>
  <si>
    <t>"䈞"</t>
  </si>
  <si>
    <t>"䈟"</t>
  </si>
  <si>
    <t>"䈠"</t>
  </si>
  <si>
    <t>"䈡"</t>
  </si>
  <si>
    <t>"䈢"</t>
  </si>
  <si>
    <t>"䈣"</t>
  </si>
  <si>
    <t>"䈤"</t>
  </si>
  <si>
    <t>"䈥"</t>
  </si>
  <si>
    <t>"䈦"</t>
  </si>
  <si>
    <t>"䈧"</t>
  </si>
  <si>
    <t>"䈨"</t>
  </si>
  <si>
    <t>"䈩"</t>
  </si>
  <si>
    <t>"䈪"</t>
  </si>
  <si>
    <t>"䈫"</t>
  </si>
  <si>
    <t>"䈬"</t>
  </si>
  <si>
    <t>"䈭"</t>
  </si>
  <si>
    <t>"䈮"</t>
  </si>
  <si>
    <t>"䈯"</t>
  </si>
  <si>
    <t>"䈰"</t>
  </si>
  <si>
    <t>"䈱"</t>
  </si>
  <si>
    <t>"䈲"</t>
  </si>
  <si>
    <t>"䈳"</t>
  </si>
  <si>
    <t>"䈴"</t>
  </si>
  <si>
    <t>"䈵"</t>
  </si>
  <si>
    <t>"䈶"</t>
  </si>
  <si>
    <t>"䈷"</t>
  </si>
  <si>
    <t>"䈸"</t>
  </si>
  <si>
    <t>"䈹"</t>
  </si>
  <si>
    <t>"䈺"</t>
  </si>
  <si>
    <t>"䈻"</t>
  </si>
  <si>
    <t>"䈼"</t>
  </si>
  <si>
    <t>"䈽"</t>
  </si>
  <si>
    <t>"䈾"</t>
  </si>
  <si>
    <t>"䈿"</t>
  </si>
  <si>
    <t>"䉀"</t>
  </si>
  <si>
    <t>"䉁"</t>
  </si>
  <si>
    <t>"䉂"</t>
  </si>
  <si>
    <t>"䉃"</t>
  </si>
  <si>
    <t>"䉄"</t>
  </si>
  <si>
    <t>"䉅"</t>
  </si>
  <si>
    <t>"䉆"</t>
  </si>
  <si>
    <t>"䉇"</t>
  </si>
  <si>
    <t>"䉈"</t>
  </si>
  <si>
    <t>"䉉"</t>
  </si>
  <si>
    <t>"䉊"</t>
  </si>
  <si>
    <t>"䉋"</t>
  </si>
  <si>
    <t>"䉌"</t>
  </si>
  <si>
    <t>"䉍"</t>
  </si>
  <si>
    <t>"䉎"</t>
  </si>
  <si>
    <t>"䉏"</t>
  </si>
  <si>
    <t>"䉐"</t>
  </si>
  <si>
    <t>"䉑"</t>
  </si>
  <si>
    <t>"䉒"</t>
  </si>
  <si>
    <t>"䉓"</t>
  </si>
  <si>
    <t>"䉔"</t>
  </si>
  <si>
    <t>"䉕"</t>
  </si>
  <si>
    <t>"䉖"</t>
  </si>
  <si>
    <t>"䉗"</t>
  </si>
  <si>
    <t>"䉘"</t>
  </si>
  <si>
    <t>"䉙"</t>
  </si>
  <si>
    <t>"䉚"</t>
  </si>
  <si>
    <t>"䉛"</t>
  </si>
  <si>
    <t>"䉜"</t>
  </si>
  <si>
    <t>"䉝"</t>
  </si>
  <si>
    <t>"䉞"</t>
  </si>
  <si>
    <t>"䉟"</t>
  </si>
  <si>
    <t>"䉠"</t>
  </si>
  <si>
    <t>"䉡"</t>
  </si>
  <si>
    <t>"䉢"</t>
  </si>
  <si>
    <t>"䉣"</t>
  </si>
  <si>
    <t>"䉤"</t>
  </si>
  <si>
    <t>"䉥"</t>
  </si>
  <si>
    <t>"䉦"</t>
  </si>
  <si>
    <t>"䉧"</t>
  </si>
  <si>
    <t>"䉨"</t>
  </si>
  <si>
    <t>"䉩"</t>
  </si>
  <si>
    <t>"䉪"</t>
  </si>
  <si>
    <t>"䉫"</t>
  </si>
  <si>
    <t>"䉬"</t>
  </si>
  <si>
    <t>"䉭"</t>
  </si>
  <si>
    <t>"䉮"</t>
  </si>
  <si>
    <t>"䉯"</t>
  </si>
  <si>
    <t>"䉰"</t>
  </si>
  <si>
    <t>"䉱"</t>
  </si>
  <si>
    <t>"䉲"</t>
  </si>
  <si>
    <t>"䉳"</t>
  </si>
  <si>
    <t>"䉴"</t>
  </si>
  <si>
    <t>"䉵"</t>
  </si>
  <si>
    <t>"䉶"</t>
  </si>
  <si>
    <t>"䉷"</t>
  </si>
  <si>
    <t>"䉸"</t>
  </si>
  <si>
    <t>"䉹"</t>
  </si>
  <si>
    <t>"䉺"</t>
  </si>
  <si>
    <t>"䉻"</t>
  </si>
  <si>
    <t>"䉼"</t>
  </si>
  <si>
    <t>"䉽"</t>
  </si>
  <si>
    <t>"䉾"</t>
  </si>
  <si>
    <t>"䉿"</t>
  </si>
  <si>
    <t>"䊀"</t>
  </si>
  <si>
    <t>"䊁"</t>
  </si>
  <si>
    <t>"䊂"</t>
  </si>
  <si>
    <t>"䊃"</t>
  </si>
  <si>
    <t>"䊄"</t>
  </si>
  <si>
    <t>"䊅"</t>
  </si>
  <si>
    <t>"䊆"</t>
  </si>
  <si>
    <t>"䊇"</t>
  </si>
  <si>
    <t>"䊈"</t>
  </si>
  <si>
    <t>"䊉"</t>
  </si>
  <si>
    <t>"䊊"</t>
  </si>
  <si>
    <t>"䊋"</t>
  </si>
  <si>
    <t>"䊌"</t>
  </si>
  <si>
    <t>"䊍"</t>
  </si>
  <si>
    <t>"䊎"</t>
  </si>
  <si>
    <t>"䊏"</t>
  </si>
  <si>
    <t>"䊐"</t>
  </si>
  <si>
    <t>"䊑"</t>
  </si>
  <si>
    <t>"䊒"</t>
  </si>
  <si>
    <t>"䊓"</t>
  </si>
  <si>
    <t>"䊔"</t>
  </si>
  <si>
    <t>"䊕"</t>
  </si>
  <si>
    <t>"䊖"</t>
  </si>
  <si>
    <t>"䊗"</t>
  </si>
  <si>
    <t>"䊘"</t>
  </si>
  <si>
    <t>"䊙"</t>
  </si>
  <si>
    <t>"䊚"</t>
  </si>
  <si>
    <t>"䊛"</t>
  </si>
  <si>
    <t>"䊜"</t>
  </si>
  <si>
    <t>"䊝"</t>
  </si>
  <si>
    <t>"䊞"</t>
  </si>
  <si>
    <t>"䊟"</t>
  </si>
  <si>
    <t>"䊠"</t>
  </si>
  <si>
    <t>"䊡"</t>
  </si>
  <si>
    <t>"䊢"</t>
  </si>
  <si>
    <t>"䊣"</t>
  </si>
  <si>
    <t>"䊤"</t>
  </si>
  <si>
    <t>"䊥"</t>
  </si>
  <si>
    <t>"䊦"</t>
  </si>
  <si>
    <t>"䊧"</t>
  </si>
  <si>
    <t>"䊨"</t>
  </si>
  <si>
    <t>"䊩"</t>
  </si>
  <si>
    <t>"䊪"</t>
  </si>
  <si>
    <t>"䊫"</t>
  </si>
  <si>
    <t>"䊬"</t>
  </si>
  <si>
    <t>"䊭"</t>
  </si>
  <si>
    <t>"䊮"</t>
  </si>
  <si>
    <t>"䊯"</t>
  </si>
  <si>
    <t>"䊰"</t>
  </si>
  <si>
    <t>"䊱"</t>
  </si>
  <si>
    <t>"䊲"</t>
  </si>
  <si>
    <t>"䊳"</t>
  </si>
  <si>
    <t>"䊴"</t>
  </si>
  <si>
    <t>"䊵"</t>
  </si>
  <si>
    <t>"䊶"</t>
  </si>
  <si>
    <t>"䊷"</t>
  </si>
  <si>
    <t>"䊸"</t>
  </si>
  <si>
    <t>"䊹"</t>
  </si>
  <si>
    <t>"䊺"</t>
  </si>
  <si>
    <t>"䊻"</t>
  </si>
  <si>
    <t>"䊼"</t>
  </si>
  <si>
    <t>"䊽"</t>
  </si>
  <si>
    <t>"䊾"</t>
  </si>
  <si>
    <t>"䊿"</t>
  </si>
  <si>
    <t>"䋀"</t>
  </si>
  <si>
    <t>"䋁"</t>
  </si>
  <si>
    <t>"䋂"</t>
  </si>
  <si>
    <t>"䋃"</t>
  </si>
  <si>
    <t>"䋄"</t>
  </si>
  <si>
    <t>"䋅"</t>
  </si>
  <si>
    <t>"䋆"</t>
  </si>
  <si>
    <t>"䋇"</t>
  </si>
  <si>
    <t>"䋈"</t>
  </si>
  <si>
    <t>"䋉"</t>
  </si>
  <si>
    <t>"䋊"</t>
  </si>
  <si>
    <t>"䋋"</t>
  </si>
  <si>
    <t>"䋌"</t>
  </si>
  <si>
    <t>"䋍"</t>
  </si>
  <si>
    <t>"䋎"</t>
  </si>
  <si>
    <t>"䋏"</t>
  </si>
  <si>
    <t>"䋐"</t>
  </si>
  <si>
    <t>"䋑"</t>
  </si>
  <si>
    <t>"䋒"</t>
  </si>
  <si>
    <t>"䋓"</t>
  </si>
  <si>
    <t>"䋔"</t>
  </si>
  <si>
    <t>"䋕"</t>
  </si>
  <si>
    <t>"䋖"</t>
  </si>
  <si>
    <t>"䋗"</t>
  </si>
  <si>
    <t>"䋘"</t>
  </si>
  <si>
    <t>"䋙"</t>
  </si>
  <si>
    <t>"䋚"</t>
  </si>
  <si>
    <t>"䋛"</t>
  </si>
  <si>
    <t>"䋜"</t>
  </si>
  <si>
    <t>"䋝"</t>
  </si>
  <si>
    <t>"䋞"</t>
  </si>
  <si>
    <t>"䋟"</t>
  </si>
  <si>
    <t>"䋠"</t>
  </si>
  <si>
    <t>"䋡"</t>
  </si>
  <si>
    <t>"䋢"</t>
  </si>
  <si>
    <t>"䋣"</t>
  </si>
  <si>
    <t>"䋤"</t>
  </si>
  <si>
    <t>"䋥"</t>
  </si>
  <si>
    <t>"䋦"</t>
  </si>
  <si>
    <t>"䋧"</t>
  </si>
  <si>
    <t>"䋨"</t>
  </si>
  <si>
    <t>"䋩"</t>
  </si>
  <si>
    <t>"䋪"</t>
  </si>
  <si>
    <t>"䋫"</t>
  </si>
  <si>
    <t>"䋬"</t>
  </si>
  <si>
    <t>"䋭"</t>
  </si>
  <si>
    <t>"䋮"</t>
  </si>
  <si>
    <t>"䋯"</t>
  </si>
  <si>
    <t>"䋰"</t>
  </si>
  <si>
    <t>"䋱"</t>
  </si>
  <si>
    <t>"䋲"</t>
  </si>
  <si>
    <t>"䋳"</t>
  </si>
  <si>
    <t>"䋴"</t>
  </si>
  <si>
    <t>"䋵"</t>
  </si>
  <si>
    <t>"䋶"</t>
  </si>
  <si>
    <t>"䋷"</t>
  </si>
  <si>
    <t>"䋸"</t>
  </si>
  <si>
    <t>"䋹"</t>
  </si>
  <si>
    <t>"䋺"</t>
  </si>
  <si>
    <t>"䋻"</t>
  </si>
  <si>
    <t>"䋼"</t>
  </si>
  <si>
    <t>"䋽"</t>
  </si>
  <si>
    <t>"䋾"</t>
  </si>
  <si>
    <t>"䋿"</t>
  </si>
  <si>
    <t>"䌀"</t>
  </si>
  <si>
    <t>"䌁"</t>
  </si>
  <si>
    <t>"䌂"</t>
  </si>
  <si>
    <t>"䌃"</t>
  </si>
  <si>
    <t>"䌄"</t>
  </si>
  <si>
    <t>"䌅"</t>
  </si>
  <si>
    <t>"䌆"</t>
  </si>
  <si>
    <t>"䌇"</t>
  </si>
  <si>
    <t>"䌈"</t>
  </si>
  <si>
    <t>"䌉"</t>
  </si>
  <si>
    <t>"䌊"</t>
  </si>
  <si>
    <t>"䌋"</t>
  </si>
  <si>
    <t>"䌌"</t>
  </si>
  <si>
    <t>"䌍"</t>
  </si>
  <si>
    <t>"䌎"</t>
  </si>
  <si>
    <t>"䌏"</t>
  </si>
  <si>
    <t>"䌐"</t>
  </si>
  <si>
    <t>"䌑"</t>
  </si>
  <si>
    <t>"䌒"</t>
  </si>
  <si>
    <t>"䌓"</t>
  </si>
  <si>
    <t>"䌔"</t>
  </si>
  <si>
    <t>"䌕"</t>
  </si>
  <si>
    <t>"䌖"</t>
  </si>
  <si>
    <t>"䌗"</t>
  </si>
  <si>
    <t>"䌘"</t>
  </si>
  <si>
    <t>"䌙"</t>
  </si>
  <si>
    <t>"䌚"</t>
  </si>
  <si>
    <t>"䌛"</t>
  </si>
  <si>
    <t>"䌜"</t>
  </si>
  <si>
    <t>"䌝"</t>
  </si>
  <si>
    <t>"䌞"</t>
  </si>
  <si>
    <t>"䌟"</t>
  </si>
  <si>
    <t>"䌠"</t>
  </si>
  <si>
    <t>"䌡"</t>
  </si>
  <si>
    <t>"䌢"</t>
  </si>
  <si>
    <t>"䌣"</t>
  </si>
  <si>
    <t>"䌤"</t>
  </si>
  <si>
    <t>"䌥"</t>
  </si>
  <si>
    <t>"䌦"</t>
  </si>
  <si>
    <t>"䌧"</t>
  </si>
  <si>
    <t>"䌨"</t>
  </si>
  <si>
    <t>"䌩"</t>
  </si>
  <si>
    <t>"䌪"</t>
  </si>
  <si>
    <t>"䌫"</t>
  </si>
  <si>
    <t>"䌬"</t>
  </si>
  <si>
    <t>"䌭"</t>
  </si>
  <si>
    <t>"䌮"</t>
  </si>
  <si>
    <t>"䌯"</t>
  </si>
  <si>
    <t>"䌰"</t>
  </si>
  <si>
    <t>"䌱"</t>
  </si>
  <si>
    <t>"䌲"</t>
  </si>
  <si>
    <t>"䌳"</t>
  </si>
  <si>
    <t>"䌴"</t>
  </si>
  <si>
    <t>"䌵"</t>
  </si>
  <si>
    <t>"䌶"</t>
  </si>
  <si>
    <t>"䌷"</t>
  </si>
  <si>
    <t>"䌸"</t>
  </si>
  <si>
    <t>"䌹"</t>
  </si>
  <si>
    <t>"䌺"</t>
  </si>
  <si>
    <t>"䌻"</t>
  </si>
  <si>
    <t>"䌼"</t>
  </si>
  <si>
    <t>"䌽"</t>
  </si>
  <si>
    <t>"䌾"</t>
  </si>
  <si>
    <t>"䌿"</t>
  </si>
  <si>
    <t>"䍀"</t>
  </si>
  <si>
    <t>"䍁"</t>
  </si>
  <si>
    <t>"䍂"</t>
  </si>
  <si>
    <t>"䍃"</t>
  </si>
  <si>
    <t>"䍄"</t>
  </si>
  <si>
    <t>"䍅"</t>
  </si>
  <si>
    <t>"䍆"</t>
  </si>
  <si>
    <t>"䍇"</t>
  </si>
  <si>
    <t>"䍈"</t>
  </si>
  <si>
    <t>"䍉"</t>
  </si>
  <si>
    <t>"䍊"</t>
  </si>
  <si>
    <t>"䍋"</t>
  </si>
  <si>
    <t>"䍌"</t>
  </si>
  <si>
    <t>"䍍"</t>
  </si>
  <si>
    <t>"䍎"</t>
  </si>
  <si>
    <t>"䍏"</t>
  </si>
  <si>
    <t>"䍐"</t>
  </si>
  <si>
    <t>"䍑"</t>
  </si>
  <si>
    <t>"䍒"</t>
  </si>
  <si>
    <t>"䍓"</t>
  </si>
  <si>
    <t>"䍔"</t>
  </si>
  <si>
    <t>"䍕"</t>
  </si>
  <si>
    <t>"䍖"</t>
  </si>
  <si>
    <t>"䍗"</t>
  </si>
  <si>
    <t>"䍘"</t>
  </si>
  <si>
    <t>"䍙"</t>
  </si>
  <si>
    <t>"䍚"</t>
  </si>
  <si>
    <t>"䍛"</t>
  </si>
  <si>
    <t>"䍜"</t>
  </si>
  <si>
    <t>"䍝"</t>
  </si>
  <si>
    <t>"䍞"</t>
  </si>
  <si>
    <t>"䍟"</t>
  </si>
  <si>
    <t>"䍠"</t>
  </si>
  <si>
    <t>"䍡"</t>
  </si>
  <si>
    <t>"䍢"</t>
  </si>
  <si>
    <t>"䍣"</t>
  </si>
  <si>
    <t>"䍤"</t>
  </si>
  <si>
    <t>"䍥"</t>
  </si>
  <si>
    <t>"䍦"</t>
  </si>
  <si>
    <t>"䍧"</t>
  </si>
  <si>
    <t>"䍨"</t>
  </si>
  <si>
    <t>"䍩"</t>
  </si>
  <si>
    <t>"䍪"</t>
  </si>
  <si>
    <t>"䍫"</t>
  </si>
  <si>
    <t>"䍬"</t>
  </si>
  <si>
    <t>"䍭"</t>
  </si>
  <si>
    <t>"䍮"</t>
  </si>
  <si>
    <t>"䍯"</t>
  </si>
  <si>
    <t>"䍰"</t>
  </si>
  <si>
    <t>"䍱"</t>
  </si>
  <si>
    <t>"䍲"</t>
  </si>
  <si>
    <t>"䍳"</t>
  </si>
  <si>
    <t>"䍴"</t>
  </si>
  <si>
    <t>"䍵"</t>
  </si>
  <si>
    <t>"䍶"</t>
  </si>
  <si>
    <t>"䍷"</t>
  </si>
  <si>
    <t>"䍸"</t>
  </si>
  <si>
    <t>"䍹"</t>
  </si>
  <si>
    <t>"䍺"</t>
  </si>
  <si>
    <t>"䍻"</t>
  </si>
  <si>
    <t>"䍼"</t>
  </si>
  <si>
    <t>"䍽"</t>
  </si>
  <si>
    <t>"䍾"</t>
  </si>
  <si>
    <t>"䍿"</t>
  </si>
  <si>
    <t>"䎀"</t>
  </si>
  <si>
    <t>"䎁"</t>
  </si>
  <si>
    <t>"䎂"</t>
  </si>
  <si>
    <t>"䎃"</t>
  </si>
  <si>
    <t>"䎄"</t>
  </si>
  <si>
    <t>"䎅"</t>
  </si>
  <si>
    <t>"䎆"</t>
  </si>
  <si>
    <t>"䎇"</t>
  </si>
  <si>
    <t>"䎈"</t>
  </si>
  <si>
    <t>"䎉"</t>
  </si>
  <si>
    <t>"䎊"</t>
  </si>
  <si>
    <t>"䎋"</t>
  </si>
  <si>
    <t>"䎌"</t>
  </si>
  <si>
    <t>"䎍"</t>
  </si>
  <si>
    <t>"䎎"</t>
  </si>
  <si>
    <t>"䎏"</t>
  </si>
  <si>
    <t>"䎐"</t>
  </si>
  <si>
    <t>"䎑"</t>
  </si>
  <si>
    <t>"䎒"</t>
  </si>
  <si>
    <t>"䎓"</t>
  </si>
  <si>
    <t>"䎔"</t>
  </si>
  <si>
    <t>"䎕"</t>
  </si>
  <si>
    <t>"䎖"</t>
  </si>
  <si>
    <t>"䎗"</t>
  </si>
  <si>
    <t>"䎘"</t>
  </si>
  <si>
    <t>"䎙"</t>
  </si>
  <si>
    <t>"䎚"</t>
  </si>
  <si>
    <t>"䎛"</t>
  </si>
  <si>
    <t>"䎜"</t>
  </si>
  <si>
    <t>"䎝"</t>
  </si>
  <si>
    <t>"䎞"</t>
  </si>
  <si>
    <t>"䎟"</t>
  </si>
  <si>
    <t>"䎠"</t>
  </si>
  <si>
    <t>"䎡"</t>
  </si>
  <si>
    <t>"䎢"</t>
  </si>
  <si>
    <t>"䎣"</t>
  </si>
  <si>
    <t>"䎤"</t>
  </si>
  <si>
    <t>"䎥"</t>
  </si>
  <si>
    <t>"䎦"</t>
  </si>
  <si>
    <t>"䎧"</t>
  </si>
  <si>
    <t>"䎨"</t>
  </si>
  <si>
    <t>"䎩"</t>
  </si>
  <si>
    <t>"䎪"</t>
  </si>
  <si>
    <t>"䎫"</t>
  </si>
  <si>
    <t>"䎬"</t>
  </si>
  <si>
    <t>"䎭"</t>
  </si>
  <si>
    <t>"䎮"</t>
  </si>
  <si>
    <t>"䎯"</t>
  </si>
  <si>
    <t>"䎰"</t>
  </si>
  <si>
    <t>"䎱"</t>
  </si>
  <si>
    <t>"䎲"</t>
  </si>
  <si>
    <t>"䎳"</t>
  </si>
  <si>
    <t>"䎴"</t>
  </si>
  <si>
    <t>"䎵"</t>
  </si>
  <si>
    <t>"䎶"</t>
  </si>
  <si>
    <t>"䎷"</t>
  </si>
  <si>
    <t>"䎸"</t>
  </si>
  <si>
    <t>"䎹"</t>
  </si>
  <si>
    <t>"䎺"</t>
  </si>
  <si>
    <t>"䎻"</t>
  </si>
  <si>
    <t>"䎼"</t>
  </si>
  <si>
    <t>"䎽"</t>
  </si>
  <si>
    <t>"䎾"</t>
  </si>
  <si>
    <t>"䎿"</t>
  </si>
  <si>
    <t>"䏀"</t>
  </si>
  <si>
    <t>"䏁"</t>
  </si>
  <si>
    <t>"䏂"</t>
  </si>
  <si>
    <t>"䏃"</t>
  </si>
  <si>
    <t>"䏄"</t>
  </si>
  <si>
    <t>"䏅"</t>
  </si>
  <si>
    <t>"䏆"</t>
  </si>
  <si>
    <t>"䏇"</t>
  </si>
  <si>
    <t>"䏈"</t>
  </si>
  <si>
    <t>"䏉"</t>
  </si>
  <si>
    <t>"䏊"</t>
  </si>
  <si>
    <t>"䏋"</t>
  </si>
  <si>
    <t>"䏌"</t>
  </si>
  <si>
    <t>"䏍"</t>
  </si>
  <si>
    <t>"䏎"</t>
  </si>
  <si>
    <t>"䏏"</t>
  </si>
  <si>
    <t>"䏐"</t>
  </si>
  <si>
    <t>"䏑"</t>
  </si>
  <si>
    <t>"䏒"</t>
  </si>
  <si>
    <t>"䏓"</t>
  </si>
  <si>
    <t>"䏔"</t>
  </si>
  <si>
    <t>"䏕"</t>
  </si>
  <si>
    <t>"䏖"</t>
  </si>
  <si>
    <t>"䏗"</t>
  </si>
  <si>
    <t>"䏘"</t>
  </si>
  <si>
    <t>"䏙"</t>
  </si>
  <si>
    <t>"䏚"</t>
  </si>
  <si>
    <t>"䏛"</t>
  </si>
  <si>
    <t>"䏜"</t>
  </si>
  <si>
    <t>"䏝"</t>
  </si>
  <si>
    <t>"䏞"</t>
  </si>
  <si>
    <t>"䏟"</t>
  </si>
  <si>
    <t>"䏠"</t>
  </si>
  <si>
    <t>"䏡"</t>
  </si>
  <si>
    <t>"䏢"</t>
  </si>
  <si>
    <t>"䏣"</t>
  </si>
  <si>
    <t>"䏤"</t>
  </si>
  <si>
    <t>"䏥"</t>
  </si>
  <si>
    <t>"䏦"</t>
  </si>
  <si>
    <t>"䏧"</t>
  </si>
  <si>
    <t>"䏨"</t>
  </si>
  <si>
    <t>"䏩"</t>
  </si>
  <si>
    <t>"䏪"</t>
  </si>
  <si>
    <t>"䏫"</t>
  </si>
  <si>
    <t>"䏬"</t>
  </si>
  <si>
    <t>"䏭"</t>
  </si>
  <si>
    <t>"䏮"</t>
  </si>
  <si>
    <t>"䏯"</t>
  </si>
  <si>
    <t>"䏰"</t>
  </si>
  <si>
    <t>"䏱"</t>
  </si>
  <si>
    <t>"䏲"</t>
  </si>
  <si>
    <t>"䏳"</t>
  </si>
  <si>
    <t>"䏴"</t>
  </si>
  <si>
    <t>"䏵"</t>
  </si>
  <si>
    <t>"䏶"</t>
  </si>
  <si>
    <t>"䏷"</t>
  </si>
  <si>
    <t>"䏸"</t>
  </si>
  <si>
    <t>"䏹"</t>
  </si>
  <si>
    <t>"䏺"</t>
  </si>
  <si>
    <t>"䏻"</t>
  </si>
  <si>
    <t>"䏼"</t>
  </si>
  <si>
    <t>"䏽"</t>
  </si>
  <si>
    <t>"䏾"</t>
  </si>
  <si>
    <t>"䏿"</t>
  </si>
  <si>
    <t>"䐀"</t>
  </si>
  <si>
    <t>"䐁"</t>
  </si>
  <si>
    <t>"䐂"</t>
  </si>
  <si>
    <t>"䐃"</t>
  </si>
  <si>
    <t>"䐄"</t>
  </si>
  <si>
    <t>"䐅"</t>
  </si>
  <si>
    <t>"䐆"</t>
  </si>
  <si>
    <t>"䐇"</t>
  </si>
  <si>
    <t>"䐈"</t>
  </si>
  <si>
    <t>"䐉"</t>
  </si>
  <si>
    <t>"䐊"</t>
  </si>
  <si>
    <t>"䐋"</t>
  </si>
  <si>
    <t>"䐌"</t>
  </si>
  <si>
    <t>"䐍"</t>
  </si>
  <si>
    <t>"䐎"</t>
  </si>
  <si>
    <t>"䐏"</t>
  </si>
  <si>
    <t>"䐐"</t>
  </si>
  <si>
    <t>"䐑"</t>
  </si>
  <si>
    <t>"䐒"</t>
  </si>
  <si>
    <t>"䐓"</t>
  </si>
  <si>
    <t>"䐔"</t>
  </si>
  <si>
    <t>"䐕"</t>
  </si>
  <si>
    <t>"䐖"</t>
  </si>
  <si>
    <t>"䐗"</t>
  </si>
  <si>
    <t>"䐘"</t>
  </si>
  <si>
    <t>"䐙"</t>
  </si>
  <si>
    <t>"䐚"</t>
  </si>
  <si>
    <t>"䐛"</t>
  </si>
  <si>
    <t>"䐜"</t>
  </si>
  <si>
    <t>"䐝"</t>
  </si>
  <si>
    <t>"䐞"</t>
  </si>
  <si>
    <t>"䐟"</t>
  </si>
  <si>
    <t>"䐠"</t>
  </si>
  <si>
    <t>"䐡"</t>
  </si>
  <si>
    <t>"䐢"</t>
  </si>
  <si>
    <t>"䐣"</t>
  </si>
  <si>
    <t>"䐤"</t>
  </si>
  <si>
    <t>"䐥"</t>
  </si>
  <si>
    <t>"䐦"</t>
  </si>
  <si>
    <t>"䐧"</t>
  </si>
  <si>
    <t>"䐨"</t>
  </si>
  <si>
    <t>"䐩"</t>
  </si>
  <si>
    <t>"䐪"</t>
  </si>
  <si>
    <t>"䐫"</t>
  </si>
  <si>
    <t>"䐬"</t>
  </si>
  <si>
    <t>"䐭"</t>
  </si>
  <si>
    <t>"䐮"</t>
  </si>
  <si>
    <t>"䐯"</t>
  </si>
  <si>
    <t>"䐰"</t>
  </si>
  <si>
    <t>"䐱"</t>
  </si>
  <si>
    <t>"䐲"</t>
  </si>
  <si>
    <t>"䐳"</t>
  </si>
  <si>
    <t>"䐴"</t>
  </si>
  <si>
    <t>"䐵"</t>
  </si>
  <si>
    <t>"䐶"</t>
  </si>
  <si>
    <t>"䐷"</t>
  </si>
  <si>
    <t>"䐸"</t>
  </si>
  <si>
    <t>"䐹"</t>
  </si>
  <si>
    <t>"䐺"</t>
  </si>
  <si>
    <t>"䐻"</t>
  </si>
  <si>
    <t>"䐼"</t>
  </si>
  <si>
    <t>"䐽"</t>
  </si>
  <si>
    <t>"䐾"</t>
  </si>
  <si>
    <t>"䐿"</t>
  </si>
  <si>
    <t>"䑀"</t>
  </si>
  <si>
    <t>"䑁"</t>
  </si>
  <si>
    <t>"䑂"</t>
  </si>
  <si>
    <t>"䑃"</t>
  </si>
  <si>
    <t>"䑄"</t>
  </si>
  <si>
    <t>"䑅"</t>
  </si>
  <si>
    <t>"䑆"</t>
  </si>
  <si>
    <t>"䑇"</t>
  </si>
  <si>
    <t>"䑈"</t>
  </si>
  <si>
    <t>"䑉"</t>
  </si>
  <si>
    <t>"䑊"</t>
  </si>
  <si>
    <t>"䑋"</t>
  </si>
  <si>
    <t>"䑌"</t>
  </si>
  <si>
    <t>"䑍"</t>
  </si>
  <si>
    <t>"䑎"</t>
  </si>
  <si>
    <t>"䑏"</t>
  </si>
  <si>
    <t>"䑐"</t>
  </si>
  <si>
    <t>"䑑"</t>
  </si>
  <si>
    <t>"䑒"</t>
  </si>
  <si>
    <t>"䑓"</t>
  </si>
  <si>
    <t>"䑔"</t>
  </si>
  <si>
    <t>"䑕"</t>
  </si>
  <si>
    <t>"䑖"</t>
  </si>
  <si>
    <t>"䑗"</t>
  </si>
  <si>
    <t>"䑘"</t>
  </si>
  <si>
    <t>"䑙"</t>
  </si>
  <si>
    <t>"䑚"</t>
  </si>
  <si>
    <t>"䑛"</t>
  </si>
  <si>
    <t>"䑜"</t>
  </si>
  <si>
    <t>"䑝"</t>
  </si>
  <si>
    <t>"䑞"</t>
  </si>
  <si>
    <t>"䑟"</t>
  </si>
  <si>
    <t>"䑠"</t>
  </si>
  <si>
    <t>"䑡"</t>
  </si>
  <si>
    <t>"䑢"</t>
  </si>
  <si>
    <t>"䑣"</t>
  </si>
  <si>
    <t>"䑤"</t>
  </si>
  <si>
    <t>"䑥"</t>
  </si>
  <si>
    <t>"䑦"</t>
  </si>
  <si>
    <t>"䑧"</t>
  </si>
  <si>
    <t>"䑨"</t>
  </si>
  <si>
    <t>"䑩"</t>
  </si>
  <si>
    <t>"䑪"</t>
  </si>
  <si>
    <t>"䑫"</t>
  </si>
  <si>
    <t>"䑬"</t>
  </si>
  <si>
    <t>"䑭"</t>
  </si>
  <si>
    <t>"䑮"</t>
  </si>
  <si>
    <t>"䑯"</t>
  </si>
  <si>
    <t>"䑰"</t>
  </si>
  <si>
    <t>"䑱"</t>
  </si>
  <si>
    <t>"䑲"</t>
  </si>
  <si>
    <t>"䑳"</t>
  </si>
  <si>
    <t>"䑴"</t>
  </si>
  <si>
    <t>"䑵"</t>
  </si>
  <si>
    <t>"䑶"</t>
  </si>
  <si>
    <t>"䑷"</t>
  </si>
  <si>
    <t>"䑸"</t>
  </si>
  <si>
    <t>"䑹"</t>
  </si>
  <si>
    <t>"䑺"</t>
  </si>
  <si>
    <t>"䑻"</t>
  </si>
  <si>
    <t>"䑼"</t>
  </si>
  <si>
    <t>"䑽"</t>
  </si>
  <si>
    <t>"䑾"</t>
  </si>
  <si>
    <t>"䑿"</t>
  </si>
  <si>
    <t>"䒀"</t>
  </si>
  <si>
    <t>"䒁"</t>
  </si>
  <si>
    <t>"䒂"</t>
  </si>
  <si>
    <t>"䒃"</t>
  </si>
  <si>
    <t>"䒄"</t>
  </si>
  <si>
    <t>"䒅"</t>
  </si>
  <si>
    <t>"䒆"</t>
  </si>
  <si>
    <t>"䒇"</t>
  </si>
  <si>
    <t>"䒈"</t>
  </si>
  <si>
    <t>"䒉"</t>
  </si>
  <si>
    <t>"䒊"</t>
  </si>
  <si>
    <t>"䒋"</t>
  </si>
  <si>
    <t>"䒌"</t>
  </si>
  <si>
    <t>"䒍"</t>
  </si>
  <si>
    <t>"䒎"</t>
  </si>
  <si>
    <t>"䒏"</t>
  </si>
  <si>
    <t>"䒐"</t>
  </si>
  <si>
    <t>"䒑"</t>
  </si>
  <si>
    <t>"䒒"</t>
  </si>
  <si>
    <t>"䒓"</t>
  </si>
  <si>
    <t>"䒔"</t>
  </si>
  <si>
    <t>"䒕"</t>
  </si>
  <si>
    <t>"䒖"</t>
  </si>
  <si>
    <t>"䒗"</t>
  </si>
  <si>
    <t>"䒘"</t>
  </si>
  <si>
    <t>"䒙"</t>
  </si>
  <si>
    <t>"䒚"</t>
  </si>
  <si>
    <t>"䒛"</t>
  </si>
  <si>
    <t>"䒜"</t>
  </si>
  <si>
    <t>"䒝"</t>
  </si>
  <si>
    <t>"䒞"</t>
  </si>
  <si>
    <t>"䒟"</t>
  </si>
  <si>
    <t>"䒠"</t>
  </si>
  <si>
    <t>"䒡"</t>
  </si>
  <si>
    <t>"䒢"</t>
  </si>
  <si>
    <t>"䒣"</t>
  </si>
  <si>
    <t>"䒤"</t>
  </si>
  <si>
    <t>"䒥"</t>
  </si>
  <si>
    <t>"䒦"</t>
  </si>
  <si>
    <t>"䒧"</t>
  </si>
  <si>
    <t>"䒨"</t>
  </si>
  <si>
    <t>"䒩"</t>
  </si>
  <si>
    <t>"䒪"</t>
  </si>
  <si>
    <t>"䒫"</t>
  </si>
  <si>
    <t>"䒬"</t>
  </si>
  <si>
    <t>"䒭"</t>
  </si>
  <si>
    <t>"䒮"</t>
  </si>
  <si>
    <t>"䒯"</t>
  </si>
  <si>
    <t>"䒰"</t>
  </si>
  <si>
    <t>"䒱"</t>
  </si>
  <si>
    <t>"䒲"</t>
  </si>
  <si>
    <t>"䒳"</t>
  </si>
  <si>
    <t>"䒴"</t>
  </si>
  <si>
    <t>"䒵"</t>
  </si>
  <si>
    <t>"䒶"</t>
  </si>
  <si>
    <t>"䒷"</t>
  </si>
  <si>
    <t>"䒸"</t>
  </si>
  <si>
    <t>"䒹"</t>
  </si>
  <si>
    <t>"䒺"</t>
  </si>
  <si>
    <t>"䒻"</t>
  </si>
  <si>
    <t>"䒼"</t>
  </si>
  <si>
    <t>"䒽"</t>
  </si>
  <si>
    <t>"䒾"</t>
  </si>
  <si>
    <t>"䒿"</t>
  </si>
  <si>
    <t>"䓀"</t>
  </si>
  <si>
    <t>"䓁"</t>
  </si>
  <si>
    <t>"䓂"</t>
  </si>
  <si>
    <t>"䓃"</t>
  </si>
  <si>
    <t>"䓄"</t>
  </si>
  <si>
    <t>"䓅"</t>
  </si>
  <si>
    <t>"䓆"</t>
  </si>
  <si>
    <t>"䓇"</t>
  </si>
  <si>
    <t>"䓈"</t>
  </si>
  <si>
    <t>"䓉"</t>
  </si>
  <si>
    <t>"䓊"</t>
  </si>
  <si>
    <t>"䓋"</t>
  </si>
  <si>
    <t>"䓌"</t>
  </si>
  <si>
    <t>"䓍"</t>
  </si>
  <si>
    <t>"䓎"</t>
  </si>
  <si>
    <t>"䓏"</t>
  </si>
  <si>
    <t>"䓐"</t>
  </si>
  <si>
    <t>"䓑"</t>
  </si>
  <si>
    <t>"䓒"</t>
  </si>
  <si>
    <t>"䓓"</t>
  </si>
  <si>
    <t>"䓔"</t>
  </si>
  <si>
    <t>"䓕"</t>
  </si>
  <si>
    <t>"䓖"</t>
  </si>
  <si>
    <t>"䓗"</t>
  </si>
  <si>
    <t>"䓘"</t>
  </si>
  <si>
    <t>"䓙"</t>
  </si>
  <si>
    <t>"䓚"</t>
  </si>
  <si>
    <t>"䓛"</t>
  </si>
  <si>
    <t>"䓜"</t>
  </si>
  <si>
    <t>"䓝"</t>
  </si>
  <si>
    <t>"䓞"</t>
  </si>
  <si>
    <t>"䓟"</t>
  </si>
  <si>
    <t>"䓠"</t>
  </si>
  <si>
    <t>"䓡"</t>
  </si>
  <si>
    <t>"䓢"</t>
  </si>
  <si>
    <t>"䓣"</t>
  </si>
  <si>
    <t>"䓤"</t>
  </si>
  <si>
    <t>"䓥"</t>
  </si>
  <si>
    <t>"䓦"</t>
  </si>
  <si>
    <t>"䓧"</t>
  </si>
  <si>
    <t>"䓨"</t>
  </si>
  <si>
    <t>"䓩"</t>
  </si>
  <si>
    <t>"䓪"</t>
  </si>
  <si>
    <t>"䓫"</t>
  </si>
  <si>
    <t>"䓬"</t>
  </si>
  <si>
    <t>"䓭"</t>
  </si>
  <si>
    <t>"䓮"</t>
  </si>
  <si>
    <t>"䓯"</t>
  </si>
  <si>
    <t>"䓰"</t>
  </si>
  <si>
    <t>"䓱"</t>
  </si>
  <si>
    <t>"䓲"</t>
  </si>
  <si>
    <t>"䓳"</t>
  </si>
  <si>
    <t>"䓴"</t>
  </si>
  <si>
    <t>"䓵"</t>
  </si>
  <si>
    <t>"䓶"</t>
  </si>
  <si>
    <t>"䓷"</t>
  </si>
  <si>
    <t>"䓸"</t>
  </si>
  <si>
    <t>"䓹"</t>
  </si>
  <si>
    <t>"䓺"</t>
  </si>
  <si>
    <t>"䓻"</t>
  </si>
  <si>
    <t>"䓼"</t>
  </si>
  <si>
    <t>"䓽"</t>
  </si>
  <si>
    <t>"䓾"</t>
  </si>
  <si>
    <t>"䓿"</t>
  </si>
  <si>
    <t>"䔀"</t>
  </si>
  <si>
    <t>"䔁"</t>
  </si>
  <si>
    <t>"䔂"</t>
  </si>
  <si>
    <t>"䔃"</t>
  </si>
  <si>
    <t>"䔄"</t>
  </si>
  <si>
    <t>"䔅"</t>
  </si>
  <si>
    <t>"䔆"</t>
  </si>
  <si>
    <t>"䔇"</t>
  </si>
  <si>
    <t>"䔈"</t>
  </si>
  <si>
    <t>"䔉"</t>
  </si>
  <si>
    <t>"䔊"</t>
  </si>
  <si>
    <t>"䔋"</t>
  </si>
  <si>
    <t>"䔌"</t>
  </si>
  <si>
    <t>"䔍"</t>
  </si>
  <si>
    <t>"䔎"</t>
  </si>
  <si>
    <t>"䔏"</t>
  </si>
  <si>
    <t>"䔐"</t>
  </si>
  <si>
    <t>"䔑"</t>
  </si>
  <si>
    <t>"䔒"</t>
  </si>
  <si>
    <t>"䔓"</t>
  </si>
  <si>
    <t>"䔔"</t>
  </si>
  <si>
    <t>"䔕"</t>
  </si>
  <si>
    <t>"䔖"</t>
  </si>
  <si>
    <t>"䔗"</t>
  </si>
  <si>
    <t>"䔘"</t>
  </si>
  <si>
    <t>"䔙"</t>
  </si>
  <si>
    <t>"䔚"</t>
  </si>
  <si>
    <t>"䔛"</t>
  </si>
  <si>
    <t>"䔜"</t>
  </si>
  <si>
    <t>"䔝"</t>
  </si>
  <si>
    <t>"䔞"</t>
  </si>
  <si>
    <t>"䔟"</t>
  </si>
  <si>
    <t>"䔠"</t>
  </si>
  <si>
    <t>"䔡"</t>
  </si>
  <si>
    <t>"䔢"</t>
  </si>
  <si>
    <t>"䔣"</t>
  </si>
  <si>
    <t>"䔤"</t>
  </si>
  <si>
    <t>"䔥"</t>
  </si>
  <si>
    <t>"䔦"</t>
  </si>
  <si>
    <t>"䔧"</t>
  </si>
  <si>
    <t>"䔨"</t>
  </si>
  <si>
    <t>"䔩"</t>
  </si>
  <si>
    <t>"䔪"</t>
  </si>
  <si>
    <t>"䔫"</t>
  </si>
  <si>
    <t>"䔬"</t>
  </si>
  <si>
    <t>"䔭"</t>
  </si>
  <si>
    <t>"䔮"</t>
  </si>
  <si>
    <t>"䔯"</t>
  </si>
  <si>
    <t>"䔰"</t>
  </si>
  <si>
    <t>"䔱"</t>
  </si>
  <si>
    <t>"䔲"</t>
  </si>
  <si>
    <t>"䔳"</t>
  </si>
  <si>
    <t>"䔴"</t>
  </si>
  <si>
    <t>"䔵"</t>
  </si>
  <si>
    <t>"䔶"</t>
  </si>
  <si>
    <t>"䔷"</t>
  </si>
  <si>
    <t>"䔸"</t>
  </si>
  <si>
    <t>"䔹"</t>
  </si>
  <si>
    <t>"䔺"</t>
  </si>
  <si>
    <t>"䔻"</t>
  </si>
  <si>
    <t>"䔼"</t>
  </si>
  <si>
    <t>"䔽"</t>
  </si>
  <si>
    <t>"䔾"</t>
  </si>
  <si>
    <t>"䔿"</t>
  </si>
  <si>
    <t>"䕀"</t>
  </si>
  <si>
    <t>"䕁"</t>
  </si>
  <si>
    <t>"䕂"</t>
  </si>
  <si>
    <t>"䕃"</t>
  </si>
  <si>
    <t>"䕄"</t>
  </si>
  <si>
    <t>"䕅"</t>
  </si>
  <si>
    <t>"䕆"</t>
  </si>
  <si>
    <t>"䕇"</t>
  </si>
  <si>
    <t>"䕈"</t>
  </si>
  <si>
    <t>"䕉"</t>
  </si>
  <si>
    <t>"䕊"</t>
  </si>
  <si>
    <t>"䕋"</t>
  </si>
  <si>
    <t>"䕌"</t>
  </si>
  <si>
    <t>"䕍"</t>
  </si>
  <si>
    <t>"䕎"</t>
  </si>
  <si>
    <t>"䕏"</t>
  </si>
  <si>
    <t>"䕐"</t>
  </si>
  <si>
    <t>"䕑"</t>
  </si>
  <si>
    <t>"䕒"</t>
  </si>
  <si>
    <t>"䕓"</t>
  </si>
  <si>
    <t>"䕔"</t>
  </si>
  <si>
    <t>"䕕"</t>
  </si>
  <si>
    <t>"䕖"</t>
  </si>
  <si>
    <t>"䕗"</t>
  </si>
  <si>
    <t>"䕘"</t>
  </si>
  <si>
    <t>"䕙"</t>
  </si>
  <si>
    <t>"䕚"</t>
  </si>
  <si>
    <t>"䕛"</t>
  </si>
  <si>
    <t>"䕜"</t>
  </si>
  <si>
    <t>"䕝"</t>
  </si>
  <si>
    <t>"䕞"</t>
  </si>
  <si>
    <t>"䕟"</t>
  </si>
  <si>
    <t>"䕠"</t>
  </si>
  <si>
    <t>"䕡"</t>
  </si>
  <si>
    <t>"䕢"</t>
  </si>
  <si>
    <t>"䕣"</t>
  </si>
  <si>
    <t>"䕤"</t>
  </si>
  <si>
    <t>"䕥"</t>
  </si>
  <si>
    <t>"䕦"</t>
  </si>
  <si>
    <t>"䕧"</t>
  </si>
  <si>
    <t>"䕨"</t>
  </si>
  <si>
    <t>"䕩"</t>
  </si>
  <si>
    <t>"䕪"</t>
  </si>
  <si>
    <t>"䕫"</t>
  </si>
  <si>
    <t>"䕬"</t>
  </si>
  <si>
    <t>"䕭"</t>
  </si>
  <si>
    <t>"䕮"</t>
  </si>
  <si>
    <t>"䕯"</t>
  </si>
  <si>
    <t>"䕰"</t>
  </si>
  <si>
    <t>"䕱"</t>
  </si>
  <si>
    <t>"䕲"</t>
  </si>
  <si>
    <t>"䕳"</t>
  </si>
  <si>
    <t>"䕴"</t>
  </si>
  <si>
    <t>"䕵"</t>
  </si>
  <si>
    <t>"䕶"</t>
  </si>
  <si>
    <t>"䕷"</t>
  </si>
  <si>
    <t>"䕸"</t>
  </si>
  <si>
    <t>"䕹"</t>
  </si>
  <si>
    <t>"䕺"</t>
  </si>
  <si>
    <t>"䕻"</t>
  </si>
  <si>
    <t>"䕼"</t>
  </si>
  <si>
    <t>"䕽"</t>
  </si>
  <si>
    <t>"䕾"</t>
  </si>
  <si>
    <t>"䕿"</t>
  </si>
  <si>
    <t>"䖀"</t>
  </si>
  <si>
    <t>"䖁"</t>
  </si>
  <si>
    <t>"䖂"</t>
  </si>
  <si>
    <t>"䖃"</t>
  </si>
  <si>
    <t>"䖄"</t>
  </si>
  <si>
    <t>"䖅"</t>
  </si>
  <si>
    <t>"䖆"</t>
  </si>
  <si>
    <t>"䖇"</t>
  </si>
  <si>
    <t>"䖈"</t>
  </si>
  <si>
    <t>"䖉"</t>
  </si>
  <si>
    <t>"䖊"</t>
  </si>
  <si>
    <t>"䖋"</t>
  </si>
  <si>
    <t>"䖌"</t>
  </si>
  <si>
    <t>"䖍"</t>
  </si>
  <si>
    <t>"䖎"</t>
  </si>
  <si>
    <t>"䖏"</t>
  </si>
  <si>
    <t>"䖐"</t>
  </si>
  <si>
    <t>"䖑"</t>
  </si>
  <si>
    <t>"䖒"</t>
  </si>
  <si>
    <t>"䖓"</t>
  </si>
  <si>
    <t>"䖔"</t>
  </si>
  <si>
    <t>"䖕"</t>
  </si>
  <si>
    <t>"䖖"</t>
  </si>
  <si>
    <t>"䖗"</t>
  </si>
  <si>
    <t>"䖘"</t>
  </si>
  <si>
    <t>"䖙"</t>
  </si>
  <si>
    <t>"䖚"</t>
  </si>
  <si>
    <t>"䖛"</t>
  </si>
  <si>
    <t>"䖜"</t>
  </si>
  <si>
    <t>"䖝"</t>
  </si>
  <si>
    <t>"䖞"</t>
  </si>
  <si>
    <t>"䖟"</t>
  </si>
  <si>
    <t>"䖠"</t>
  </si>
  <si>
    <t>"䖡"</t>
  </si>
  <si>
    <t>"䖢"</t>
  </si>
  <si>
    <t>"䖣"</t>
  </si>
  <si>
    <t>"䖤"</t>
  </si>
  <si>
    <t>"䖥"</t>
  </si>
  <si>
    <t>"䖦"</t>
  </si>
  <si>
    <t>"䖧"</t>
  </si>
  <si>
    <t>"䖨"</t>
  </si>
  <si>
    <t>"䖩"</t>
  </si>
  <si>
    <t>"䖪"</t>
  </si>
  <si>
    <t>"䖫"</t>
  </si>
  <si>
    <t>"䖬"</t>
  </si>
  <si>
    <t>"䖭"</t>
  </si>
  <si>
    <t>"䖮"</t>
  </si>
  <si>
    <t>"䖯"</t>
  </si>
  <si>
    <t>"䖰"</t>
  </si>
  <si>
    <t>"䖱"</t>
  </si>
  <si>
    <t>"䖲"</t>
  </si>
  <si>
    <t>"䖳"</t>
  </si>
  <si>
    <t>"䖴"</t>
  </si>
  <si>
    <t>"䖵"</t>
  </si>
  <si>
    <t>"䖶"</t>
  </si>
  <si>
    <t>"䖷"</t>
  </si>
  <si>
    <t>"䖸"</t>
  </si>
  <si>
    <t>"䖹"</t>
  </si>
  <si>
    <t>"䖺"</t>
  </si>
  <si>
    <t>"䖻"</t>
  </si>
  <si>
    <t>"䖼"</t>
  </si>
  <si>
    <t>"䖽"</t>
  </si>
  <si>
    <t>"䖾"</t>
  </si>
  <si>
    <t>"䖿"</t>
  </si>
  <si>
    <t>"䗀"</t>
  </si>
  <si>
    <t>"䗁"</t>
  </si>
  <si>
    <t>"䗂"</t>
  </si>
  <si>
    <t>"䗃"</t>
  </si>
  <si>
    <t>"䗄"</t>
  </si>
  <si>
    <t>"䗅"</t>
  </si>
  <si>
    <t>"䗆"</t>
  </si>
  <si>
    <t>"䗇"</t>
  </si>
  <si>
    <t>"䗈"</t>
  </si>
  <si>
    <t>"䗉"</t>
  </si>
  <si>
    <t>"䗊"</t>
  </si>
  <si>
    <t>"䗋"</t>
  </si>
  <si>
    <t>"䗌"</t>
  </si>
  <si>
    <t>"䗍"</t>
  </si>
  <si>
    <t>"䗎"</t>
  </si>
  <si>
    <t>"䗏"</t>
  </si>
  <si>
    <t>"䗐"</t>
  </si>
  <si>
    <t>"䗑"</t>
  </si>
  <si>
    <t>"䗒"</t>
  </si>
  <si>
    <t>"䗓"</t>
  </si>
  <si>
    <t>"䗔"</t>
  </si>
  <si>
    <t>"䗕"</t>
  </si>
  <si>
    <t>"䗖"</t>
  </si>
  <si>
    <t>"䗗"</t>
  </si>
  <si>
    <t>"䗘"</t>
  </si>
  <si>
    <t>"䗙"</t>
  </si>
  <si>
    <t>"䗚"</t>
  </si>
  <si>
    <t>"䗛"</t>
  </si>
  <si>
    <t>"䗜"</t>
  </si>
  <si>
    <t>"䗝"</t>
  </si>
  <si>
    <t>"䗞"</t>
  </si>
  <si>
    <t>"䗟"</t>
  </si>
  <si>
    <t>"䗠"</t>
  </si>
  <si>
    <t>"䗡"</t>
  </si>
  <si>
    <t>"䗢"</t>
  </si>
  <si>
    <t>"䗣"</t>
  </si>
  <si>
    <t>"䗤"</t>
  </si>
  <si>
    <t>"䗥"</t>
  </si>
  <si>
    <t>"䗦"</t>
  </si>
  <si>
    <t>"䗧"</t>
  </si>
  <si>
    <t>"䗨"</t>
  </si>
  <si>
    <t>"䗩"</t>
  </si>
  <si>
    <t>"䗪"</t>
  </si>
  <si>
    <t>"䗫"</t>
  </si>
  <si>
    <t>"䗬"</t>
  </si>
  <si>
    <t>"䗭"</t>
  </si>
  <si>
    <t>"䗮"</t>
  </si>
  <si>
    <t>"䗯"</t>
  </si>
  <si>
    <t>"䗰"</t>
  </si>
  <si>
    <t>"䗱"</t>
  </si>
  <si>
    <t>"䗲"</t>
  </si>
  <si>
    <t>"䗳"</t>
  </si>
  <si>
    <t>"䗴"</t>
  </si>
  <si>
    <t>"䗵"</t>
  </si>
  <si>
    <t>"䗶"</t>
  </si>
  <si>
    <t>"䗷"</t>
  </si>
  <si>
    <t>"䗸"</t>
  </si>
  <si>
    <t>"䗹"</t>
  </si>
  <si>
    <t>"䗺"</t>
  </si>
  <si>
    <t>"䗻"</t>
  </si>
  <si>
    <t>"䗼"</t>
  </si>
  <si>
    <t>"䗽"</t>
  </si>
  <si>
    <t>"䗾"</t>
  </si>
  <si>
    <t>"䗿"</t>
  </si>
  <si>
    <t>"䘀"</t>
  </si>
  <si>
    <t>"䘁"</t>
  </si>
  <si>
    <t>"䘂"</t>
  </si>
  <si>
    <t>"䘃"</t>
  </si>
  <si>
    <t>"䘄"</t>
  </si>
  <si>
    <t>"䘅"</t>
  </si>
  <si>
    <t>"䘆"</t>
  </si>
  <si>
    <t>"䘇"</t>
  </si>
  <si>
    <t>"䘈"</t>
  </si>
  <si>
    <t>"䘉"</t>
  </si>
  <si>
    <t>"䘊"</t>
  </si>
  <si>
    <t>"䘋"</t>
  </si>
  <si>
    <t>"䘌"</t>
  </si>
  <si>
    <t>"䘍"</t>
  </si>
  <si>
    <t>"䘎"</t>
  </si>
  <si>
    <t>"䘏"</t>
  </si>
  <si>
    <t>"䘐"</t>
  </si>
  <si>
    <t>"䘑"</t>
  </si>
  <si>
    <t>"䘒"</t>
  </si>
  <si>
    <t>"䘓"</t>
  </si>
  <si>
    <t>"䘔"</t>
  </si>
  <si>
    <t>"䘕"</t>
  </si>
  <si>
    <t>"䘖"</t>
  </si>
  <si>
    <t>"䘗"</t>
  </si>
  <si>
    <t>"䘘"</t>
  </si>
  <si>
    <t>"䘙"</t>
  </si>
  <si>
    <t>"䘚"</t>
  </si>
  <si>
    <t>"䘛"</t>
  </si>
  <si>
    <t>"䘜"</t>
  </si>
  <si>
    <t>"䘝"</t>
  </si>
  <si>
    <t>"䘞"</t>
  </si>
  <si>
    <t>"䘟"</t>
  </si>
  <si>
    <t>"䘠"</t>
  </si>
  <si>
    <t>"䘡"</t>
  </si>
  <si>
    <t>"䘢"</t>
  </si>
  <si>
    <t>"䘣"</t>
  </si>
  <si>
    <t>"䘤"</t>
  </si>
  <si>
    <t>"䘥"</t>
  </si>
  <si>
    <t>"䘦"</t>
  </si>
  <si>
    <t>"䘧"</t>
  </si>
  <si>
    <t>"䘨"</t>
  </si>
  <si>
    <t>"䘩"</t>
  </si>
  <si>
    <t>"䘪"</t>
  </si>
  <si>
    <t>"䘫"</t>
  </si>
  <si>
    <t>"䘬"</t>
  </si>
  <si>
    <t>"䘭"</t>
  </si>
  <si>
    <t>"䘮"</t>
  </si>
  <si>
    <t>"䘯"</t>
  </si>
  <si>
    <t>"䘰"</t>
  </si>
  <si>
    <t>"䘱"</t>
  </si>
  <si>
    <t>"䘲"</t>
  </si>
  <si>
    <t>"䘳"</t>
  </si>
  <si>
    <t>"䘴"</t>
  </si>
  <si>
    <t>"䘵"</t>
  </si>
  <si>
    <t>"䘶"</t>
  </si>
  <si>
    <t>"䘷"</t>
  </si>
  <si>
    <t>"䘸"</t>
  </si>
  <si>
    <t>"䘹"</t>
  </si>
  <si>
    <t>"䘺"</t>
  </si>
  <si>
    <t>"䘻"</t>
  </si>
  <si>
    <t>"䘼"</t>
  </si>
  <si>
    <t>"䘽"</t>
  </si>
  <si>
    <t>"䘾"</t>
  </si>
  <si>
    <t>"䘿"</t>
  </si>
  <si>
    <t>"䙀"</t>
  </si>
  <si>
    <t>"䙁"</t>
  </si>
  <si>
    <t>"䙂"</t>
  </si>
  <si>
    <t>"䙃"</t>
  </si>
  <si>
    <t>"䙄"</t>
  </si>
  <si>
    <t>"䙅"</t>
  </si>
  <si>
    <t>"䙆"</t>
  </si>
  <si>
    <t>"䙇"</t>
  </si>
  <si>
    <t>"䙈"</t>
  </si>
  <si>
    <t>"䙉"</t>
  </si>
  <si>
    <t>"䙊"</t>
  </si>
  <si>
    <t>"䙋"</t>
  </si>
  <si>
    <t>"䙌"</t>
  </si>
  <si>
    <t>"䙍"</t>
  </si>
  <si>
    <t>"䙎"</t>
  </si>
  <si>
    <t>"䙏"</t>
  </si>
  <si>
    <t>"䙐"</t>
  </si>
  <si>
    <t>"䙑"</t>
  </si>
  <si>
    <t>"䙒"</t>
  </si>
  <si>
    <t>"䙓"</t>
  </si>
  <si>
    <t>"䙔"</t>
  </si>
  <si>
    <t>"䙕"</t>
  </si>
  <si>
    <t>"䙖"</t>
  </si>
  <si>
    <t>"䙗"</t>
  </si>
  <si>
    <t>"䙘"</t>
  </si>
  <si>
    <t>"䙙"</t>
  </si>
  <si>
    <t>"䙚"</t>
  </si>
  <si>
    <t>"䙛"</t>
  </si>
  <si>
    <t>"䙜"</t>
  </si>
  <si>
    <t>"䙝"</t>
  </si>
  <si>
    <t>"䙞"</t>
  </si>
  <si>
    <t>"䙟"</t>
  </si>
  <si>
    <t>"䙠"</t>
  </si>
  <si>
    <t>"䙡"</t>
  </si>
  <si>
    <t>"䙢"</t>
  </si>
  <si>
    <t>"䙣"</t>
  </si>
  <si>
    <t>"䙤"</t>
  </si>
  <si>
    <t>"䙥"</t>
  </si>
  <si>
    <t>"䙦"</t>
  </si>
  <si>
    <t>"䙧"</t>
  </si>
  <si>
    <t>"䙨"</t>
  </si>
  <si>
    <t>"䙩"</t>
  </si>
  <si>
    <t>"䙪"</t>
  </si>
  <si>
    <t>"䙫"</t>
  </si>
  <si>
    <t>"䙬"</t>
  </si>
  <si>
    <t>"䙭"</t>
  </si>
  <si>
    <t>"䙮"</t>
  </si>
  <si>
    <t>"䙯"</t>
  </si>
  <si>
    <t>"䙰"</t>
  </si>
  <si>
    <t>"䙱"</t>
  </si>
  <si>
    <t>"䙲"</t>
  </si>
  <si>
    <t>"䙳"</t>
  </si>
  <si>
    <t>"䙴"</t>
  </si>
  <si>
    <t>"䙵"</t>
  </si>
  <si>
    <t>"䙶"</t>
  </si>
  <si>
    <t>"䙷"</t>
  </si>
  <si>
    <t>"䙸"</t>
  </si>
  <si>
    <t>"䙹"</t>
  </si>
  <si>
    <t>"䙺"</t>
  </si>
  <si>
    <t>"䙻"</t>
  </si>
  <si>
    <t>"䙼"</t>
  </si>
  <si>
    <t>"䙽"</t>
  </si>
  <si>
    <t>"䙾"</t>
  </si>
  <si>
    <t>"䙿"</t>
  </si>
  <si>
    <t>"䚀"</t>
  </si>
  <si>
    <t>"䚁"</t>
  </si>
  <si>
    <t>"䚂"</t>
  </si>
  <si>
    <t>"䚃"</t>
  </si>
  <si>
    <t>"䚄"</t>
  </si>
  <si>
    <t>"䚅"</t>
  </si>
  <si>
    <t>"䚆"</t>
  </si>
  <si>
    <t>"䚇"</t>
  </si>
  <si>
    <t>"䚈"</t>
  </si>
  <si>
    <t>"䚉"</t>
  </si>
  <si>
    <t>"䚊"</t>
  </si>
  <si>
    <t>"䚋"</t>
  </si>
  <si>
    <t>"䚌"</t>
  </si>
  <si>
    <t>"䚍"</t>
  </si>
  <si>
    <t>"䚎"</t>
  </si>
  <si>
    <t>"䚏"</t>
  </si>
  <si>
    <t>"䚐"</t>
  </si>
  <si>
    <t>"䚑"</t>
  </si>
  <si>
    <t>"䚒"</t>
  </si>
  <si>
    <t>"䚓"</t>
  </si>
  <si>
    <t>"䚔"</t>
  </si>
  <si>
    <t>"䚕"</t>
  </si>
  <si>
    <t>"䚖"</t>
  </si>
  <si>
    <t>"䚗"</t>
  </si>
  <si>
    <t>"䚘"</t>
  </si>
  <si>
    <t>"䚙"</t>
  </si>
  <si>
    <t>"䚚"</t>
  </si>
  <si>
    <t>"䚛"</t>
  </si>
  <si>
    <t>"䚜"</t>
  </si>
  <si>
    <t>"䚝"</t>
  </si>
  <si>
    <t>"䚞"</t>
  </si>
  <si>
    <t>"䚟"</t>
  </si>
  <si>
    <t>"䚠"</t>
  </si>
  <si>
    <t>"䚡"</t>
  </si>
  <si>
    <t>"䚢"</t>
  </si>
  <si>
    <t>"䚣"</t>
  </si>
  <si>
    <t>"䚤"</t>
  </si>
  <si>
    <t>"䚥"</t>
  </si>
  <si>
    <t>"䚦"</t>
  </si>
  <si>
    <t>"䚧"</t>
  </si>
  <si>
    <t>"䚨"</t>
  </si>
  <si>
    <t>"䚩"</t>
  </si>
  <si>
    <t>"䚪"</t>
  </si>
  <si>
    <t>"䚫"</t>
  </si>
  <si>
    <t>"䚬"</t>
  </si>
  <si>
    <t>"䚭"</t>
  </si>
  <si>
    <t>"䚮"</t>
  </si>
  <si>
    <t>"䚯"</t>
  </si>
  <si>
    <t>"䚰"</t>
  </si>
  <si>
    <t>"䚱"</t>
  </si>
  <si>
    <t>"䚲"</t>
  </si>
  <si>
    <t>"䚳"</t>
  </si>
  <si>
    <t>"䚴"</t>
  </si>
  <si>
    <t>"䚵"</t>
  </si>
  <si>
    <t>"䚶"</t>
  </si>
  <si>
    <t>"䚷"</t>
  </si>
  <si>
    <t>"䚸"</t>
  </si>
  <si>
    <t>"䚹"</t>
  </si>
  <si>
    <t>"䚺"</t>
  </si>
  <si>
    <t>"䚻"</t>
  </si>
  <si>
    <t>"䚼"</t>
  </si>
  <si>
    <t>"䚽"</t>
  </si>
  <si>
    <t>"䚾"</t>
  </si>
  <si>
    <t>"䚿"</t>
  </si>
  <si>
    <t>"䛀"</t>
  </si>
  <si>
    <t>"䛁"</t>
  </si>
  <si>
    <t>"䛂"</t>
  </si>
  <si>
    <t>"䛃"</t>
  </si>
  <si>
    <t>"䛄"</t>
  </si>
  <si>
    <t>"䛅"</t>
  </si>
  <si>
    <t>"䛆"</t>
  </si>
  <si>
    <t>"䛇"</t>
  </si>
  <si>
    <t>"䛈"</t>
  </si>
  <si>
    <t>"䛉"</t>
  </si>
  <si>
    <t>"䛊"</t>
  </si>
  <si>
    <t>"䛋"</t>
  </si>
  <si>
    <t>"䛌"</t>
  </si>
  <si>
    <t>"䛍"</t>
  </si>
  <si>
    <t>"䛎"</t>
  </si>
  <si>
    <t>"䛏"</t>
  </si>
  <si>
    <t>"䛐"</t>
  </si>
  <si>
    <t>"䛑"</t>
  </si>
  <si>
    <t>"䛒"</t>
  </si>
  <si>
    <t>"䛓"</t>
  </si>
  <si>
    <t>"䛔"</t>
  </si>
  <si>
    <t>"䛕"</t>
  </si>
  <si>
    <t>"䛖"</t>
  </si>
  <si>
    <t>"䛗"</t>
  </si>
  <si>
    <t>"䛘"</t>
  </si>
  <si>
    <t>"䛙"</t>
  </si>
  <si>
    <t>"䛚"</t>
  </si>
  <si>
    <t>"䛛"</t>
  </si>
  <si>
    <t>"䛜"</t>
  </si>
  <si>
    <t>"䛝"</t>
  </si>
  <si>
    <t>"䛞"</t>
  </si>
  <si>
    <t>"䛟"</t>
  </si>
  <si>
    <t>"䛠"</t>
  </si>
  <si>
    <t>"䛡"</t>
  </si>
  <si>
    <t>"䛢"</t>
  </si>
  <si>
    <t>"䛣"</t>
  </si>
  <si>
    <t>"䛤"</t>
  </si>
  <si>
    <t>"䛥"</t>
  </si>
  <si>
    <t>"䛦"</t>
  </si>
  <si>
    <t>"䛧"</t>
  </si>
  <si>
    <t>"䛨"</t>
  </si>
  <si>
    <t>"䛩"</t>
  </si>
  <si>
    <t>"䛪"</t>
  </si>
  <si>
    <t>"䛫"</t>
  </si>
  <si>
    <t>"䛬"</t>
  </si>
  <si>
    <t>"䛭"</t>
  </si>
  <si>
    <t>"䛮"</t>
  </si>
  <si>
    <t>"䛯"</t>
  </si>
  <si>
    <t>"䛰"</t>
  </si>
  <si>
    <t>"䛱"</t>
  </si>
  <si>
    <t>"䛲"</t>
  </si>
  <si>
    <t>"䛳"</t>
  </si>
  <si>
    <t>"䛴"</t>
  </si>
  <si>
    <t>"䛵"</t>
  </si>
  <si>
    <t>"䛶"</t>
  </si>
  <si>
    <t>"䛷"</t>
  </si>
  <si>
    <t>"䛸"</t>
  </si>
  <si>
    <t>"䛹"</t>
  </si>
  <si>
    <t>"䛺"</t>
  </si>
  <si>
    <t>"䛻"</t>
  </si>
  <si>
    <t>"䛼"</t>
  </si>
  <si>
    <t>"䛽"</t>
  </si>
  <si>
    <t>"䛾"</t>
  </si>
  <si>
    <t>"䛿"</t>
  </si>
  <si>
    <t>"䜀"</t>
  </si>
  <si>
    <t>"䜁"</t>
  </si>
  <si>
    <t>"䜂"</t>
  </si>
  <si>
    <t>"䜃"</t>
  </si>
  <si>
    <t>"䜄"</t>
  </si>
  <si>
    <t>"䜅"</t>
  </si>
  <si>
    <t>"䜆"</t>
  </si>
  <si>
    <t>"䜇"</t>
  </si>
  <si>
    <t>"䜈"</t>
  </si>
  <si>
    <t>"䜉"</t>
  </si>
  <si>
    <t>"䜊"</t>
  </si>
  <si>
    <t>"䜋"</t>
  </si>
  <si>
    <t>"䜌"</t>
  </si>
  <si>
    <t>"䜍"</t>
  </si>
  <si>
    <t>"䜎"</t>
  </si>
  <si>
    <t>"䜏"</t>
  </si>
  <si>
    <t>"䜐"</t>
  </si>
  <si>
    <t>"䜑"</t>
  </si>
  <si>
    <t>"䜒"</t>
  </si>
  <si>
    <t>"䜓"</t>
  </si>
  <si>
    <t>"䜔"</t>
  </si>
  <si>
    <t>"䜕"</t>
  </si>
  <si>
    <t>"䜖"</t>
  </si>
  <si>
    <t>"䜗"</t>
  </si>
  <si>
    <t>"䜘"</t>
  </si>
  <si>
    <t>"䜙"</t>
  </si>
  <si>
    <t>"䜚"</t>
  </si>
  <si>
    <t>"䜛"</t>
  </si>
  <si>
    <t>"䜜"</t>
  </si>
  <si>
    <t>"䜝"</t>
  </si>
  <si>
    <t>"䜞"</t>
  </si>
  <si>
    <t>"䜟"</t>
  </si>
  <si>
    <t>"䜠"</t>
  </si>
  <si>
    <t>"䜡"</t>
  </si>
  <si>
    <t>"䜢"</t>
  </si>
  <si>
    <t>"䜣"</t>
  </si>
  <si>
    <t>"䜤"</t>
  </si>
  <si>
    <t>"䜥"</t>
  </si>
  <si>
    <t>"䜦"</t>
  </si>
  <si>
    <t>"䜧"</t>
  </si>
  <si>
    <t>"䜨"</t>
  </si>
  <si>
    <t>"䜩"</t>
  </si>
  <si>
    <t>"䜪"</t>
  </si>
  <si>
    <t>"䜫"</t>
  </si>
  <si>
    <t>"䜬"</t>
  </si>
  <si>
    <t>"䜭"</t>
  </si>
  <si>
    <t>"䜮"</t>
  </si>
  <si>
    <t>"䜯"</t>
  </si>
  <si>
    <t>"䜰"</t>
  </si>
  <si>
    <t>"䜱"</t>
  </si>
  <si>
    <t>"䜲"</t>
  </si>
  <si>
    <t>"䜳"</t>
  </si>
  <si>
    <t>"䜴"</t>
  </si>
  <si>
    <t>"䜵"</t>
  </si>
  <si>
    <t>"䜶"</t>
  </si>
  <si>
    <t>"䜷"</t>
  </si>
  <si>
    <t>"䜸"</t>
  </si>
  <si>
    <t>"䜹"</t>
  </si>
  <si>
    <t>"䜺"</t>
  </si>
  <si>
    <t>"䜻"</t>
  </si>
  <si>
    <t>"䜼"</t>
  </si>
  <si>
    <t>"䜽"</t>
  </si>
  <si>
    <t>"䜾"</t>
  </si>
  <si>
    <t>"䜿"</t>
  </si>
  <si>
    <t>"䝀"</t>
  </si>
  <si>
    <t>"䝁"</t>
  </si>
  <si>
    <t>"䝂"</t>
  </si>
  <si>
    <t>"䝃"</t>
  </si>
  <si>
    <t>"䝄"</t>
  </si>
  <si>
    <t>"䝅"</t>
  </si>
  <si>
    <t>"䝆"</t>
  </si>
  <si>
    <t>"䝇"</t>
  </si>
  <si>
    <t>"䝈"</t>
  </si>
  <si>
    <t>"䝉"</t>
  </si>
  <si>
    <t>"䝊"</t>
  </si>
  <si>
    <t>"䝋"</t>
  </si>
  <si>
    <t>"䝌"</t>
  </si>
  <si>
    <t>"䝍"</t>
  </si>
  <si>
    <t>"䝎"</t>
  </si>
  <si>
    <t>"䝏"</t>
  </si>
  <si>
    <t>"䝐"</t>
  </si>
  <si>
    <t>"䝑"</t>
  </si>
  <si>
    <t>"䝒"</t>
  </si>
  <si>
    <t>"䝓"</t>
  </si>
  <si>
    <t>"䝔"</t>
  </si>
  <si>
    <t>"䝕"</t>
  </si>
  <si>
    <t>"䝖"</t>
  </si>
  <si>
    <t>"䝗"</t>
  </si>
  <si>
    <t>"䝘"</t>
  </si>
  <si>
    <t>"䝙"</t>
  </si>
  <si>
    <t>"䝚"</t>
  </si>
  <si>
    <t>"䝛"</t>
  </si>
  <si>
    <t>"䝜"</t>
  </si>
  <si>
    <t>"䝝"</t>
  </si>
  <si>
    <t>"䝞"</t>
  </si>
  <si>
    <t>"䝟"</t>
  </si>
  <si>
    <t>"䝠"</t>
  </si>
  <si>
    <t>"䝡"</t>
  </si>
  <si>
    <t>"䝢"</t>
  </si>
  <si>
    <t>"䝣"</t>
  </si>
  <si>
    <t>"䝤"</t>
  </si>
  <si>
    <t>"䝥"</t>
  </si>
  <si>
    <t>"䝦"</t>
  </si>
  <si>
    <t>"䝧"</t>
  </si>
  <si>
    <t>"䝨"</t>
  </si>
  <si>
    <t>"䝩"</t>
  </si>
  <si>
    <t>"䝪"</t>
  </si>
  <si>
    <t>"䝫"</t>
  </si>
  <si>
    <t>"䝬"</t>
  </si>
  <si>
    <t>"䝭"</t>
  </si>
  <si>
    <t>"䝮"</t>
  </si>
  <si>
    <t>"䝯"</t>
  </si>
  <si>
    <t>"䝰"</t>
  </si>
  <si>
    <t>"䝱"</t>
  </si>
  <si>
    <t>"䝲"</t>
  </si>
  <si>
    <t>"䝳"</t>
  </si>
  <si>
    <t>"䝴"</t>
  </si>
  <si>
    <t>"䝵"</t>
  </si>
  <si>
    <t>"䝶"</t>
  </si>
  <si>
    <t>"䝷"</t>
  </si>
  <si>
    <t>"䝸"</t>
  </si>
  <si>
    <t>"䝹"</t>
  </si>
  <si>
    <t>"䝺"</t>
  </si>
  <si>
    <t>"䝻"</t>
  </si>
  <si>
    <t>"䝼"</t>
  </si>
  <si>
    <t>"䝽"</t>
  </si>
  <si>
    <t>"䝾"</t>
  </si>
  <si>
    <t>"䝿"</t>
  </si>
  <si>
    <t>"䞀"</t>
  </si>
  <si>
    <t>"䞁"</t>
  </si>
  <si>
    <t>"䞂"</t>
  </si>
  <si>
    <t>"䞃"</t>
  </si>
  <si>
    <t>"䞄"</t>
  </si>
  <si>
    <t>"䞅"</t>
  </si>
  <si>
    <t>"䞆"</t>
  </si>
  <si>
    <t>"䞇"</t>
  </si>
  <si>
    <t>"䞈"</t>
  </si>
  <si>
    <t>"䞉"</t>
  </si>
  <si>
    <t>"䞊"</t>
  </si>
  <si>
    <t>"䞋"</t>
  </si>
  <si>
    <t>"䞌"</t>
  </si>
  <si>
    <t>"䞍"</t>
  </si>
  <si>
    <t>"䞎"</t>
  </si>
  <si>
    <t>"䞏"</t>
  </si>
  <si>
    <t>"䞐"</t>
  </si>
  <si>
    <t>"䞑"</t>
  </si>
  <si>
    <t>"䞒"</t>
  </si>
  <si>
    <t>"䞓"</t>
  </si>
  <si>
    <t>"䞔"</t>
  </si>
  <si>
    <t>"䞕"</t>
  </si>
  <si>
    <t>"䞖"</t>
  </si>
  <si>
    <t>"䞗"</t>
  </si>
  <si>
    <t>"䞘"</t>
  </si>
  <si>
    <t>"䞙"</t>
  </si>
  <si>
    <t>"䞚"</t>
  </si>
  <si>
    <t>"䞛"</t>
  </si>
  <si>
    <t>"䞜"</t>
  </si>
  <si>
    <t>"䞝"</t>
  </si>
  <si>
    <t>"䞞"</t>
  </si>
  <si>
    <t>"䞟"</t>
  </si>
  <si>
    <t>"䞠"</t>
  </si>
  <si>
    <t>"䞡"</t>
  </si>
  <si>
    <t>"䞢"</t>
  </si>
  <si>
    <t>"䞣"</t>
  </si>
  <si>
    <t>"䞤"</t>
  </si>
  <si>
    <t>"䞥"</t>
  </si>
  <si>
    <t>"䞦"</t>
  </si>
  <si>
    <t>"䞧"</t>
  </si>
  <si>
    <t>"䞨"</t>
  </si>
  <si>
    <t>"䞩"</t>
  </si>
  <si>
    <t>"䞪"</t>
  </si>
  <si>
    <t>"䞫"</t>
  </si>
  <si>
    <t>"䞬"</t>
  </si>
  <si>
    <t>"䞭"</t>
  </si>
  <si>
    <t>"䞮"</t>
  </si>
  <si>
    <t>"䞯"</t>
  </si>
  <si>
    <t>"䞰"</t>
  </si>
  <si>
    <t>"䞱"</t>
  </si>
  <si>
    <t>"䞲"</t>
  </si>
  <si>
    <t>"䞳"</t>
  </si>
  <si>
    <t>"䞴"</t>
  </si>
  <si>
    <t>"䞵"</t>
  </si>
  <si>
    <t>"䞶"</t>
  </si>
  <si>
    <t>"䞷"</t>
  </si>
  <si>
    <t>"䞸"</t>
  </si>
  <si>
    <t>"䞹"</t>
  </si>
  <si>
    <t>"䞺"</t>
  </si>
  <si>
    <t>"䞻"</t>
  </si>
  <si>
    <t>"䞼"</t>
  </si>
  <si>
    <t>"䞽"</t>
  </si>
  <si>
    <t>"䞾"</t>
  </si>
  <si>
    <t>"䞿"</t>
  </si>
  <si>
    <t>"䟀"</t>
  </si>
  <si>
    <t>"䟁"</t>
  </si>
  <si>
    <t>"䟂"</t>
  </si>
  <si>
    <t>"䟃"</t>
  </si>
  <si>
    <t>"䟄"</t>
  </si>
  <si>
    <t>"䟅"</t>
  </si>
  <si>
    <t>"䟆"</t>
  </si>
  <si>
    <t>"䟇"</t>
  </si>
  <si>
    <t>"䟈"</t>
  </si>
  <si>
    <t>"䟉"</t>
  </si>
  <si>
    <t>"䟊"</t>
  </si>
  <si>
    <t>"䟋"</t>
  </si>
  <si>
    <t>"䟌"</t>
  </si>
  <si>
    <t>"䟍"</t>
  </si>
  <si>
    <t>"䟎"</t>
  </si>
  <si>
    <t>"䟏"</t>
  </si>
  <si>
    <t>"䟐"</t>
  </si>
  <si>
    <t>"䟑"</t>
  </si>
  <si>
    <t>"䟒"</t>
  </si>
  <si>
    <t>"䟓"</t>
  </si>
  <si>
    <t>"䟔"</t>
  </si>
  <si>
    <t>"䟕"</t>
  </si>
  <si>
    <t>"䟖"</t>
  </si>
  <si>
    <t>"䟗"</t>
  </si>
  <si>
    <t>"䟘"</t>
  </si>
  <si>
    <t>"䟙"</t>
  </si>
  <si>
    <t>"䟚"</t>
  </si>
  <si>
    <t>"䟛"</t>
  </si>
  <si>
    <t>"䟜"</t>
  </si>
  <si>
    <t>"䟝"</t>
  </si>
  <si>
    <t>"䟞"</t>
  </si>
  <si>
    <t>"䟟"</t>
  </si>
  <si>
    <t>"䟠"</t>
  </si>
  <si>
    <t>"䟡"</t>
  </si>
  <si>
    <t>"䟢"</t>
  </si>
  <si>
    <t>"䟣"</t>
  </si>
  <si>
    <t>"䟤"</t>
  </si>
  <si>
    <t>"䟥"</t>
  </si>
  <si>
    <t>"䟦"</t>
  </si>
  <si>
    <t>"䟧"</t>
  </si>
  <si>
    <t>"䟨"</t>
  </si>
  <si>
    <t>"䟩"</t>
  </si>
  <si>
    <t>"䟪"</t>
  </si>
  <si>
    <t>"䟫"</t>
  </si>
  <si>
    <t>"䟬"</t>
  </si>
  <si>
    <t>"䟭"</t>
  </si>
  <si>
    <t>"䟮"</t>
  </si>
  <si>
    <t>"䟯"</t>
  </si>
  <si>
    <t>"䟰"</t>
  </si>
  <si>
    <t>"䟱"</t>
  </si>
  <si>
    <t>"䟲"</t>
  </si>
  <si>
    <t>"䟳"</t>
  </si>
  <si>
    <t>"䟴"</t>
  </si>
  <si>
    <t>"䟵"</t>
  </si>
  <si>
    <t>"䟶"</t>
  </si>
  <si>
    <t>"䟷"</t>
  </si>
  <si>
    <t>"䟸"</t>
  </si>
  <si>
    <t>"䟹"</t>
  </si>
  <si>
    <t>"䟺"</t>
  </si>
  <si>
    <t>"䟻"</t>
  </si>
  <si>
    <t>"䟼"</t>
  </si>
  <si>
    <t>"䟽"</t>
  </si>
  <si>
    <t>"䟾"</t>
  </si>
  <si>
    <t>"䟿"</t>
  </si>
  <si>
    <t>"䠀"</t>
  </si>
  <si>
    <t>"䠁"</t>
  </si>
  <si>
    <t>"䠂"</t>
  </si>
  <si>
    <t>"䠃"</t>
  </si>
  <si>
    <t>"䠄"</t>
  </si>
  <si>
    <t>"䠅"</t>
  </si>
  <si>
    <t>"䠆"</t>
  </si>
  <si>
    <t>"䠇"</t>
  </si>
  <si>
    <t>"䠈"</t>
  </si>
  <si>
    <t>"䠉"</t>
  </si>
  <si>
    <t>"䠊"</t>
  </si>
  <si>
    <t>"䠋"</t>
  </si>
  <si>
    <t>"䠌"</t>
  </si>
  <si>
    <t>"䠍"</t>
  </si>
  <si>
    <t>"䠎"</t>
  </si>
  <si>
    <t>"䠏"</t>
  </si>
  <si>
    <t>"䠐"</t>
  </si>
  <si>
    <t>"䠑"</t>
  </si>
  <si>
    <t>"䠒"</t>
  </si>
  <si>
    <t>"䠓"</t>
  </si>
  <si>
    <t>"䠔"</t>
  </si>
  <si>
    <t>"䠕"</t>
  </si>
  <si>
    <t>"䠖"</t>
  </si>
  <si>
    <t>"䠗"</t>
  </si>
  <si>
    <t>"䠘"</t>
  </si>
  <si>
    <t>"䠙"</t>
  </si>
  <si>
    <t>"䠚"</t>
  </si>
  <si>
    <t>"䠛"</t>
  </si>
  <si>
    <t>"䠜"</t>
  </si>
  <si>
    <t>"䠝"</t>
  </si>
  <si>
    <t>"䠞"</t>
  </si>
  <si>
    <t>"䠟"</t>
  </si>
  <si>
    <t>"䠠"</t>
  </si>
  <si>
    <t>"䠡"</t>
  </si>
  <si>
    <t>"䠢"</t>
  </si>
  <si>
    <t>"䠣"</t>
  </si>
  <si>
    <t>"䠤"</t>
  </si>
  <si>
    <t>"䠥"</t>
  </si>
  <si>
    <t>"䠦"</t>
  </si>
  <si>
    <t>"䠧"</t>
  </si>
  <si>
    <t>"䠨"</t>
  </si>
  <si>
    <t>"䠩"</t>
  </si>
  <si>
    <t>"䠪"</t>
  </si>
  <si>
    <t>"䠫"</t>
  </si>
  <si>
    <t>"䠬"</t>
  </si>
  <si>
    <t>"䠭"</t>
  </si>
  <si>
    <t>"䠮"</t>
  </si>
  <si>
    <t>"䠯"</t>
  </si>
  <si>
    <t>"䠰"</t>
  </si>
  <si>
    <t>"䠱"</t>
  </si>
  <si>
    <t>"䠲"</t>
  </si>
  <si>
    <t>"䠳"</t>
  </si>
  <si>
    <t>"䠴"</t>
  </si>
  <si>
    <t>"䠵"</t>
  </si>
  <si>
    <t>"䠶"</t>
  </si>
  <si>
    <t>"䠷"</t>
  </si>
  <si>
    <t>"䠸"</t>
  </si>
  <si>
    <t>"䠹"</t>
  </si>
  <si>
    <t>"䠺"</t>
  </si>
  <si>
    <t>"䠻"</t>
  </si>
  <si>
    <t>"䠼"</t>
  </si>
  <si>
    <t>"䠽"</t>
  </si>
  <si>
    <t>"䠾"</t>
  </si>
  <si>
    <t>"䠿"</t>
  </si>
  <si>
    <t>"䡀"</t>
  </si>
  <si>
    <t>"䡁"</t>
  </si>
  <si>
    <t>"䡂"</t>
  </si>
  <si>
    <t>"䡃"</t>
  </si>
  <si>
    <t>"䡄"</t>
  </si>
  <si>
    <t>"䡅"</t>
  </si>
  <si>
    <t>"䡆"</t>
  </si>
  <si>
    <t>"䡇"</t>
  </si>
  <si>
    <t>"䡈"</t>
  </si>
  <si>
    <t>"䡉"</t>
  </si>
  <si>
    <t>"䡊"</t>
  </si>
  <si>
    <t>"䡋"</t>
  </si>
  <si>
    <t>"䡌"</t>
  </si>
  <si>
    <t>"䡍"</t>
  </si>
  <si>
    <t>"䡎"</t>
  </si>
  <si>
    <t>"䡏"</t>
  </si>
  <si>
    <t>"䡐"</t>
  </si>
  <si>
    <t>"䡑"</t>
  </si>
  <si>
    <t>"䡒"</t>
  </si>
  <si>
    <t>"䡓"</t>
  </si>
  <si>
    <t>"䡔"</t>
  </si>
  <si>
    <t>"䡕"</t>
  </si>
  <si>
    <t>"䡖"</t>
  </si>
  <si>
    <t>"䡗"</t>
  </si>
  <si>
    <t>"䡘"</t>
  </si>
  <si>
    <t>"䡙"</t>
  </si>
  <si>
    <t>"䡚"</t>
  </si>
  <si>
    <t>"䡛"</t>
  </si>
  <si>
    <t>"䡜"</t>
  </si>
  <si>
    <t>"䡝"</t>
  </si>
  <si>
    <t>"䡞"</t>
  </si>
  <si>
    <t>"䡟"</t>
  </si>
  <si>
    <t>"䡠"</t>
  </si>
  <si>
    <t>"䡡"</t>
  </si>
  <si>
    <t>"䡢"</t>
  </si>
  <si>
    <t>"䡣"</t>
  </si>
  <si>
    <t>"䡤"</t>
  </si>
  <si>
    <t>"䡥"</t>
  </si>
  <si>
    <t>"䡦"</t>
  </si>
  <si>
    <t>"䡧"</t>
  </si>
  <si>
    <t>"䡨"</t>
  </si>
  <si>
    <t>"䡩"</t>
  </si>
  <si>
    <t>"䡪"</t>
  </si>
  <si>
    <t>"䡫"</t>
  </si>
  <si>
    <t>"䡬"</t>
  </si>
  <si>
    <t>"䡭"</t>
  </si>
  <si>
    <t>"䡮"</t>
  </si>
  <si>
    <t>"䡯"</t>
  </si>
  <si>
    <t>"䡰"</t>
  </si>
  <si>
    <t>"䡱"</t>
  </si>
  <si>
    <t>"䡲"</t>
  </si>
  <si>
    <t>"䡳"</t>
  </si>
  <si>
    <t>"䡴"</t>
  </si>
  <si>
    <t>"䡵"</t>
  </si>
  <si>
    <t>"䡶"</t>
  </si>
  <si>
    <t>"䡷"</t>
  </si>
  <si>
    <t>"䡸"</t>
  </si>
  <si>
    <t>"䡹"</t>
  </si>
  <si>
    <t>"䡺"</t>
  </si>
  <si>
    <t>"䡻"</t>
  </si>
  <si>
    <t>"䡼"</t>
  </si>
  <si>
    <t>"䡽"</t>
  </si>
  <si>
    <t>"䡾"</t>
  </si>
  <si>
    <t>"䡿"</t>
  </si>
  <si>
    <t>"䢀"</t>
  </si>
  <si>
    <t>"䢁"</t>
  </si>
  <si>
    <t>"䢂"</t>
  </si>
  <si>
    <t>"䢃"</t>
  </si>
  <si>
    <t>"䢄"</t>
  </si>
  <si>
    <t>"䢅"</t>
  </si>
  <si>
    <t>"䢆"</t>
  </si>
  <si>
    <t>"䢇"</t>
  </si>
  <si>
    <t>"䢈"</t>
  </si>
  <si>
    <t>"䢉"</t>
  </si>
  <si>
    <t>"䢊"</t>
  </si>
  <si>
    <t>"䢋"</t>
  </si>
  <si>
    <t>"䢌"</t>
  </si>
  <si>
    <t>"䢍"</t>
  </si>
  <si>
    <t>"䢎"</t>
  </si>
  <si>
    <t>"䢏"</t>
  </si>
  <si>
    <t>"䢐"</t>
  </si>
  <si>
    <t>"䢑"</t>
  </si>
  <si>
    <t>"䢒"</t>
  </si>
  <si>
    <t>"䢓"</t>
  </si>
  <si>
    <t>"䢔"</t>
  </si>
  <si>
    <t>"䢕"</t>
  </si>
  <si>
    <t>"䢖"</t>
  </si>
  <si>
    <t>"䢗"</t>
  </si>
  <si>
    <t>"䢘"</t>
  </si>
  <si>
    <t>"䢙"</t>
  </si>
  <si>
    <t>"䢚"</t>
  </si>
  <si>
    <t>"䢛"</t>
  </si>
  <si>
    <t>"䢜"</t>
  </si>
  <si>
    <t>"䢝"</t>
  </si>
  <si>
    <t>"䢞"</t>
  </si>
  <si>
    <t>"䢟"</t>
  </si>
  <si>
    <t>"䢠"</t>
  </si>
  <si>
    <t>"䢡"</t>
  </si>
  <si>
    <t>"䢢"</t>
  </si>
  <si>
    <t>"䢣"</t>
  </si>
  <si>
    <t>"䢤"</t>
  </si>
  <si>
    <t>"䢥"</t>
  </si>
  <si>
    <t>"䢦"</t>
  </si>
  <si>
    <t>"䢧"</t>
  </si>
  <si>
    <t>"䢨"</t>
  </si>
  <si>
    <t>"䢩"</t>
  </si>
  <si>
    <t>"䢪"</t>
  </si>
  <si>
    <t>"䢫"</t>
  </si>
  <si>
    <t>"䢬"</t>
  </si>
  <si>
    <t>"䢭"</t>
  </si>
  <si>
    <t>"䢮"</t>
  </si>
  <si>
    <t>"䢯"</t>
  </si>
  <si>
    <t>"䢰"</t>
  </si>
  <si>
    <t>"䢱"</t>
  </si>
  <si>
    <t>"䢲"</t>
  </si>
  <si>
    <t>"䢳"</t>
  </si>
  <si>
    <t>"䢴"</t>
  </si>
  <si>
    <t>"䢵"</t>
  </si>
  <si>
    <t>"䢶"</t>
  </si>
  <si>
    <t>"䢷"</t>
  </si>
  <si>
    <t>"䢸"</t>
  </si>
  <si>
    <t>"䢹"</t>
  </si>
  <si>
    <t>"䢺"</t>
  </si>
  <si>
    <t>"䢻"</t>
  </si>
  <si>
    <t>"䢼"</t>
  </si>
  <si>
    <t>"䢽"</t>
  </si>
  <si>
    <t>"䢾"</t>
  </si>
  <si>
    <t>"䢿"</t>
  </si>
  <si>
    <t>"䣀"</t>
  </si>
  <si>
    <t>"䣁"</t>
  </si>
  <si>
    <t>"䣂"</t>
  </si>
  <si>
    <t>"䣃"</t>
  </si>
  <si>
    <t>"䣄"</t>
  </si>
  <si>
    <t>"䣅"</t>
  </si>
  <si>
    <t>"䣆"</t>
  </si>
  <si>
    <t>"䣇"</t>
  </si>
  <si>
    <t>"䣈"</t>
  </si>
  <si>
    <t>"䣉"</t>
  </si>
  <si>
    <t>"䣊"</t>
  </si>
  <si>
    <t>"䣋"</t>
  </si>
  <si>
    <t>"䣌"</t>
  </si>
  <si>
    <t>"䣍"</t>
  </si>
  <si>
    <t>"䣎"</t>
  </si>
  <si>
    <t>"䣏"</t>
  </si>
  <si>
    <t>"䣐"</t>
  </si>
  <si>
    <t>"䣑"</t>
  </si>
  <si>
    <t>"䣒"</t>
  </si>
  <si>
    <t>"䣓"</t>
  </si>
  <si>
    <t>"䣔"</t>
  </si>
  <si>
    <t>"䣕"</t>
  </si>
  <si>
    <t>"䣖"</t>
  </si>
  <si>
    <t>"䣗"</t>
  </si>
  <si>
    <t>"䣘"</t>
  </si>
  <si>
    <t>"䣙"</t>
  </si>
  <si>
    <t>"䣚"</t>
  </si>
  <si>
    <t>"䣛"</t>
  </si>
  <si>
    <t>"䣜"</t>
  </si>
  <si>
    <t>"䣝"</t>
  </si>
  <si>
    <t>"䣞"</t>
  </si>
  <si>
    <t>"䣟"</t>
  </si>
  <si>
    <t>"䣠"</t>
  </si>
  <si>
    <t>"䣡"</t>
  </si>
  <si>
    <t>"䣢"</t>
  </si>
  <si>
    <t>"䣣"</t>
  </si>
  <si>
    <t>"䣤"</t>
  </si>
  <si>
    <t>"䣥"</t>
  </si>
  <si>
    <t>"䣦"</t>
  </si>
  <si>
    <t>"䣧"</t>
  </si>
  <si>
    <t>"䣨"</t>
  </si>
  <si>
    <t>"䣩"</t>
  </si>
  <si>
    <t>"䣪"</t>
  </si>
  <si>
    <t>"䣫"</t>
  </si>
  <si>
    <t>"䣬"</t>
  </si>
  <si>
    <t>"䣭"</t>
  </si>
  <si>
    <t>"䣮"</t>
  </si>
  <si>
    <t>"䣯"</t>
  </si>
  <si>
    <t>"䣰"</t>
  </si>
  <si>
    <t>"䣱"</t>
  </si>
  <si>
    <t>"䣲"</t>
  </si>
  <si>
    <t>"䣳"</t>
  </si>
  <si>
    <t>"䣴"</t>
  </si>
  <si>
    <t>"䣵"</t>
  </si>
  <si>
    <t>"䣶"</t>
  </si>
  <si>
    <t>"䣷"</t>
  </si>
  <si>
    <t>"䣸"</t>
  </si>
  <si>
    <t>"䣹"</t>
  </si>
  <si>
    <t>"䣺"</t>
  </si>
  <si>
    <t>"䣻"</t>
  </si>
  <si>
    <t>"䣼"</t>
  </si>
  <si>
    <t>"䣽"</t>
  </si>
  <si>
    <t>"䣾"</t>
  </si>
  <si>
    <t>"䣿"</t>
  </si>
  <si>
    <t>"䤀"</t>
  </si>
  <si>
    <t>"䤁"</t>
  </si>
  <si>
    <t>"䤂"</t>
  </si>
  <si>
    <t>"䤃"</t>
  </si>
  <si>
    <t>"䤄"</t>
  </si>
  <si>
    <t>"䤅"</t>
  </si>
  <si>
    <t>"䤆"</t>
  </si>
  <si>
    <t>"䤇"</t>
  </si>
  <si>
    <t>"䤈"</t>
  </si>
  <si>
    <t>"䤉"</t>
  </si>
  <si>
    <t>"䤊"</t>
  </si>
  <si>
    <t>"䤋"</t>
  </si>
  <si>
    <t>"䤌"</t>
  </si>
  <si>
    <t>"䤍"</t>
  </si>
  <si>
    <t>"䤎"</t>
  </si>
  <si>
    <t>"䤏"</t>
  </si>
  <si>
    <t>"䤐"</t>
  </si>
  <si>
    <t>"䤑"</t>
  </si>
  <si>
    <t>"䤒"</t>
  </si>
  <si>
    <t>"䤓"</t>
  </si>
  <si>
    <t>"䤔"</t>
  </si>
  <si>
    <t>"䤕"</t>
  </si>
  <si>
    <t>"䤖"</t>
  </si>
  <si>
    <t>"䤗"</t>
  </si>
  <si>
    <t>"䤘"</t>
  </si>
  <si>
    <t>"䤙"</t>
  </si>
  <si>
    <t>"䤚"</t>
  </si>
  <si>
    <t>"䤛"</t>
  </si>
  <si>
    <t>"䤜"</t>
  </si>
  <si>
    <t>"䤝"</t>
  </si>
  <si>
    <t>"䤞"</t>
  </si>
  <si>
    <t>"䤟"</t>
  </si>
  <si>
    <t>"䤠"</t>
  </si>
  <si>
    <t>"䤡"</t>
  </si>
  <si>
    <t>"䤢"</t>
  </si>
  <si>
    <t>"䤣"</t>
  </si>
  <si>
    <t>"䤤"</t>
  </si>
  <si>
    <t>"䤥"</t>
  </si>
  <si>
    <t>"䤦"</t>
  </si>
  <si>
    <t>"䤧"</t>
  </si>
  <si>
    <t>"䤨"</t>
  </si>
  <si>
    <t>"䤩"</t>
  </si>
  <si>
    <t>"䤪"</t>
  </si>
  <si>
    <t>"䤫"</t>
  </si>
  <si>
    <t>"䤬"</t>
  </si>
  <si>
    <t>"䤭"</t>
  </si>
  <si>
    <t>"䤮"</t>
  </si>
  <si>
    <t>"䤯"</t>
  </si>
  <si>
    <t>"䤰"</t>
  </si>
  <si>
    <t>"䤱"</t>
  </si>
  <si>
    <t>"䤲"</t>
  </si>
  <si>
    <t>"䤳"</t>
  </si>
  <si>
    <t>"䤴"</t>
  </si>
  <si>
    <t>"䤵"</t>
  </si>
  <si>
    <t>"䤶"</t>
  </si>
  <si>
    <t>"䤷"</t>
  </si>
  <si>
    <t>"䤸"</t>
  </si>
  <si>
    <t>"䤹"</t>
  </si>
  <si>
    <t>"䤺"</t>
  </si>
  <si>
    <t>"䤻"</t>
  </si>
  <si>
    <t>"䤼"</t>
  </si>
  <si>
    <t>"䤽"</t>
  </si>
  <si>
    <t>"䤾"</t>
  </si>
  <si>
    <t>"䤿"</t>
  </si>
  <si>
    <t>"䥀"</t>
  </si>
  <si>
    <t>"䥁"</t>
  </si>
  <si>
    <t>"䥂"</t>
  </si>
  <si>
    <t>"䥃"</t>
  </si>
  <si>
    <t>"䥄"</t>
  </si>
  <si>
    <t>"䥅"</t>
  </si>
  <si>
    <t>"䥆"</t>
  </si>
  <si>
    <t>"䥇"</t>
  </si>
  <si>
    <t>"䥈"</t>
  </si>
  <si>
    <t>"䥉"</t>
  </si>
  <si>
    <t>"䥊"</t>
  </si>
  <si>
    <t>"䥋"</t>
  </si>
  <si>
    <t>"䥌"</t>
  </si>
  <si>
    <t>"䥍"</t>
  </si>
  <si>
    <t>"䥎"</t>
  </si>
  <si>
    <t>"䥏"</t>
  </si>
  <si>
    <t>"䥐"</t>
  </si>
  <si>
    <t>"䥑"</t>
  </si>
  <si>
    <t>"䥒"</t>
  </si>
  <si>
    <t>"䥓"</t>
  </si>
  <si>
    <t>"䥔"</t>
  </si>
  <si>
    <t>"䥕"</t>
  </si>
  <si>
    <t>"䥖"</t>
  </si>
  <si>
    <t>"䥗"</t>
  </si>
  <si>
    <t>"䥘"</t>
  </si>
  <si>
    <t>"䥙"</t>
  </si>
  <si>
    <t>"䥚"</t>
  </si>
  <si>
    <t>"䥛"</t>
  </si>
  <si>
    <t>"䥜"</t>
  </si>
  <si>
    <t>"䥝"</t>
  </si>
  <si>
    <t>"䥞"</t>
  </si>
  <si>
    <t>"䥟"</t>
  </si>
  <si>
    <t>"䥠"</t>
  </si>
  <si>
    <t>"䥡"</t>
  </si>
  <si>
    <t>"䥢"</t>
  </si>
  <si>
    <t>"䥣"</t>
  </si>
  <si>
    <t>"䥤"</t>
  </si>
  <si>
    <t>"䥥"</t>
  </si>
  <si>
    <t>"䥦"</t>
  </si>
  <si>
    <t>"䥧"</t>
  </si>
  <si>
    <t>"䥨"</t>
  </si>
  <si>
    <t>"䥩"</t>
  </si>
  <si>
    <t>"䥪"</t>
  </si>
  <si>
    <t>"䥫"</t>
  </si>
  <si>
    <t>"䥬"</t>
  </si>
  <si>
    <t>"䥭"</t>
  </si>
  <si>
    <t>"䥮"</t>
  </si>
  <si>
    <t>"䥯"</t>
  </si>
  <si>
    <t>"䥰"</t>
  </si>
  <si>
    <t>"䥱"</t>
  </si>
  <si>
    <t>"䥲"</t>
  </si>
  <si>
    <t>"䥳"</t>
  </si>
  <si>
    <t>"䥴"</t>
  </si>
  <si>
    <t>"䥵"</t>
  </si>
  <si>
    <t>"䥶"</t>
  </si>
  <si>
    <t>"䥷"</t>
  </si>
  <si>
    <t>"䥸"</t>
  </si>
  <si>
    <t>"䥹"</t>
  </si>
  <si>
    <t>"䥺"</t>
  </si>
  <si>
    <t>"䥻"</t>
  </si>
  <si>
    <t>"䥼"</t>
  </si>
  <si>
    <t>"䥽"</t>
  </si>
  <si>
    <t>"䥾"</t>
  </si>
  <si>
    <t>"䥿"</t>
  </si>
  <si>
    <t>"䦀"</t>
  </si>
  <si>
    <t>"䦁"</t>
  </si>
  <si>
    <t>"䦂"</t>
  </si>
  <si>
    <t>"䦃"</t>
  </si>
  <si>
    <t>"䦄"</t>
  </si>
  <si>
    <t>"䦅"</t>
  </si>
  <si>
    <t>"䦆"</t>
  </si>
  <si>
    <t>"䦇"</t>
  </si>
  <si>
    <t>"䦈"</t>
  </si>
  <si>
    <t>"䦉"</t>
  </si>
  <si>
    <t>"䦊"</t>
  </si>
  <si>
    <t>"䦋"</t>
  </si>
  <si>
    <t>"䦌"</t>
  </si>
  <si>
    <t>"䦍"</t>
  </si>
  <si>
    <t>"䦎"</t>
  </si>
  <si>
    <t>"䦏"</t>
  </si>
  <si>
    <t>"䦐"</t>
  </si>
  <si>
    <t>"䦑"</t>
  </si>
  <si>
    <t>"䦒"</t>
  </si>
  <si>
    <t>"䦓"</t>
  </si>
  <si>
    <t>"䦔"</t>
  </si>
  <si>
    <t>"䦕"</t>
  </si>
  <si>
    <t>"䦖"</t>
  </si>
  <si>
    <t>"䦗"</t>
  </si>
  <si>
    <t>"䦘"</t>
  </si>
  <si>
    <t>"䦙"</t>
  </si>
  <si>
    <t>"䦚"</t>
  </si>
  <si>
    <t>"䦛"</t>
  </si>
  <si>
    <t>"䦜"</t>
  </si>
  <si>
    <t>"䦝"</t>
  </si>
  <si>
    <t>"䦞"</t>
  </si>
  <si>
    <t>"䦟"</t>
  </si>
  <si>
    <t>"䦠"</t>
  </si>
  <si>
    <t>"䦡"</t>
  </si>
  <si>
    <t>"䦢"</t>
  </si>
  <si>
    <t>"䦣"</t>
  </si>
  <si>
    <t>"䦤"</t>
  </si>
  <si>
    <t>"䦥"</t>
  </si>
  <si>
    <t>"䦦"</t>
  </si>
  <si>
    <t>"䦧"</t>
  </si>
  <si>
    <t>"䦨"</t>
  </si>
  <si>
    <t>"䦩"</t>
  </si>
  <si>
    <t>"䦪"</t>
  </si>
  <si>
    <t>"䦫"</t>
  </si>
  <si>
    <t>"䦬"</t>
  </si>
  <si>
    <t>"䦭"</t>
  </si>
  <si>
    <t>"䦮"</t>
  </si>
  <si>
    <t>"䦯"</t>
  </si>
  <si>
    <t>"䦰"</t>
  </si>
  <si>
    <t>"䦱"</t>
  </si>
  <si>
    <t>"䦲"</t>
  </si>
  <si>
    <t>"䦳"</t>
  </si>
  <si>
    <t>"䦴"</t>
  </si>
  <si>
    <t>"䦵"</t>
  </si>
  <si>
    <t>"䦶"</t>
  </si>
  <si>
    <t>"䦷"</t>
  </si>
  <si>
    <t>"䦸"</t>
  </si>
  <si>
    <t>"䦹"</t>
  </si>
  <si>
    <t>"䦺"</t>
  </si>
  <si>
    <t>"䦻"</t>
  </si>
  <si>
    <t>"䦼"</t>
  </si>
  <si>
    <t>"䦽"</t>
  </si>
  <si>
    <t>"䦾"</t>
  </si>
  <si>
    <t>"䦿"</t>
  </si>
  <si>
    <t>"䧀"</t>
  </si>
  <si>
    <t>"䧁"</t>
  </si>
  <si>
    <t>"䧂"</t>
  </si>
  <si>
    <t>"䧃"</t>
  </si>
  <si>
    <t>"䧄"</t>
  </si>
  <si>
    <t>"䧅"</t>
  </si>
  <si>
    <t>"䧆"</t>
  </si>
  <si>
    <t>"䧇"</t>
  </si>
  <si>
    <t>"䧈"</t>
  </si>
  <si>
    <t>"䧉"</t>
  </si>
  <si>
    <t>"䧊"</t>
  </si>
  <si>
    <t>"䧋"</t>
  </si>
  <si>
    <t>"䧌"</t>
  </si>
  <si>
    <t>"䧍"</t>
  </si>
  <si>
    <t>"䧎"</t>
  </si>
  <si>
    <t>"䧏"</t>
  </si>
  <si>
    <t>"䧐"</t>
  </si>
  <si>
    <t>"䧑"</t>
  </si>
  <si>
    <t>"䧒"</t>
  </si>
  <si>
    <t>"䧓"</t>
  </si>
  <si>
    <t>"䧔"</t>
  </si>
  <si>
    <t>"䧕"</t>
  </si>
  <si>
    <t>"䧖"</t>
  </si>
  <si>
    <t>"䧗"</t>
  </si>
  <si>
    <t>"䧘"</t>
  </si>
  <si>
    <t>"䧙"</t>
  </si>
  <si>
    <t>"䧚"</t>
  </si>
  <si>
    <t>"䧛"</t>
  </si>
  <si>
    <t>"䧜"</t>
  </si>
  <si>
    <t>"䧝"</t>
  </si>
  <si>
    <t>"䧞"</t>
  </si>
  <si>
    <t>"䧟"</t>
  </si>
  <si>
    <t>"䧠"</t>
  </si>
  <si>
    <t>"䧡"</t>
  </si>
  <si>
    <t>"䧢"</t>
  </si>
  <si>
    <t>"䧣"</t>
  </si>
  <si>
    <t>"䧤"</t>
  </si>
  <si>
    <t>"䧥"</t>
  </si>
  <si>
    <t>"䧦"</t>
  </si>
  <si>
    <t>"䧧"</t>
  </si>
  <si>
    <t>"䧨"</t>
  </si>
  <si>
    <t>"䧩"</t>
  </si>
  <si>
    <t>"䧪"</t>
  </si>
  <si>
    <t>"䧫"</t>
  </si>
  <si>
    <t>"䧬"</t>
  </si>
  <si>
    <t>"䧭"</t>
  </si>
  <si>
    <t>"䧮"</t>
  </si>
  <si>
    <t>"䧯"</t>
  </si>
  <si>
    <t>"䧰"</t>
  </si>
  <si>
    <t>"䧱"</t>
  </si>
  <si>
    <t>"䧲"</t>
  </si>
  <si>
    <t>"䧳"</t>
  </si>
  <si>
    <t>"䧴"</t>
  </si>
  <si>
    <t>"䧵"</t>
  </si>
  <si>
    <t>"䧶"</t>
  </si>
  <si>
    <t>"䧷"</t>
  </si>
  <si>
    <t>"䧸"</t>
  </si>
  <si>
    <t>"䧹"</t>
  </si>
  <si>
    <t>"䧺"</t>
  </si>
  <si>
    <t>"䧻"</t>
  </si>
  <si>
    <t>"䧼"</t>
  </si>
  <si>
    <t>"䧽"</t>
  </si>
  <si>
    <t>"䧾"</t>
  </si>
  <si>
    <t>"䧿"</t>
  </si>
  <si>
    <t>"䨀"</t>
  </si>
  <si>
    <t>"䨁"</t>
  </si>
  <si>
    <t>"䨂"</t>
  </si>
  <si>
    <t>"䨃"</t>
  </si>
  <si>
    <t>"䨄"</t>
  </si>
  <si>
    <t>"䨅"</t>
  </si>
  <si>
    <t>"䨆"</t>
  </si>
  <si>
    <t>"䨇"</t>
  </si>
  <si>
    <t>"䨈"</t>
  </si>
  <si>
    <t>"䨉"</t>
  </si>
  <si>
    <t>"䨊"</t>
  </si>
  <si>
    <t>"䨋"</t>
  </si>
  <si>
    <t>"䨌"</t>
  </si>
  <si>
    <t>"䨍"</t>
  </si>
  <si>
    <t>"䨎"</t>
  </si>
  <si>
    <t>"䨏"</t>
  </si>
  <si>
    <t>"䨐"</t>
  </si>
  <si>
    <t>"䨑"</t>
  </si>
  <si>
    <t>"䨒"</t>
  </si>
  <si>
    <t>"䨓"</t>
  </si>
  <si>
    <t>"䨔"</t>
  </si>
  <si>
    <t>"䨕"</t>
  </si>
  <si>
    <t>"䨖"</t>
  </si>
  <si>
    <t>"䨗"</t>
  </si>
  <si>
    <t>"䨘"</t>
  </si>
  <si>
    <t>"䨙"</t>
  </si>
  <si>
    <t>"䨚"</t>
  </si>
  <si>
    <t>"䨛"</t>
  </si>
  <si>
    <t>"䨜"</t>
  </si>
  <si>
    <t>"䨝"</t>
  </si>
  <si>
    <t>"䨞"</t>
  </si>
  <si>
    <t>"䨟"</t>
  </si>
  <si>
    <t>"䨠"</t>
  </si>
  <si>
    <t>"䨡"</t>
  </si>
  <si>
    <t>"䨢"</t>
  </si>
  <si>
    <t>"䨣"</t>
  </si>
  <si>
    <t>"䨤"</t>
  </si>
  <si>
    <t>"䨥"</t>
  </si>
  <si>
    <t>"䨦"</t>
  </si>
  <si>
    <t>"䨧"</t>
  </si>
  <si>
    <t>"䨨"</t>
  </si>
  <si>
    <t>"䨩"</t>
  </si>
  <si>
    <t>"䨪"</t>
  </si>
  <si>
    <t>"䨫"</t>
  </si>
  <si>
    <t>"䨬"</t>
  </si>
  <si>
    <t>"䨭"</t>
  </si>
  <si>
    <t>"䨮"</t>
  </si>
  <si>
    <t>"䨯"</t>
  </si>
  <si>
    <t>"䨰"</t>
  </si>
  <si>
    <t>"䨱"</t>
  </si>
  <si>
    <t>"䨲"</t>
  </si>
  <si>
    <t>"䨳"</t>
  </si>
  <si>
    <t>"䨴"</t>
  </si>
  <si>
    <t>"䨵"</t>
  </si>
  <si>
    <t>"䨶"</t>
  </si>
  <si>
    <t>"䨷"</t>
  </si>
  <si>
    <t>"䨸"</t>
  </si>
  <si>
    <t>"䨹"</t>
  </si>
  <si>
    <t>"䨺"</t>
  </si>
  <si>
    <t>"䨻"</t>
  </si>
  <si>
    <t>"䨼"</t>
  </si>
  <si>
    <t>"䨽"</t>
  </si>
  <si>
    <t>"䨾"</t>
  </si>
  <si>
    <t>"䨿"</t>
  </si>
  <si>
    <t>"䩀"</t>
  </si>
  <si>
    <t>"䩁"</t>
  </si>
  <si>
    <t>"䩂"</t>
  </si>
  <si>
    <t>"䩃"</t>
  </si>
  <si>
    <t>"䩄"</t>
  </si>
  <si>
    <t>"䩅"</t>
  </si>
  <si>
    <t>"䩆"</t>
  </si>
  <si>
    <t>"䩇"</t>
  </si>
  <si>
    <t>"䩈"</t>
  </si>
  <si>
    <t>"䩉"</t>
  </si>
  <si>
    <t>"䩊"</t>
  </si>
  <si>
    <t>"䩋"</t>
  </si>
  <si>
    <t>"䩌"</t>
  </si>
  <si>
    <t>"䩍"</t>
  </si>
  <si>
    <t>"䩎"</t>
  </si>
  <si>
    <t>"䩏"</t>
  </si>
  <si>
    <t>"䩐"</t>
  </si>
  <si>
    <t>"䩑"</t>
  </si>
  <si>
    <t>"䩒"</t>
  </si>
  <si>
    <t>"䩓"</t>
  </si>
  <si>
    <t>"䩔"</t>
  </si>
  <si>
    <t>"䩕"</t>
  </si>
  <si>
    <t>"䩖"</t>
  </si>
  <si>
    <t>"䩗"</t>
  </si>
  <si>
    <t>"䩘"</t>
  </si>
  <si>
    <t>"䩙"</t>
  </si>
  <si>
    <t>"䩚"</t>
  </si>
  <si>
    <t>"䩛"</t>
  </si>
  <si>
    <t>"䩜"</t>
  </si>
  <si>
    <t>"䩝"</t>
  </si>
  <si>
    <t>"䩞"</t>
  </si>
  <si>
    <t>"䩟"</t>
  </si>
  <si>
    <t>"䩠"</t>
  </si>
  <si>
    <t>"䩡"</t>
  </si>
  <si>
    <t>"䩢"</t>
  </si>
  <si>
    <t>"䩣"</t>
  </si>
  <si>
    <t>"䩤"</t>
  </si>
  <si>
    <t>"䩥"</t>
  </si>
  <si>
    <t>"䩦"</t>
  </si>
  <si>
    <t>"䩧"</t>
  </si>
  <si>
    <t>"䩨"</t>
  </si>
  <si>
    <t>"䩩"</t>
  </si>
  <si>
    <t>"䩪"</t>
  </si>
  <si>
    <t>"䩫"</t>
  </si>
  <si>
    <t>"䩬"</t>
  </si>
  <si>
    <t>"䩭"</t>
  </si>
  <si>
    <t>"䩮"</t>
  </si>
  <si>
    <t>"䩯"</t>
  </si>
  <si>
    <t>"䩰"</t>
  </si>
  <si>
    <t>"䩱"</t>
  </si>
  <si>
    <t>"䩲"</t>
  </si>
  <si>
    <t>"䩳"</t>
  </si>
  <si>
    <t>"䩴"</t>
  </si>
  <si>
    <t>"䩵"</t>
  </si>
  <si>
    <t>"䩶"</t>
  </si>
  <si>
    <t>"䩷"</t>
  </si>
  <si>
    <t>"䩸"</t>
  </si>
  <si>
    <t>"䩹"</t>
  </si>
  <si>
    <t>"䩺"</t>
  </si>
  <si>
    <t>"䩻"</t>
  </si>
  <si>
    <t>"䩼"</t>
  </si>
  <si>
    <t>"䩽"</t>
  </si>
  <si>
    <t>"䩾"</t>
  </si>
  <si>
    <t>"䩿"</t>
  </si>
  <si>
    <t>"䪀"</t>
  </si>
  <si>
    <t>"䪁"</t>
  </si>
  <si>
    <t>"䪂"</t>
  </si>
  <si>
    <t>"䪃"</t>
  </si>
  <si>
    <t>"䪄"</t>
  </si>
  <si>
    <t>"䪅"</t>
  </si>
  <si>
    <t>"䪆"</t>
  </si>
  <si>
    <t>"䪇"</t>
  </si>
  <si>
    <t>"䪈"</t>
  </si>
  <si>
    <t>"䪉"</t>
  </si>
  <si>
    <t>"䪊"</t>
  </si>
  <si>
    <t>"䪋"</t>
  </si>
  <si>
    <t>"䪌"</t>
  </si>
  <si>
    <t>"䪍"</t>
  </si>
  <si>
    <t>"䪎"</t>
  </si>
  <si>
    <t>"䪏"</t>
  </si>
  <si>
    <t>"䪐"</t>
  </si>
  <si>
    <t>"䪑"</t>
  </si>
  <si>
    <t>"䪒"</t>
  </si>
  <si>
    <t>"䪓"</t>
  </si>
  <si>
    <t>"䪔"</t>
  </si>
  <si>
    <t>"䪕"</t>
  </si>
  <si>
    <t>"䪖"</t>
  </si>
  <si>
    <t>"䪗"</t>
  </si>
  <si>
    <t>"䪘"</t>
  </si>
  <si>
    <t>"䪙"</t>
  </si>
  <si>
    <t>"䪚"</t>
  </si>
  <si>
    <t>"䪛"</t>
  </si>
  <si>
    <t>"䪜"</t>
  </si>
  <si>
    <t>"䪝"</t>
  </si>
  <si>
    <t>"䪞"</t>
  </si>
  <si>
    <t>"䪟"</t>
  </si>
  <si>
    <t>"䪠"</t>
  </si>
  <si>
    <t>"䪡"</t>
  </si>
  <si>
    <t>"䪢"</t>
  </si>
  <si>
    <t>"䪣"</t>
  </si>
  <si>
    <t>"䪤"</t>
  </si>
  <si>
    <t>"䪥"</t>
  </si>
  <si>
    <t>"䪦"</t>
  </si>
  <si>
    <t>"䪧"</t>
  </si>
  <si>
    <t>"䪨"</t>
  </si>
  <si>
    <t>"䪩"</t>
  </si>
  <si>
    <t>"䪪"</t>
  </si>
  <si>
    <t>"䪫"</t>
  </si>
  <si>
    <t>"䪬"</t>
  </si>
  <si>
    <t>"䪭"</t>
  </si>
  <si>
    <t>"䪮"</t>
  </si>
  <si>
    <t>"䪯"</t>
  </si>
  <si>
    <t>"䪰"</t>
  </si>
  <si>
    <t>"䪱"</t>
  </si>
  <si>
    <t>"䪲"</t>
  </si>
  <si>
    <t>"䪳"</t>
  </si>
  <si>
    <t>"䪴"</t>
  </si>
  <si>
    <t>"䪵"</t>
  </si>
  <si>
    <t>"䪶"</t>
  </si>
  <si>
    <t>"䪷"</t>
  </si>
  <si>
    <t>"䪸"</t>
  </si>
  <si>
    <t>"䪹"</t>
  </si>
  <si>
    <t>"䪺"</t>
  </si>
  <si>
    <t>"䪻"</t>
  </si>
  <si>
    <t>"䪼"</t>
  </si>
  <si>
    <t>"䪽"</t>
  </si>
  <si>
    <t>"䪾"</t>
  </si>
  <si>
    <t>"䪿"</t>
  </si>
  <si>
    <t>"䫀"</t>
  </si>
  <si>
    <t>"䫁"</t>
  </si>
  <si>
    <t>"䫂"</t>
  </si>
  <si>
    <t>"䫃"</t>
  </si>
  <si>
    <t>"䫄"</t>
  </si>
  <si>
    <t>"䫅"</t>
  </si>
  <si>
    <t>"䫆"</t>
  </si>
  <si>
    <t>"䫇"</t>
  </si>
  <si>
    <t>"䫈"</t>
  </si>
  <si>
    <t>"䫉"</t>
  </si>
  <si>
    <t>"䫊"</t>
  </si>
  <si>
    <t>"䫋"</t>
  </si>
  <si>
    <t>"䫌"</t>
  </si>
  <si>
    <t>"䫍"</t>
  </si>
  <si>
    <t>"䫎"</t>
  </si>
  <si>
    <t>"䫏"</t>
  </si>
  <si>
    <t>"䫐"</t>
  </si>
  <si>
    <t>"䫑"</t>
  </si>
  <si>
    <t>"䫒"</t>
  </si>
  <si>
    <t>"䫓"</t>
  </si>
  <si>
    <t>"䫔"</t>
  </si>
  <si>
    <t>"䫕"</t>
  </si>
  <si>
    <t>"䫖"</t>
  </si>
  <si>
    <t>"䫗"</t>
  </si>
  <si>
    <t>"䫘"</t>
  </si>
  <si>
    <t>"䫙"</t>
  </si>
  <si>
    <t>"䫚"</t>
  </si>
  <si>
    <t>"䫛"</t>
  </si>
  <si>
    <t>"䫜"</t>
  </si>
  <si>
    <t>"䫝"</t>
  </si>
  <si>
    <t>"䫞"</t>
  </si>
  <si>
    <t>"䫟"</t>
  </si>
  <si>
    <t>"䫠"</t>
  </si>
  <si>
    <t>"䫡"</t>
  </si>
  <si>
    <t>"䫢"</t>
  </si>
  <si>
    <t>"䫣"</t>
  </si>
  <si>
    <t>"䫤"</t>
  </si>
  <si>
    <t>"䫥"</t>
  </si>
  <si>
    <t>"䫦"</t>
  </si>
  <si>
    <t>"䫧"</t>
  </si>
  <si>
    <t>"䫨"</t>
  </si>
  <si>
    <t>"䫩"</t>
  </si>
  <si>
    <t>"䫪"</t>
  </si>
  <si>
    <t>"䫫"</t>
  </si>
  <si>
    <t>"䫬"</t>
  </si>
  <si>
    <t>"䫭"</t>
  </si>
  <si>
    <t>"䫮"</t>
  </si>
  <si>
    <t>"䫯"</t>
  </si>
  <si>
    <t>"䫰"</t>
  </si>
  <si>
    <t>"䫱"</t>
  </si>
  <si>
    <t>"䫲"</t>
  </si>
  <si>
    <t>"䫳"</t>
  </si>
  <si>
    <t>"䫴"</t>
  </si>
  <si>
    <t>"䫵"</t>
  </si>
  <si>
    <t>"䫶"</t>
  </si>
  <si>
    <t>"䫷"</t>
  </si>
  <si>
    <t>"䫸"</t>
  </si>
  <si>
    <t>"䫹"</t>
  </si>
  <si>
    <t>"䫺"</t>
  </si>
  <si>
    <t>"䫻"</t>
  </si>
  <si>
    <t>"䫼"</t>
  </si>
  <si>
    <t>"䫽"</t>
  </si>
  <si>
    <t>"䫾"</t>
  </si>
  <si>
    <t>"䫿"</t>
  </si>
  <si>
    <t>"䬀"</t>
  </si>
  <si>
    <t>"䬁"</t>
  </si>
  <si>
    <t>"䬂"</t>
  </si>
  <si>
    <t>"䬃"</t>
  </si>
  <si>
    <t>"䬄"</t>
  </si>
  <si>
    <t>"䬅"</t>
  </si>
  <si>
    <t>"䬆"</t>
  </si>
  <si>
    <t>"䬇"</t>
  </si>
  <si>
    <t>"䬈"</t>
  </si>
  <si>
    <t>"䬉"</t>
  </si>
  <si>
    <t>"䬊"</t>
  </si>
  <si>
    <t>"䬋"</t>
  </si>
  <si>
    <t>"䬌"</t>
  </si>
  <si>
    <t>"䬍"</t>
  </si>
  <si>
    <t>"䬎"</t>
  </si>
  <si>
    <t>"䬏"</t>
  </si>
  <si>
    <t>"䬐"</t>
  </si>
  <si>
    <t>"䬑"</t>
  </si>
  <si>
    <t>"䬒"</t>
  </si>
  <si>
    <t>"䬓"</t>
  </si>
  <si>
    <t>"䬔"</t>
  </si>
  <si>
    <t>"䬕"</t>
  </si>
  <si>
    <t>"䬖"</t>
  </si>
  <si>
    <t>"䬗"</t>
  </si>
  <si>
    <t>"䬘"</t>
  </si>
  <si>
    <t>"䬙"</t>
  </si>
  <si>
    <t>"䬚"</t>
  </si>
  <si>
    <t>"䬛"</t>
  </si>
  <si>
    <t>"䬜"</t>
  </si>
  <si>
    <t>"䬝"</t>
  </si>
  <si>
    <t>"䬞"</t>
  </si>
  <si>
    <t>"䬟"</t>
  </si>
  <si>
    <t>"䬠"</t>
  </si>
  <si>
    <t>"䬡"</t>
  </si>
  <si>
    <t>"䬢"</t>
  </si>
  <si>
    <t>"䬣"</t>
  </si>
  <si>
    <t>"䬤"</t>
  </si>
  <si>
    <t>"䬥"</t>
  </si>
  <si>
    <t>"䬦"</t>
  </si>
  <si>
    <t>"䬧"</t>
  </si>
  <si>
    <t>"䬨"</t>
  </si>
  <si>
    <t>"䬩"</t>
  </si>
  <si>
    <t>"䬪"</t>
  </si>
  <si>
    <t>"䬫"</t>
  </si>
  <si>
    <t>"䬬"</t>
  </si>
  <si>
    <t>"䬭"</t>
  </si>
  <si>
    <t>"䬮"</t>
  </si>
  <si>
    <t>"䬯"</t>
  </si>
  <si>
    <t>"䬰"</t>
  </si>
  <si>
    <t>"䬱"</t>
  </si>
  <si>
    <t>"䬲"</t>
  </si>
  <si>
    <t>"䬳"</t>
  </si>
  <si>
    <t>"䬴"</t>
  </si>
  <si>
    <t>"䬵"</t>
  </si>
  <si>
    <t>"䬶"</t>
  </si>
  <si>
    <t>"䬷"</t>
  </si>
  <si>
    <t>"䬸"</t>
  </si>
  <si>
    <t>"䬹"</t>
  </si>
  <si>
    <t>"䬺"</t>
  </si>
  <si>
    <t>"䬻"</t>
  </si>
  <si>
    <t>"䬼"</t>
  </si>
  <si>
    <t>"䬽"</t>
  </si>
  <si>
    <t>"䬾"</t>
  </si>
  <si>
    <t>"䬿"</t>
  </si>
  <si>
    <t>"䭀"</t>
  </si>
  <si>
    <t>"䭁"</t>
  </si>
  <si>
    <t>"䭂"</t>
  </si>
  <si>
    <t>"䭃"</t>
  </si>
  <si>
    <t>"䭄"</t>
  </si>
  <si>
    <t>"䭅"</t>
  </si>
  <si>
    <t>"䭆"</t>
  </si>
  <si>
    <t>"䭇"</t>
  </si>
  <si>
    <t>"䭈"</t>
  </si>
  <si>
    <t>"䭉"</t>
  </si>
  <si>
    <t>"䭊"</t>
  </si>
  <si>
    <t>"䭋"</t>
  </si>
  <si>
    <t>"䭌"</t>
  </si>
  <si>
    <t>"䭍"</t>
  </si>
  <si>
    <t>"䭎"</t>
  </si>
  <si>
    <t>"䭏"</t>
  </si>
  <si>
    <t>"䭐"</t>
  </si>
  <si>
    <t>"䭑"</t>
  </si>
  <si>
    <t>"䭒"</t>
  </si>
  <si>
    <t>"䭓"</t>
  </si>
  <si>
    <t>"䭔"</t>
  </si>
  <si>
    <t>"䭕"</t>
  </si>
  <si>
    <t>"䭖"</t>
  </si>
  <si>
    <t>"䭗"</t>
  </si>
  <si>
    <t>"䭘"</t>
  </si>
  <si>
    <t>"䭙"</t>
  </si>
  <si>
    <t>"䭚"</t>
  </si>
  <si>
    <t>"䭛"</t>
  </si>
  <si>
    <t>"䭜"</t>
  </si>
  <si>
    <t>"䭝"</t>
  </si>
  <si>
    <t>"䭞"</t>
  </si>
  <si>
    <t>"䭟"</t>
  </si>
  <si>
    <t>"䭠"</t>
  </si>
  <si>
    <t>"䭡"</t>
  </si>
  <si>
    <t>"䭢"</t>
  </si>
  <si>
    <t>"䭣"</t>
  </si>
  <si>
    <t>"䭤"</t>
  </si>
  <si>
    <t>"䭥"</t>
  </si>
  <si>
    <t>"䭦"</t>
  </si>
  <si>
    <t>"䭧"</t>
  </si>
  <si>
    <t>"䭨"</t>
  </si>
  <si>
    <t>"䭩"</t>
  </si>
  <si>
    <t>"䭪"</t>
  </si>
  <si>
    <t>"䭫"</t>
  </si>
  <si>
    <t>"䭬"</t>
  </si>
  <si>
    <t>"䭭"</t>
  </si>
  <si>
    <t>"䭮"</t>
  </si>
  <si>
    <t>"䭯"</t>
  </si>
  <si>
    <t>"䭰"</t>
  </si>
  <si>
    <t>"䭱"</t>
  </si>
  <si>
    <t>"䭲"</t>
  </si>
  <si>
    <t>"䭳"</t>
  </si>
  <si>
    <t>"䭴"</t>
  </si>
  <si>
    <t>"䭵"</t>
  </si>
  <si>
    <t>"䭶"</t>
  </si>
  <si>
    <t>"䭷"</t>
  </si>
  <si>
    <t>"䭸"</t>
  </si>
  <si>
    <t>"䭹"</t>
  </si>
  <si>
    <t>"䭺"</t>
  </si>
  <si>
    <t>"䭻"</t>
  </si>
  <si>
    <t>"䭼"</t>
  </si>
  <si>
    <t>"䭽"</t>
  </si>
  <si>
    <t>"䭾"</t>
  </si>
  <si>
    <t>"䭿"</t>
  </si>
  <si>
    <t>"䮀"</t>
  </si>
  <si>
    <t>"䮁"</t>
  </si>
  <si>
    <t>"䮂"</t>
  </si>
  <si>
    <t>"䮃"</t>
  </si>
  <si>
    <t>"䮄"</t>
  </si>
  <si>
    <t>"䮅"</t>
  </si>
  <si>
    <t>"䮆"</t>
  </si>
  <si>
    <t>"䮇"</t>
  </si>
  <si>
    <t>"䮈"</t>
  </si>
  <si>
    <t>"䮉"</t>
  </si>
  <si>
    <t>"䮊"</t>
  </si>
  <si>
    <t>"䮋"</t>
  </si>
  <si>
    <t>"䮌"</t>
  </si>
  <si>
    <t>"䮍"</t>
  </si>
  <si>
    <t>"䮎"</t>
  </si>
  <si>
    <t>"䮏"</t>
  </si>
  <si>
    <t>"䮐"</t>
  </si>
  <si>
    <t>"䮑"</t>
  </si>
  <si>
    <t>"䮒"</t>
  </si>
  <si>
    <t>"䮓"</t>
  </si>
  <si>
    <t>"䮔"</t>
  </si>
  <si>
    <t>"䮕"</t>
  </si>
  <si>
    <t>"䮖"</t>
  </si>
  <si>
    <t>"䮗"</t>
  </si>
  <si>
    <t>"䮘"</t>
  </si>
  <si>
    <t>"䮙"</t>
  </si>
  <si>
    <t>"䮚"</t>
  </si>
  <si>
    <t>"䮛"</t>
  </si>
  <si>
    <t>"䮜"</t>
  </si>
  <si>
    <t>"䮝"</t>
  </si>
  <si>
    <t>"䮞"</t>
  </si>
  <si>
    <t>"䮟"</t>
  </si>
  <si>
    <t>"䮠"</t>
  </si>
  <si>
    <t>"䮡"</t>
  </si>
  <si>
    <t>"䮢"</t>
  </si>
  <si>
    <t>"䮣"</t>
  </si>
  <si>
    <t>"䮤"</t>
  </si>
  <si>
    <t>"䮥"</t>
  </si>
  <si>
    <t>"䮦"</t>
  </si>
  <si>
    <t>"䮧"</t>
  </si>
  <si>
    <t>"䮨"</t>
  </si>
  <si>
    <t>"䮩"</t>
  </si>
  <si>
    <t>"䮪"</t>
  </si>
  <si>
    <t>"䮫"</t>
  </si>
  <si>
    <t>"䮬"</t>
  </si>
  <si>
    <t>"䮭"</t>
  </si>
  <si>
    <t>"䮮"</t>
  </si>
  <si>
    <t>"䮯"</t>
  </si>
  <si>
    <t>"䮰"</t>
  </si>
  <si>
    <t>"䮱"</t>
  </si>
  <si>
    <t>"䮲"</t>
  </si>
  <si>
    <t>"䮳"</t>
  </si>
  <si>
    <t>"䮴"</t>
  </si>
  <si>
    <t>"䮵"</t>
  </si>
  <si>
    <t>"䮶"</t>
  </si>
  <si>
    <t>"䮷"</t>
  </si>
  <si>
    <t>"䮸"</t>
  </si>
  <si>
    <t>"䮹"</t>
  </si>
  <si>
    <t>"䮺"</t>
  </si>
  <si>
    <t>"䮻"</t>
  </si>
  <si>
    <t>"䮼"</t>
  </si>
  <si>
    <t>"䮽"</t>
  </si>
  <si>
    <t>"䮾"</t>
  </si>
  <si>
    <t>"䮿"</t>
  </si>
  <si>
    <t>"䯀"</t>
  </si>
  <si>
    <t>"䯁"</t>
  </si>
  <si>
    <t>"䯂"</t>
  </si>
  <si>
    <t>"䯃"</t>
  </si>
  <si>
    <t>"䯄"</t>
  </si>
  <si>
    <t>"䯅"</t>
  </si>
  <si>
    <t>"䯆"</t>
  </si>
  <si>
    <t>"䯇"</t>
  </si>
  <si>
    <t>"䯈"</t>
  </si>
  <si>
    <t>"䯉"</t>
  </si>
  <si>
    <t>"䯊"</t>
  </si>
  <si>
    <t>"䯋"</t>
  </si>
  <si>
    <t>"䯌"</t>
  </si>
  <si>
    <t>"䯍"</t>
  </si>
  <si>
    <t>"䯎"</t>
  </si>
  <si>
    <t>"䯏"</t>
  </si>
  <si>
    <t>"䯐"</t>
  </si>
  <si>
    <t>"䯑"</t>
  </si>
  <si>
    <t>"䯒"</t>
  </si>
  <si>
    <t>"䯓"</t>
  </si>
  <si>
    <t>"䯔"</t>
  </si>
  <si>
    <t>"䯕"</t>
  </si>
  <si>
    <t>"䯖"</t>
  </si>
  <si>
    <t>"䯗"</t>
  </si>
  <si>
    <t>"䯘"</t>
  </si>
  <si>
    <t>"䯙"</t>
  </si>
  <si>
    <t>"䯚"</t>
  </si>
  <si>
    <t>"䯛"</t>
  </si>
  <si>
    <t>"䯜"</t>
  </si>
  <si>
    <t>"䯝"</t>
  </si>
  <si>
    <t>"䯞"</t>
  </si>
  <si>
    <t>"䯟"</t>
  </si>
  <si>
    <t>"䯠"</t>
  </si>
  <si>
    <t>"䯡"</t>
  </si>
  <si>
    <t>"䯢"</t>
  </si>
  <si>
    <t>"䯣"</t>
  </si>
  <si>
    <t>"䯤"</t>
  </si>
  <si>
    <t>"䯥"</t>
  </si>
  <si>
    <t>"䯦"</t>
  </si>
  <si>
    <t>"䯧"</t>
  </si>
  <si>
    <t>"䯨"</t>
  </si>
  <si>
    <t>"䯩"</t>
  </si>
  <si>
    <t>"䯪"</t>
  </si>
  <si>
    <t>"䯫"</t>
  </si>
  <si>
    <t>"䯬"</t>
  </si>
  <si>
    <t>"䯭"</t>
  </si>
  <si>
    <t>"䯮"</t>
  </si>
  <si>
    <t>"䯯"</t>
  </si>
  <si>
    <t>"䯰"</t>
  </si>
  <si>
    <t>"䯱"</t>
  </si>
  <si>
    <t>"䯲"</t>
  </si>
  <si>
    <t>"䯳"</t>
  </si>
  <si>
    <t>"䯴"</t>
  </si>
  <si>
    <t>"䯵"</t>
  </si>
  <si>
    <t>"䯶"</t>
  </si>
  <si>
    <t>"䯷"</t>
  </si>
  <si>
    <t>"䯸"</t>
  </si>
  <si>
    <t>"䯹"</t>
  </si>
  <si>
    <t>"䯺"</t>
  </si>
  <si>
    <t>"䯻"</t>
  </si>
  <si>
    <t>"䯼"</t>
  </si>
  <si>
    <t>"䯽"</t>
  </si>
  <si>
    <t>"䯾"</t>
  </si>
  <si>
    <t>"䯿"</t>
  </si>
  <si>
    <t>"䰀"</t>
  </si>
  <si>
    <t>"䰁"</t>
  </si>
  <si>
    <t>"䰂"</t>
  </si>
  <si>
    <t>"䰃"</t>
  </si>
  <si>
    <t>"䰄"</t>
  </si>
  <si>
    <t>"䰅"</t>
  </si>
  <si>
    <t>"䰆"</t>
  </si>
  <si>
    <t>"䰇"</t>
  </si>
  <si>
    <t>"䰈"</t>
  </si>
  <si>
    <t>"䰉"</t>
  </si>
  <si>
    <t>"䰊"</t>
  </si>
  <si>
    <t>"䰋"</t>
  </si>
  <si>
    <t>"䰌"</t>
  </si>
  <si>
    <t>"䰍"</t>
  </si>
  <si>
    <t>"䰎"</t>
  </si>
  <si>
    <t>"䰏"</t>
  </si>
  <si>
    <t>"䰐"</t>
  </si>
  <si>
    <t>"䰑"</t>
  </si>
  <si>
    <t>"䰒"</t>
  </si>
  <si>
    <t>"䰓"</t>
  </si>
  <si>
    <t>"䰔"</t>
  </si>
  <si>
    <t>"䰕"</t>
  </si>
  <si>
    <t>"䰖"</t>
  </si>
  <si>
    <t>"䰗"</t>
  </si>
  <si>
    <t>"䰘"</t>
  </si>
  <si>
    <t>"䰙"</t>
  </si>
  <si>
    <t>"䰚"</t>
  </si>
  <si>
    <t>"䰛"</t>
  </si>
  <si>
    <t>"䰜"</t>
  </si>
  <si>
    <t>"䰝"</t>
  </si>
  <si>
    <t>"䰞"</t>
  </si>
  <si>
    <t>"䰟"</t>
  </si>
  <si>
    <t>"䰠"</t>
  </si>
  <si>
    <t>"䰡"</t>
  </si>
  <si>
    <t>"䰢"</t>
  </si>
  <si>
    <t>"䰣"</t>
  </si>
  <si>
    <t>"䰤"</t>
  </si>
  <si>
    <t>"䰥"</t>
  </si>
  <si>
    <t>"䰦"</t>
  </si>
  <si>
    <t>"䰧"</t>
  </si>
  <si>
    <t>"䰨"</t>
  </si>
  <si>
    <t>"䰩"</t>
  </si>
  <si>
    <t>"䰪"</t>
  </si>
  <si>
    <t>"䰫"</t>
  </si>
  <si>
    <t>"䰬"</t>
  </si>
  <si>
    <t>☐ ☑ ☒</t>
  </si>
  <si>
    <t>✓</t>
  </si>
  <si>
    <t>Lister les 100 premiers reportings</t>
  </si>
  <si>
    <t>Supprimer les shapes et permettre de filtrer</t>
  </si>
  <si>
    <t>Invalider tous les levels si change au dessus</t>
  </si>
  <si>
    <t>Bug edition set of control (peut changer la phase)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</si>
  <si>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</si>
  <si>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</si>
  <si>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</si>
  <si>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</si>
  <si>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</si>
  <si>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</si>
  <si>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</si>
  <si>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</si>
  <si>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</si>
  <si>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</si>
  <si>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</si>
  <si>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</si>
  <si>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</si>
  <si>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</si>
  <si>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</si>
  <si>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</si>
  <si>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</si>
  <si>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</si>
  <si>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</si>
  <si>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</si>
  <si>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</si>
  <si>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</si>
  <si>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</si>
  <si>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</si>
  <si>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</si>
  <si>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</si>
  <si>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</si>
  <si>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</si>
  <si>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</si>
  <si>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</si>
  <si>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</si>
  <si>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</si>
  <si>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</si>
  <si>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</si>
  <si>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</si>
  <si>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</si>
  <si>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</si>
  <si>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</si>
  <si>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</si>
  <si>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</si>
  <si>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</si>
  <si>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</si>
  <si>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</si>
  <si>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</si>
  <si>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</si>
  <si>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</si>
  <si>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</si>
  <si>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</si>
  <si>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</si>
  <si>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</si>
  <si>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</si>
  <si>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</si>
  <si>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</si>
  <si>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</si>
  <si>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</si>
  <si>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</si>
  <si>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</si>
  <si>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</si>
  <si>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</si>
  <si>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</si>
  <si>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</si>
  <si>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</si>
  <si>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</si>
  <si>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</si>
  <si>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</si>
  <si>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</si>
  <si>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</si>
  <si>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</si>
  <si>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</si>
  <si>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</si>
  <si>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</si>
  <si>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</si>
  <si>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</si>
  <si>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</si>
  <si>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</si>
  <si>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</si>
  <si>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</si>
  <si>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</si>
  <si>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</si>
  <si>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S002</t>
  </si>
  <si>
    <t>EUR</t>
  </si>
  <si>
    <t>0000.TOP</t>
  </si>
  <si>
    <t>1/1/2001  1:00:00 AM</t>
  </si>
  <si>
    <t>C</t>
  </si>
  <si>
    <t>2/24/2021  11:02:00 AM</t>
  </si>
  <si>
    <t>2/27/2021  11:02:00 AM</t>
  </si>
  <si>
    <t>2/26/2021  11:02:00 AM</t>
  </si>
  <si>
    <t>S001</t>
  </si>
  <si>
    <t>S003</t>
  </si>
  <si>
    <t>2000.04</t>
  </si>
  <si>
    <t>RF_ReadingList</t>
  </si>
  <si>
    <t>Reading list…</t>
  </si>
  <si>
    <t>Lecture de la liste…</t>
  </si>
  <si>
    <t>3/22/2021  10:32:49 AM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</si>
  <si>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-03-22T09:23:41Z","UpdateAuthor":-524286,"Descriptions":[{"CultureName":"fr-FR","Texts":{"LDesc":"Réel - 2000.03"}},{"CultureName":"en-US","Texts":{"LDesc":"Actual - 2000.03"}}],"ID":52428894,"LDesc":"Réel - 2000.03","Name":"A - 2000.03"},{"Phase":"A","UpdatePeriod":"2000.04","FrameworkVersion":"C","ReportingStartDate":"2021-02-24T10:02:00Z","ReportingEndDate":"2021-02-27T10:02:00Z","OwnerSite":100,"OwnerWorkgroup":0,"CreationDate":"2021-03-22T09:32:49Z","Author":-524286,"UpdateDate":"2021-03-22T09:32:49Z","UpdateAuthor":-524286,"Descriptions":[{"CultureName":"fr-FR","Texts":{"LDesc":"Réel - 2000.04"}},{"CultureName":"en-US","Texts":{"LDesc":"Actual - 2000.04"}}],"ID":52428896,"LDesc":"Réel - 2000.04","Name":"A - 2000.04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,{"Phase":"B","UpdatePeriod":"2000.06","FrameworkVersion":"T","ReportingStartDate":"2021-02-25T10:02:00Z","ReportingEndDate":"2021-02-27T09:02:00Z","OwnerSite":100,"OwnerWorkgroup":0,"CreationDate":"2021-03-19T11:28:23Z","Author":-524286,"UpdateDate":"2021-03-19T11:28:23Z","UpdateAuthor":-524286,"Descriptions":[{"CultureName":"fr-FR","Texts":{"LDesc":" - 2000.06"}},{"CultureName":"en-US","Texts":{"LDesc":"Budget - 2000.06"}}],"ID":52428895,"LDesc":" - 2000.06","Name":"B - 2000.06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fr-FR","Texts":{"LDesc":" - 2000.09"}},{"CultureName":"en-US","Texts":{"LDesc":"Budget - 2000.09"}}],"ID":52428893,"LDesc":"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fr-FR","Texts":{"LDesc":" - 2000.12"}},{"CultureName":"en-US","Texts":{"LDesc":"Budget - 2000.12"}}],"ID":52428892,"LDesc":" - 2000.12","Name":"B - 2000.12"}],"Messages":null}</t>
  </si>
  <si>
    <t xml:space="preserve"> </t>
  </si>
  <si>
    <t>Liasse </t>
  </si>
  <si>
    <t>Cahier Windows: défaut? </t>
  </si>
  <si>
    <t>Cahier Windows </t>
  </si>
  <si>
    <t>Cahier Internet: défaut? </t>
  </si>
  <si>
    <t>Cahier Internet </t>
  </si>
  <si>
    <t>Jeu de contrôles: défaut? </t>
  </si>
  <si>
    <t>Jeu de contrôles </t>
  </si>
  <si>
    <t>Niveau de contrôle: défaut? </t>
  </si>
  <si>
    <t>Niveau de contrôle </t>
  </si>
  <si>
    <t>Bloquant? </t>
  </si>
  <si>
    <t>Verrouillage: défaut? </t>
  </si>
  <si>
    <t>Verrouillage </t>
  </si>
  <si>
    <t>Jeu de règles: défaut? </t>
  </si>
  <si>
    <t>Jeu de règles </t>
  </si>
  <si>
    <t>A-nouveaux: défaut? </t>
  </si>
  <si>
    <t>A-nouveaux? </t>
  </si>
  <si>
    <t>AN Phase </t>
  </si>
  <si>
    <t>AN Exercice </t>
  </si>
  <si>
    <t>AN Périmètre </t>
  </si>
  <si>
    <t>AN Variante </t>
  </si>
  <si>
    <t>AN Devise </t>
  </si>
  <si>
    <t>Exploitation </t>
  </si>
  <si>
    <t>Date limite </t>
  </si>
  <si>
    <t>Publication anticipée? </t>
  </si>
  <si>
    <t>Après publication </t>
  </si>
  <si>
    <t>Publication standard </t>
  </si>
  <si>
    <t>Publication spéciale </t>
  </si>
  <si>
    <t>Publication avancée </t>
  </si>
  <si>
    <t>Niveau après pub. </t>
  </si>
  <si>
    <t>Après transfert </t>
  </si>
  <si>
    <t>Transfert standard </t>
  </si>
  <si>
    <t>Transfert spécial </t>
  </si>
  <si>
    <t>Transfert avancé </t>
  </si>
  <si>
    <t>Niveau après tran. </t>
  </si>
  <si>
    <t>P-A</t>
  </si>
  <si>
    <t>LEV2</t>
  </si>
  <si>
    <t>/api/metadata/Conso</t>
  </si>
  <si>
    <t>Conso</t>
  </si>
  <si>
    <t>{"Data":{"Dims":["Phase","Exercice","Périmètre","Variante de consolidation","Devise de consolidation"],"Nodes":[{"Desc":"Réel","Next":[{"Desc":"2003.Décembre","Next":[{"Desc":"","Next":[{"Desc":"IFRS - Cumulé","Next":[{"Desc":"Euro","Next":[],"Name":"EUR"}],"Name":"IFRSYTD"}],"Name":"TESTING"}],"Name":"2003.12"},{"Desc":"2004.Décembre","Next":[{"Desc":"","Next":[{"Desc":"IFRS - Cumulé","Next":[{"Desc":"Euro","Next":[],"Name":"EUR"}],"Name":"IFRSYTD"}],"Name":"TESTING"}],"Name":"2004.12"},{"Desc":"2010.Décembre","Next":[{"Desc":"Périmètre groupe ","Next":[{"Desc":"IFRS - Périodique","Next":[{"Desc":"Euro","Next":[],"Name":"EUR"}],"Name":"IFRSPER"}],"Name":"CORPORATE"}],"Name":"2010.12"},{"Desc":"2011.Mars","Next":[{"Desc":"Périmètre groupe ","Next":[{"Desc":"IFRS - Périodique","Next":[{"Desc":"Euro","Next":[],"Name":"EUR"}],"Name":"IFRSPER"}],"Name":"CORPORATE"}],"Name":"2011.03"},{"Desc":"2011.Juin","Next":[{"Desc":"Périmètre groupe ","Next":[{"Desc":"IFRS - Périodique","Next":[{"Desc":"Euro","Next":[],"Name":"EUR"}],"Name":"IFRSPER"}],"Name":"CORPORATE"}],"Name":"2011.06"},{"Desc":"2011.Septembre","Next":[{"Desc":"Périmètre groupe ","Next":[{"Desc":"IFRS - Périodique","Next":[{"Desc":"Euro","Next":[],"Name":"EUR"}],"Name":"IFRSPER"}],"Name":"CORPORATE"}],"Name":"2011.09"},{"Desc":"2011.Décembre","Next":[{"Desc":"Périmètre groupe ","Next":[{"Desc":"IFRS - Périodique","Next":[{"Desc":"Euro","Next":[],"Name":"EUR"}],"Name":"IFRSPER"}],"Name":"CORPORATE"}],"Name":"2011.12"},{"Desc":"2013.Décembre","Next":[{"Desc":"","Next":[{"Desc":"IFRS - Cumulé","Next":[{"Desc":"Euro","Next":[],"Name":"EUR"}],"Name":"IFRSYTD"}],"Name":"TESTING"}],"Name":"2013.12"},{"Desc":"2014.Décembre","Next":[{"Desc":"","Next":[{"Desc":"IFRS - Cumulé","Next":[{"Desc":"Euro","Next":[],"Name":"EUR"}],"Name":"IFRSYTD"}],"Name":"TESTING"}],"Name":"2014.12"},{"Desc":"2019.Décembre","Next":[{"Desc":"","Next":[{"Desc":"IFRS - Cumulé","Next":[{"Desc":"Dollar US","Next":[],"Name":"USD"}],"Name":"IFRSYTD"}],"Name":"CASE2"},{"Desc":"","Next":[{"Desc":"IFRS - Cumulé","Next":[{"Desc":"Dollar US","Next":[],"Name":"USD"}],"Name":"IFRSYTD"}],"Name":"CASE3"},{"Desc":"","Next":[{"Desc":"IFRS - Cumulé","Next":[{"Desc":"Dollar US","Next":[],"Name":"USD"}],"Name":"IFRSYTD"}],"Name":"CASE4"},{"Desc":"","Next":[{"Desc":"IFRS - Cumulé","Next":[{"Desc":"Dollar US","Next":[],"Name":"USD"}],"Name":"IFRSYTD"}],"Name":"CASE5"},{"Desc":"","Next":[{"Desc":"IFRS - Cumulé","Next":[{"Desc":"Dollar US","Next":[],"Name":"USD"}],"Name":"IFRSYTD"}],"Name":"CASE6"}],"Name":"2019.12"},{"Desc":"2020.Décembre","Next":[{"Desc":"","Next":[{"Desc":"IFRS - Cumulé","Next":[{"Desc":"Dollar US","Next":[],"Name":"USD"}],"Name":"IFRSYTD"}],"Name":"CASE2"},{"Desc":"","Next":[{"Desc":"IFRS - Cumulé","Next":[{"Desc":"Dollar US","Next":[],"Name":"USD"}],"Name":"IFRSYTD"}],"Name":"CASE3"},{"Desc":"","Next":[{"Desc":"IFRS - Cumulé","Next":[{"Desc":"Dollar US","Next":[],"Name":"USD"}],"Name":"IFRSYTD"}],"Name":"CASE4"},{"Desc":"","Next":[{"Desc":"IFRS - Cumulé","Next":[{"Desc":"Dollar US","Next":[],"Name":"USD"}],"Name":"IFRSYTD"}],"Name":"CASE5"},{"Desc":"","Next":[{"Desc":"IFRS - Cumulé","Next":[{"Desc":"Dollar US","Next":[],"Name":"USD"}],"Name":"IFRSYTD"}],"Name":"CASE6"},{"Desc":"","Next":[{"Desc":"IFRS - Cumulé","Next":[{"Desc":"Dollar US","Next":[],"Name":"USD"}],"Name":"IFRSYTD"}],"Name":"CASE7"}],"Name":"2020.12"},{"Desc":"2021.Décembre","Next":[{"Desc":"","Next":[{"Desc":"IFRS - Cumulé","Next":[{"Desc":"Dollar US","Next":[],"Name":"USD"}],"Name":"IFRSYTD"}],"Name":"CASE1-GW"},{"Desc":"","Next":[{"Desc":"IFRS - Cumulé","Next":[{"Desc":"Dollar US","Next":[],"Name":"USD"}],"Name":"IFRSYTD"}],"Name":"CASE2"},{"Desc":"","Next":[{"Desc":"IFRS - Cumulé","Next":[{"Desc":"Dollar US","Next":[],"Name":"USD"}],"Name":"IFRSYTD"}],"Name":"CASE3"},{"Desc":"","Next":[{"Desc":"IFRS - Cumulé","Next":[{"Desc":"Dollar US","Next":[],"Name":"USD"}],"Name":"IFRSYTD"}],"Name":"CASE4"},{"Desc":"","Next":[{"Desc":"IFRS - Cumulé","Next":[{"Desc":"Dollar US","Next":[],"Name":"USD"}],"Name":"IFRSYTD"}],"Name":"CASE5"},{"Desc":"","Next":[{"Desc":"IFRS - Cumulé","Next":[{"Desc":"Dollar US","Next":[],"Name":"USD"}],"Name":"IFRSYTD"}],"Name":"CASE6"},{"Desc":"","Next":[{"Desc":"IFRS - Cumulé","Next":[{"Desc":"Dollar US","Next":[],"Name":"USD"}],"Name":"IFRSYTD"}],"Name":"CASE7"}],"Name":"2021.12"}],"Name":"A"}]},"Messages":{"Messages":[],"UsedHints":{}}}</t>
  </si>
  <si>
    <t>TESTING</t>
  </si>
  <si>
    <t>IFRSYTD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</si>
</sst>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m/yyyy\ hh:mm:ss"/>
    <numFmt numFmtId="165" formatCode="[$-2000401]0"/>
    <numFmt numFmtId="166" formatCode="[$-3000401]0"/>
    <numFmt numFmtId="167" formatCode="\✓;\✓;\☐;\☐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rgb="FF24272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6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49" fontId="8" fillId="0" borderId="0" xfId="0" applyNumberFormat="1" applyFont="1" applyFill="1" applyBorder="1" applyAlignment="1" applyProtection="1"/>
    <xf numFmtId="0" fontId="0" fillId="0" borderId="1" xfId="0" applyFont="1" applyBorder="1" applyAlignment="1">
      <alignment vertical="center"/>
    </xf>
    <xf numFmtId="0" fontId="0" fillId="5" borderId="1" xfId="0" applyFont="1" applyFill="1" applyBorder="1"/>
    <xf numFmtId="0" fontId="0" fillId="5" borderId="1" xfId="0" applyFont="1" applyFill="1" applyBorder="1" applyAlignment="1">
      <alignment vertical="center"/>
    </xf>
    <xf numFmtId="0" fontId="0" fillId="0" borderId="1" xfId="0" applyFont="1" applyBorder="1"/>
    <xf numFmtId="165" fontId="0" fillId="0" borderId="0" xfId="0" applyNumberFormat="1"/>
    <xf numFmtId="166" fontId="0" fillId="0" borderId="0" xfId="0" applyNumberFormat="1"/>
    <xf numFmtId="0" fontId="0" fillId="0" borderId="0" xfId="0" applyFont="1"/>
    <xf numFmtId="0" fontId="9" fillId="0" borderId="0" xfId="0" applyFont="1"/>
    <xf numFmtId="49" fontId="0" fillId="0" borderId="0" xfId="0" applyNumberFormat="1" applyAlignment="1">
      <alignment vertical="top" wrapText="1"/>
    </xf>
    <xf numFmtId="49" fontId="0" fillId="0" borderId="0" xfId="0" applyNumberFormat="1" applyAlignment="1" applyProtection="1">
      <alignment vertical="top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 vertical="top" wrapText="1"/>
    </xf>
    <xf numFmtId="0" fontId="6" fillId="3" borderId="1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top"/>
      <protection locked="0"/>
    </xf>
    <xf numFmtId="167" fontId="0" fillId="0" borderId="0" xfId="0" applyNumberFormat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0" fontId="0" fillId="0" borderId="1" xfId="0" applyFont="1" applyFill="1" applyBorder="1" applyAlignment="1">
      <alignment vertical="center"/>
    </xf>
    <xf numFmtId="0" fontId="0" fillId="0" borderId="1" xfId="0" applyFont="1" applyFill="1" applyBorder="1"/>
    <xf numFmtId="0" fontId="0" fillId="0" borderId="1" xfId="0" applyFill="1" applyBorder="1"/>
    <xf numFmtId="0" fontId="0" fillId="0" borderId="1" xfId="0" applyFill="1" applyBorder="1" applyAlignment="1">
      <alignment vertical="center"/>
    </xf>
  </cellXfs>
  <cellStyles count="2">
    <cellStyle name="Lien hypertexte" xfId="1" builtinId="8"/>
    <cellStyle name="Normal" xfId="0" builtinId="0"/>
  </cellStyles>
  <dxfs count="136">
    <dxf>
      <protection locked="1" hidden="0"/>
    </dxf>
    <dxf>
      <numFmt numFmtId="30" formatCode="@"/>
      <alignment horizontal="general" vertical="top" textRotation="0" indent="0" justifyLastLine="0" shrinkToFit="0" readingOrder="0"/>
      <protection locked="1" hidden="0"/>
    </dxf>
    <dxf>
      <numFmt numFmtId="30" formatCode="@"/>
      <alignment horizontal="general" vertical="top" textRotation="0" indent="0" justifyLastLine="0" shrinkToFit="0" readingOrder="0"/>
      <protection locked="1" hidden="0"/>
    </dxf>
    <dxf>
      <numFmt numFmtId="30" formatCode="@"/>
      <alignment horizontal="general" vertical="top" textRotation="0" indent="0" justifyLastLine="0" shrinkToFit="0" readingOrder="0"/>
      <protection locked="1" hidden="0"/>
    </dxf>
    <dxf>
      <numFmt numFmtId="30" formatCode="@"/>
      <alignment horizontal="general" vertical="top" textRotation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167" formatCode="\✓;\✓;\☐;\☐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top" textRotation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numFmt numFmtId="30" formatCode="@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Génération des reportings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0.94 du 21 03 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6</xdr:row>
      <xdr:rowOff>0</xdr:rowOff>
    </xdr:to>
    <xdr:sp macro="JSON_TableHeaderClick" textlink="$B$4">
      <xdr:nvSpPr>
        <xdr:cNvPr id="2" name="tReporting52428894_1">
          <a:extLst>
            <a:ext uri="{FF2B5EF4-FFF2-40B4-BE49-F238E27FC236}">
              <a16:creationId xmlns:a16="http://schemas.microsoft.com/office/drawing/2014/main" id="{233BDDA1-DAA4-45E2-990C-39F13FABAA15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00E8AEC-02E8-410E-B96C-0181B41D45A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Unité</a:t>
          </a:fld>
          <a:endParaRPr lang="fr-FR" sz="1100"/>
        </a:p>
      </xdr:txBody>
    </xdr:sp>
    <xdr:clientData/>
  </xdr:twoCellAnchor>
  <xdr:twoCellAnchor>
    <xdr:from>
      <xdr:col>6</xdr:col>
      <xdr:colOff>0</xdr:colOff>
      <xdr:row>2</xdr:row>
      <xdr:rowOff>63500</xdr:rowOff>
    </xdr:from>
    <xdr:to>
      <xdr:col>7</xdr:col>
      <xdr:colOff>0</xdr:colOff>
      <xdr:row>6</xdr:row>
      <xdr:rowOff>0</xdr:rowOff>
    </xdr:to>
    <xdr:sp macro="JSON_TableHeaderClick" textlink="$G$4">
      <xdr:nvSpPr>
        <xdr:cNvPr id="3" name="tReporting52428894_6">
          <a:extLst>
            <a:ext uri="{FF2B5EF4-FFF2-40B4-BE49-F238E27FC236}">
              <a16:creationId xmlns:a16="http://schemas.microsoft.com/office/drawing/2014/main" id="{26863D7B-1AAA-4F2C-BDC5-8B5388AA1AD2}"/>
            </a:ext>
          </a:extLst>
        </xdr:cNvPr>
        <xdr:cNvSpPr/>
      </xdr:nvSpPr>
      <xdr:spPr>
        <a:xfrm>
          <a:off x="37528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5AC24E7-8D6E-425C-BE05-99F89F1D519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Liasse</a:t>
          </a:fld>
          <a:endParaRPr lang="fr-FR" sz="1100"/>
        </a:p>
      </xdr:txBody>
    </xdr:sp>
    <xdr:clientData/>
  </xdr:twoCellAnchor>
  <xdr:twoCellAnchor>
    <xdr:from>
      <xdr:col>27</xdr:col>
      <xdr:colOff>0</xdr:colOff>
      <xdr:row>2</xdr:row>
      <xdr:rowOff>63500</xdr:rowOff>
    </xdr:from>
    <xdr:to>
      <xdr:col>28</xdr:col>
      <xdr:colOff>0</xdr:colOff>
      <xdr:row>6</xdr:row>
      <xdr:rowOff>0</xdr:rowOff>
    </xdr:to>
    <xdr:sp macro="JSON_TableHeaderClick" textlink="$AB$4">
      <xdr:nvSpPr>
        <xdr:cNvPr id="4" name="tReporting52428894_27">
          <a:extLst>
            <a:ext uri="{FF2B5EF4-FFF2-40B4-BE49-F238E27FC236}">
              <a16:creationId xmlns:a16="http://schemas.microsoft.com/office/drawing/2014/main" id="{78E32248-0994-40F0-941E-433E74283F81}"/>
            </a:ext>
          </a:extLst>
        </xdr:cNvPr>
        <xdr:cNvSpPr/>
      </xdr:nvSpPr>
      <xdr:spPr>
        <a:xfrm>
          <a:off x="184880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F9DEADFA-A38D-4B48-9B8F-AF7F65156CD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Exploitation</a:t>
          </a:fld>
          <a:endParaRPr lang="fr-FR" sz="1100"/>
        </a:p>
      </xdr:txBody>
    </xdr:sp>
    <xdr:clientData/>
  </xdr:twoCellAnchor>
  <xdr:twoCellAnchor>
    <xdr:from>
      <xdr:col>31</xdr:col>
      <xdr:colOff>0</xdr:colOff>
      <xdr:row>2</xdr:row>
      <xdr:rowOff>63500</xdr:rowOff>
    </xdr:from>
    <xdr:to>
      <xdr:col>32</xdr:col>
      <xdr:colOff>0</xdr:colOff>
      <xdr:row>6</xdr:row>
      <xdr:rowOff>0</xdr:rowOff>
    </xdr:to>
    <xdr:sp macro="JSON_TableHeaderClick" textlink="$AF$4">
      <xdr:nvSpPr>
        <xdr:cNvPr id="5" name="tReporting52428894_31">
          <a:extLst>
            <a:ext uri="{FF2B5EF4-FFF2-40B4-BE49-F238E27FC236}">
              <a16:creationId xmlns:a16="http://schemas.microsoft.com/office/drawing/2014/main" id="{97133844-B9DA-43CA-A02C-F95621D1EC04}"/>
            </a:ext>
          </a:extLst>
        </xdr:cNvPr>
        <xdr:cNvSpPr/>
      </xdr:nvSpPr>
      <xdr:spPr>
        <a:xfrm>
          <a:off x="220122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1FA8684-C33E-4A61-AB60-6219752019D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publication</a:t>
          </a:fld>
          <a:endParaRPr lang="fr-FR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6</xdr:row>
      <xdr:rowOff>0</xdr:rowOff>
    </xdr:to>
    <xdr:sp macro="JSON_TableHeaderClick" textlink="$AL$4">
      <xdr:nvSpPr>
        <xdr:cNvPr id="6" name="tReporting52428894_37">
          <a:extLst>
            <a:ext uri="{FF2B5EF4-FFF2-40B4-BE49-F238E27FC236}">
              <a16:creationId xmlns:a16="http://schemas.microsoft.com/office/drawing/2014/main" id="{2936F740-388F-4F52-B070-382365E3B3CA}"/>
            </a:ext>
          </a:extLst>
        </xdr:cNvPr>
        <xdr:cNvSpPr/>
      </xdr:nvSpPr>
      <xdr:spPr>
        <a:xfrm>
          <a:off x="260318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63B918A-C45A-43C0-9DB2-737469BBAE4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transfert</a:t>
          </a:fld>
          <a:endParaRPr lang="fr-FR" sz="1100"/>
        </a:p>
      </xdr:txBody>
    </xdr:sp>
    <xdr:clientData/>
  </xdr:twoCellAnchor>
  <xdr:twoCellAnchor>
    <xdr:from>
      <xdr:col>43</xdr:col>
      <xdr:colOff>0</xdr:colOff>
      <xdr:row>2</xdr:row>
      <xdr:rowOff>63500</xdr:rowOff>
    </xdr:from>
    <xdr:to>
      <xdr:col>44</xdr:col>
      <xdr:colOff>0</xdr:colOff>
      <xdr:row>6</xdr:row>
      <xdr:rowOff>0</xdr:rowOff>
    </xdr:to>
    <xdr:sp macro="JSON_TableHeaderClick" textlink="$AR$4">
      <xdr:nvSpPr>
        <xdr:cNvPr id="7" name="tReporting52428894_43">
          <a:extLst>
            <a:ext uri="{FF2B5EF4-FFF2-40B4-BE49-F238E27FC236}">
              <a16:creationId xmlns:a16="http://schemas.microsoft.com/office/drawing/2014/main" id="{2EDA2DCF-645F-4D0F-9E20-75744747CDA0}"/>
            </a:ext>
          </a:extLst>
        </xdr:cNvPr>
        <xdr:cNvSpPr/>
      </xdr:nvSpPr>
      <xdr:spPr>
        <a:xfrm>
          <a:off x="300513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F921F6F1-B35D-405F-B779-A5F4CBA0C1F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Reporting</a:t>
          </a:fld>
          <a:endParaRPr lang="fr-FR" sz="1100"/>
        </a:p>
      </xdr:txBody>
    </xdr:sp>
    <xdr:clientData/>
  </xdr:twoCellAnchor>
  <xdr:twoCellAnchor>
    <xdr:from>
      <xdr:col>49</xdr:col>
      <xdr:colOff>0</xdr:colOff>
      <xdr:row>2</xdr:row>
      <xdr:rowOff>63500</xdr:rowOff>
    </xdr:from>
    <xdr:to>
      <xdr:col>50</xdr:col>
      <xdr:colOff>0</xdr:colOff>
      <xdr:row>6</xdr:row>
      <xdr:rowOff>0</xdr:rowOff>
    </xdr:to>
    <xdr:sp macro="JSON_TableHeaderClick" textlink="$AX$4">
      <xdr:nvSpPr>
        <xdr:cNvPr id="8" name="tReporting52428894_49">
          <a:extLst>
            <a:ext uri="{FF2B5EF4-FFF2-40B4-BE49-F238E27FC236}">
              <a16:creationId xmlns:a16="http://schemas.microsoft.com/office/drawing/2014/main" id="{5DCE273F-EF9C-459F-9210-124B5B8E7A54}"/>
            </a:ext>
          </a:extLst>
        </xdr:cNvPr>
        <xdr:cNvSpPr/>
      </xdr:nvSpPr>
      <xdr:spPr>
        <a:xfrm>
          <a:off x="356711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6035FDA-5237-4B94-B47C-182D0DC1033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Libellés</a:t>
          </a:fld>
          <a:endParaRPr lang="fr-FR" sz="1100"/>
        </a:p>
      </xdr:txBody>
    </xdr:sp>
    <xdr:clientData/>
  </xdr:twoCellAnchor>
  <xdr:twoCellAnchor>
    <xdr:from>
      <xdr:col>50</xdr:col>
      <xdr:colOff>0</xdr:colOff>
      <xdr:row>2</xdr:row>
      <xdr:rowOff>63500</xdr:rowOff>
    </xdr:from>
    <xdr:to>
      <xdr:col>51</xdr:col>
      <xdr:colOff>0</xdr:colOff>
      <xdr:row>6</xdr:row>
      <xdr:rowOff>0</xdr:rowOff>
    </xdr:to>
    <xdr:sp macro="JSON_TableHeaderClick" textlink="$AY$4">
      <xdr:nvSpPr>
        <xdr:cNvPr id="9" name="tReporting52428894_50">
          <a:extLst>
            <a:ext uri="{FF2B5EF4-FFF2-40B4-BE49-F238E27FC236}">
              <a16:creationId xmlns:a16="http://schemas.microsoft.com/office/drawing/2014/main" id="{3FCF6FB0-552A-4FB5-92A6-7F6D69408ADC}"/>
            </a:ext>
          </a:extLst>
        </xdr:cNvPr>
        <xdr:cNvSpPr/>
      </xdr:nvSpPr>
      <xdr:spPr>
        <a:xfrm>
          <a:off x="361188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F5651E6-4A39-41D0-8A86-2DEDDEB814F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Liasse</a:t>
          </a:fld>
          <a:endParaRPr lang="fr-FR" sz="1100"/>
        </a:p>
      </xdr:txBody>
    </xdr:sp>
    <xdr:clientData/>
  </xdr:twoCellAnchor>
  <xdr:twoCellAnchor>
    <xdr:from>
      <xdr:col>71</xdr:col>
      <xdr:colOff>0</xdr:colOff>
      <xdr:row>2</xdr:row>
      <xdr:rowOff>63500</xdr:rowOff>
    </xdr:from>
    <xdr:to>
      <xdr:col>72</xdr:col>
      <xdr:colOff>0</xdr:colOff>
      <xdr:row>6</xdr:row>
      <xdr:rowOff>0</xdr:rowOff>
    </xdr:to>
    <xdr:sp macro="JSON_TableHeaderClick" textlink="$BT$4">
      <xdr:nvSpPr>
        <xdr:cNvPr id="10" name="tReporting52428894_71">
          <a:extLst>
            <a:ext uri="{FF2B5EF4-FFF2-40B4-BE49-F238E27FC236}">
              <a16:creationId xmlns:a16="http://schemas.microsoft.com/office/drawing/2014/main" id="{F31D7616-59D4-45B0-9940-FFC3217D8FC8}"/>
            </a:ext>
          </a:extLst>
        </xdr:cNvPr>
        <xdr:cNvSpPr/>
      </xdr:nvSpPr>
      <xdr:spPr>
        <a:xfrm>
          <a:off x="508539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15AAA588-CD49-4033-A0C8-677FCFACCC6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Exploitation</a:t>
          </a:fld>
          <a:endParaRPr lang="fr-FR" sz="1100"/>
        </a:p>
      </xdr:txBody>
    </xdr:sp>
    <xdr:clientData/>
  </xdr:twoCellAnchor>
  <xdr:twoCellAnchor>
    <xdr:from>
      <xdr:col>74</xdr:col>
      <xdr:colOff>0</xdr:colOff>
      <xdr:row>2</xdr:row>
      <xdr:rowOff>63500</xdr:rowOff>
    </xdr:from>
    <xdr:to>
      <xdr:col>75</xdr:col>
      <xdr:colOff>0</xdr:colOff>
      <xdr:row>6</xdr:row>
      <xdr:rowOff>0</xdr:rowOff>
    </xdr:to>
    <xdr:sp macro="JSON_TableHeaderClick" textlink="$BW$4">
      <xdr:nvSpPr>
        <xdr:cNvPr id="11" name="tReporting52428894_74">
          <a:extLst>
            <a:ext uri="{FF2B5EF4-FFF2-40B4-BE49-F238E27FC236}">
              <a16:creationId xmlns:a16="http://schemas.microsoft.com/office/drawing/2014/main" id="{E63735B1-51BD-4F6E-BE79-6FB3861403AD}"/>
            </a:ext>
          </a:extLst>
        </xdr:cNvPr>
        <xdr:cNvSpPr/>
      </xdr:nvSpPr>
      <xdr:spPr>
        <a:xfrm>
          <a:off x="5359717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B698459-E198-4D18-B5B3-A2B9BB83F3C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publication</a:t>
          </a:fld>
          <a:endParaRPr lang="fr-FR" sz="1100"/>
        </a:p>
      </xdr:txBody>
    </xdr:sp>
    <xdr:clientData/>
  </xdr:twoCellAnchor>
  <xdr:twoCellAnchor>
    <xdr:from>
      <xdr:col>79</xdr:col>
      <xdr:colOff>0</xdr:colOff>
      <xdr:row>2</xdr:row>
      <xdr:rowOff>63500</xdr:rowOff>
    </xdr:from>
    <xdr:to>
      <xdr:col>80</xdr:col>
      <xdr:colOff>0</xdr:colOff>
      <xdr:row>6</xdr:row>
      <xdr:rowOff>0</xdr:rowOff>
    </xdr:to>
    <xdr:sp macro="JSON_TableHeaderClick" textlink="$CB$4">
      <xdr:nvSpPr>
        <xdr:cNvPr id="12" name="tReporting52428894_79">
          <a:extLst>
            <a:ext uri="{FF2B5EF4-FFF2-40B4-BE49-F238E27FC236}">
              <a16:creationId xmlns:a16="http://schemas.microsoft.com/office/drawing/2014/main" id="{F9956319-B952-4202-9C24-6B2CC08EA8CD}"/>
            </a:ext>
          </a:extLst>
        </xdr:cNvPr>
        <xdr:cNvSpPr/>
      </xdr:nvSpPr>
      <xdr:spPr>
        <a:xfrm>
          <a:off x="569023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C49D685-07E0-4D55-97B7-F3957FF2DBB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Après transfert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213CB2-5213-4ABE-987F-7CCDC0ED96C2}" name="tReportings" displayName="tReportings" ref="C14:F47" totalsRowShown="0" headerRowDxfId="5" dataDxfId="0">
  <autoFilter ref="C14:F47" xr:uid="{84178C28-BA31-4A5B-8391-6B77AF974710}"/>
  <tableColumns count="4">
    <tableColumn id="1" xr3:uid="{3ECDDAAB-A4FE-4B98-B0DF-60082AFCDEAA}" name="ID" dataDxfId="4"/>
    <tableColumn id="2" xr3:uid="{688C373B-6443-4176-B35A-8B01068A42AF}" name="Phase" dataDxfId="3"/>
    <tableColumn id="3" xr3:uid="{E4075248-B5A4-4D3D-863B-73B150241B58}" name="Exercice" dataDxfId="2"/>
    <tableColumn id="4" xr3:uid="{A9398269-240A-4D5C-869A-3E0EF816B556}" name="Date de création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77FBA1D-BE64-4AE4-B4D2-A18F752620D7}" name="tReporting52428894" displayName="tReporting52428894" ref="B6:CF9" totalsRowShown="0" headerRowDxfId="135" dataDxfId="134">
  <autoFilter ref="B6:CF9" xr:uid="{52154B01-334F-4AD6-A80F-80961A329E6F}"/>
  <tableColumns count="83">
    <tableColumn id="1" xr3:uid="{C571A25F-042A-4F04-9B0A-402B22ABA384}" name="Unité" dataDxfId="133"/>
    <tableColumn id="2" xr3:uid="{EDF912EF-4DEE-43A3-8686-C39F419D6009}" name="Code entité" dataDxfId="132"/>
    <tableColumn id="3" xr3:uid="{53EE1589-F2BE-478C-B038-3B60F9012321}" name="Devise" dataDxfId="131"/>
    <tableColumn id="4" xr3:uid="{BF5CD949-35D6-43D0-AD3B-04CFB44B0CCA}" name="Site de saisie" dataDxfId="130"/>
    <tableColumn id="5" xr3:uid="{C92FEC0E-13DA-4714-B527-46E3FED36F17}" name="Site de publication" dataDxfId="129"/>
    <tableColumn id="6" xr3:uid="{5BCF2675-1583-4C63-B9C5-F20294BDC7FB}" name="Liasse" dataDxfId="128"/>
    <tableColumn id="7" xr3:uid="{110EE269-5482-48FC-9B2E-DA3B43892B50}" name="Cahier Windows: défaut?" dataDxfId="127"/>
    <tableColumn id="8" xr3:uid="{7E7C6390-7E65-44CB-9315-396B333D162A}" name="Cahier Windows" dataDxfId="126"/>
    <tableColumn id="9" xr3:uid="{0088FA4A-8FA0-4863-948B-5EBD22149559}" name="Cahier Internet: défaut?" dataDxfId="125"/>
    <tableColumn id="10" xr3:uid="{B602BC50-A7E5-411A-A06A-AE64FAE80873}" name="Cahier Internet" dataDxfId="124"/>
    <tableColumn id="11" xr3:uid="{7F93EBE8-F235-4FF1-9497-E4AAC673616D}" name="Jeu de contrôles: défaut?" dataDxfId="123"/>
    <tableColumn id="12" xr3:uid="{1BE81855-3A1E-461A-9B40-DD574146C0BC}" name="Jeu de contrôles" dataDxfId="122"/>
    <tableColumn id="13" xr3:uid="{EC43CA0C-5188-4963-B05B-E11C42AEE768}" name="Niveau de contrôle: défaut?" dataDxfId="121"/>
    <tableColumn id="14" xr3:uid="{A6A1D6DB-5A4A-44BD-9B74-F4DED89003A1}" name="Niveau de contrôle" dataDxfId="120"/>
    <tableColumn id="15" xr3:uid="{0A529DCC-FFEF-49BD-9789-C9B57F2D1B1C}" name="Bloquant?" dataDxfId="119"/>
    <tableColumn id="16" xr3:uid="{9B8C297F-51B7-4EEC-B557-02941C51BEEE}" name="Verrouillage: défaut?" dataDxfId="118"/>
    <tableColumn id="17" xr3:uid="{D58D2D4E-892D-4B7B-B3EC-349B9FCE71B9}" name="Verrouillage" dataDxfId="117"/>
    <tableColumn id="18" xr3:uid="{72CF048F-C849-4B45-A8D6-6347939B65E5}" name="Jeu de règles: défaut?" dataDxfId="116"/>
    <tableColumn id="19" xr3:uid="{0A039916-BFA3-4312-9BA7-8E0CF38FA370}" name="Jeu de règles" dataDxfId="115"/>
    <tableColumn id="20" xr3:uid="{DAB685A4-5B66-4D16-9211-54741064D35B}" name="A-nouveaux: défaut?" dataDxfId="114"/>
    <tableColumn id="21" xr3:uid="{DF6BFEF4-B1C3-4A55-94AF-FB1FA5B7BFB6}" name="A-nouveaux?" dataDxfId="113"/>
    <tableColumn id="22" xr3:uid="{7E118BFD-9FC8-4E87-9248-A55D71E968C0}" name="AN Phase" dataDxfId="112"/>
    <tableColumn id="23" xr3:uid="{5CD2AB76-6C72-4B7B-8C8A-7812980CC81D}" name="AN Exercice" dataDxfId="111"/>
    <tableColumn id="24" xr3:uid="{76820CDE-F61C-45A1-B379-ECEC606AF176}" name="AN Périmètre" dataDxfId="110"/>
    <tableColumn id="25" xr3:uid="{E14DB1FA-7AFF-43B8-A6ED-1625273CB0AA}" name="AN Variante" dataDxfId="109"/>
    <tableColumn id="26" xr3:uid="{12EF0B16-1DB7-4151-AAF2-370F38EBE99F}" name="AN Devise" dataDxfId="108"/>
    <tableColumn id="27" xr3:uid="{D29EEA43-38C5-4579-8D24-148794CEC2DB}" name="Exploitation" dataDxfId="107"/>
    <tableColumn id="28" xr3:uid="{B8E39AA0-7340-4323-B418-25CE5331F4A4}" name="Exploitation: défaut?" dataDxfId="106"/>
    <tableColumn id="29" xr3:uid="{72F361B6-42CC-4CCF-B5B3-F1F9E350F1FD}" name="Date limite" dataDxfId="105"/>
    <tableColumn id="30" xr3:uid="{902738E2-34F5-4A65-9E25-00F883F951F2}" name="Publication anticipée?" dataDxfId="104"/>
    <tableColumn id="31" xr3:uid="{2AD16026-ABF4-49D7-854C-B79096850D87}" name="Après publication" dataDxfId="103"/>
    <tableColumn id="32" xr3:uid="{64ED49C8-9935-4DF4-AD8F-B9FED48322C2}" name="Après publication: défaut?" dataDxfId="102"/>
    <tableColumn id="33" xr3:uid="{210A3D40-0043-4491-BC0E-E47DA7021309}" name="Publication standard" dataDxfId="101"/>
    <tableColumn id="34" xr3:uid="{34AF47DF-0A9A-4A16-999D-57F6631A98F5}" name="Publication spéciale" dataDxfId="100"/>
    <tableColumn id="35" xr3:uid="{7384405F-926A-418A-9883-E9BD74C775B9}" name="Publication avancée" dataDxfId="99"/>
    <tableColumn id="36" xr3:uid="{A0990BD6-764B-415D-902E-3B1A50F2E3A2}" name="Niveau après pub." dataDxfId="98"/>
    <tableColumn id="37" xr3:uid="{2B818529-5282-448F-9997-69F94151DF8C}" name="Après transfert" dataDxfId="97"/>
    <tableColumn id="38" xr3:uid="{CBCFE50E-18BC-4694-800E-51CD3DAC724A}" name="Après transfert: défaut?" dataDxfId="96"/>
    <tableColumn id="39" xr3:uid="{7379E746-7C1A-48AF-84FF-009A921BD11D}" name="Transfert standard" dataDxfId="95"/>
    <tableColumn id="40" xr3:uid="{BD52212E-B481-4790-9F4A-DDDA191CC3C2}" name="Transfert spécial" dataDxfId="94"/>
    <tableColumn id="41" xr3:uid="{A5FD9A3F-26EA-47EE-B1A0-673A360D6327}" name="Transfert avancé" dataDxfId="93"/>
    <tableColumn id="42" xr3:uid="{8B92098A-1B13-400B-80CC-4EBAA7080C35}" name="Niveau après tran." dataDxfId="92"/>
    <tableColumn id="43" xr3:uid="{3EB31F1B-979A-426C-821C-19E47B5E4219}" name="Reporting" dataDxfId="91"/>
    <tableColumn id="44" xr3:uid="{2F42FCFD-FAE4-4476-94E0-2070759321AC}" name="Phase" dataDxfId="90"/>
    <tableColumn id="45" xr3:uid="{3E6C2CCB-2BDB-4EC6-99AF-9468697C734B}" name="Exercice" dataDxfId="89"/>
    <tableColumn id="46" xr3:uid="{47C6E6F9-E7B8-4DFB-9FBB-8AE31E8A8E44}" name="Version de référentiel" dataDxfId="88"/>
    <tableColumn id="47" xr3:uid="{0FB0031F-7720-4C99-A7B3-E48EA8B6F58F}" name="Début" dataDxfId="87"/>
    <tableColumn id="48" xr3:uid="{91AC51DE-D86C-4091-B1F3-28839C80992F}" name="Fin" dataDxfId="86"/>
    <tableColumn id="49" xr3:uid="{C029EC49-9406-4553-BD65-6E90BB33503E}" name="Libellés" dataDxfId="85"/>
    <tableColumn id="50" xr3:uid="{167BBDF2-5C2C-4AFF-A6FE-1522D4887782}" name="Liasse " dataDxfId="84"/>
    <tableColumn id="51" xr3:uid="{0E190494-4F21-4F68-9451-0C4C4AC039C7}" name="Cahier Windows: défaut? " dataDxfId="83"/>
    <tableColumn id="52" xr3:uid="{B923B01E-5776-41CA-98E3-187E6FD7B247}" name="Cahier Windows " dataDxfId="82"/>
    <tableColumn id="53" xr3:uid="{AA7C7058-AFD3-4990-BEDE-2252EB39AC80}" name="Cahier Internet: défaut? " dataDxfId="81"/>
    <tableColumn id="54" xr3:uid="{D6E0DFE4-E285-4106-BA02-1202B75B43A6}" name="Cahier Internet " dataDxfId="80"/>
    <tableColumn id="55" xr3:uid="{F771030A-6A16-4C3B-BDBA-292F8EA78C14}" name="Jeu de contrôles: défaut? " dataDxfId="79"/>
    <tableColumn id="56" xr3:uid="{37E084FC-3A52-4012-979B-8AD3FB7793DB}" name="Jeu de contrôles " dataDxfId="78"/>
    <tableColumn id="57" xr3:uid="{B4162E93-FFCD-4A58-8300-5F62DB1737AD}" name="Niveau de contrôle: défaut? " dataDxfId="77"/>
    <tableColumn id="58" xr3:uid="{E52221AB-920D-4D21-8467-12AE0E987DFB}" name="Niveau de contrôle " dataDxfId="76"/>
    <tableColumn id="59" xr3:uid="{EB4E3FB5-A257-4CC8-89C3-533170FAC476}" name="Bloquant? " dataDxfId="75"/>
    <tableColumn id="60" xr3:uid="{CAC750EE-0A76-470C-8C42-2EA42AEF534C}" name="Verrouillage: défaut? " dataDxfId="74"/>
    <tableColumn id="61" xr3:uid="{BC894FED-5B70-4FD0-AD06-B9A48D296518}" name="Verrouillage " dataDxfId="73"/>
    <tableColumn id="62" xr3:uid="{FF90260F-E21D-470A-B4C5-2293F5B4610C}" name="Jeu de règles: défaut? " dataDxfId="72"/>
    <tableColumn id="63" xr3:uid="{4466157A-9D65-41B2-B31C-72A32FEF2983}" name="Jeu de règles " dataDxfId="71"/>
    <tableColumn id="64" xr3:uid="{2BD4C833-DDCD-47AB-ABBE-F55890ECD6D4}" name="A-nouveaux: défaut? " dataDxfId="70"/>
    <tableColumn id="65" xr3:uid="{DFC8029B-B80F-4B9F-A723-10D4615D65AF}" name="A-nouveaux? " dataDxfId="69"/>
    <tableColumn id="66" xr3:uid="{9188FCA5-8590-41B9-B7CC-030E4A760BB8}" name="AN Phase " dataDxfId="68"/>
    <tableColumn id="67" xr3:uid="{EC72C33C-0ED2-4BB1-8F04-55280F5F3E1D}" name="AN Exercice " dataDxfId="67"/>
    <tableColumn id="68" xr3:uid="{CCB65A77-859C-41A4-BCF0-6F526B7868C7}" name="AN Périmètre " dataDxfId="66"/>
    <tableColumn id="69" xr3:uid="{23B1C58A-C68F-4587-8F33-001938DF89F1}" name="AN Variante " dataDxfId="65"/>
    <tableColumn id="70" xr3:uid="{9241AC9B-FED0-4627-91F3-B51E0CD53C65}" name="AN Devise " dataDxfId="64"/>
    <tableColumn id="71" xr3:uid="{662B88AB-ACBC-4E98-BF78-0F9A40F26D01}" name="Exploitation " dataDxfId="63"/>
    <tableColumn id="72" xr3:uid="{351209C0-63DF-4A8B-BED3-8128283B44B8}" name="Date limite " dataDxfId="62"/>
    <tableColumn id="73" xr3:uid="{7152904D-6F6E-47C2-A01E-60D865B86BE2}" name="Publication anticipée? " dataDxfId="61"/>
    <tableColumn id="74" xr3:uid="{F02CD8B7-D452-4F62-A763-C693A6AD8A9A}" name="Après publication " dataDxfId="60"/>
    <tableColumn id="75" xr3:uid="{32FA50B0-41E8-4CE5-A9D2-9B36AAEE9A0C}" name="Publication standard " dataDxfId="59"/>
    <tableColumn id="76" xr3:uid="{BC31214D-683E-47AF-BC84-A9E6569B3302}" name="Publication spéciale " dataDxfId="58"/>
    <tableColumn id="77" xr3:uid="{C54D5D65-5B66-4837-ABCB-3A1033B989B3}" name="Publication avancée " dataDxfId="57"/>
    <tableColumn id="78" xr3:uid="{40988F58-53D2-4579-B113-4E958B976D20}" name="Niveau après pub. " dataDxfId="56"/>
    <tableColumn id="79" xr3:uid="{62789363-FDF2-4CF6-B04C-064A367A929C}" name="Après transfert " dataDxfId="55"/>
    <tableColumn id="80" xr3:uid="{260B93A8-4AE3-45F1-9343-640B1A312B3F}" name="Transfert standard " dataDxfId="54"/>
    <tableColumn id="81" xr3:uid="{92162C5E-0012-4520-9B65-722DE8694E1E}" name="Transfert spécial " dataDxfId="53"/>
    <tableColumn id="82" xr3:uid="{4C17AFE3-A95C-4699-8DF0-EDC1DCC418C7}" name="Transfert avancé " dataDxfId="52"/>
    <tableColumn id="83" xr3:uid="{6A4E24C3-CA1E-4F89-81C2-C65B3159C6AF}" name="Niveau après tran. " dataDxfId="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9" totalsRowShown="0" dataDxfId="6">
  <autoFilter ref="A3:H119" xr:uid="{20495ABC-A0D8-40BE-8188-61D0FEE75739}"/>
  <tableColumns count="8">
    <tableColumn id="1" xr3:uid="{73903A16-45BE-4CB3-B71C-3468798E69E6}" name="ID" dataDxfId="14"/>
    <tableColumn id="3" xr3:uid="{02ADB156-C3E9-44A8-BC1B-FB2018DC836B}" name="Param1" dataDxfId="13"/>
    <tableColumn id="4" xr3:uid="{CF8C7CB6-4B86-4085-ACCC-19CBFD4C59FE}" name="Param2" dataDxfId="12"/>
    <tableColumn id="5" xr3:uid="{1227E0CB-DF13-4AEB-9B7C-A5B66DBC0C3F}" name="Param3" dataDxfId="11"/>
    <tableColumn id="6" xr3:uid="{2E60890B-30E9-4D21-92C9-7B06D14BAF00}" name="Param4" dataDxfId="10"/>
    <tableColumn id="7" xr3:uid="{03AC2232-F9FA-428A-BCAB-A8039123FBB5}" name="Param5" dataDxfId="9"/>
    <tableColumn id="9" xr3:uid="{5D6B89C0-1432-4927-AC0D-CC962FDD7705}" name="en_US" dataDxfId="8"/>
    <tableColumn id="8" xr3:uid="{8F5786B6-467E-46BD-A85E-B24EA01C31DC}" name="fr_FR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50">
  <autoFilter ref="B3:S91" xr:uid="{D9E8808B-D9E1-4272-8694-E8D5F2C45F29}"/>
  <tableColumns count="18">
    <tableColumn id="1" xr3:uid="{3A646773-BE89-4522-98D7-B786E44BE0DC}" name="Query" dataDxfId="49"/>
    <tableColumn id="9" xr3:uid="{C4EB6F9D-3EAD-42F0-84FF-9BBD170B0DE5}" name="Table" dataDxfId="48"/>
    <tableColumn id="8" xr3:uid="{70E4004F-52ED-4A60-A759-27AFE028F894}" name="I18N" dataDxfId="47"/>
    <tableColumn id="13" xr3:uid="{A78438C4-24D6-4E6E-A29B-E72CABDED5AB}" name="JSON Row Array" dataDxfId="46"/>
    <tableColumn id="16" xr3:uid="{02735810-2DA9-4B37-A9AB-CC1D7668127D}" name="Editable?" dataDxfId="45"/>
    <tableColumn id="2" xr3:uid="{DFC5B263-91CC-4653-8ADC-74A0368CD202}" name="JSON Column" dataDxfId="44"/>
    <tableColumn id="3" xr3:uid="{D5540814-CF2F-4ACB-B92D-22093C535E0C}" name="JSON Type" dataDxfId="43"/>
    <tableColumn id="11" xr3:uid="{EDC8EA7C-C33C-4E55-9909-B09F730AE94B}" name="Required" dataDxfId="42"/>
    <tableColumn id="4" xr3:uid="{8D0A36EB-752B-47BA-B4F5-009678ACFDD0}" name="Title" dataDxfId="41"/>
    <tableColumn id="12" xr3:uid="{B7222461-457D-4B90-9925-68BAF8D1E421}" name="Editor" dataDxfId="40"/>
    <tableColumn id="14" xr3:uid="{C8DD975C-C222-4560-AD83-9B3E4EF275CD}" name="Format" dataDxfId="39"/>
    <tableColumn id="15" xr3:uid="{30CC9560-5D67-406A-B687-D2883B19A560}" name="Level" dataDxfId="38"/>
    <tableColumn id="18" xr3:uid="{9414E3E8-B630-435F-9660-16EFF4CAEFD7}" name="Width" dataDxfId="37"/>
    <tableColumn id="5" xr3:uid="{3613A1E0-361B-4D77-AB85-A190D3D733FC}" name="Hidden" dataDxfId="36"/>
    <tableColumn id="17" xr3:uid="{AAA7A96E-0AF3-43EB-9CAA-11C66E543F5D}" name="ReturnCol" dataDxfId="35"/>
    <tableColumn id="6" xr3:uid="{4FC768DF-246E-41E4-8A37-38EE7A822849}" name="Command" dataDxfId="34"/>
    <tableColumn id="10" xr3:uid="{08F0F3AA-70C9-46BE-9E8F-F9089FF43A15}" name="Params" dataDxfId="33"/>
    <tableColumn id="7" xr3:uid="{C3148FB9-B4AC-439B-977D-F7DC6FE2F875}" name="Position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31">
  <autoFilter ref="B3:Q4" xr:uid="{D9E8808B-D9E1-4272-8694-E8D5F2C45F29}"/>
  <tableColumns count="16">
    <tableColumn id="1" xr3:uid="{848A5172-BE10-4671-A96C-19CB95280C30}" name="Query" dataDxfId="30"/>
    <tableColumn id="9" xr3:uid="{D4503C74-5BC6-42E3-9059-14AE6DF0435F}" name="Table" dataDxfId="29"/>
    <tableColumn id="8" xr3:uid="{6B1E570F-3015-4379-A06B-47DE792E9FF7}" name="I18N" dataDxfId="28"/>
    <tableColumn id="13" xr3:uid="{1F3DA983-C15A-44A1-9F86-08FE41BABCC4}" name="JSON Row Array" dataDxfId="27"/>
    <tableColumn id="2" xr3:uid="{2146287D-FA7C-4DC4-A184-861C99FB53FA}" name="JSON Column" dataDxfId="26"/>
    <tableColumn id="3" xr3:uid="{41F1B5AB-7B7D-4E20-9599-A4A18E607AC2}" name="JSON Type" dataDxfId="25"/>
    <tableColumn id="11" xr3:uid="{6B6D5F65-9066-427A-9E8E-83BC24FDA24E}" name="Required" dataDxfId="24"/>
    <tableColumn id="4" xr3:uid="{5632F87F-624C-41CA-9F02-FC8191282D24}" name="Title" dataDxfId="23"/>
    <tableColumn id="12" xr3:uid="{42F4ED45-AB09-422F-A7F0-D0219F6C21FB}" name="Editor" dataDxfId="22"/>
    <tableColumn id="14" xr3:uid="{2AA5569E-51E1-495E-B26C-0E3F01504CAF}" name="Format" dataDxfId="21"/>
    <tableColumn id="15" xr3:uid="{9FF31EFB-98A5-441C-AEEE-A8D70F766993}" name="Level" dataDxfId="20"/>
    <tableColumn id="5" xr3:uid="{AAEEF1F0-17A9-4995-BF9B-AB4346088E71}" name="Hidden" dataDxfId="19"/>
    <tableColumn id="6" xr3:uid="{7BDF45C7-3CB9-461B-82E3-465AF4328F16}" name="Command" dataDxfId="18"/>
    <tableColumn id="10" xr3:uid="{CC86848F-2654-487A-90EA-707ECEAFF905}" name="Params" dataDxfId="17"/>
    <tableColumn id="7" xr3:uid="{EB4FA941-2795-46FC-8CA9-7D002B610299}" name="Position" dataDxfId="16"/>
    <tableColumn id="17" xr3:uid="{CA1F3260-0D6C-4F7F-B7AE-4DFA8A856532}" name="ReturnCol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A1:AT81"/>
  <sheetViews>
    <sheetView showGridLines="0" showRowColHeaders="0" topLeftCell="A2" zoomScaleNormal="100" workbookViewId="0">
      <selection activeCell="D15" sqref="D15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1" spans="1:12" x14ac:dyDescent="0.25">
      <c r="A1" s="61"/>
    </row>
    <row r="3" spans="1:12" x14ac:dyDescent="0.25">
      <c r="D3" s="16"/>
    </row>
    <row r="4" spans="1:12" x14ac:dyDescent="0.25">
      <c r="B4" s="4" t="str" cm="1">
        <f t="array" ref="B4">I18N_T(cellLanguage, "RF_Title")</f>
        <v>Génération des reportings</v>
      </c>
      <c r="F4" s="11"/>
      <c r="I4" s="5" t="str" cm="1">
        <f t="array" ref="I4">I18N_Version(cellLanguage)</f>
        <v>Version 0.94 du 21 03 21</v>
      </c>
    </row>
    <row r="5" spans="1:12" x14ac:dyDescent="0.25">
      <c r="C5" s="19"/>
      <c r="D5" s="20"/>
      <c r="E5" s="21"/>
      <c r="F5" s="22"/>
    </row>
    <row r="6" spans="1:12" x14ac:dyDescent="0.25">
      <c r="C6" s="23"/>
      <c r="D6" s="23"/>
      <c r="E6" s="23"/>
      <c r="F6" s="23"/>
    </row>
    <row r="7" spans="1:12" x14ac:dyDescent="0.25">
      <c r="C7"/>
      <c r="D7"/>
      <c r="E7"/>
      <c r="F7"/>
    </row>
    <row r="10" spans="1:12" x14ac:dyDescent="0.25">
      <c r="C10"/>
      <c r="D10" s="10" t="str">
        <f>I18N_T(cellLanguage, "RF_Refresh")</f>
        <v>Mettre à jour la liste</v>
      </c>
      <c r="E10"/>
      <c r="F10"/>
      <c r="G10"/>
      <c r="I10" s="7"/>
      <c r="J10" s="7"/>
      <c r="L10" s="6"/>
    </row>
    <row r="11" spans="1:12" x14ac:dyDescent="0.25">
      <c r="C11"/>
      <c r="D11" s="40">
        <f>SUBTOTAL(103, INDEX(tReportings[], 0, MATCH($D$14,tReportings[#Headers], 0)))</f>
        <v>33</v>
      </c>
      <c r="E11"/>
      <c r="F11" s="24"/>
      <c r="G11"/>
      <c r="H11" s="16"/>
      <c r="I11" s="12"/>
      <c r="J11" s="12"/>
    </row>
    <row r="12" spans="1:12" hidden="1" x14ac:dyDescent="0.25">
      <c r="C12" s="20" t="str">
        <f>I18N_T(cellLanguage, "RF_ID")</f>
        <v>ID</v>
      </c>
      <c r="D12" s="21" t="str">
        <f>I18N_T(cellLanguage, "RF_Phase")</f>
        <v>Phase</v>
      </c>
      <c r="E12" s="21" t="str">
        <f>I18N_T(cellLanguage, "RF_UpdatePeriod")</f>
        <v>Exercice</v>
      </c>
      <c r="F12" s="22" t="str">
        <f>I18N_T(cellLanguage, "RF_CreationDate")</f>
        <v>Date de création</v>
      </c>
      <c r="G12"/>
      <c r="H12" s="16"/>
      <c r="I12" s="12"/>
      <c r="J12" s="12"/>
    </row>
    <row r="13" spans="1:12" ht="15" hidden="1" customHeight="1" x14ac:dyDescent="0.25">
      <c r="C13" s="2" t="s">
        <v>194</v>
      </c>
      <c r="D13" s="2" t="s">
        <v>195</v>
      </c>
      <c r="E13" s="2" t="s">
        <v>196</v>
      </c>
      <c r="F13" s="2" t="s">
        <v>197</v>
      </c>
      <c r="H13" s="16"/>
      <c r="I13" s="12"/>
      <c r="J13" s="12"/>
    </row>
    <row r="14" spans="1:12" ht="15" customHeight="1" x14ac:dyDescent="0.25">
      <c r="C14" s="51" t="s">
        <v>0</v>
      </c>
      <c r="D14" s="51" t="s">
        <v>39</v>
      </c>
      <c r="E14" s="51" t="s">
        <v>40</v>
      </c>
      <c r="F14" s="51" t="s">
        <v>47</v>
      </c>
      <c r="G14" s="4" t="s">
        <v>18187</v>
      </c>
      <c r="H14"/>
      <c r="I14"/>
      <c r="J14" s="12"/>
      <c r="L14" s="8"/>
    </row>
    <row r="15" spans="1:12" x14ac:dyDescent="0.25">
      <c r="C15" s="52">
        <v>52428894</v>
      </c>
      <c r="D15" s="52" t="s">
        <v>21</v>
      </c>
      <c r="E15" s="52" t="s">
        <v>678</v>
      </c>
      <c r="F15" s="52" t="s">
        <v>679</v>
      </c>
      <c r="H15" s="10" t="str">
        <f>I18N_T(cellLanguage, "RF_Modify")</f>
        <v>Modifier</v>
      </c>
      <c r="I15" s="10" t="str">
        <f>I18N_T(cellLanguage, "RF_Duplicate")</f>
        <v>Dupliquer</v>
      </c>
      <c r="J15" s="12"/>
    </row>
    <row r="16" spans="1:12" x14ac:dyDescent="0.25">
      <c r="C16" s="52">
        <v>52428896</v>
      </c>
      <c r="D16" s="52" t="s">
        <v>21</v>
      </c>
      <c r="E16" s="52" t="s">
        <v>18181</v>
      </c>
      <c r="F16" s="52" t="s">
        <v>18185</v>
      </c>
      <c r="H16" s="10" t="str">
        <f>I18N_T(cellLanguage, "RF_Modify")</f>
        <v>Modifier</v>
      </c>
      <c r="I16" s="10" t="str">
        <f>I18N_T(cellLanguage, "RF_Duplicate")</f>
        <v>Dupliquer</v>
      </c>
      <c r="J16" s="12"/>
    </row>
    <row r="17" spans="3:10" x14ac:dyDescent="0.25">
      <c r="C17" s="52">
        <v>52428888</v>
      </c>
      <c r="D17" s="52" t="s">
        <v>21</v>
      </c>
      <c r="E17" s="52" t="s">
        <v>589</v>
      </c>
      <c r="F17" s="52" t="s">
        <v>590</v>
      </c>
      <c r="H17" s="10" t="str">
        <f>I18N_T(cellLanguage, "RF_Modify")</f>
        <v>Modifier</v>
      </c>
      <c r="I17" s="10" t="str">
        <f>I18N_T(cellLanguage, "RF_Duplicate")</f>
        <v>Dupliquer</v>
      </c>
      <c r="J17" s="12"/>
    </row>
    <row r="18" spans="3:10" x14ac:dyDescent="0.25">
      <c r="C18" s="52">
        <v>52428859</v>
      </c>
      <c r="D18" s="52" t="s">
        <v>21</v>
      </c>
      <c r="E18" s="52" t="s">
        <v>591</v>
      </c>
      <c r="F18" s="52" t="s">
        <v>592</v>
      </c>
      <c r="H18" s="10" t="str">
        <f>I18N_T(cellLanguage, "RF_Modify")</f>
        <v>Modifier</v>
      </c>
      <c r="I18" s="10" t="str">
        <f>I18N_T(cellLanguage, "RF_Duplicate")</f>
        <v>Dupliquer</v>
      </c>
      <c r="J18" s="12"/>
    </row>
    <row r="19" spans="3:10" x14ac:dyDescent="0.25">
      <c r="C19" s="52">
        <v>52428858</v>
      </c>
      <c r="D19" s="52" t="s">
        <v>21</v>
      </c>
      <c r="E19" s="52" t="s">
        <v>593</v>
      </c>
      <c r="F19" s="52" t="s">
        <v>594</v>
      </c>
      <c r="H19" s="10" t="str">
        <f>I18N_T(cellLanguage, "RF_Modify")</f>
        <v>Modifier</v>
      </c>
      <c r="I19" s="10" t="str">
        <f>I18N_T(cellLanguage, "RF_Duplicate")</f>
        <v>Dupliquer</v>
      </c>
      <c r="J19" s="12"/>
    </row>
    <row r="20" spans="3:10" x14ac:dyDescent="0.25">
      <c r="C20" s="52">
        <v>52428847</v>
      </c>
      <c r="D20" s="52" t="s">
        <v>21</v>
      </c>
      <c r="E20" s="52" t="s">
        <v>595</v>
      </c>
      <c r="F20" s="52" t="s">
        <v>596</v>
      </c>
      <c r="H20" s="10" t="str">
        <f>I18N_T(cellLanguage, "RF_Modify")</f>
        <v>Modifier</v>
      </c>
      <c r="I20" s="10" t="str">
        <f>I18N_T(cellLanguage, "RF_Duplicate")</f>
        <v>Dupliquer</v>
      </c>
      <c r="J20" s="12"/>
    </row>
    <row r="21" spans="3:10" x14ac:dyDescent="0.25">
      <c r="C21" s="52">
        <v>52428855</v>
      </c>
      <c r="D21" s="52" t="s">
        <v>21</v>
      </c>
      <c r="E21" s="52" t="s">
        <v>597</v>
      </c>
      <c r="F21" s="52" t="s">
        <v>598</v>
      </c>
      <c r="H21" s="10" t="str">
        <f>I18N_T(cellLanguage, "RF_Modify")</f>
        <v>Modifier</v>
      </c>
      <c r="I21" s="10" t="str">
        <f>I18N_T(cellLanguage, "RF_Duplicate")</f>
        <v>Dupliquer</v>
      </c>
      <c r="J21" s="12"/>
    </row>
    <row r="22" spans="3:10" x14ac:dyDescent="0.25">
      <c r="C22" s="52">
        <v>52428853</v>
      </c>
      <c r="D22" s="52" t="s">
        <v>21</v>
      </c>
      <c r="E22" s="52" t="s">
        <v>599</v>
      </c>
      <c r="F22" s="52" t="s">
        <v>600</v>
      </c>
      <c r="H22" s="10" t="str">
        <f>I18N_T(cellLanguage, "RF_Modify")</f>
        <v>Modifier</v>
      </c>
      <c r="I22" s="10" t="str">
        <f>I18N_T(cellLanguage, "RF_Duplicate")</f>
        <v>Dupliquer</v>
      </c>
      <c r="J22" s="12"/>
    </row>
    <row r="23" spans="3:10" x14ac:dyDescent="0.25">
      <c r="C23" s="52">
        <v>52428851</v>
      </c>
      <c r="D23" s="52" t="s">
        <v>21</v>
      </c>
      <c r="E23" s="52" t="s">
        <v>601</v>
      </c>
      <c r="F23" s="52" t="s">
        <v>602</v>
      </c>
      <c r="H23" s="10" t="str">
        <f>I18N_T(cellLanguage, "RF_Modify")</f>
        <v>Modifier</v>
      </c>
      <c r="I23" s="10" t="str">
        <f>I18N_T(cellLanguage, "RF_Duplicate")</f>
        <v>Dupliquer</v>
      </c>
      <c r="J23" s="12"/>
    </row>
    <row r="24" spans="3:10" x14ac:dyDescent="0.25">
      <c r="C24" s="52">
        <v>52428848</v>
      </c>
      <c r="D24" s="52" t="s">
        <v>21</v>
      </c>
      <c r="E24" s="52" t="s">
        <v>603</v>
      </c>
      <c r="F24" s="52" t="s">
        <v>604</v>
      </c>
      <c r="H24" s="10" t="str">
        <f>I18N_T(cellLanguage, "RF_Modify")</f>
        <v>Modifier</v>
      </c>
      <c r="I24" s="10" t="str">
        <f>I18N_T(cellLanguage, "RF_Duplicate")</f>
        <v>Dupliquer</v>
      </c>
      <c r="J24" s="12"/>
    </row>
    <row r="25" spans="3:10" x14ac:dyDescent="0.25">
      <c r="C25" s="52">
        <v>52428841</v>
      </c>
      <c r="D25" s="52" t="s">
        <v>21</v>
      </c>
      <c r="E25" s="52" t="s">
        <v>605</v>
      </c>
      <c r="F25" s="52" t="s">
        <v>606</v>
      </c>
      <c r="H25" s="10" t="str">
        <f>I18N_T(cellLanguage, "RF_Modify")</f>
        <v>Modifier</v>
      </c>
      <c r="I25" s="10" t="str">
        <f>I18N_T(cellLanguage, "RF_Duplicate")</f>
        <v>Dupliquer</v>
      </c>
      <c r="J25" s="12"/>
    </row>
    <row r="26" spans="3:10" x14ac:dyDescent="0.25">
      <c r="C26" s="52">
        <v>52428840</v>
      </c>
      <c r="D26" s="52" t="s">
        <v>21</v>
      </c>
      <c r="E26" s="52" t="s">
        <v>607</v>
      </c>
      <c r="F26" s="52" t="s">
        <v>608</v>
      </c>
      <c r="H26" s="10" t="str">
        <f>I18N_T(cellLanguage, "RF_Modify")</f>
        <v>Modifier</v>
      </c>
      <c r="I26" s="10" t="str">
        <f>I18N_T(cellLanguage, "RF_Duplicate")</f>
        <v>Dupliquer</v>
      </c>
      <c r="J26" s="12"/>
    </row>
    <row r="27" spans="3:10" x14ac:dyDescent="0.25">
      <c r="C27" s="52">
        <v>52428838</v>
      </c>
      <c r="D27" s="52" t="s">
        <v>21</v>
      </c>
      <c r="E27" s="52" t="s">
        <v>609</v>
      </c>
      <c r="F27" s="52" t="s">
        <v>610</v>
      </c>
      <c r="H27" s="10" t="str">
        <f>I18N_T(cellLanguage, "RF_Modify")</f>
        <v>Modifier</v>
      </c>
      <c r="I27" s="10" t="str">
        <f>I18N_T(cellLanguage, "RF_Duplicate")</f>
        <v>Dupliquer</v>
      </c>
      <c r="J27" s="12"/>
    </row>
    <row r="28" spans="3:10" x14ac:dyDescent="0.25">
      <c r="C28" s="52">
        <v>52428832</v>
      </c>
      <c r="D28" s="52" t="s">
        <v>21</v>
      </c>
      <c r="E28" s="52" t="s">
        <v>611</v>
      </c>
      <c r="F28" s="52" t="s">
        <v>612</v>
      </c>
      <c r="H28" s="10" t="str">
        <f>I18N_T(cellLanguage, "RF_Modify")</f>
        <v>Modifier</v>
      </c>
      <c r="I28" s="10" t="str">
        <f>I18N_T(cellLanguage, "RF_Duplicate")</f>
        <v>Dupliquer</v>
      </c>
      <c r="J28" s="12"/>
    </row>
    <row r="29" spans="3:10" x14ac:dyDescent="0.25">
      <c r="C29" s="52">
        <v>52428830</v>
      </c>
      <c r="D29" s="52" t="s">
        <v>21</v>
      </c>
      <c r="E29" s="52" t="s">
        <v>613</v>
      </c>
      <c r="F29" s="52" t="s">
        <v>614</v>
      </c>
      <c r="H29" s="10" t="str">
        <f>I18N_T(cellLanguage, "RF_Modify")</f>
        <v>Modifier</v>
      </c>
      <c r="I29" s="10" t="str">
        <f>I18N_T(cellLanguage, "RF_Duplicate")</f>
        <v>Dupliquer</v>
      </c>
      <c r="J29" s="12"/>
    </row>
    <row r="30" spans="3:10" x14ac:dyDescent="0.25">
      <c r="C30" s="52">
        <v>52428829</v>
      </c>
      <c r="D30" s="52" t="s">
        <v>21</v>
      </c>
      <c r="E30" s="52" t="s">
        <v>615</v>
      </c>
      <c r="F30" s="52" t="s">
        <v>616</v>
      </c>
      <c r="H30" s="10" t="str">
        <f>I18N_T(cellLanguage, "RF_Modify")</f>
        <v>Modifier</v>
      </c>
      <c r="I30" s="10" t="str">
        <f>I18N_T(cellLanguage, "RF_Duplicate")</f>
        <v>Dupliquer</v>
      </c>
      <c r="J30" s="12"/>
    </row>
    <row r="31" spans="3:10" x14ac:dyDescent="0.25">
      <c r="C31" s="52">
        <v>52428827</v>
      </c>
      <c r="D31" s="52" t="s">
        <v>21</v>
      </c>
      <c r="E31" s="52" t="s">
        <v>617</v>
      </c>
      <c r="F31" s="52" t="s">
        <v>618</v>
      </c>
      <c r="H31" s="10" t="str">
        <f>I18N_T(cellLanguage, "RF_Modify")</f>
        <v>Modifier</v>
      </c>
      <c r="I31" s="10" t="str">
        <f>I18N_T(cellLanguage, "RF_Duplicate")</f>
        <v>Dupliquer</v>
      </c>
      <c r="J31" s="12"/>
    </row>
    <row r="32" spans="3:10" x14ac:dyDescent="0.25">
      <c r="C32" s="52">
        <v>79</v>
      </c>
      <c r="D32" s="52" t="s">
        <v>21</v>
      </c>
      <c r="E32" s="52" t="s">
        <v>619</v>
      </c>
      <c r="F32" s="52" t="s">
        <v>620</v>
      </c>
      <c r="H32" s="10" t="str">
        <f>I18N_T(cellLanguage, "RF_Modify")</f>
        <v>Modifier</v>
      </c>
      <c r="I32" s="10" t="str">
        <f>I18N_T(cellLanguage, "RF_Duplicate")</f>
        <v>Dupliquer</v>
      </c>
      <c r="J32" s="12"/>
    </row>
    <row r="33" spans="3:13" x14ac:dyDescent="0.25">
      <c r="C33" s="52">
        <v>77</v>
      </c>
      <c r="D33" s="52" t="s">
        <v>21</v>
      </c>
      <c r="E33" s="52" t="s">
        <v>621</v>
      </c>
      <c r="F33" s="52" t="s">
        <v>622</v>
      </c>
      <c r="H33" s="10" t="str">
        <f>I18N_T(cellLanguage, "RF_Modify")</f>
        <v>Modifier</v>
      </c>
      <c r="I33" s="10" t="str">
        <f>I18N_T(cellLanguage, "RF_Duplicate")</f>
        <v>Dupliquer</v>
      </c>
      <c r="J33" s="12"/>
    </row>
    <row r="34" spans="3:13" x14ac:dyDescent="0.25">
      <c r="C34" s="52">
        <v>55</v>
      </c>
      <c r="D34" s="52" t="s">
        <v>21</v>
      </c>
      <c r="E34" s="52" t="s">
        <v>623</v>
      </c>
      <c r="F34" s="52" t="s">
        <v>624</v>
      </c>
      <c r="H34" s="10" t="str">
        <f>I18N_T(cellLanguage, "RF_Modify")</f>
        <v>Modifier</v>
      </c>
      <c r="I34" s="10" t="str">
        <f>I18N_T(cellLanguage, "RF_Duplicate")</f>
        <v>Dupliquer</v>
      </c>
      <c r="J34" s="12"/>
    </row>
    <row r="35" spans="3:13" x14ac:dyDescent="0.25">
      <c r="C35" s="52">
        <v>67</v>
      </c>
      <c r="D35" s="52" t="s">
        <v>21</v>
      </c>
      <c r="E35" s="52" t="s">
        <v>625</v>
      </c>
      <c r="F35" s="52" t="s">
        <v>626</v>
      </c>
      <c r="H35" s="10" t="str">
        <f>I18N_T(cellLanguage, "RF_Modify")</f>
        <v>Modifier</v>
      </c>
      <c r="I35" s="10" t="str">
        <f>I18N_T(cellLanguage, "RF_Duplicate")</f>
        <v>Dupliquer</v>
      </c>
      <c r="J35" s="12"/>
    </row>
    <row r="36" spans="3:13" x14ac:dyDescent="0.25">
      <c r="C36" s="52">
        <v>68</v>
      </c>
      <c r="D36" s="52" t="s">
        <v>21</v>
      </c>
      <c r="E36" s="52" t="s">
        <v>627</v>
      </c>
      <c r="F36" s="52" t="s">
        <v>628</v>
      </c>
      <c r="H36" s="10" t="str">
        <f>I18N_T(cellLanguage, "RF_Modify")</f>
        <v>Modifier</v>
      </c>
      <c r="I36" s="10" t="str">
        <f>I18N_T(cellLanguage, "RF_Duplicate")</f>
        <v>Dupliquer</v>
      </c>
      <c r="J36" s="12"/>
    </row>
    <row r="37" spans="3:13" x14ac:dyDescent="0.25">
      <c r="C37" s="52">
        <v>69</v>
      </c>
      <c r="D37" s="52" t="s">
        <v>21</v>
      </c>
      <c r="E37" s="52" t="s">
        <v>629</v>
      </c>
      <c r="F37" s="52" t="s">
        <v>630</v>
      </c>
      <c r="H37" s="10" t="str">
        <f>I18N_T(cellLanguage, "RF_Modify")</f>
        <v>Modifier</v>
      </c>
      <c r="I37" s="10" t="str">
        <f>I18N_T(cellLanguage, "RF_Duplicate")</f>
        <v>Dupliquer</v>
      </c>
      <c r="J37" s="12"/>
    </row>
    <row r="38" spans="3:13" x14ac:dyDescent="0.25">
      <c r="C38" s="52">
        <v>56</v>
      </c>
      <c r="D38" s="52" t="s">
        <v>21</v>
      </c>
      <c r="E38" s="52" t="s">
        <v>631</v>
      </c>
      <c r="F38" s="52" t="s">
        <v>632</v>
      </c>
      <c r="H38" s="10" t="str">
        <f>I18N_T(cellLanguage, "RF_Modify")</f>
        <v>Modifier</v>
      </c>
      <c r="I38" s="10" t="str">
        <f>I18N_T(cellLanguage, "RF_Duplicate")</f>
        <v>Dupliquer</v>
      </c>
      <c r="J38" s="12"/>
    </row>
    <row r="39" spans="3:13" x14ac:dyDescent="0.25">
      <c r="C39" s="52">
        <v>52428802</v>
      </c>
      <c r="D39" s="52" t="s">
        <v>21</v>
      </c>
      <c r="E39" s="52" t="s">
        <v>633</v>
      </c>
      <c r="F39" s="52" t="s">
        <v>634</v>
      </c>
      <c r="H39" s="10" t="str">
        <f>I18N_T(cellLanguage, "RF_Modify")</f>
        <v>Modifier</v>
      </c>
      <c r="I39" s="10" t="str">
        <f>I18N_T(cellLanguage, "RF_Duplicate")</f>
        <v>Dupliquer</v>
      </c>
      <c r="J39" s="12"/>
    </row>
    <row r="40" spans="3:13" x14ac:dyDescent="0.25">
      <c r="C40" s="52">
        <v>71</v>
      </c>
      <c r="D40" s="52" t="s">
        <v>21</v>
      </c>
      <c r="E40" s="52" t="s">
        <v>635</v>
      </c>
      <c r="F40" s="52" t="s">
        <v>636</v>
      </c>
      <c r="H40" s="10" t="str">
        <f>I18N_T(cellLanguage, "RF_Modify")</f>
        <v>Modifier</v>
      </c>
      <c r="I40" s="10" t="str">
        <f>I18N_T(cellLanguage, "RF_Duplicate")</f>
        <v>Dupliquer</v>
      </c>
      <c r="J40" s="12"/>
    </row>
    <row r="41" spans="3:13" x14ac:dyDescent="0.25">
      <c r="C41" s="52">
        <v>73</v>
      </c>
      <c r="D41" s="52" t="s">
        <v>21</v>
      </c>
      <c r="E41" s="52" t="s">
        <v>637</v>
      </c>
      <c r="F41" s="52" t="s">
        <v>638</v>
      </c>
      <c r="H41" s="10" t="str">
        <f>I18N_T(cellLanguage, "RF_Modify")</f>
        <v>Modifier</v>
      </c>
      <c r="I41" s="10" t="str">
        <f>I18N_T(cellLanguage, "RF_Duplicate")</f>
        <v>Dupliquer</v>
      </c>
      <c r="J41" s="12"/>
    </row>
    <row r="42" spans="3:13" x14ac:dyDescent="0.25">
      <c r="C42" s="52">
        <v>61</v>
      </c>
      <c r="D42" s="52" t="s">
        <v>21</v>
      </c>
      <c r="E42" s="52" t="s">
        <v>639</v>
      </c>
      <c r="F42" s="52" t="s">
        <v>640</v>
      </c>
      <c r="H42" s="10" t="str">
        <f>I18N_T(cellLanguage, "RF_Modify")</f>
        <v>Modifier</v>
      </c>
      <c r="I42" s="10" t="str">
        <f>I18N_T(cellLanguage, "RF_Duplicate")</f>
        <v>Dupliquer</v>
      </c>
      <c r="J42" s="12"/>
    </row>
    <row r="43" spans="3:13" x14ac:dyDescent="0.25">
      <c r="C43" s="52">
        <v>59</v>
      </c>
      <c r="D43" s="52" t="s">
        <v>21</v>
      </c>
      <c r="E43" s="52" t="s">
        <v>641</v>
      </c>
      <c r="F43" s="52" t="s">
        <v>642</v>
      </c>
      <c r="H43" s="10" t="str">
        <f>I18N_T(cellLanguage, "RF_Modify")</f>
        <v>Modifier</v>
      </c>
      <c r="I43" s="10" t="str">
        <f>I18N_T(cellLanguage, "RF_Duplicate")</f>
        <v>Dupliquer</v>
      </c>
      <c r="J43" s="12"/>
    </row>
    <row r="44" spans="3:13" x14ac:dyDescent="0.25">
      <c r="C44" s="52">
        <v>60</v>
      </c>
      <c r="D44" s="52" t="s">
        <v>21</v>
      </c>
      <c r="E44" s="52" t="s">
        <v>643</v>
      </c>
      <c r="F44" s="52" t="s">
        <v>644</v>
      </c>
      <c r="H44" s="10" t="str">
        <f>I18N_T(cellLanguage, "RF_Modify")</f>
        <v>Modifier</v>
      </c>
      <c r="I44" s="10" t="str">
        <f>I18N_T(cellLanguage, "RF_Duplicate")</f>
        <v>Dupliquer</v>
      </c>
      <c r="J44" s="12"/>
    </row>
    <row r="45" spans="3:13" x14ac:dyDescent="0.25">
      <c r="C45" s="52">
        <v>52428895</v>
      </c>
      <c r="D45" s="52" t="s">
        <v>22</v>
      </c>
      <c r="E45" s="52" t="s">
        <v>668</v>
      </c>
      <c r="F45" s="52" t="s">
        <v>681</v>
      </c>
      <c r="H45" s="10" t="str">
        <f>I18N_T(cellLanguage, "RF_Modify")</f>
        <v>Modifier</v>
      </c>
      <c r="I45" s="10" t="str">
        <f>I18N_T(cellLanguage, "RF_Duplicate")</f>
        <v>Dupliquer</v>
      </c>
      <c r="J45" s="12"/>
    </row>
    <row r="46" spans="3:13" x14ac:dyDescent="0.25">
      <c r="C46" s="52">
        <v>52428893</v>
      </c>
      <c r="D46" s="52" t="s">
        <v>22</v>
      </c>
      <c r="E46" s="52" t="s">
        <v>659</v>
      </c>
      <c r="F46" s="52" t="s">
        <v>680</v>
      </c>
      <c r="H46" s="10" t="str">
        <f>I18N_T(cellLanguage, "RF_Modify")</f>
        <v>Modifier</v>
      </c>
      <c r="I46" s="10" t="str">
        <f>I18N_T(cellLanguage, "RF_Duplicate")</f>
        <v>Dupliquer</v>
      </c>
      <c r="J46" s="12"/>
    </row>
    <row r="47" spans="3:13" x14ac:dyDescent="0.25">
      <c r="C47" s="52">
        <v>52428892</v>
      </c>
      <c r="D47" s="52" t="s">
        <v>22</v>
      </c>
      <c r="E47" s="52" t="s">
        <v>589</v>
      </c>
      <c r="F47" s="52" t="s">
        <v>658</v>
      </c>
      <c r="H47" s="10" t="str">
        <f>I18N_T(cellLanguage, "RF_Modify")</f>
        <v>Modifier</v>
      </c>
      <c r="I47" s="10" t="str">
        <f>I18N_T(cellLanguage, "RF_Duplicate")</f>
        <v>Dupliquer</v>
      </c>
      <c r="J47" s="12"/>
    </row>
    <row r="48" spans="3:13" x14ac:dyDescent="0.25">
      <c r="M48"/>
    </row>
    <row r="49" spans="14:29" x14ac:dyDescent="0.25">
      <c r="N49"/>
    </row>
    <row r="50" spans="14:29" x14ac:dyDescent="0.25">
      <c r="O50"/>
    </row>
    <row r="51" spans="14:29" x14ac:dyDescent="0.25">
      <c r="P51"/>
    </row>
    <row r="52" spans="14:29" x14ac:dyDescent="0.25">
      <c r="Q52"/>
    </row>
    <row r="53" spans="14:29" x14ac:dyDescent="0.25">
      <c r="R53"/>
    </row>
    <row r="54" spans="14:29" x14ac:dyDescent="0.25">
      <c r="S54"/>
    </row>
    <row r="55" spans="14:29" x14ac:dyDescent="0.25">
      <c r="T55"/>
    </row>
    <row r="56" spans="14:29" x14ac:dyDescent="0.25">
      <c r="U56"/>
    </row>
    <row r="57" spans="14:29" x14ac:dyDescent="0.25">
      <c r="V57"/>
    </row>
    <row r="58" spans="14:29" x14ac:dyDescent="0.25">
      <c r="W58"/>
    </row>
    <row r="59" spans="14:29" x14ac:dyDescent="0.25">
      <c r="X59"/>
    </row>
    <row r="60" spans="14:29" x14ac:dyDescent="0.25">
      <c r="Y60"/>
    </row>
    <row r="61" spans="14:29" x14ac:dyDescent="0.25">
      <c r="Z61"/>
    </row>
    <row r="62" spans="14:29" x14ac:dyDescent="0.25">
      <c r="AA62"/>
    </row>
    <row r="63" spans="14:29" x14ac:dyDescent="0.25">
      <c r="AB63"/>
    </row>
    <row r="64" spans="14:29" x14ac:dyDescent="0.25">
      <c r="AC64"/>
    </row>
    <row r="65" spans="30:45" x14ac:dyDescent="0.25">
      <c r="AD65"/>
    </row>
    <row r="66" spans="30:45" x14ac:dyDescent="0.25">
      <c r="AE66"/>
    </row>
    <row r="67" spans="30:45" x14ac:dyDescent="0.25">
      <c r="AF67"/>
    </row>
    <row r="68" spans="30:45" x14ac:dyDescent="0.25">
      <c r="AG68"/>
    </row>
    <row r="69" spans="30:45" x14ac:dyDescent="0.25">
      <c r="AH69"/>
    </row>
    <row r="70" spans="30:45" x14ac:dyDescent="0.25">
      <c r="AI70"/>
    </row>
    <row r="71" spans="30:45" x14ac:dyDescent="0.25">
      <c r="AJ71"/>
    </row>
    <row r="72" spans="30:45" x14ac:dyDescent="0.25">
      <c r="AK72"/>
    </row>
    <row r="73" spans="30:45" x14ac:dyDescent="0.25">
      <c r="AL73"/>
    </row>
    <row r="74" spans="30:45" x14ac:dyDescent="0.25">
      <c r="AM74"/>
    </row>
    <row r="75" spans="30:45" x14ac:dyDescent="0.25">
      <c r="AN75"/>
    </row>
    <row r="76" spans="30:45" x14ac:dyDescent="0.25">
      <c r="AO76"/>
    </row>
    <row r="77" spans="30:45" x14ac:dyDescent="0.25">
      <c r="AP77"/>
    </row>
    <row r="78" spans="30:45" x14ac:dyDescent="0.25">
      <c r="AQ78"/>
    </row>
    <row r="79" spans="30:45" x14ac:dyDescent="0.25">
      <c r="AR79"/>
    </row>
    <row r="80" spans="30:45" x14ac:dyDescent="0.25">
      <c r="AS80"/>
    </row>
    <row r="81" spans="46:46" x14ac:dyDescent="0.25">
      <c r="AT81"/>
    </row>
  </sheetData>
  <sheetProtection sheet="1" objects="1" scenarios="1" formatCells="0" formatColumns="0" formatRows="0" insertRows="0" sort="0" autoFilter="0"/>
  <hyperlinks>
    <hyperlink ref="D10" location="C3" tooltip=" " display="C3" xr:uid="{A7A48F08-9D45-448E-87BB-F030A25C459D}"/>
    <hyperlink ref="H15" location="C3" tooltip=" " display="C3" xr:uid="{2EBB0D42-B9F0-448A-9F56-C2E276435FC9}"/>
    <hyperlink ref="I15" location="C3" tooltip=" " display="C3" xr:uid="{9AE62EC0-CC80-4E97-A62E-F81786D10174}"/>
    <hyperlink ref="H16" location="C3" tooltip=" " display="C3" xr:uid="{F0884EED-5559-4A9B-81EE-B5E16F6F12CF}"/>
    <hyperlink ref="H17" location="C3" tooltip=" " display="C3" xr:uid="{F6EF7ADC-6BDE-473C-9292-4D7A832589CC}"/>
    <hyperlink ref="H18" location="C3" tooltip=" " display="C3" xr:uid="{1CA06745-CBF7-4EE9-8258-4F70CC55DDA5}"/>
    <hyperlink ref="H19" location="C3" tooltip=" " display="C3" xr:uid="{2FF7BEB7-47A1-4DF4-BDB0-1C681615B472}"/>
    <hyperlink ref="H20" location="C3" tooltip=" " display="C3" xr:uid="{32843884-E5B6-4E3E-A808-109855861C41}"/>
    <hyperlink ref="H21" location="C3" tooltip=" " display="C3" xr:uid="{D555DD0F-9A0B-468A-BFF4-02D8CC57562B}"/>
    <hyperlink ref="H22" location="C3" tooltip=" " display="C3" xr:uid="{4FD347C4-A9AA-40F7-BA0B-874781339D79}"/>
    <hyperlink ref="H23" location="C3" tooltip=" " display="C3" xr:uid="{A84CAC37-C0F3-47DC-9571-898808CAE083}"/>
    <hyperlink ref="H24" location="C3" tooltip=" " display="C3" xr:uid="{085FC826-D58C-47E5-80BA-2B3577D1CC10}"/>
    <hyperlink ref="H25" location="C3" tooltip=" " display="C3" xr:uid="{793EB9A8-9B35-4474-8AFC-007B60182A14}"/>
    <hyperlink ref="H26" location="C3" tooltip=" " display="C3" xr:uid="{88D036D4-5A76-4617-9118-D11D8FF38C11}"/>
    <hyperlink ref="H27" location="C3" tooltip=" " display="C3" xr:uid="{A01F6AC3-B01A-4473-8570-BB4C4927E67F}"/>
    <hyperlink ref="H28" location="C3" tooltip=" " display="C3" xr:uid="{604845B0-B011-4F2E-8E09-845E23B53825}"/>
    <hyperlink ref="H29" location="C3" tooltip=" " display="C3" xr:uid="{2D731488-9411-4742-910B-7962DC719130}"/>
    <hyperlink ref="H30" location="C3" tooltip=" " display="C3" xr:uid="{A2C6FAE8-70C6-4BF0-9CE0-DFA781249130}"/>
    <hyperlink ref="H31" location="C3" tooltip=" " display="C3" xr:uid="{A9F55427-C904-4DC6-92E8-B591DC85CE88}"/>
    <hyperlink ref="H32" location="C3" tooltip=" " display="C3" xr:uid="{72FF3CA9-340D-4ED7-B465-EE0A620B37AB}"/>
    <hyperlink ref="H33" location="C3" tooltip=" " display="C3" xr:uid="{1D6E973D-EC5C-45DC-A484-67DBBAF10514}"/>
    <hyperlink ref="H34" location="C3" tooltip=" " display="C3" xr:uid="{828D4054-7EDE-4B90-AD43-71C4598B4F89}"/>
    <hyperlink ref="H35" location="C3" tooltip=" " display="C3" xr:uid="{5A30F16B-3873-41D3-87F8-C768E9AE79D3}"/>
    <hyperlink ref="H36" location="C3" tooltip=" " display="C3" xr:uid="{52E59382-65DD-4D88-A0D8-40577DA8D5AB}"/>
    <hyperlink ref="H37" location="C3" tooltip=" " display="C3" xr:uid="{BC681A62-9D3C-465E-82C3-4C86BE85B965}"/>
    <hyperlink ref="H38" location="C3" tooltip=" " display="C3" xr:uid="{415431C5-D4DB-4E36-9838-538F1C3674F4}"/>
    <hyperlink ref="H39" location="C3" tooltip=" " display="C3" xr:uid="{30AC836B-D060-4D2E-B3B9-DF8BECDF6E38}"/>
    <hyperlink ref="H40" location="C3" tooltip=" " display="C3" xr:uid="{C47B57DE-5710-4EF4-863B-44437026632B}"/>
    <hyperlink ref="H41" location="C3" tooltip=" " display="C3" xr:uid="{EAE7DABF-1CAB-4307-8B87-753B134A426C}"/>
    <hyperlink ref="H42" location="C3" tooltip=" " display="C3" xr:uid="{B24E8C85-6023-4901-BA97-63FD46B23DA3}"/>
    <hyperlink ref="H43" location="C3" tooltip=" " display="C3" xr:uid="{DF6ED534-591B-4B8E-9B52-1651A9F9D022}"/>
    <hyperlink ref="H44" location="C3" tooltip=" " display="C3" xr:uid="{DC234E63-2DC3-4BFA-8D64-218B3798EB25}"/>
    <hyperlink ref="H45" location="C3" tooltip=" " display="C3" xr:uid="{DB899310-56B4-4879-94B5-C2CEC963F575}"/>
    <hyperlink ref="H46" location="C3" tooltip=" " display="C3" xr:uid="{508F67EE-90A9-4D4D-A755-2F68252D3137}"/>
    <hyperlink ref="H47" location="C3" tooltip=" " display="C3" xr:uid="{039A5528-246C-488D-9FE3-8E9F6E61DDA7}"/>
    <hyperlink ref="I16" location="C3" tooltip=" " display="C3" xr:uid="{0410EEE0-E3B3-4574-A6F2-6CF27C62A115}"/>
    <hyperlink ref="I17" location="C3" tooltip=" " display="C3" xr:uid="{D113A2C7-55D8-46C2-A600-04845B75B6E3}"/>
    <hyperlink ref="I18" location="C3" tooltip=" " display="C3" xr:uid="{555352B0-71CF-47DC-892B-C768E5395D3C}"/>
    <hyperlink ref="I19" location="C3" tooltip=" " display="C3" xr:uid="{EC95EEB2-49EC-42A9-9BBC-0D2D2604AE6E}"/>
    <hyperlink ref="I20" location="C3" tooltip=" " display="C3" xr:uid="{128DD920-E48F-4958-A52D-ECCC4D80614E}"/>
    <hyperlink ref="I21" location="C3" tooltip=" " display="C3" xr:uid="{EEC40AB7-4B8C-4156-B6F0-B61A2BCAE1F2}"/>
    <hyperlink ref="I22" location="C3" tooltip=" " display="C3" xr:uid="{DC2E0FFB-7FA5-4C66-A6F9-AAFEAA1833C4}"/>
    <hyperlink ref="I23" location="C3" tooltip=" " display="C3" xr:uid="{C2D5FCEF-0F09-4622-8B16-9D0110DF1764}"/>
    <hyperlink ref="I24" location="C3" tooltip=" " display="C3" xr:uid="{E680E7A5-121C-451D-A8CA-911BE04DC369}"/>
    <hyperlink ref="I25" location="C3" tooltip=" " display="C3" xr:uid="{9878291F-506F-4CDB-9B0A-E839BF29B792}"/>
    <hyperlink ref="I26" location="C3" tooltip=" " display="C3" xr:uid="{7045A3E3-BBD7-47FB-9CC9-14E95F67DAC6}"/>
    <hyperlink ref="I27" location="C3" tooltip=" " display="C3" xr:uid="{A3FD533B-7A2B-4602-A675-8284B7D6026A}"/>
    <hyperlink ref="I28" location="C3" tooltip=" " display="C3" xr:uid="{664E8C43-7441-4731-AD97-ADD115660290}"/>
    <hyperlink ref="I29" location="C3" tooltip=" " display="C3" xr:uid="{A9BD73C7-282D-452A-9795-09A708396998}"/>
    <hyperlink ref="I30" location="C3" tooltip=" " display="C3" xr:uid="{1DB60D3D-5888-4EF4-9C69-5DF29F470F25}"/>
    <hyperlink ref="I31" location="C3" tooltip=" " display="C3" xr:uid="{BB9F17C1-DE48-4DCF-9F41-D84C9424988A}"/>
    <hyperlink ref="I32" location="C3" tooltip=" " display="C3" xr:uid="{CBA6A6EF-C255-4673-A88A-DB5CFF252F14}"/>
    <hyperlink ref="I33" location="C3" tooltip=" " display="C3" xr:uid="{02AC4847-AF23-4A6B-B66B-14AA28933DEE}"/>
    <hyperlink ref="I34" location="C3" tooltip=" " display="C3" xr:uid="{08C1E745-0B2A-4A6E-83DD-4FB3AF32923F}"/>
    <hyperlink ref="I35" location="C3" tooltip=" " display="C3" xr:uid="{8A388FC0-5AF4-44A9-9779-78AAD84442E4}"/>
    <hyperlink ref="I36" location="C3" tooltip=" " display="C3" xr:uid="{D0DAFE9E-F569-47C5-BAEA-EDBDA4923246}"/>
    <hyperlink ref="I37" location="C3" tooltip=" " display="C3" xr:uid="{66C4C6D0-5CC7-4DD6-81EB-7465FE463811}"/>
    <hyperlink ref="I38" location="C3" tooltip=" " display="C3" xr:uid="{D5CDA897-1959-4A80-B550-EA326A474232}"/>
    <hyperlink ref="I39" location="C3" tooltip=" " display="C3" xr:uid="{2D506F4C-3E59-40D7-B830-4595F0A10364}"/>
    <hyperlink ref="I40" location="C3" tooltip=" " display="C3" xr:uid="{3C4FA565-3F08-48BF-B5B1-24DABCA1443C}"/>
    <hyperlink ref="I41" location="C3" tooltip=" " display="C3" xr:uid="{6A43CE4D-AA96-485D-BCD0-2CF6E62D2328}"/>
    <hyperlink ref="I42" location="C3" tooltip=" " display="C3" xr:uid="{0608A215-05B5-46CA-A570-8D06EE32FE9D}"/>
    <hyperlink ref="I43" location="C3" tooltip=" " display="C3" xr:uid="{874B9078-0DE7-44E1-B62C-BFF3898F8463}"/>
    <hyperlink ref="I44" location="C3" tooltip=" " display="C3" xr:uid="{3E9B784F-307A-4E34-A3EA-ECB39DDEA15A}"/>
    <hyperlink ref="I45" location="C3" tooltip=" " display="C3" xr:uid="{D51F1A96-0152-4EC1-81E3-C802C3D64B1C}"/>
    <hyperlink ref="I46" location="C3" tooltip=" " display="C3" xr:uid="{FB906456-B193-4B22-A139-869C071B412B}"/>
    <hyperlink ref="I47" location="C3" tooltip=" " display="C3" xr:uid="{4229474C-A3D3-4C15-9747-A43AED2C4C67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52D79-7924-4BD9-9BDB-0D7F897DC84D}">
  <sheetPr codeName="Feuil1">
    <outlinePr summaryRight="0"/>
  </sheetPr>
  <dimension ref="A1:CG9"/>
  <sheetViews>
    <sheetView showGridLines="0" zoomScale="90" zoomScaleNormal="90" workbookViewId="0"/>
  </sheetViews>
  <sheetFormatPr baseColWidth="10" defaultColWidth="6.7109375" defaultRowHeight="15" outlineLevelCol="3" x14ac:dyDescent="0.25"/>
  <cols>
    <col min="1" max="1" width="6.7109375" style="17"/>
    <col min="2" max="2" width="5.7109375" style="17" customWidth="1"/>
    <col min="3" max="5" width="10.7109375" style="17" customWidth="1" outlineLevel="3"/>
    <col min="6" max="6" width="11.7109375" style="17" customWidth="1" outlineLevel="3"/>
    <col min="7" max="7" width="6.7109375" style="17" customWidth="1" outlineLevel="1"/>
    <col min="8" max="27" width="10.7109375" style="17" customWidth="1" outlineLevel="3"/>
    <col min="28" max="28" width="6.7109375" style="17" customWidth="1" outlineLevel="1"/>
    <col min="29" max="29" width="11.7109375" style="17" customWidth="1" outlineLevel="3"/>
    <col min="30" max="30" width="22.7109375" style="17" customWidth="1" outlineLevel="3"/>
    <col min="31" max="31" width="11.7109375" style="17" customWidth="1" outlineLevel="3"/>
    <col min="32" max="32" width="6.7109375" style="17" customWidth="1" outlineLevel="2"/>
    <col min="33" max="37" width="10.7109375" style="17" customWidth="1" outlineLevel="3"/>
    <col min="38" max="38" width="6.7109375" style="17" customWidth="1" outlineLevel="2"/>
    <col min="39" max="43" width="10.7109375" style="17" customWidth="1" outlineLevel="3"/>
    <col min="44" max="44" width="6.7109375" style="17" customWidth="1"/>
    <col min="45" max="47" width="10.7109375" style="17" customWidth="1" outlineLevel="3"/>
    <col min="48" max="49" width="22.7109375" style="17" customWidth="1" outlineLevel="3"/>
    <col min="50" max="50" width="6.7109375" style="17" customWidth="1" outlineLevel="1"/>
    <col min="51" max="51" width="6.7109375" style="17" customWidth="1" outlineLevel="1" collapsed="1"/>
    <col min="52" max="71" width="10.7109375" style="17" hidden="1" customWidth="1" outlineLevel="3"/>
    <col min="72" max="72" width="6.7109375" style="17" customWidth="1" outlineLevel="1"/>
    <col min="73" max="73" width="22.7109375" style="17" customWidth="1" outlineLevel="3"/>
    <col min="74" max="74" width="11.7109375" style="17" customWidth="1" outlineLevel="3"/>
    <col min="75" max="75" width="6.7109375" style="17" customWidth="1" outlineLevel="2" collapsed="1"/>
    <col min="76" max="79" width="10.7109375" style="17" hidden="1" customWidth="1" outlineLevel="3"/>
    <col min="80" max="80" width="6.7109375" style="17" customWidth="1" outlineLevel="2" collapsed="1"/>
    <col min="81" max="84" width="10.7109375" style="17" hidden="1" customWidth="1" outlineLevel="3"/>
    <col min="85" max="16384" width="6.7109375" style="17"/>
  </cols>
  <sheetData>
    <row r="1" spans="1:85" x14ac:dyDescent="0.25">
      <c r="A1"/>
    </row>
    <row r="2" spans="1:85" x14ac:dyDescent="0.25">
      <c r="B2" s="10" t="str">
        <f>I18N_T(cellLanguage, "RF_Save")</f>
        <v>Sauvegarder</v>
      </c>
    </row>
    <row r="3" spans="1:85" x14ac:dyDescent="0.25">
      <c r="C3" s="40">
        <f>SUBTOTAL(103, INDEX(tReporting52428894[], 0, MATCH($C$6,tReporting52428894[#Headers], 0)))</f>
        <v>3</v>
      </c>
    </row>
    <row r="4" spans="1:85" hidden="1" x14ac:dyDescent="0.25">
      <c r="B4" s="55" t="str">
        <f>I18N_T(cellLanguage, "RF_Entity")</f>
        <v>Unité</v>
      </c>
      <c r="C4" s="53" t="str">
        <f>I18N_T(cellLanguage, "RF_Entity2")</f>
        <v>Code entité</v>
      </c>
      <c r="D4" s="53" t="str">
        <f>I18N_T(cellLanguage, "RF_InputCurrency")</f>
        <v>Devise</v>
      </c>
      <c r="E4" s="53" t="str">
        <f>I18N_T(cellLanguage, "RF_InputSite")</f>
        <v>Site de saisie</v>
      </c>
      <c r="F4" s="53" t="str">
        <f>I18N_T(cellLanguage, "RF_PublicationSite")</f>
        <v>Site de publication</v>
      </c>
      <c r="G4" s="57" t="str">
        <f>I18N_T(cellLanguage, "RF_EntPack")</f>
        <v>Liasse</v>
      </c>
      <c r="H4" s="53" t="str">
        <f>I18N_T(cellLanguage, "RF_EntUseDefaultWindowsFolder")</f>
        <v>Cahier Windows: défaut?</v>
      </c>
      <c r="I4" s="53" t="str">
        <f>I18N_T(cellLanguage, "RF_EntWindowsFolder")</f>
        <v>Cahier Windows</v>
      </c>
      <c r="J4" s="53" t="str">
        <f>I18N_T(cellLanguage, "RF_EntUseDefaultInternetFolder")</f>
        <v>Cahier Internet: défaut?</v>
      </c>
      <c r="K4" s="53" t="str">
        <f>I18N_T(cellLanguage, "RF_EntInternetFolder")</f>
        <v>Cahier Internet</v>
      </c>
      <c r="L4" s="53" t="str">
        <f>I18N_T(cellLanguage, "RF_EntUseDefaultSetOfControls")</f>
        <v>Jeu de contrôles: défaut?</v>
      </c>
      <c r="M4" s="53" t="str">
        <f>I18N_T(cellLanguage, "RF_EntSetOfControls")</f>
        <v>Jeu de contrôles</v>
      </c>
      <c r="N4" s="53" t="str">
        <f>I18N_T(cellLanguage, "RF_EntUseDefaultLevel")</f>
        <v>Niveau de contrôle: défaut?</v>
      </c>
      <c r="O4" s="53" t="str">
        <f>I18N_T(cellLanguage, "RF_EntLevelToReach")</f>
        <v>Niveau de contrôle</v>
      </c>
      <c r="P4" s="53" t="str">
        <f>I18N_T(cellLanguage, "RF_EntBlocking")</f>
        <v>Bloquant?</v>
      </c>
      <c r="Q4" s="53" t="str">
        <f>I18N_T(cellLanguage, "RF_EntUseDefaultLock")</f>
        <v>Verrouillage: défaut?</v>
      </c>
      <c r="R4" s="53" t="str">
        <f>I18N_T(cellLanguage, "RF_EntLockOnPublication")</f>
        <v>Verrouillage</v>
      </c>
      <c r="S4" s="53" t="str">
        <f>I18N_T(cellLanguage, "RF_EntUseDefaultRuleSet")</f>
        <v>Jeu de règles: défaut?</v>
      </c>
      <c r="T4" s="53" t="str">
        <f>I18N_T(cellLanguage, "RF_EntRuleSet")</f>
        <v>Jeu de règles</v>
      </c>
      <c r="U4" s="53" t="str">
        <f>I18N_T(cellLanguage, "RF_EntUseDefaultOpbal")</f>
        <v>A-nouveaux: défaut?</v>
      </c>
      <c r="V4" s="53" t="str">
        <f>I18N_T(cellLanguage, "RF_EntHasOpBal")</f>
        <v>A-nouveaux?</v>
      </c>
      <c r="W4" s="53" t="str">
        <f>I18N_T(cellLanguage, "RF_EntOpbPhase")</f>
        <v>AN Phase</v>
      </c>
      <c r="X4" s="53" t="str">
        <f>I18N_T(cellLanguage, "RF_EntOpbUpdatePeriod")</f>
        <v>AN Exercice</v>
      </c>
      <c r="Y4" s="53" t="str">
        <f>I18N_T(cellLanguage, "RF_EntOpbScope")</f>
        <v>AN Périmètre</v>
      </c>
      <c r="Z4" s="53" t="str">
        <f>I18N_T(cellLanguage, "RF_EntOpbVariant")</f>
        <v>AN Variante</v>
      </c>
      <c r="AA4" s="53" t="str">
        <f>I18N_T(cellLanguage, "RF_EntOpbConsCurrency")</f>
        <v>AN Devise</v>
      </c>
      <c r="AB4" s="57" t="str">
        <f>I18N_T(cellLanguage, "RF_EntOp")</f>
        <v>Exploitation</v>
      </c>
      <c r="AC4" s="53" t="str">
        <f>I18N_T(cellLanguage, "RF_EntUseDefaultPublish")</f>
        <v>Exploitation: défaut?</v>
      </c>
      <c r="AD4" s="53" t="str">
        <f>I18N_T(cellLanguage, "RF_EntPackPublishingCutOffDate")</f>
        <v>Date limite</v>
      </c>
      <c r="AE4" s="53" t="str">
        <f>I18N_T(cellLanguage, "RF_EntAllowEarlyPublishing")</f>
        <v>Publication anticipée?</v>
      </c>
      <c r="AF4" s="57" t="str">
        <f>I18N_T(cellLanguage, "RF_EntOpAftPub")</f>
        <v>Après publication</v>
      </c>
      <c r="AG4" s="53" t="str">
        <f>I18N_T(cellLanguage, "RF_EntUseDefaultAfterPub")</f>
        <v>Après publication: défaut?</v>
      </c>
      <c r="AH4" s="53" t="str">
        <f>I18N_T(cellLanguage, "RF_EntAftPubStandard")</f>
        <v>Publication standard</v>
      </c>
      <c r="AI4" s="53" t="str">
        <f>I18N_T(cellLanguage, "RF_EntAftPubSpecial")</f>
        <v>Publication spéciale</v>
      </c>
      <c r="AJ4" s="53" t="str">
        <f>I18N_T(cellLanguage, "RF_EntAftPubAdvanced")</f>
        <v>Publication avancée</v>
      </c>
      <c r="AK4" s="53" t="str">
        <f>I18N_T(cellLanguage, "RF_EntAftPubLevel")</f>
        <v>Niveau après pub.</v>
      </c>
      <c r="AL4" s="57" t="str">
        <f>I18N_T(cellLanguage, "RF_EntOpAftTran")</f>
        <v>Après transfert</v>
      </c>
      <c r="AM4" s="53" t="str">
        <f>I18N_T(cellLanguage, "RF_EntUseDefaultAfterTran")</f>
        <v>Après transfert: défaut?</v>
      </c>
      <c r="AN4" s="53" t="str">
        <f>I18N_T(cellLanguage, "RF_EntAftTranStandard")</f>
        <v>Transfert standard</v>
      </c>
      <c r="AO4" s="53" t="str">
        <f>I18N_T(cellLanguage, "RF_EntAftTranSpecial")</f>
        <v>Transfert spécial</v>
      </c>
      <c r="AP4" s="53" t="str">
        <f>I18N_T(cellLanguage, "RF_EntAftTranAdvanced")</f>
        <v>Transfert avancé</v>
      </c>
      <c r="AQ4" s="53" t="str">
        <f>I18N_T(cellLanguage, "RF_EntAftTranLevel")</f>
        <v>Niveau après tran.</v>
      </c>
      <c r="AR4" s="57" t="str">
        <f>I18N_T(cellLanguage, "RF_Reporting")</f>
        <v>Reporting</v>
      </c>
      <c r="AS4" s="53" t="str">
        <f>I18N_T(cellLanguage, "RF_Phase")</f>
        <v>Phase</v>
      </c>
      <c r="AT4" s="53" t="str">
        <f>I18N_T(cellLanguage, "RF_UpdatePeriod")</f>
        <v>Exercice</v>
      </c>
      <c r="AU4" s="53" t="str">
        <f>I18N_T(cellLanguage, "RF_FrameworkVersion")</f>
        <v>Version de référentiel</v>
      </c>
      <c r="AV4" s="53" t="str">
        <f>I18N_T(cellLanguage, "RF_Start")</f>
        <v>Début</v>
      </c>
      <c r="AW4" s="53" t="str">
        <f>I18N_T(cellLanguage, "RF_End")</f>
        <v>Fin</v>
      </c>
      <c r="AX4" s="57" t="str">
        <f>I18N_T(cellLanguage, "RF_RepDesc")</f>
        <v>Libellés</v>
      </c>
      <c r="AY4" s="57" t="str">
        <f>I18N_T(cellLanguage, "RF_RepPack")</f>
        <v>Liasse</v>
      </c>
      <c r="AZ4" s="53" t="str">
        <f>I18N_T(cellLanguage, "RF_UseDefaultWindowsFolder")</f>
        <v>Cahier Windows: défaut?</v>
      </c>
      <c r="BA4" s="53" t="str">
        <f>I18N_T(cellLanguage, "RF_WindowsFolder")</f>
        <v>Cahier Windows</v>
      </c>
      <c r="BB4" s="53" t="str">
        <f>I18N_T(cellLanguage, "RF_UseDefaultInternetFolder")</f>
        <v>Cahier Internet: défaut?</v>
      </c>
      <c r="BC4" s="53" t="str">
        <f>I18N_T(cellLanguage, "RF_InternetFolder")</f>
        <v>Cahier Internet</v>
      </c>
      <c r="BD4" s="53" t="str">
        <f>I18N_T(cellLanguage, "RF_UseDefaultSetOfControls")</f>
        <v>Jeu de contrôles: défaut?</v>
      </c>
      <c r="BE4" s="53" t="str">
        <f>I18N_T(cellLanguage, "RF_SetOfControls")</f>
        <v>Jeu de contrôles</v>
      </c>
      <c r="BF4" s="53" t="str">
        <f>I18N_T(cellLanguage, "RF_UseDefaultLevel")</f>
        <v>Niveau de contrôle: défaut?</v>
      </c>
      <c r="BG4" s="53" t="str">
        <f>I18N_T(cellLanguage, "RF_LevelToReach")</f>
        <v>Niveau de contrôle</v>
      </c>
      <c r="BH4" s="53" t="str">
        <f>I18N_T(cellLanguage, "RF_Blocking")</f>
        <v>Bloquant?</v>
      </c>
      <c r="BI4" s="53" t="str">
        <f>I18N_T(cellLanguage, "RF_UseDefaultLock")</f>
        <v>Verrouillage: défaut?</v>
      </c>
      <c r="BJ4" s="53" t="str">
        <f>I18N_T(cellLanguage, "RF_LockOnPublication")</f>
        <v>Verrouillage</v>
      </c>
      <c r="BK4" s="53" t="str">
        <f>I18N_T(cellLanguage, "RF_UseDefaultRuleSet")</f>
        <v>Jeu de règles: défaut?</v>
      </c>
      <c r="BL4" s="53" t="str">
        <f>I18N_T(cellLanguage, "RF_RuleSet")</f>
        <v>Jeu de règles</v>
      </c>
      <c r="BM4" s="53" t="str">
        <f>I18N_T(cellLanguage, "RF_UseDefaultOpbal")</f>
        <v>A-nouveaux: défaut?</v>
      </c>
      <c r="BN4" s="53" t="str">
        <f>I18N_T(cellLanguage, "RF_HasOpBal")</f>
        <v>A-nouveaux?</v>
      </c>
      <c r="BO4" s="53" t="str">
        <f>I18N_T(cellLanguage, "RF_OpbPhase")</f>
        <v>AN Phase</v>
      </c>
      <c r="BP4" s="53" t="str">
        <f>I18N_T(cellLanguage, "RF_OpbUpdatePeriod")</f>
        <v>AN Exercice</v>
      </c>
      <c r="BQ4" s="53" t="str">
        <f>I18N_T(cellLanguage, "RF_OpbScope")</f>
        <v>AN Périmètre</v>
      </c>
      <c r="BR4" s="53" t="str">
        <f>I18N_T(cellLanguage, "RF_OpbVariant")</f>
        <v>AN Variante</v>
      </c>
      <c r="BS4" s="53" t="str">
        <f>I18N_T(cellLanguage, "RF_OpbConsCurrency")</f>
        <v>AN Devise</v>
      </c>
      <c r="BT4" s="57" t="str">
        <f>I18N_T(cellLanguage, "RF_RepOp")</f>
        <v>Exploitation</v>
      </c>
      <c r="BU4" s="53" t="str">
        <f>I18N_T(cellLanguage, "RF_CutoffDate")</f>
        <v>Date limite</v>
      </c>
      <c r="BV4" s="53" t="str">
        <f>I18N_T(cellLanguage, "RF_EarlyPublishing")</f>
        <v>Publication anticipée?</v>
      </c>
      <c r="BW4" s="57" t="str">
        <f>I18N_T(cellLanguage, "RF_RepOpAftPub")</f>
        <v>Après publication</v>
      </c>
      <c r="BX4" s="53" t="str">
        <f>I18N_T(cellLanguage, "RF_RepOpAftPubStd")</f>
        <v>Publication standard</v>
      </c>
      <c r="BY4" s="53" t="str">
        <f>I18N_T(cellLanguage, "RF_RepOpAftPubSpe")</f>
        <v>Publication spéciale</v>
      </c>
      <c r="BZ4" s="53" t="str">
        <f>I18N_T(cellLanguage, "RF_RepOpAftPubAdv")</f>
        <v>Publication avancée</v>
      </c>
      <c r="CA4" s="53" t="str">
        <f>I18N_T(cellLanguage, "RF_RepOpAftPubLvl")</f>
        <v>Niveau après pub.</v>
      </c>
      <c r="CB4" s="57" t="str">
        <f>I18N_T(cellLanguage, "RF_RepOpAftTran")</f>
        <v>Après transfert</v>
      </c>
      <c r="CC4" s="53" t="str">
        <f>I18N_T(cellLanguage, "RF_RepOpAftTranStd")</f>
        <v>Transfert standard</v>
      </c>
      <c r="CD4" s="53" t="str">
        <f>I18N_T(cellLanguage, "RF_RepOpAftTranSpe")</f>
        <v>Transfert spécial</v>
      </c>
      <c r="CE4" s="53" t="str">
        <f>I18N_T(cellLanguage, "RF_RepOpAftTranAdv")</f>
        <v>Transfert avancé</v>
      </c>
      <c r="CF4" s="53" t="str">
        <f>I18N_T(cellLanguage, "RF_RepOpAftTranLvl")</f>
        <v>Niveau après tran.</v>
      </c>
    </row>
    <row r="5" spans="1:85" hidden="1" x14ac:dyDescent="0.25">
      <c r="B5" s="54" t="s">
        <v>194</v>
      </c>
      <c r="C5" s="54" t="s">
        <v>195</v>
      </c>
      <c r="D5" s="54" t="s">
        <v>196</v>
      </c>
      <c r="E5" s="54" t="s">
        <v>197</v>
      </c>
      <c r="F5" s="54" t="s">
        <v>18092</v>
      </c>
      <c r="G5" s="54" t="s">
        <v>18093</v>
      </c>
      <c r="H5" s="54" t="s">
        <v>18094</v>
      </c>
      <c r="I5" s="54" t="s">
        <v>18095</v>
      </c>
      <c r="J5" s="54" t="s">
        <v>18096</v>
      </c>
      <c r="K5" s="54" t="s">
        <v>18097</v>
      </c>
      <c r="L5" s="54" t="s">
        <v>18098</v>
      </c>
      <c r="M5" s="54" t="s">
        <v>18099</v>
      </c>
      <c r="N5" s="54" t="s">
        <v>18100</v>
      </c>
      <c r="O5" s="54" t="s">
        <v>18101</v>
      </c>
      <c r="P5" s="54" t="s">
        <v>18102</v>
      </c>
      <c r="Q5" s="54" t="s">
        <v>18103</v>
      </c>
      <c r="R5" s="54" t="s">
        <v>18104</v>
      </c>
      <c r="S5" s="54" t="s">
        <v>18105</v>
      </c>
      <c r="T5" s="54" t="s">
        <v>18106</v>
      </c>
      <c r="U5" s="54" t="s">
        <v>18107</v>
      </c>
      <c r="V5" s="54" t="s">
        <v>18108</v>
      </c>
      <c r="W5" s="54" t="s">
        <v>18109</v>
      </c>
      <c r="X5" s="54" t="s">
        <v>18110</v>
      </c>
      <c r="Y5" s="54" t="s">
        <v>18111</v>
      </c>
      <c r="Z5" s="54" t="s">
        <v>18112</v>
      </c>
      <c r="AA5" s="54" t="s">
        <v>18113</v>
      </c>
      <c r="AB5" s="54" t="s">
        <v>18114</v>
      </c>
      <c r="AC5" s="54" t="s">
        <v>18115</v>
      </c>
      <c r="AD5" s="54" t="s">
        <v>18116</v>
      </c>
      <c r="AE5" s="54" t="s">
        <v>18117</v>
      </c>
      <c r="AF5" s="54" t="s">
        <v>18118</v>
      </c>
      <c r="AG5" s="54" t="s">
        <v>18119</v>
      </c>
      <c r="AH5" s="54" t="s">
        <v>18120</v>
      </c>
      <c r="AI5" s="54" t="s">
        <v>18121</v>
      </c>
      <c r="AJ5" s="54" t="s">
        <v>18122</v>
      </c>
      <c r="AK5" s="54" t="s">
        <v>18123</v>
      </c>
      <c r="AL5" s="54" t="s">
        <v>18124</v>
      </c>
      <c r="AM5" s="54" t="s">
        <v>18125</v>
      </c>
      <c r="AN5" s="54" t="s">
        <v>18126</v>
      </c>
      <c r="AO5" s="54" t="s">
        <v>18127</v>
      </c>
      <c r="AP5" s="54" t="s">
        <v>18128</v>
      </c>
      <c r="AQ5" s="54" t="s">
        <v>18129</v>
      </c>
      <c r="AR5" s="54" t="s">
        <v>18130</v>
      </c>
      <c r="AS5" s="54" t="s">
        <v>18131</v>
      </c>
      <c r="AT5" s="54" t="s">
        <v>18132</v>
      </c>
      <c r="AU5" s="54" t="s">
        <v>18133</v>
      </c>
      <c r="AV5" s="54" t="s">
        <v>18134</v>
      </c>
      <c r="AW5" s="54" t="s">
        <v>18135</v>
      </c>
      <c r="AX5" s="54" t="s">
        <v>18136</v>
      </c>
      <c r="AY5" s="54" t="s">
        <v>18137</v>
      </c>
      <c r="AZ5" s="54" t="s">
        <v>18138</v>
      </c>
      <c r="BA5" s="54" t="s">
        <v>18139</v>
      </c>
      <c r="BB5" s="54" t="s">
        <v>18140</v>
      </c>
      <c r="BC5" s="54" t="s">
        <v>18141</v>
      </c>
      <c r="BD5" s="54" t="s">
        <v>18142</v>
      </c>
      <c r="BE5" s="54" t="s">
        <v>18143</v>
      </c>
      <c r="BF5" s="54" t="s">
        <v>18144</v>
      </c>
      <c r="BG5" s="54" t="s">
        <v>18145</v>
      </c>
      <c r="BH5" s="54" t="s">
        <v>18146</v>
      </c>
      <c r="BI5" s="54" t="s">
        <v>18147</v>
      </c>
      <c r="BJ5" s="54" t="s">
        <v>18148</v>
      </c>
      <c r="BK5" s="54" t="s">
        <v>18149</v>
      </c>
      <c r="BL5" s="54" t="s">
        <v>18150</v>
      </c>
      <c r="BM5" s="54" t="s">
        <v>18151</v>
      </c>
      <c r="BN5" s="54" t="s">
        <v>18152</v>
      </c>
      <c r="BO5" s="54" t="s">
        <v>18153</v>
      </c>
      <c r="BP5" s="54" t="s">
        <v>18154</v>
      </c>
      <c r="BQ5" s="54" t="s">
        <v>18155</v>
      </c>
      <c r="BR5" s="54" t="s">
        <v>18156</v>
      </c>
      <c r="BS5" s="54" t="s">
        <v>18157</v>
      </c>
      <c r="BT5" s="54" t="s">
        <v>18158</v>
      </c>
      <c r="BU5" s="54" t="s">
        <v>18159</v>
      </c>
      <c r="BV5" s="54" t="s">
        <v>18160</v>
      </c>
      <c r="BW5" s="54" t="s">
        <v>18161</v>
      </c>
      <c r="BX5" s="54" t="s">
        <v>18162</v>
      </c>
      <c r="BY5" s="54" t="s">
        <v>18163</v>
      </c>
      <c r="BZ5" s="54" t="s">
        <v>18164</v>
      </c>
      <c r="CA5" s="54" t="s">
        <v>18165</v>
      </c>
      <c r="CB5" s="54" t="s">
        <v>18166</v>
      </c>
      <c r="CC5" s="54" t="s">
        <v>18167</v>
      </c>
      <c r="CD5" s="54" t="s">
        <v>18168</v>
      </c>
      <c r="CE5" s="54" t="s">
        <v>18169</v>
      </c>
      <c r="CF5" s="54" t="s">
        <v>18170</v>
      </c>
    </row>
    <row r="6" spans="1:85" ht="66" customHeight="1" x14ac:dyDescent="0.25">
      <c r="B6" s="54" t="s">
        <v>174</v>
      </c>
      <c r="C6" s="56" t="s">
        <v>676</v>
      </c>
      <c r="D6" s="56" t="s">
        <v>175</v>
      </c>
      <c r="E6" s="56" t="s">
        <v>561</v>
      </c>
      <c r="F6" s="56" t="s">
        <v>563</v>
      </c>
      <c r="G6" s="54" t="s">
        <v>464</v>
      </c>
      <c r="H6" s="56" t="s">
        <v>473</v>
      </c>
      <c r="I6" s="56" t="s">
        <v>471</v>
      </c>
      <c r="J6" s="56" t="s">
        <v>474</v>
      </c>
      <c r="K6" s="56" t="s">
        <v>472</v>
      </c>
      <c r="L6" s="56" t="s">
        <v>476</v>
      </c>
      <c r="M6" s="56" t="s">
        <v>478</v>
      </c>
      <c r="N6" s="56" t="s">
        <v>479</v>
      </c>
      <c r="O6" s="56" t="s">
        <v>481</v>
      </c>
      <c r="P6" s="56" t="s">
        <v>482</v>
      </c>
      <c r="Q6" s="56" t="s">
        <v>516</v>
      </c>
      <c r="R6" s="56" t="s">
        <v>517</v>
      </c>
      <c r="S6" s="56" t="s">
        <v>520</v>
      </c>
      <c r="T6" s="56" t="s">
        <v>523</v>
      </c>
      <c r="U6" s="56" t="s">
        <v>526</v>
      </c>
      <c r="V6" s="56" t="s">
        <v>527</v>
      </c>
      <c r="W6" s="56" t="s">
        <v>529</v>
      </c>
      <c r="X6" s="56" t="s">
        <v>531</v>
      </c>
      <c r="Y6" s="56" t="s">
        <v>533</v>
      </c>
      <c r="Z6" s="56" t="s">
        <v>535</v>
      </c>
      <c r="AA6" s="56" t="s">
        <v>537</v>
      </c>
      <c r="AB6" s="54" t="s">
        <v>192</v>
      </c>
      <c r="AC6" s="56" t="s">
        <v>569</v>
      </c>
      <c r="AD6" s="56" t="s">
        <v>177</v>
      </c>
      <c r="AE6" s="56" t="s">
        <v>571</v>
      </c>
      <c r="AF6" s="54" t="s">
        <v>539</v>
      </c>
      <c r="AG6" s="56" t="s">
        <v>567</v>
      </c>
      <c r="AH6" s="56" t="s">
        <v>541</v>
      </c>
      <c r="AI6" s="56" t="s">
        <v>543</v>
      </c>
      <c r="AJ6" s="56" t="s">
        <v>545</v>
      </c>
      <c r="AK6" s="56" t="s">
        <v>547</v>
      </c>
      <c r="AL6" s="54" t="s">
        <v>549</v>
      </c>
      <c r="AM6" s="56" t="s">
        <v>565</v>
      </c>
      <c r="AN6" s="56" t="s">
        <v>556</v>
      </c>
      <c r="AO6" s="56" t="s">
        <v>557</v>
      </c>
      <c r="AP6" s="56" t="s">
        <v>558</v>
      </c>
      <c r="AQ6" s="56" t="s">
        <v>559</v>
      </c>
      <c r="AR6" s="54" t="s">
        <v>19</v>
      </c>
      <c r="AS6" s="56" t="s">
        <v>39</v>
      </c>
      <c r="AT6" s="56" t="s">
        <v>40</v>
      </c>
      <c r="AU6" s="56" t="s">
        <v>99</v>
      </c>
      <c r="AV6" s="56" t="s">
        <v>17</v>
      </c>
      <c r="AW6" s="56" t="s">
        <v>462</v>
      </c>
      <c r="AX6" s="54" t="s">
        <v>552</v>
      </c>
      <c r="AY6" s="54" t="s">
        <v>18188</v>
      </c>
      <c r="AZ6" s="56" t="s">
        <v>18189</v>
      </c>
      <c r="BA6" s="56" t="s">
        <v>18190</v>
      </c>
      <c r="BB6" s="56" t="s">
        <v>18191</v>
      </c>
      <c r="BC6" s="56" t="s">
        <v>18192</v>
      </c>
      <c r="BD6" s="56" t="s">
        <v>18193</v>
      </c>
      <c r="BE6" s="56" t="s">
        <v>18194</v>
      </c>
      <c r="BF6" s="56" t="s">
        <v>18195</v>
      </c>
      <c r="BG6" s="56" t="s">
        <v>18196</v>
      </c>
      <c r="BH6" s="56" t="s">
        <v>18197</v>
      </c>
      <c r="BI6" s="56" t="s">
        <v>18198</v>
      </c>
      <c r="BJ6" s="56" t="s">
        <v>18199</v>
      </c>
      <c r="BK6" s="56" t="s">
        <v>18200</v>
      </c>
      <c r="BL6" s="56" t="s">
        <v>18201</v>
      </c>
      <c r="BM6" s="56" t="s">
        <v>18202</v>
      </c>
      <c r="BN6" s="56" t="s">
        <v>18203</v>
      </c>
      <c r="BO6" s="56" t="s">
        <v>18204</v>
      </c>
      <c r="BP6" s="56" t="s">
        <v>18205</v>
      </c>
      <c r="BQ6" s="56" t="s">
        <v>18206</v>
      </c>
      <c r="BR6" s="56" t="s">
        <v>18207</v>
      </c>
      <c r="BS6" s="56" t="s">
        <v>18208</v>
      </c>
      <c r="BT6" s="54" t="s">
        <v>18209</v>
      </c>
      <c r="BU6" s="56" t="s">
        <v>18210</v>
      </c>
      <c r="BV6" s="56" t="s">
        <v>18211</v>
      </c>
      <c r="BW6" s="54" t="s">
        <v>18212</v>
      </c>
      <c r="BX6" s="56" t="s">
        <v>18213</v>
      </c>
      <c r="BY6" s="56" t="s">
        <v>18214</v>
      </c>
      <c r="BZ6" s="56" t="s">
        <v>18215</v>
      </c>
      <c r="CA6" s="56" t="s">
        <v>18216</v>
      </c>
      <c r="CB6" s="54" t="s">
        <v>18217</v>
      </c>
      <c r="CC6" s="56" t="s">
        <v>18218</v>
      </c>
      <c r="CD6" s="56" t="s">
        <v>18219</v>
      </c>
      <c r="CE6" s="56" t="s">
        <v>18220</v>
      </c>
      <c r="CF6" s="56" t="s">
        <v>18221</v>
      </c>
      <c r="CG6" t="s">
        <v>18187</v>
      </c>
    </row>
    <row r="7" spans="1:85" x14ac:dyDescent="0.25">
      <c r="B7" s="58"/>
      <c r="C7" s="59" t="s">
        <v>18179</v>
      </c>
      <c r="D7" s="59" t="s">
        <v>18172</v>
      </c>
      <c r="E7" s="59" t="s">
        <v>18173</v>
      </c>
      <c r="F7" s="59" t="s">
        <v>18173</v>
      </c>
      <c r="G7" s="58"/>
      <c r="H7" s="60">
        <v>1</v>
      </c>
      <c r="I7" s="59"/>
      <c r="J7" s="60">
        <v>1</v>
      </c>
      <c r="K7" s="59"/>
      <c r="L7" s="60">
        <v>1</v>
      </c>
      <c r="M7" s="59" t="s">
        <v>18222</v>
      </c>
      <c r="N7" s="60">
        <v>1</v>
      </c>
      <c r="O7" s="59" t="s">
        <v>18223</v>
      </c>
      <c r="P7" s="60">
        <v>0</v>
      </c>
      <c r="Q7" s="60">
        <v>1</v>
      </c>
      <c r="R7" s="59">
        <v>0</v>
      </c>
      <c r="S7" s="60">
        <v>1</v>
      </c>
      <c r="T7" s="59"/>
      <c r="U7" s="60">
        <v>1</v>
      </c>
      <c r="V7" s="60">
        <v>0</v>
      </c>
      <c r="W7" s="59" t="s">
        <v>21</v>
      </c>
      <c r="X7" s="59" t="s">
        <v>635</v>
      </c>
      <c r="Y7" s="59" t="s">
        <v>18227</v>
      </c>
      <c r="Z7" s="59" t="s">
        <v>18228</v>
      </c>
      <c r="AA7" s="59" t="s">
        <v>18172</v>
      </c>
      <c r="AB7" s="58"/>
      <c r="AC7" s="60">
        <v>1</v>
      </c>
      <c r="AD7" s="59" t="s">
        <v>18174</v>
      </c>
      <c r="AE7" s="60">
        <v>0</v>
      </c>
      <c r="AF7" s="58"/>
      <c r="AG7" s="60">
        <v>1</v>
      </c>
      <c r="AH7" s="60">
        <v>0</v>
      </c>
      <c r="AI7" s="60">
        <v>0</v>
      </c>
      <c r="AJ7" s="60">
        <v>0</v>
      </c>
      <c r="AK7" s="59" t="s">
        <v>18223</v>
      </c>
      <c r="AL7" s="58"/>
      <c r="AM7" s="60">
        <v>1</v>
      </c>
      <c r="AN7" s="60">
        <v>0</v>
      </c>
      <c r="AO7" s="60">
        <v>0</v>
      </c>
      <c r="AP7" s="60">
        <v>0</v>
      </c>
      <c r="AQ7" s="59"/>
      <c r="AR7" s="58"/>
      <c r="AS7" s="59" t="s">
        <v>21</v>
      </c>
      <c r="AT7" s="59" t="s">
        <v>678</v>
      </c>
      <c r="AU7" s="59" t="s">
        <v>18175</v>
      </c>
      <c r="AV7" s="59" t="s">
        <v>18176</v>
      </c>
      <c r="AW7" s="59" t="s">
        <v>18177</v>
      </c>
      <c r="AX7" s="58"/>
      <c r="AY7" s="58"/>
      <c r="AZ7" s="60">
        <v>1</v>
      </c>
      <c r="BA7" s="59"/>
      <c r="BB7" s="60">
        <v>1</v>
      </c>
      <c r="BC7" s="59"/>
      <c r="BD7" s="60">
        <v>1</v>
      </c>
      <c r="BE7" s="59"/>
      <c r="BF7" s="60">
        <v>1</v>
      </c>
      <c r="BG7" s="59"/>
      <c r="BH7" s="60">
        <v>0</v>
      </c>
      <c r="BI7" s="60">
        <v>1</v>
      </c>
      <c r="BJ7" s="59">
        <v>0</v>
      </c>
      <c r="BK7" s="60">
        <v>1</v>
      </c>
      <c r="BL7" s="59"/>
      <c r="BM7" s="60">
        <v>1</v>
      </c>
      <c r="BN7" s="60">
        <v>0</v>
      </c>
      <c r="BO7" s="59"/>
      <c r="BP7" s="59"/>
      <c r="BQ7" s="59"/>
      <c r="BR7" s="59"/>
      <c r="BS7" s="59"/>
      <c r="BT7" s="58"/>
      <c r="BU7" s="59" t="s">
        <v>18178</v>
      </c>
      <c r="BV7" s="60">
        <v>1</v>
      </c>
      <c r="BW7" s="58"/>
      <c r="BX7" s="60">
        <v>1</v>
      </c>
      <c r="BY7" s="60">
        <v>1</v>
      </c>
      <c r="BZ7" s="60">
        <v>1</v>
      </c>
      <c r="CA7" s="59">
        <v>2</v>
      </c>
      <c r="CB7" s="58"/>
      <c r="CC7" s="60">
        <v>1</v>
      </c>
      <c r="CD7" s="60">
        <v>1</v>
      </c>
      <c r="CE7" s="60">
        <v>0</v>
      </c>
      <c r="CF7" s="59"/>
      <c r="CG7"/>
    </row>
    <row r="8" spans="1:85" x14ac:dyDescent="0.25">
      <c r="B8" s="58"/>
      <c r="C8" s="59" t="s">
        <v>18171</v>
      </c>
      <c r="D8" s="59" t="s">
        <v>18172</v>
      </c>
      <c r="E8" s="59" t="s">
        <v>18173</v>
      </c>
      <c r="F8" s="59" t="s">
        <v>18173</v>
      </c>
      <c r="G8" s="58"/>
      <c r="H8" s="60">
        <v>1</v>
      </c>
      <c r="I8" s="59"/>
      <c r="J8" s="60">
        <v>1</v>
      </c>
      <c r="K8" s="59"/>
      <c r="L8" s="60">
        <v>1</v>
      </c>
      <c r="M8" s="59"/>
      <c r="N8" s="60">
        <v>1</v>
      </c>
      <c r="O8" s="59"/>
      <c r="P8" s="60">
        <v>0</v>
      </c>
      <c r="Q8" s="60">
        <v>1</v>
      </c>
      <c r="R8" s="59">
        <v>0</v>
      </c>
      <c r="S8" s="60">
        <v>1</v>
      </c>
      <c r="T8" s="59"/>
      <c r="U8" s="60">
        <v>1</v>
      </c>
      <c r="V8" s="60">
        <v>0</v>
      </c>
      <c r="W8" s="59"/>
      <c r="X8" s="59"/>
      <c r="Y8" s="59"/>
      <c r="Z8" s="59"/>
      <c r="AA8" s="59"/>
      <c r="AB8" s="58"/>
      <c r="AC8" s="60">
        <v>1</v>
      </c>
      <c r="AD8" s="59" t="s">
        <v>18174</v>
      </c>
      <c r="AE8" s="60">
        <v>0</v>
      </c>
      <c r="AF8" s="58"/>
      <c r="AG8" s="60">
        <v>1</v>
      </c>
      <c r="AH8" s="60">
        <v>0</v>
      </c>
      <c r="AI8" s="60">
        <v>0</v>
      </c>
      <c r="AJ8" s="60">
        <v>0</v>
      </c>
      <c r="AK8" s="59"/>
      <c r="AL8" s="58"/>
      <c r="AM8" s="60">
        <v>1</v>
      </c>
      <c r="AN8" s="60">
        <v>0</v>
      </c>
      <c r="AO8" s="60">
        <v>0</v>
      </c>
      <c r="AP8" s="60">
        <v>0</v>
      </c>
      <c r="AQ8" s="59"/>
      <c r="AR8" s="58"/>
      <c r="AS8" s="59" t="s">
        <v>21</v>
      </c>
      <c r="AT8" s="59" t="s">
        <v>678</v>
      </c>
      <c r="AU8" s="59" t="s">
        <v>18175</v>
      </c>
      <c r="AV8" s="59" t="s">
        <v>18176</v>
      </c>
      <c r="AW8" s="59" t="s">
        <v>18177</v>
      </c>
      <c r="AX8" s="58"/>
      <c r="AY8" s="58"/>
      <c r="AZ8" s="60">
        <v>1</v>
      </c>
      <c r="BA8" s="59"/>
      <c r="BB8" s="60">
        <v>1</v>
      </c>
      <c r="BC8" s="59"/>
      <c r="BD8" s="60">
        <v>1</v>
      </c>
      <c r="BE8" s="59"/>
      <c r="BF8" s="60">
        <v>1</v>
      </c>
      <c r="BG8" s="59"/>
      <c r="BH8" s="60">
        <v>0</v>
      </c>
      <c r="BI8" s="60">
        <v>1</v>
      </c>
      <c r="BJ8" s="59">
        <v>0</v>
      </c>
      <c r="BK8" s="60">
        <v>1</v>
      </c>
      <c r="BL8" s="59"/>
      <c r="BM8" s="60">
        <v>1</v>
      </c>
      <c r="BN8" s="60">
        <v>0</v>
      </c>
      <c r="BO8" s="59"/>
      <c r="BP8" s="59"/>
      <c r="BQ8" s="59"/>
      <c r="BR8" s="59"/>
      <c r="BS8" s="59"/>
      <c r="BT8" s="58"/>
      <c r="BU8" s="59" t="s">
        <v>18178</v>
      </c>
      <c r="BV8" s="60">
        <v>1</v>
      </c>
      <c r="BW8" s="58"/>
      <c r="BX8" s="60">
        <v>1</v>
      </c>
      <c r="BY8" s="60">
        <v>1</v>
      </c>
      <c r="BZ8" s="60">
        <v>1</v>
      </c>
      <c r="CA8" s="59">
        <v>2</v>
      </c>
      <c r="CB8" s="58"/>
      <c r="CC8" s="60">
        <v>1</v>
      </c>
      <c r="CD8" s="60">
        <v>1</v>
      </c>
      <c r="CE8" s="60">
        <v>0</v>
      </c>
      <c r="CF8" s="59"/>
    </row>
    <row r="9" spans="1:85" x14ac:dyDescent="0.25">
      <c r="B9" s="58"/>
      <c r="C9" s="59" t="s">
        <v>18180</v>
      </c>
      <c r="D9" s="59" t="s">
        <v>18172</v>
      </c>
      <c r="E9" s="59" t="s">
        <v>18173</v>
      </c>
      <c r="F9" s="59" t="s">
        <v>18173</v>
      </c>
      <c r="G9" s="58"/>
      <c r="H9" s="60">
        <v>1</v>
      </c>
      <c r="I9" s="59"/>
      <c r="J9" s="60">
        <v>1</v>
      </c>
      <c r="K9" s="59"/>
      <c r="L9" s="60">
        <v>1</v>
      </c>
      <c r="M9" s="59"/>
      <c r="N9" s="60">
        <v>1</v>
      </c>
      <c r="O9" s="59"/>
      <c r="P9" s="60">
        <v>0</v>
      </c>
      <c r="Q9" s="60">
        <v>1</v>
      </c>
      <c r="R9" s="59">
        <v>0</v>
      </c>
      <c r="S9" s="60">
        <v>1</v>
      </c>
      <c r="T9" s="59"/>
      <c r="U9" s="60">
        <v>1</v>
      </c>
      <c r="V9" s="60">
        <v>0</v>
      </c>
      <c r="W9" s="59"/>
      <c r="X9" s="59"/>
      <c r="Y9" s="59"/>
      <c r="Z9" s="59"/>
      <c r="AA9" s="59"/>
      <c r="AB9" s="58"/>
      <c r="AC9" s="60">
        <v>1</v>
      </c>
      <c r="AD9" s="59" t="s">
        <v>18174</v>
      </c>
      <c r="AE9" s="60">
        <v>0</v>
      </c>
      <c r="AF9" s="58"/>
      <c r="AG9" s="60">
        <v>1</v>
      </c>
      <c r="AH9" s="60">
        <v>0</v>
      </c>
      <c r="AI9" s="60">
        <v>0</v>
      </c>
      <c r="AJ9" s="60">
        <v>0</v>
      </c>
      <c r="AK9" s="59"/>
      <c r="AL9" s="58"/>
      <c r="AM9" s="60">
        <v>1</v>
      </c>
      <c r="AN9" s="60">
        <v>0</v>
      </c>
      <c r="AO9" s="60">
        <v>0</v>
      </c>
      <c r="AP9" s="60">
        <v>0</v>
      </c>
      <c r="AQ9" s="59"/>
      <c r="AR9" s="58"/>
      <c r="AS9" s="59" t="s">
        <v>21</v>
      </c>
      <c r="AT9" s="59" t="s">
        <v>678</v>
      </c>
      <c r="AU9" s="59" t="s">
        <v>18175</v>
      </c>
      <c r="AV9" s="59" t="s">
        <v>18176</v>
      </c>
      <c r="AW9" s="59" t="s">
        <v>18177</v>
      </c>
      <c r="AX9" s="58"/>
      <c r="AY9" s="58"/>
      <c r="AZ9" s="60">
        <v>1</v>
      </c>
      <c r="BA9" s="59"/>
      <c r="BB9" s="60">
        <v>1</v>
      </c>
      <c r="BC9" s="59"/>
      <c r="BD9" s="60">
        <v>1</v>
      </c>
      <c r="BE9" s="59"/>
      <c r="BF9" s="60">
        <v>1</v>
      </c>
      <c r="BG9" s="59"/>
      <c r="BH9" s="60">
        <v>0</v>
      </c>
      <c r="BI9" s="60">
        <v>1</v>
      </c>
      <c r="BJ9" s="59">
        <v>0</v>
      </c>
      <c r="BK9" s="60">
        <v>1</v>
      </c>
      <c r="BL9" s="59"/>
      <c r="BM9" s="60">
        <v>1</v>
      </c>
      <c r="BN9" s="60">
        <v>0</v>
      </c>
      <c r="BO9" s="59"/>
      <c r="BP9" s="59"/>
      <c r="BQ9" s="59"/>
      <c r="BR9" s="59"/>
      <c r="BS9" s="59"/>
      <c r="BT9" s="58"/>
      <c r="BU9" s="59" t="s">
        <v>18178</v>
      </c>
      <c r="BV9" s="60">
        <v>1</v>
      </c>
      <c r="BW9" s="58"/>
      <c r="BX9" s="60">
        <v>1</v>
      </c>
      <c r="BY9" s="60">
        <v>1</v>
      </c>
      <c r="BZ9" s="60">
        <v>1</v>
      </c>
      <c r="CA9" s="59">
        <v>2</v>
      </c>
      <c r="CB9" s="58"/>
      <c r="CC9" s="60">
        <v>1</v>
      </c>
      <c r="CD9" s="60">
        <v>1</v>
      </c>
      <c r="CE9" s="60">
        <v>0</v>
      </c>
      <c r="CF9" s="59"/>
    </row>
  </sheetData>
  <sheetProtection sheet="1" objects="1" scenarios="1" formatCells="0" formatColumns="0" formatRows="0" insertRows="0" sort="0" autoFilter="0"/>
  <hyperlinks>
    <hyperlink ref="B2" location="C3" tooltip=" " display="C3" xr:uid="{D41DDDCA-9008-4D3C-AB75-52111A534FF4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5"/>
  <sheetViews>
    <sheetView workbookViewId="0">
      <selection activeCell="B4" sqref="B4"/>
    </sheetView>
  </sheetViews>
  <sheetFormatPr baseColWidth="10" defaultRowHeight="15" x14ac:dyDescent="0.25"/>
  <cols>
    <col min="1" max="1" width="34.140625" style="2" bestFit="1" customWidth="1"/>
    <col min="2" max="2" width="14.28515625" style="2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221</v>
      </c>
      <c r="C1" s="31">
        <v>5</v>
      </c>
      <c r="F1" s="36" t="s">
        <v>489</v>
      </c>
      <c r="G1" s="36" t="s">
        <v>490</v>
      </c>
      <c r="H1" s="36" t="s">
        <v>491</v>
      </c>
      <c r="I1" s="36" t="s">
        <v>492</v>
      </c>
      <c r="J1" s="36" t="s">
        <v>493</v>
      </c>
      <c r="K1" s="36" t="s">
        <v>494</v>
      </c>
    </row>
    <row r="3" spans="1:11" x14ac:dyDescent="0.25">
      <c r="A3" s="2" t="s">
        <v>220</v>
      </c>
      <c r="B3" s="2" t="s">
        <v>228</v>
      </c>
      <c r="C3" s="2" t="s">
        <v>225</v>
      </c>
      <c r="D3" s="30" t="s">
        <v>226</v>
      </c>
      <c r="E3" s="2" t="s">
        <v>219</v>
      </c>
    </row>
    <row r="4" spans="1:11" x14ac:dyDescent="0.25">
      <c r="A4" s="2" t="s">
        <v>485</v>
      </c>
      <c r="B4" s="2" t="s">
        <v>105</v>
      </c>
      <c r="C4" s="2" t="s">
        <v>588</v>
      </c>
      <c r="D4" s="30">
        <v>44277.729421296295</v>
      </c>
      <c r="E4" s="2" t="s">
        <v>18186</v>
      </c>
    </row>
    <row r="5" spans="1:11" x14ac:dyDescent="0.25">
      <c r="A5" s="2" t="s">
        <v>18224</v>
      </c>
      <c r="B5" s="2" t="s">
        <v>18225</v>
      </c>
      <c r="C5" s="2" t="s">
        <v>588</v>
      </c>
      <c r="D5" s="30">
        <v>44277.729537037034</v>
      </c>
      <c r="E5" s="2" t="s">
        <v>18226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M79"/>
  <sheetViews>
    <sheetView zoomScaleNormal="100" workbookViewId="0">
      <selection activeCell="Q45" sqref="Q45"/>
    </sheetView>
  </sheetViews>
  <sheetFormatPr baseColWidth="10" defaultRowHeight="15" outlineLevelCol="1" x14ac:dyDescent="0.25"/>
  <cols>
    <col min="1" max="1" width="15.85546875" bestFit="1" customWidth="1"/>
    <col min="2" max="2" width="39.140625" bestFit="1" customWidth="1"/>
    <col min="6" max="6" width="0" style="17" hidden="1" customWidth="1" outlineLevel="1"/>
    <col min="7" max="11" width="0" hidden="1" customWidth="1" outlineLevel="1"/>
    <col min="12" max="12" width="11.42578125" collapsed="1"/>
  </cols>
  <sheetData>
    <row r="3" spans="1:13" x14ac:dyDescent="0.25">
      <c r="A3" t="s">
        <v>29</v>
      </c>
      <c r="C3" t="s">
        <v>56</v>
      </c>
      <c r="D3" t="s">
        <v>58</v>
      </c>
      <c r="F3" s="18">
        <v>44019</v>
      </c>
      <c r="G3" s="25">
        <v>44033</v>
      </c>
      <c r="H3" s="25">
        <v>44039</v>
      </c>
      <c r="I3" s="25">
        <v>44171</v>
      </c>
      <c r="J3" s="25">
        <v>44255</v>
      </c>
      <c r="K3" s="25">
        <v>44263</v>
      </c>
      <c r="L3" s="25">
        <v>44266</v>
      </c>
      <c r="M3" s="25">
        <v>44276</v>
      </c>
    </row>
    <row r="4" spans="1:13" hidden="1" x14ac:dyDescent="0.25">
      <c r="B4" t="s">
        <v>62</v>
      </c>
      <c r="D4">
        <v>1</v>
      </c>
      <c r="F4" s="17" t="s">
        <v>130</v>
      </c>
      <c r="G4" t="s">
        <v>130</v>
      </c>
      <c r="H4" t="s">
        <v>130</v>
      </c>
      <c r="I4" t="s">
        <v>130</v>
      </c>
      <c r="J4" t="s">
        <v>130</v>
      </c>
      <c r="K4" t="s">
        <v>130</v>
      </c>
      <c r="L4" t="s">
        <v>130</v>
      </c>
      <c r="M4" t="s">
        <v>130</v>
      </c>
    </row>
    <row r="5" spans="1:13" hidden="1" x14ac:dyDescent="0.25">
      <c r="B5" t="s">
        <v>57</v>
      </c>
      <c r="C5">
        <v>0.25</v>
      </c>
      <c r="D5">
        <v>0.25</v>
      </c>
      <c r="F5" s="17" t="s">
        <v>130</v>
      </c>
      <c r="G5" t="s">
        <v>130</v>
      </c>
      <c r="H5" t="s">
        <v>130</v>
      </c>
      <c r="I5" t="s">
        <v>130</v>
      </c>
      <c r="J5" t="s">
        <v>130</v>
      </c>
      <c r="K5" t="s">
        <v>130</v>
      </c>
      <c r="L5" t="s">
        <v>130</v>
      </c>
      <c r="M5" t="s">
        <v>130</v>
      </c>
    </row>
    <row r="6" spans="1:13" hidden="1" x14ac:dyDescent="0.25">
      <c r="B6" t="s">
        <v>77</v>
      </c>
      <c r="D6">
        <v>0.25</v>
      </c>
      <c r="G6" t="s">
        <v>130</v>
      </c>
      <c r="H6" t="s">
        <v>130</v>
      </c>
      <c r="I6" t="s">
        <v>130</v>
      </c>
      <c r="J6" t="s">
        <v>130</v>
      </c>
      <c r="K6" t="s">
        <v>130</v>
      </c>
      <c r="L6" t="s">
        <v>130</v>
      </c>
      <c r="M6" t="s">
        <v>130</v>
      </c>
    </row>
    <row r="7" spans="1:13" hidden="1" x14ac:dyDescent="0.25">
      <c r="B7" t="s">
        <v>144</v>
      </c>
      <c r="G7" t="s">
        <v>130</v>
      </c>
      <c r="H7" t="s">
        <v>130</v>
      </c>
      <c r="I7" t="s">
        <v>130</v>
      </c>
      <c r="J7" t="s">
        <v>130</v>
      </c>
      <c r="K7" t="s">
        <v>130</v>
      </c>
      <c r="L7" t="s">
        <v>130</v>
      </c>
      <c r="M7" t="s">
        <v>130</v>
      </c>
    </row>
    <row r="8" spans="1:13" hidden="1" x14ac:dyDescent="0.25">
      <c r="B8" t="s">
        <v>145</v>
      </c>
      <c r="G8" t="s">
        <v>130</v>
      </c>
      <c r="H8" t="s">
        <v>130</v>
      </c>
      <c r="I8" t="s">
        <v>130</v>
      </c>
      <c r="J8" t="s">
        <v>130</v>
      </c>
      <c r="K8" t="s">
        <v>130</v>
      </c>
      <c r="L8" t="s">
        <v>130</v>
      </c>
      <c r="M8" t="s">
        <v>130</v>
      </c>
    </row>
    <row r="9" spans="1:13" x14ac:dyDescent="0.25">
      <c r="B9" t="s">
        <v>78</v>
      </c>
      <c r="D9">
        <v>0.25</v>
      </c>
    </row>
    <row r="10" spans="1:13" hidden="1" x14ac:dyDescent="0.25">
      <c r="B10" t="s">
        <v>208</v>
      </c>
      <c r="H10">
        <v>0.25</v>
      </c>
      <c r="I10" t="s">
        <v>130</v>
      </c>
      <c r="J10" t="s">
        <v>130</v>
      </c>
      <c r="K10" t="s">
        <v>130</v>
      </c>
      <c r="L10" t="s">
        <v>130</v>
      </c>
      <c r="M10" t="s">
        <v>130</v>
      </c>
    </row>
    <row r="11" spans="1:13" x14ac:dyDescent="0.25">
      <c r="B11" t="s">
        <v>198</v>
      </c>
      <c r="H11">
        <v>0.25</v>
      </c>
      <c r="I11">
        <v>0.25</v>
      </c>
      <c r="J11">
        <v>0.25</v>
      </c>
      <c r="K11">
        <v>0.25</v>
      </c>
      <c r="L11">
        <v>0.25</v>
      </c>
      <c r="M11">
        <v>0.25</v>
      </c>
    </row>
    <row r="12" spans="1:13" hidden="1" x14ac:dyDescent="0.25">
      <c r="B12" t="s">
        <v>209</v>
      </c>
      <c r="H12">
        <v>0.25</v>
      </c>
      <c r="I12">
        <v>0.25</v>
      </c>
      <c r="J12" t="s">
        <v>130</v>
      </c>
      <c r="K12" t="s">
        <v>130</v>
      </c>
      <c r="L12" t="s">
        <v>130</v>
      </c>
      <c r="M12" t="s">
        <v>130</v>
      </c>
    </row>
    <row r="13" spans="1:13" hidden="1" x14ac:dyDescent="0.25">
      <c r="B13" t="s">
        <v>218</v>
      </c>
      <c r="I13">
        <v>0.25</v>
      </c>
      <c r="J13" t="s">
        <v>130</v>
      </c>
      <c r="K13" t="s">
        <v>130</v>
      </c>
      <c r="L13" t="s">
        <v>130</v>
      </c>
      <c r="M13" t="s">
        <v>130</v>
      </c>
    </row>
    <row r="14" spans="1:13" x14ac:dyDescent="0.25">
      <c r="B14" t="s">
        <v>168</v>
      </c>
      <c r="D14">
        <v>0.25</v>
      </c>
    </row>
    <row r="15" spans="1:13" hidden="1" x14ac:dyDescent="0.25">
      <c r="B15" t="s">
        <v>135</v>
      </c>
      <c r="I15">
        <v>0.25</v>
      </c>
      <c r="J15">
        <v>0.25</v>
      </c>
      <c r="K15" t="s">
        <v>130</v>
      </c>
      <c r="L15" t="s">
        <v>130</v>
      </c>
      <c r="M15" t="s">
        <v>130</v>
      </c>
    </row>
    <row r="16" spans="1:13" hidden="1" x14ac:dyDescent="0.25">
      <c r="B16" t="s">
        <v>133</v>
      </c>
      <c r="D16">
        <v>0.25</v>
      </c>
      <c r="G16" t="s">
        <v>130</v>
      </c>
      <c r="H16" t="s">
        <v>130</v>
      </c>
      <c r="I16" t="s">
        <v>130</v>
      </c>
      <c r="J16" t="s">
        <v>130</v>
      </c>
      <c r="K16" t="s">
        <v>130</v>
      </c>
      <c r="L16" t="s">
        <v>130</v>
      </c>
      <c r="M16" t="s">
        <v>130</v>
      </c>
    </row>
    <row r="17" spans="2:13" hidden="1" x14ac:dyDescent="0.25">
      <c r="B17" t="s">
        <v>136</v>
      </c>
      <c r="D17">
        <v>0.25</v>
      </c>
      <c r="M17" t="s">
        <v>130</v>
      </c>
    </row>
    <row r="18" spans="2:13" hidden="1" x14ac:dyDescent="0.25">
      <c r="B18" t="s">
        <v>134</v>
      </c>
      <c r="D18">
        <v>0.25</v>
      </c>
      <c r="G18" t="s">
        <v>130</v>
      </c>
      <c r="H18" t="s">
        <v>130</v>
      </c>
      <c r="I18" t="s">
        <v>130</v>
      </c>
      <c r="J18" t="s">
        <v>130</v>
      </c>
      <c r="K18" t="s">
        <v>130</v>
      </c>
      <c r="L18" t="s">
        <v>130</v>
      </c>
      <c r="M18" t="s">
        <v>130</v>
      </c>
    </row>
    <row r="19" spans="2:13" hidden="1" x14ac:dyDescent="0.25">
      <c r="B19" t="s">
        <v>171</v>
      </c>
      <c r="H19">
        <v>0.25</v>
      </c>
      <c r="I19" t="s">
        <v>130</v>
      </c>
      <c r="J19" t="s">
        <v>130</v>
      </c>
      <c r="K19" t="s">
        <v>130</v>
      </c>
      <c r="L19" t="s">
        <v>130</v>
      </c>
      <c r="M19" t="s">
        <v>130</v>
      </c>
    </row>
    <row r="20" spans="2:13" hidden="1" x14ac:dyDescent="0.25">
      <c r="B20" t="s">
        <v>193</v>
      </c>
      <c r="H20">
        <v>0.25</v>
      </c>
      <c r="I20" t="s">
        <v>130</v>
      </c>
      <c r="J20" t="s">
        <v>130</v>
      </c>
      <c r="K20" t="s">
        <v>130</v>
      </c>
      <c r="L20" t="s">
        <v>130</v>
      </c>
      <c r="M20" t="s">
        <v>130</v>
      </c>
    </row>
    <row r="21" spans="2:13" hidden="1" x14ac:dyDescent="0.25">
      <c r="B21" t="s">
        <v>59</v>
      </c>
      <c r="C21">
        <v>0.5</v>
      </c>
      <c r="D21">
        <v>1</v>
      </c>
      <c r="I21">
        <v>0.5</v>
      </c>
      <c r="J21">
        <v>0.5</v>
      </c>
      <c r="K21">
        <v>0.5</v>
      </c>
      <c r="L21">
        <v>0.5</v>
      </c>
      <c r="M21" t="s">
        <v>130</v>
      </c>
    </row>
    <row r="22" spans="2:13" hidden="1" x14ac:dyDescent="0.25">
      <c r="B22" t="s">
        <v>60</v>
      </c>
      <c r="C22">
        <v>0.25</v>
      </c>
      <c r="D22">
        <v>0.25</v>
      </c>
      <c r="I22" t="s">
        <v>130</v>
      </c>
      <c r="J22" t="s">
        <v>130</v>
      </c>
      <c r="K22" t="s">
        <v>130</v>
      </c>
      <c r="L22" t="s">
        <v>130</v>
      </c>
      <c r="M22" t="s">
        <v>130</v>
      </c>
    </row>
    <row r="23" spans="2:13" hidden="1" x14ac:dyDescent="0.25">
      <c r="B23" t="s">
        <v>24</v>
      </c>
      <c r="C23">
        <v>0.25</v>
      </c>
      <c r="M23" t="s">
        <v>130</v>
      </c>
    </row>
    <row r="24" spans="2:13" hidden="1" x14ac:dyDescent="0.25">
      <c r="B24" t="s">
        <v>30</v>
      </c>
      <c r="D24">
        <v>0.5</v>
      </c>
      <c r="I24" t="s">
        <v>130</v>
      </c>
      <c r="J24" t="s">
        <v>130</v>
      </c>
      <c r="K24" t="s">
        <v>130</v>
      </c>
      <c r="L24" t="s">
        <v>130</v>
      </c>
      <c r="M24" t="s">
        <v>130</v>
      </c>
    </row>
    <row r="25" spans="2:13" hidden="1" x14ac:dyDescent="0.25">
      <c r="B25" t="s">
        <v>31</v>
      </c>
      <c r="D25">
        <v>0.5</v>
      </c>
      <c r="I25" t="s">
        <v>130</v>
      </c>
      <c r="J25" t="s">
        <v>130</v>
      </c>
      <c r="K25" t="s">
        <v>130</v>
      </c>
      <c r="L25" t="s">
        <v>130</v>
      </c>
      <c r="M25" t="s">
        <v>130</v>
      </c>
    </row>
    <row r="26" spans="2:13" hidden="1" x14ac:dyDescent="0.25">
      <c r="B26" t="s">
        <v>28</v>
      </c>
      <c r="D26">
        <v>0.5</v>
      </c>
      <c r="M26" t="s">
        <v>130</v>
      </c>
    </row>
    <row r="27" spans="2:13" hidden="1" x14ac:dyDescent="0.25">
      <c r="B27" t="s">
        <v>32</v>
      </c>
      <c r="D27">
        <v>0.5</v>
      </c>
      <c r="I27" t="s">
        <v>130</v>
      </c>
      <c r="J27" t="s">
        <v>130</v>
      </c>
      <c r="K27" t="s">
        <v>130</v>
      </c>
      <c r="L27" t="s">
        <v>130</v>
      </c>
      <c r="M27" t="s">
        <v>130</v>
      </c>
    </row>
    <row r="28" spans="2:13" hidden="1" x14ac:dyDescent="0.25">
      <c r="B28" t="s">
        <v>25</v>
      </c>
      <c r="C28">
        <v>0.25</v>
      </c>
      <c r="M28" t="s">
        <v>130</v>
      </c>
    </row>
    <row r="29" spans="2:13" hidden="1" x14ac:dyDescent="0.25">
      <c r="B29" t="s">
        <v>33</v>
      </c>
      <c r="M29" t="s">
        <v>130</v>
      </c>
    </row>
    <row r="30" spans="2:13" hidden="1" x14ac:dyDescent="0.25">
      <c r="B30" t="s">
        <v>36</v>
      </c>
      <c r="C30">
        <v>0.25</v>
      </c>
      <c r="M30" t="s">
        <v>130</v>
      </c>
    </row>
    <row r="31" spans="2:13" hidden="1" x14ac:dyDescent="0.25">
      <c r="B31" t="s">
        <v>37</v>
      </c>
      <c r="C31">
        <v>0.25</v>
      </c>
      <c r="M31" t="s">
        <v>130</v>
      </c>
    </row>
    <row r="32" spans="2:13" hidden="1" x14ac:dyDescent="0.25">
      <c r="B32" t="s">
        <v>61</v>
      </c>
      <c r="C32">
        <v>2</v>
      </c>
      <c r="D32">
        <v>0.5</v>
      </c>
      <c r="I32">
        <v>2</v>
      </c>
      <c r="J32" t="s">
        <v>130</v>
      </c>
      <c r="K32" t="s">
        <v>130</v>
      </c>
      <c r="L32" t="s">
        <v>130</v>
      </c>
      <c r="M32" t="s">
        <v>130</v>
      </c>
    </row>
    <row r="33" spans="2:13" hidden="1" x14ac:dyDescent="0.25">
      <c r="B33" t="s">
        <v>63</v>
      </c>
      <c r="C33">
        <v>4</v>
      </c>
      <c r="D33">
        <v>4</v>
      </c>
      <c r="J33" t="s">
        <v>130</v>
      </c>
      <c r="K33" t="s">
        <v>130</v>
      </c>
      <c r="L33" t="s">
        <v>130</v>
      </c>
      <c r="M33" t="s">
        <v>130</v>
      </c>
    </row>
    <row r="34" spans="2:13" hidden="1" x14ac:dyDescent="0.25">
      <c r="B34" t="s">
        <v>499</v>
      </c>
      <c r="J34" t="s">
        <v>130</v>
      </c>
      <c r="K34" t="s">
        <v>130</v>
      </c>
      <c r="L34" t="s">
        <v>130</v>
      </c>
      <c r="M34" t="s">
        <v>130</v>
      </c>
    </row>
    <row r="35" spans="2:13" hidden="1" x14ac:dyDescent="0.25">
      <c r="B35" t="s">
        <v>572</v>
      </c>
      <c r="K35">
        <v>0.3</v>
      </c>
      <c r="L35" t="s">
        <v>130</v>
      </c>
      <c r="M35" t="s">
        <v>130</v>
      </c>
    </row>
    <row r="36" spans="2:13" hidden="1" x14ac:dyDescent="0.25">
      <c r="B36" t="s">
        <v>506</v>
      </c>
      <c r="J36">
        <v>0.25</v>
      </c>
      <c r="K36" t="s">
        <v>130</v>
      </c>
      <c r="L36" t="s">
        <v>130</v>
      </c>
      <c r="M36" t="s">
        <v>130</v>
      </c>
    </row>
    <row r="37" spans="2:13" hidden="1" x14ac:dyDescent="0.25">
      <c r="B37" t="s">
        <v>514</v>
      </c>
      <c r="K37" t="s">
        <v>130</v>
      </c>
      <c r="L37" t="s">
        <v>130</v>
      </c>
      <c r="M37" t="s">
        <v>130</v>
      </c>
    </row>
    <row r="38" spans="2:13" hidden="1" x14ac:dyDescent="0.25">
      <c r="B38" t="s">
        <v>507</v>
      </c>
      <c r="J38">
        <v>0.25</v>
      </c>
      <c r="K38" t="s">
        <v>130</v>
      </c>
      <c r="L38" t="s">
        <v>130</v>
      </c>
      <c r="M38" t="s">
        <v>130</v>
      </c>
    </row>
    <row r="39" spans="2:13" hidden="1" x14ac:dyDescent="0.25">
      <c r="B39" t="s">
        <v>512</v>
      </c>
      <c r="K39" t="s">
        <v>130</v>
      </c>
      <c r="L39" t="s">
        <v>130</v>
      </c>
      <c r="M39" t="s">
        <v>130</v>
      </c>
    </row>
    <row r="40" spans="2:13" hidden="1" x14ac:dyDescent="0.25">
      <c r="B40" t="s">
        <v>513</v>
      </c>
      <c r="K40" t="s">
        <v>130</v>
      </c>
      <c r="L40" t="s">
        <v>130</v>
      </c>
      <c r="M40" t="s">
        <v>130</v>
      </c>
    </row>
    <row r="41" spans="2:13" x14ac:dyDescent="0.25">
      <c r="B41" t="s">
        <v>503</v>
      </c>
      <c r="J41">
        <v>0.5</v>
      </c>
      <c r="K41">
        <v>0.3</v>
      </c>
      <c r="L41">
        <v>0.3</v>
      </c>
      <c r="M41">
        <v>1</v>
      </c>
    </row>
    <row r="42" spans="2:13" hidden="1" x14ac:dyDescent="0.25">
      <c r="B42" t="s">
        <v>18089</v>
      </c>
      <c r="J42">
        <v>0.5</v>
      </c>
      <c r="K42">
        <v>0.3</v>
      </c>
      <c r="L42">
        <v>0.3</v>
      </c>
      <c r="M42" t="s">
        <v>130</v>
      </c>
    </row>
    <row r="43" spans="2:13" x14ac:dyDescent="0.25">
      <c r="B43" t="s">
        <v>576</v>
      </c>
      <c r="K43">
        <v>0.2</v>
      </c>
      <c r="L43">
        <v>0.2</v>
      </c>
      <c r="M43">
        <v>0.2</v>
      </c>
    </row>
    <row r="44" spans="2:13" x14ac:dyDescent="0.25">
      <c r="B44" t="s">
        <v>500</v>
      </c>
      <c r="J44">
        <v>0.25</v>
      </c>
      <c r="K44">
        <v>0.2</v>
      </c>
      <c r="L44">
        <v>0.2</v>
      </c>
      <c r="M44">
        <v>0.2</v>
      </c>
    </row>
    <row r="45" spans="2:13" x14ac:dyDescent="0.25">
      <c r="B45" t="s">
        <v>505</v>
      </c>
      <c r="J45">
        <v>0.25</v>
      </c>
      <c r="K45">
        <v>0.2</v>
      </c>
      <c r="L45">
        <v>0.2</v>
      </c>
      <c r="M45">
        <v>0.2</v>
      </c>
    </row>
    <row r="46" spans="2:13" x14ac:dyDescent="0.25">
      <c r="B46" t="s">
        <v>646</v>
      </c>
      <c r="M46">
        <v>0.1</v>
      </c>
    </row>
    <row r="47" spans="2:13" x14ac:dyDescent="0.25">
      <c r="B47" t="s">
        <v>660</v>
      </c>
      <c r="M47">
        <v>0.1</v>
      </c>
    </row>
    <row r="48" spans="2:13" hidden="1" x14ac:dyDescent="0.25">
      <c r="B48" t="s">
        <v>663</v>
      </c>
      <c r="J48">
        <v>0.25</v>
      </c>
      <c r="K48">
        <v>0.1</v>
      </c>
      <c r="L48">
        <v>0.1</v>
      </c>
      <c r="M48" t="s">
        <v>130</v>
      </c>
    </row>
    <row r="49" spans="1:13" x14ac:dyDescent="0.25">
      <c r="B49" t="s">
        <v>18091</v>
      </c>
      <c r="M49">
        <v>0.2</v>
      </c>
    </row>
    <row r="50" spans="1:13" x14ac:dyDescent="0.25">
      <c r="B50" t="s">
        <v>498</v>
      </c>
      <c r="J50">
        <v>1</v>
      </c>
      <c r="K50">
        <v>1</v>
      </c>
      <c r="L50">
        <v>1</v>
      </c>
      <c r="M50">
        <v>1</v>
      </c>
    </row>
    <row r="51" spans="1:13" x14ac:dyDescent="0.25">
      <c r="B51" t="s">
        <v>673</v>
      </c>
      <c r="M51">
        <v>0.3</v>
      </c>
    </row>
    <row r="52" spans="1:13" x14ac:dyDescent="0.25">
      <c r="B52" t="s">
        <v>672</v>
      </c>
      <c r="M52">
        <v>0.2</v>
      </c>
    </row>
    <row r="53" spans="1:13" hidden="1" x14ac:dyDescent="0.25">
      <c r="B53" t="s">
        <v>671</v>
      </c>
      <c r="M53" t="s">
        <v>130</v>
      </c>
    </row>
    <row r="54" spans="1:13" x14ac:dyDescent="0.25">
      <c r="B54" t="s">
        <v>18088</v>
      </c>
      <c r="M54">
        <v>0.2</v>
      </c>
    </row>
    <row r="55" spans="1:13" x14ac:dyDescent="0.25">
      <c r="B55" t="s">
        <v>664</v>
      </c>
      <c r="M55">
        <v>0.3</v>
      </c>
    </row>
    <row r="56" spans="1:13" x14ac:dyDescent="0.25">
      <c r="B56" t="s">
        <v>64</v>
      </c>
      <c r="C56">
        <v>3</v>
      </c>
      <c r="D56">
        <v>3</v>
      </c>
      <c r="J56">
        <v>2</v>
      </c>
      <c r="K56">
        <v>2</v>
      </c>
      <c r="L56">
        <v>2</v>
      </c>
      <c r="M56">
        <v>2</v>
      </c>
    </row>
    <row r="57" spans="1:13" x14ac:dyDescent="0.25">
      <c r="A57" t="s">
        <v>661</v>
      </c>
    </row>
    <row r="58" spans="1:13" x14ac:dyDescent="0.25">
      <c r="B58" t="s">
        <v>502</v>
      </c>
      <c r="J58">
        <v>0.25</v>
      </c>
      <c r="K58">
        <v>0.25</v>
      </c>
      <c r="L58">
        <v>0.25</v>
      </c>
      <c r="M58">
        <v>0.25</v>
      </c>
    </row>
    <row r="59" spans="1:13" x14ac:dyDescent="0.25">
      <c r="B59" t="s">
        <v>669</v>
      </c>
      <c r="M59">
        <v>0.2</v>
      </c>
    </row>
    <row r="60" spans="1:13" x14ac:dyDescent="0.25">
      <c r="B60" t="s">
        <v>670</v>
      </c>
      <c r="M60">
        <v>0.1</v>
      </c>
    </row>
    <row r="61" spans="1:13" x14ac:dyDescent="0.25">
      <c r="B61" t="s">
        <v>677</v>
      </c>
      <c r="M61">
        <v>0.1</v>
      </c>
    </row>
    <row r="62" spans="1:13" x14ac:dyDescent="0.25">
      <c r="B62" t="s">
        <v>231</v>
      </c>
      <c r="I62">
        <v>0.5</v>
      </c>
      <c r="J62">
        <v>0.5</v>
      </c>
      <c r="K62">
        <v>0.5</v>
      </c>
      <c r="L62">
        <v>0.5</v>
      </c>
      <c r="M62">
        <v>0.5</v>
      </c>
    </row>
    <row r="63" spans="1:13" x14ac:dyDescent="0.25">
      <c r="B63" t="s">
        <v>137</v>
      </c>
      <c r="D63">
        <v>0.5</v>
      </c>
    </row>
    <row r="64" spans="1:13" hidden="1" x14ac:dyDescent="0.25">
      <c r="B64" t="s">
        <v>674</v>
      </c>
      <c r="M64" t="s">
        <v>130</v>
      </c>
    </row>
    <row r="65" spans="2:13" hidden="1" x14ac:dyDescent="0.25">
      <c r="B65" t="s">
        <v>662</v>
      </c>
      <c r="M65" t="s">
        <v>130</v>
      </c>
    </row>
    <row r="66" spans="2:13" hidden="1" x14ac:dyDescent="0.25">
      <c r="B66" t="s">
        <v>585</v>
      </c>
      <c r="L66">
        <v>0.2</v>
      </c>
      <c r="M66" t="s">
        <v>130</v>
      </c>
    </row>
    <row r="67" spans="2:13" x14ac:dyDescent="0.25">
      <c r="B67" t="s">
        <v>18090</v>
      </c>
      <c r="M67">
        <v>0.2</v>
      </c>
    </row>
    <row r="68" spans="2:13" x14ac:dyDescent="0.25">
      <c r="B68" t="s">
        <v>360</v>
      </c>
      <c r="M68">
        <v>0.2</v>
      </c>
    </row>
    <row r="69" spans="2:13" x14ac:dyDescent="0.25">
      <c r="B69" t="s">
        <v>26</v>
      </c>
      <c r="C69">
        <v>0.25</v>
      </c>
    </row>
    <row r="70" spans="2:13" x14ac:dyDescent="0.25">
      <c r="B70" t="s">
        <v>34</v>
      </c>
      <c r="C70">
        <v>0.25</v>
      </c>
    </row>
    <row r="71" spans="2:13" x14ac:dyDescent="0.25">
      <c r="B71" t="s">
        <v>35</v>
      </c>
      <c r="D71">
        <v>0.5</v>
      </c>
    </row>
    <row r="72" spans="2:13" x14ac:dyDescent="0.25">
      <c r="B72" t="s">
        <v>521</v>
      </c>
      <c r="K72">
        <v>0.2</v>
      </c>
      <c r="L72">
        <v>0.2</v>
      </c>
      <c r="M72">
        <v>0.2</v>
      </c>
    </row>
    <row r="73" spans="2:13" x14ac:dyDescent="0.25">
      <c r="B73" t="s">
        <v>497</v>
      </c>
      <c r="J73">
        <v>0.5</v>
      </c>
      <c r="K73">
        <v>0.5</v>
      </c>
      <c r="L73">
        <v>0.5</v>
      </c>
      <c r="M73">
        <v>0.2</v>
      </c>
    </row>
    <row r="74" spans="2:13" x14ac:dyDescent="0.25">
      <c r="B74" t="s">
        <v>501</v>
      </c>
      <c r="J74">
        <v>0.5</v>
      </c>
      <c r="K74">
        <v>0.5</v>
      </c>
      <c r="L74">
        <v>0.5</v>
      </c>
      <c r="M74">
        <v>0.5</v>
      </c>
    </row>
    <row r="76" spans="2:13" x14ac:dyDescent="0.25">
      <c r="B76" s="27">
        <f>0+C76+D76</f>
        <v>26</v>
      </c>
      <c r="C76" s="28">
        <f>SUM(C4:C74)</f>
        <v>11.5</v>
      </c>
      <c r="D76" s="29">
        <f>SUM(D4:D74)</f>
        <v>14.5</v>
      </c>
      <c r="F76" s="17">
        <f t="shared" ref="F76:M76" si="0">SUMIF(F4:F75,"",$C4:$C75)+SUMIF(F4:F75,"",$D4:$D75)+SUBTOTAL(109,F4:F75)</f>
        <v>24.5</v>
      </c>
      <c r="G76" s="17">
        <f t="shared" si="0"/>
        <v>23.75</v>
      </c>
      <c r="H76" s="17">
        <f t="shared" si="0"/>
        <v>24</v>
      </c>
      <c r="I76" s="17">
        <f t="shared" si="0"/>
        <v>18.5</v>
      </c>
      <c r="J76" s="17">
        <f t="shared" si="0"/>
        <v>9.75</v>
      </c>
      <c r="K76" s="17">
        <f t="shared" si="0"/>
        <v>9.8500000000000014</v>
      </c>
      <c r="L76" s="17">
        <f t="shared" si="0"/>
        <v>9.8500000000000014</v>
      </c>
      <c r="M76" s="17">
        <f t="shared" si="0"/>
        <v>10.7</v>
      </c>
    </row>
    <row r="79" spans="2:13" x14ac:dyDescent="0.25">
      <c r="B79" t="s">
        <v>38</v>
      </c>
    </row>
  </sheetData>
  <autoFilter ref="F3:M76" xr:uid="{00379212-E3CF-4218-9FEE-9E59D27F5740}">
    <filterColumn colId="7">
      <filters blank="1">
        <filter val="0,1"/>
        <filter val="0,2"/>
        <filter val="0,25"/>
        <filter val="0,3"/>
        <filter val="0,5"/>
        <filter val="1"/>
        <filter val="10,7"/>
        <filter val="2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81"/>
  <sheetViews>
    <sheetView zoomScale="85" zoomScaleNormal="85" workbookViewId="0">
      <selection activeCell="B7" sqref="B7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76</v>
      </c>
    </row>
    <row r="4" spans="1:3" outlineLevel="1" x14ac:dyDescent="0.25">
      <c r="B4" t="s">
        <v>210</v>
      </c>
    </row>
    <row r="5" spans="1:3" outlineLevel="1" x14ac:dyDescent="0.25">
      <c r="B5" t="s">
        <v>211</v>
      </c>
    </row>
    <row r="6" spans="1:3" outlineLevel="1" x14ac:dyDescent="0.25">
      <c r="B6" t="s">
        <v>212</v>
      </c>
    </row>
    <row r="7" spans="1:3" outlineLevel="1" x14ac:dyDescent="0.25"/>
    <row r="8" spans="1:3" outlineLevel="1" x14ac:dyDescent="0.25"/>
    <row r="11" spans="1:3" x14ac:dyDescent="0.25">
      <c r="A11" t="s">
        <v>509</v>
      </c>
      <c r="B11" t="s">
        <v>510</v>
      </c>
      <c r="C11" t="s">
        <v>511</v>
      </c>
    </row>
    <row r="12" spans="1:3" outlineLevel="1" x14ac:dyDescent="0.25">
      <c r="B12" t="s">
        <v>486</v>
      </c>
    </row>
    <row r="13" spans="1:3" outlineLevel="1" x14ac:dyDescent="0.25">
      <c r="B13" t="s">
        <v>487</v>
      </c>
    </row>
    <row r="14" spans="1:3" outlineLevel="1" x14ac:dyDescent="0.25">
      <c r="B14" t="s">
        <v>488</v>
      </c>
    </row>
    <row r="15" spans="1:3" outlineLevel="1" x14ac:dyDescent="0.25"/>
    <row r="16" spans="1:3" outlineLevel="1" x14ac:dyDescent="0.25"/>
    <row r="19" spans="1:3" collapsed="1" x14ac:dyDescent="0.25">
      <c r="A19" t="s">
        <v>237</v>
      </c>
      <c r="B19" t="s">
        <v>238</v>
      </c>
      <c r="C19" t="s">
        <v>239</v>
      </c>
    </row>
    <row r="20" spans="1:3" hidden="1" outlineLevel="1" x14ac:dyDescent="0.25">
      <c r="B20" t="s">
        <v>486</v>
      </c>
    </row>
    <row r="21" spans="1:3" hidden="1" outlineLevel="1" x14ac:dyDescent="0.25">
      <c r="B21" t="s">
        <v>487</v>
      </c>
    </row>
    <row r="22" spans="1:3" hidden="1" outlineLevel="1" x14ac:dyDescent="0.25">
      <c r="B22" t="s">
        <v>488</v>
      </c>
    </row>
    <row r="23" spans="1:3" hidden="1" outlineLevel="1" x14ac:dyDescent="0.25"/>
    <row r="24" spans="1:3" hidden="1" outlineLevel="1" x14ac:dyDescent="0.25"/>
    <row r="26" spans="1:3" collapsed="1" x14ac:dyDescent="0.25">
      <c r="A26" t="s">
        <v>236</v>
      </c>
      <c r="B26" t="s">
        <v>217</v>
      </c>
      <c r="C26" t="s">
        <v>233</v>
      </c>
    </row>
    <row r="27" spans="1:3" hidden="1" outlineLevel="1" x14ac:dyDescent="0.25"/>
    <row r="28" spans="1:3" hidden="1" outlineLevel="1" x14ac:dyDescent="0.25"/>
    <row r="29" spans="1:3" hidden="1" outlineLevel="1" x14ac:dyDescent="0.25"/>
    <row r="31" spans="1:3" collapsed="1" x14ac:dyDescent="0.25">
      <c r="A31" t="s">
        <v>232</v>
      </c>
      <c r="B31" t="s">
        <v>217</v>
      </c>
      <c r="C31" t="s">
        <v>233</v>
      </c>
    </row>
    <row r="32" spans="1:3" hidden="1" outlineLevel="1" x14ac:dyDescent="0.25">
      <c r="B32" t="s">
        <v>234</v>
      </c>
    </row>
    <row r="33" spans="1:3" hidden="1" outlineLevel="1" x14ac:dyDescent="0.25">
      <c r="B33" t="s">
        <v>235</v>
      </c>
    </row>
    <row r="34" spans="1:3" hidden="1" outlineLevel="1" x14ac:dyDescent="0.25"/>
    <row r="36" spans="1:3" collapsed="1" x14ac:dyDescent="0.25">
      <c r="A36" t="s">
        <v>216</v>
      </c>
      <c r="B36" t="s">
        <v>217</v>
      </c>
      <c r="C36" t="s">
        <v>72</v>
      </c>
    </row>
    <row r="37" spans="1:3" hidden="1" outlineLevel="1" x14ac:dyDescent="0.25">
      <c r="B37" t="s">
        <v>222</v>
      </c>
    </row>
    <row r="38" spans="1:3" hidden="1" outlineLevel="1" x14ac:dyDescent="0.25">
      <c r="B38" t="s">
        <v>223</v>
      </c>
    </row>
    <row r="39" spans="1:3" hidden="1" outlineLevel="1" x14ac:dyDescent="0.25">
      <c r="B39" t="s">
        <v>224</v>
      </c>
    </row>
    <row r="40" spans="1:3" hidden="1" outlineLevel="1" x14ac:dyDescent="0.25">
      <c r="B40" t="s">
        <v>230</v>
      </c>
    </row>
    <row r="41" spans="1:3" hidden="1" outlineLevel="1" x14ac:dyDescent="0.25"/>
    <row r="43" spans="1:3" collapsed="1" x14ac:dyDescent="0.25">
      <c r="A43" t="s">
        <v>200</v>
      </c>
      <c r="B43" t="s">
        <v>201</v>
      </c>
      <c r="C43" t="s">
        <v>214</v>
      </c>
    </row>
    <row r="44" spans="1:3" hidden="1" outlineLevel="1" x14ac:dyDescent="0.25">
      <c r="B44" t="s">
        <v>204</v>
      </c>
    </row>
    <row r="45" spans="1:3" hidden="1" outlineLevel="1" x14ac:dyDescent="0.25">
      <c r="B45" t="s">
        <v>202</v>
      </c>
    </row>
    <row r="46" spans="1:3" hidden="1" outlineLevel="1" x14ac:dyDescent="0.25">
      <c r="B46" t="s">
        <v>203</v>
      </c>
    </row>
    <row r="47" spans="1:3" hidden="1" outlineLevel="1" x14ac:dyDescent="0.25"/>
    <row r="49" spans="1:3" collapsed="1" x14ac:dyDescent="0.25">
      <c r="A49" t="s">
        <v>205</v>
      </c>
      <c r="B49" t="s">
        <v>206</v>
      </c>
      <c r="C49" t="s">
        <v>215</v>
      </c>
    </row>
    <row r="50" spans="1:3" hidden="1" outlineLevel="1" x14ac:dyDescent="0.25">
      <c r="B50" t="s">
        <v>207</v>
      </c>
    </row>
    <row r="51" spans="1:3" hidden="1" outlineLevel="1" x14ac:dyDescent="0.25"/>
    <row r="52" spans="1:3" hidden="1" outlineLevel="1" x14ac:dyDescent="0.25"/>
    <row r="53" spans="1:3" hidden="1" outlineLevel="1" x14ac:dyDescent="0.25"/>
    <row r="56" spans="1:3" collapsed="1" x14ac:dyDescent="0.25">
      <c r="A56" t="s">
        <v>131</v>
      </c>
    </row>
    <row r="57" spans="1:3" hidden="1" outlineLevel="1" collapsed="1" x14ac:dyDescent="0.25">
      <c r="B57" t="s">
        <v>213</v>
      </c>
    </row>
    <row r="58" spans="1:3" hidden="1" outlineLevel="2" x14ac:dyDescent="0.25">
      <c r="B58" t="s">
        <v>109</v>
      </c>
    </row>
    <row r="59" spans="1:3" hidden="1" outlineLevel="2" x14ac:dyDescent="0.25"/>
    <row r="60" spans="1:3" hidden="1" outlineLevel="2" x14ac:dyDescent="0.25">
      <c r="B60" t="s">
        <v>110</v>
      </c>
    </row>
    <row r="61" spans="1:3" hidden="1" outlineLevel="2" x14ac:dyDescent="0.25"/>
    <row r="62" spans="1:3" hidden="1" outlineLevel="2" x14ac:dyDescent="0.25">
      <c r="B62" t="s">
        <v>111</v>
      </c>
    </row>
    <row r="63" spans="1:3" hidden="1" outlineLevel="2" x14ac:dyDescent="0.25">
      <c r="B63" t="s">
        <v>112</v>
      </c>
    </row>
    <row r="64" spans="1:3" hidden="1" outlineLevel="2" x14ac:dyDescent="0.25">
      <c r="B64" t="s">
        <v>113</v>
      </c>
    </row>
    <row r="65" spans="2:2" hidden="1" outlineLevel="2" x14ac:dyDescent="0.25">
      <c r="B65" t="s">
        <v>114</v>
      </c>
    </row>
    <row r="66" spans="2:2" hidden="1" outlineLevel="2" x14ac:dyDescent="0.25">
      <c r="B66" t="s">
        <v>115</v>
      </c>
    </row>
    <row r="67" spans="2:2" hidden="1" outlineLevel="2" x14ac:dyDescent="0.25">
      <c r="B67" t="s">
        <v>116</v>
      </c>
    </row>
    <row r="68" spans="2:2" hidden="1" outlineLevel="2" x14ac:dyDescent="0.25"/>
    <row r="69" spans="2:2" hidden="1" outlineLevel="2" x14ac:dyDescent="0.25">
      <c r="B69" t="s">
        <v>117</v>
      </c>
    </row>
    <row r="70" spans="2:2" hidden="1" outlineLevel="2" x14ac:dyDescent="0.25">
      <c r="B70" t="s">
        <v>118</v>
      </c>
    </row>
    <row r="71" spans="2:2" hidden="1" outlineLevel="2" x14ac:dyDescent="0.25"/>
    <row r="72" spans="2:2" hidden="1" outlineLevel="2" x14ac:dyDescent="0.25">
      <c r="B72" t="s">
        <v>119</v>
      </c>
    </row>
    <row r="73" spans="2:2" hidden="1" outlineLevel="2" x14ac:dyDescent="0.25">
      <c r="B73" t="s">
        <v>120</v>
      </c>
    </row>
    <row r="74" spans="2:2" hidden="1" outlineLevel="2" x14ac:dyDescent="0.25">
      <c r="B74" t="s">
        <v>121</v>
      </c>
    </row>
    <row r="75" spans="2:2" hidden="1" outlineLevel="2" x14ac:dyDescent="0.25">
      <c r="B75" t="s">
        <v>122</v>
      </c>
    </row>
    <row r="76" spans="2:2" hidden="1" outlineLevel="2" x14ac:dyDescent="0.25">
      <c r="B76" t="s">
        <v>123</v>
      </c>
    </row>
    <row r="77" spans="2:2" hidden="1" outlineLevel="2" x14ac:dyDescent="0.25">
      <c r="B77" t="s">
        <v>124</v>
      </c>
    </row>
    <row r="78" spans="2:2" hidden="1" outlineLevel="2" x14ac:dyDescent="0.25">
      <c r="B78" t="s">
        <v>125</v>
      </c>
    </row>
    <row r="79" spans="2:2" hidden="1" outlineLevel="1" x14ac:dyDescent="0.25"/>
    <row r="80" spans="2:2" hidden="1" outlineLevel="1" collapsed="1" x14ac:dyDescent="0.25">
      <c r="B80" t="s">
        <v>132</v>
      </c>
    </row>
    <row r="81" spans="3:3" hidden="1" outlineLevel="2" x14ac:dyDescent="0.25">
      <c r="C81" t="s">
        <v>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9"/>
  <sheetViews>
    <sheetView topLeftCell="A90" workbookViewId="0">
      <selection activeCell="H120" sqref="H120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12</v>
      </c>
      <c r="L1" t="s">
        <v>48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149</v>
      </c>
      <c r="B6" s="2"/>
      <c r="C6" s="3"/>
      <c r="D6" s="3"/>
      <c r="E6" s="2" t="s">
        <v>55</v>
      </c>
      <c r="F6" s="2" t="s">
        <v>55</v>
      </c>
      <c r="G6" s="2" t="s">
        <v>150</v>
      </c>
      <c r="H6" s="2" t="s">
        <v>151</v>
      </c>
    </row>
    <row r="7" spans="1:12" x14ac:dyDescent="0.25">
      <c r="A7" s="2" t="s">
        <v>152</v>
      </c>
      <c r="B7" s="2"/>
      <c r="C7" s="3"/>
      <c r="D7" s="3"/>
      <c r="E7" s="2"/>
      <c r="F7" s="2"/>
      <c r="G7" s="2" t="s">
        <v>153</v>
      </c>
      <c r="H7" s="2" t="s">
        <v>160</v>
      </c>
    </row>
    <row r="8" spans="1:12" x14ac:dyDescent="0.25">
      <c r="A8" s="2" t="s">
        <v>154</v>
      </c>
      <c r="B8" s="2"/>
      <c r="C8" s="3"/>
      <c r="D8" s="3"/>
      <c r="E8" s="2"/>
      <c r="F8" s="2"/>
      <c r="G8" s="2" t="s">
        <v>155</v>
      </c>
      <c r="H8" s="2" t="s">
        <v>156</v>
      </c>
    </row>
    <row r="9" spans="1:12" x14ac:dyDescent="0.25">
      <c r="A9" s="2" t="s">
        <v>159</v>
      </c>
      <c r="B9" s="2"/>
      <c r="C9" s="3"/>
      <c r="D9" s="3"/>
      <c r="E9" s="2"/>
      <c r="F9" s="2"/>
      <c r="G9" s="2" t="s">
        <v>161</v>
      </c>
      <c r="H9" s="2" t="s">
        <v>162</v>
      </c>
    </row>
    <row r="10" spans="1:12" x14ac:dyDescent="0.25">
      <c r="A10" s="2" t="s">
        <v>45</v>
      </c>
      <c r="B10" s="2" t="s">
        <v>157</v>
      </c>
      <c r="C10" s="3" t="s">
        <v>158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49</v>
      </c>
      <c r="B11" s="2" t="s">
        <v>55</v>
      </c>
      <c r="C11" s="2" t="s">
        <v>55</v>
      </c>
      <c r="D11" s="2" t="s">
        <v>55</v>
      </c>
      <c r="E11" s="2" t="s">
        <v>55</v>
      </c>
      <c r="F11" s="2" t="s">
        <v>55</v>
      </c>
      <c r="G11" s="2" t="s">
        <v>50</v>
      </c>
      <c r="H11" s="2" t="s">
        <v>51</v>
      </c>
    </row>
    <row r="12" spans="1:12" x14ac:dyDescent="0.25">
      <c r="A12" s="2" t="s">
        <v>52</v>
      </c>
      <c r="B12" s="2" t="s">
        <v>55</v>
      </c>
      <c r="C12" s="2" t="s">
        <v>55</v>
      </c>
      <c r="D12" s="2" t="s">
        <v>55</v>
      </c>
      <c r="E12" s="2" t="s">
        <v>55</v>
      </c>
      <c r="F12" s="2" t="s">
        <v>55</v>
      </c>
      <c r="G12" s="2" t="s">
        <v>54</v>
      </c>
      <c r="H12" s="2" t="s">
        <v>53</v>
      </c>
    </row>
    <row r="13" spans="1:12" x14ac:dyDescent="0.25">
      <c r="A13" s="2" t="s">
        <v>41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42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43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44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163</v>
      </c>
      <c r="B18" s="2"/>
      <c r="C18" s="2"/>
      <c r="D18" s="2"/>
      <c r="E18" s="2"/>
      <c r="F18" s="2"/>
      <c r="G18" s="2" t="s">
        <v>483</v>
      </c>
      <c r="H18" s="2" t="s">
        <v>227</v>
      </c>
    </row>
    <row r="19" spans="1:8" x14ac:dyDescent="0.25">
      <c r="A19" s="2" t="s">
        <v>164</v>
      </c>
      <c r="B19" s="2"/>
      <c r="C19" s="2"/>
      <c r="D19" s="2"/>
      <c r="E19" s="2"/>
      <c r="F19" s="2"/>
      <c r="G19" s="2" t="s">
        <v>166</v>
      </c>
      <c r="H19" s="2" t="s">
        <v>165</v>
      </c>
    </row>
    <row r="20" spans="1:8" x14ac:dyDescent="0.25">
      <c r="A20" s="2" t="s">
        <v>167</v>
      </c>
      <c r="B20" s="2"/>
      <c r="C20" s="2"/>
      <c r="D20" s="2"/>
      <c r="E20" s="2"/>
      <c r="F20" s="2"/>
      <c r="G20" s="2" t="s">
        <v>107</v>
      </c>
      <c r="H20" s="2" t="s">
        <v>57</v>
      </c>
    </row>
    <row r="21" spans="1:8" x14ac:dyDescent="0.25">
      <c r="A21" s="2" t="s">
        <v>67</v>
      </c>
      <c r="B21" s="2"/>
      <c r="C21" s="2"/>
      <c r="D21" s="2"/>
      <c r="E21" s="2"/>
      <c r="F21" s="2"/>
      <c r="G21" s="2" t="s">
        <v>68</v>
      </c>
      <c r="H21" s="2" t="s">
        <v>69</v>
      </c>
    </row>
    <row r="22" spans="1:8" x14ac:dyDescent="0.25">
      <c r="A22" s="2" t="s">
        <v>85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65</v>
      </c>
      <c r="B23" s="2"/>
      <c r="C23" s="2"/>
      <c r="D23" s="2"/>
      <c r="E23" s="2"/>
      <c r="F23" s="2"/>
      <c r="G23" s="2" t="s">
        <v>20</v>
      </c>
      <c r="H23" s="2" t="s">
        <v>39</v>
      </c>
    </row>
    <row r="24" spans="1:8" x14ac:dyDescent="0.25">
      <c r="A24" s="2" t="s">
        <v>97</v>
      </c>
      <c r="B24" s="2"/>
      <c r="C24" s="2"/>
      <c r="D24" s="2"/>
      <c r="E24" s="2"/>
      <c r="F24" s="2"/>
      <c r="G24" s="2" t="s">
        <v>23</v>
      </c>
      <c r="H24" s="2" t="s">
        <v>99</v>
      </c>
    </row>
    <row r="25" spans="1:8" x14ac:dyDescent="0.25">
      <c r="A25" s="2" t="s">
        <v>95</v>
      </c>
      <c r="B25" s="2"/>
      <c r="C25" s="2"/>
      <c r="D25" s="2"/>
      <c r="E25" s="2"/>
      <c r="F25" s="2"/>
      <c r="G25" s="2" t="s">
        <v>96</v>
      </c>
      <c r="H25" s="2" t="s">
        <v>40</v>
      </c>
    </row>
    <row r="26" spans="1:8" x14ac:dyDescent="0.25">
      <c r="A26" s="2" t="s">
        <v>66</v>
      </c>
      <c r="B26" s="2"/>
      <c r="C26" s="2"/>
      <c r="D26" s="2"/>
      <c r="E26" s="2"/>
      <c r="F26" s="2"/>
      <c r="G26" s="2" t="s">
        <v>46</v>
      </c>
      <c r="H26" s="2" t="s">
        <v>47</v>
      </c>
    </row>
    <row r="27" spans="1:8" x14ac:dyDescent="0.25">
      <c r="A27" s="2" t="s">
        <v>79</v>
      </c>
      <c r="B27" s="2"/>
      <c r="C27" s="2"/>
      <c r="D27" s="2"/>
      <c r="E27" s="2"/>
      <c r="F27" s="2"/>
      <c r="G27" s="42" t="s">
        <v>80</v>
      </c>
      <c r="H27" s="42" t="s">
        <v>81</v>
      </c>
    </row>
    <row r="28" spans="1:8" x14ac:dyDescent="0.25">
      <c r="A28" s="2" t="s">
        <v>645</v>
      </c>
      <c r="B28" s="2"/>
      <c r="C28" s="2"/>
      <c r="D28" s="2"/>
      <c r="E28" s="2"/>
      <c r="F28" s="2"/>
      <c r="G28" s="2" t="s">
        <v>656</v>
      </c>
      <c r="H28" s="2" t="s">
        <v>657</v>
      </c>
    </row>
    <row r="29" spans="1:8" x14ac:dyDescent="0.25">
      <c r="A29" s="2" t="s">
        <v>75</v>
      </c>
      <c r="B29" s="2"/>
      <c r="C29" s="2"/>
      <c r="D29" s="2"/>
      <c r="E29" s="2"/>
      <c r="F29" s="2"/>
      <c r="G29" s="2" t="s">
        <v>71</v>
      </c>
      <c r="H29" s="2" t="s">
        <v>73</v>
      </c>
    </row>
    <row r="30" spans="1:8" x14ac:dyDescent="0.25">
      <c r="A30" s="2" t="s">
        <v>647</v>
      </c>
      <c r="B30" s="2"/>
      <c r="C30" s="2"/>
      <c r="D30" s="2"/>
      <c r="E30" s="2"/>
      <c r="F30" s="2"/>
      <c r="G30" s="2" t="s">
        <v>648</v>
      </c>
      <c r="H30" s="2" t="s">
        <v>649</v>
      </c>
    </row>
    <row r="31" spans="1:8" x14ac:dyDescent="0.25">
      <c r="A31" s="2" t="s">
        <v>70</v>
      </c>
      <c r="B31" s="2"/>
      <c r="C31" s="2"/>
      <c r="D31" s="2"/>
      <c r="E31" s="2"/>
      <c r="F31" s="2"/>
      <c r="G31" s="2" t="s">
        <v>72</v>
      </c>
      <c r="H31" s="2" t="s">
        <v>74</v>
      </c>
    </row>
    <row r="32" spans="1:8" x14ac:dyDescent="0.25">
      <c r="A32" s="2" t="s">
        <v>650</v>
      </c>
      <c r="B32" s="2"/>
      <c r="C32" s="2"/>
      <c r="D32" s="2"/>
      <c r="E32" s="2"/>
      <c r="F32" s="2"/>
      <c r="G32" s="2" t="s">
        <v>651</v>
      </c>
      <c r="H32" s="2" t="s">
        <v>652</v>
      </c>
    </row>
    <row r="33" spans="1:8" x14ac:dyDescent="0.25">
      <c r="A33" s="26" t="s">
        <v>138</v>
      </c>
      <c r="B33" s="2"/>
      <c r="C33" s="2"/>
      <c r="D33" s="2"/>
      <c r="E33" s="2"/>
      <c r="F33" s="2"/>
      <c r="G33" s="2" t="s">
        <v>173</v>
      </c>
      <c r="H33" s="2" t="s">
        <v>174</v>
      </c>
    </row>
    <row r="34" spans="1:8" x14ac:dyDescent="0.25">
      <c r="A34" s="26" t="s">
        <v>139</v>
      </c>
      <c r="B34" s="2"/>
      <c r="C34" s="2"/>
      <c r="D34" s="2"/>
      <c r="E34" s="2"/>
      <c r="F34" s="2"/>
      <c r="G34" s="2" t="s">
        <v>37</v>
      </c>
      <c r="H34" s="2" t="s">
        <v>175</v>
      </c>
    </row>
    <row r="35" spans="1:8" x14ac:dyDescent="0.25">
      <c r="A35" s="26" t="s">
        <v>140</v>
      </c>
      <c r="B35" s="2"/>
      <c r="C35" s="2"/>
      <c r="D35" s="2"/>
      <c r="E35" s="2"/>
      <c r="F35" s="2"/>
      <c r="G35" s="2" t="s">
        <v>176</v>
      </c>
      <c r="H35" s="2" t="s">
        <v>177</v>
      </c>
    </row>
    <row r="36" spans="1:8" x14ac:dyDescent="0.25">
      <c r="A36" s="26" t="s">
        <v>172</v>
      </c>
      <c r="B36" s="2"/>
      <c r="C36" s="2"/>
      <c r="D36" s="2"/>
      <c r="E36" s="2"/>
      <c r="F36" s="2"/>
      <c r="G36" s="2" t="s">
        <v>570</v>
      </c>
      <c r="H36" s="2" t="s">
        <v>571</v>
      </c>
    </row>
    <row r="37" spans="1:8" x14ac:dyDescent="0.25">
      <c r="A37" s="26" t="s">
        <v>142</v>
      </c>
      <c r="B37" s="2"/>
      <c r="C37" s="2"/>
      <c r="D37" s="2"/>
      <c r="E37" s="2"/>
      <c r="F37" s="2"/>
      <c r="G37" s="2" t="s">
        <v>178</v>
      </c>
      <c r="H37" s="2" t="s">
        <v>180</v>
      </c>
    </row>
    <row r="38" spans="1:8" x14ac:dyDescent="0.25">
      <c r="A38" s="26" t="s">
        <v>143</v>
      </c>
      <c r="B38" s="2"/>
      <c r="C38" s="2"/>
      <c r="D38" s="2"/>
      <c r="E38" s="2"/>
      <c r="F38" s="2"/>
      <c r="G38" s="2" t="s">
        <v>179</v>
      </c>
      <c r="H38" s="2" t="s">
        <v>181</v>
      </c>
    </row>
    <row r="39" spans="1:8" x14ac:dyDescent="0.25">
      <c r="A39" s="2" t="s">
        <v>126</v>
      </c>
      <c r="B39" s="2"/>
      <c r="C39" s="2"/>
      <c r="D39" s="2"/>
      <c r="E39" s="2"/>
      <c r="F39" s="2"/>
      <c r="G39" s="2" t="s">
        <v>199</v>
      </c>
      <c r="H39" s="2" t="s">
        <v>182</v>
      </c>
    </row>
    <row r="40" spans="1:8" x14ac:dyDescent="0.25">
      <c r="A40" s="2" t="s">
        <v>653</v>
      </c>
      <c r="B40" s="2"/>
      <c r="C40" s="2"/>
      <c r="D40" s="2"/>
      <c r="E40" s="2"/>
      <c r="F40" s="2"/>
      <c r="G40" s="2" t="s">
        <v>654</v>
      </c>
      <c r="H40" s="2" t="s">
        <v>655</v>
      </c>
    </row>
    <row r="41" spans="1:8" x14ac:dyDescent="0.25">
      <c r="A41" s="26" t="s">
        <v>191</v>
      </c>
      <c r="B41" s="2"/>
      <c r="C41" s="2"/>
      <c r="D41" s="2"/>
      <c r="E41" s="2"/>
      <c r="F41" s="2"/>
      <c r="G41" s="2" t="s">
        <v>19</v>
      </c>
      <c r="H41" s="2" t="s">
        <v>19</v>
      </c>
    </row>
    <row r="42" spans="1:8" x14ac:dyDescent="0.25">
      <c r="A42" s="26" t="s">
        <v>189</v>
      </c>
      <c r="B42" s="2"/>
      <c r="C42" s="2"/>
      <c r="D42" s="2"/>
      <c r="E42" s="2"/>
      <c r="F42" s="2"/>
      <c r="G42" s="2" t="s">
        <v>675</v>
      </c>
      <c r="H42" s="2" t="s">
        <v>676</v>
      </c>
    </row>
    <row r="43" spans="1:8" x14ac:dyDescent="0.25">
      <c r="A43" s="26" t="s">
        <v>190</v>
      </c>
      <c r="B43" s="2"/>
      <c r="C43" s="2"/>
      <c r="D43" s="2"/>
      <c r="E43" s="2"/>
      <c r="F43" s="2"/>
      <c r="G43" s="2" t="s">
        <v>27</v>
      </c>
      <c r="H43" s="2" t="s">
        <v>192</v>
      </c>
    </row>
    <row r="44" spans="1:8" x14ac:dyDescent="0.25">
      <c r="A44" s="35" t="s">
        <v>362</v>
      </c>
      <c r="B44" s="2"/>
      <c r="C44" s="2"/>
      <c r="D44" s="2"/>
      <c r="E44" s="2"/>
      <c r="F44" s="2"/>
      <c r="G44" s="2" t="s">
        <v>460</v>
      </c>
      <c r="H44" s="2" t="s">
        <v>17</v>
      </c>
    </row>
    <row r="45" spans="1:8" x14ac:dyDescent="0.25">
      <c r="A45" s="35" t="s">
        <v>363</v>
      </c>
      <c r="B45" s="2"/>
      <c r="C45" s="2"/>
      <c r="D45" s="2"/>
      <c r="E45" s="2"/>
      <c r="F45" s="2"/>
      <c r="G45" s="2" t="s">
        <v>461</v>
      </c>
      <c r="H45" s="2" t="s">
        <v>462</v>
      </c>
    </row>
    <row r="46" spans="1:8" x14ac:dyDescent="0.25">
      <c r="A46" s="34" t="s">
        <v>313</v>
      </c>
      <c r="B46" s="2"/>
      <c r="C46" s="2"/>
      <c r="D46" s="2"/>
      <c r="E46" s="2"/>
      <c r="F46" s="2"/>
      <c r="G46" s="2" t="s">
        <v>463</v>
      </c>
      <c r="H46" s="2" t="s">
        <v>464</v>
      </c>
    </row>
    <row r="47" spans="1:8" x14ac:dyDescent="0.25">
      <c r="A47" s="35" t="s">
        <v>440</v>
      </c>
      <c r="B47" s="2"/>
      <c r="C47" s="2"/>
      <c r="D47" s="2"/>
      <c r="E47" s="2"/>
      <c r="F47" s="2"/>
      <c r="G47" s="2" t="s">
        <v>465</v>
      </c>
      <c r="H47" s="37" t="s">
        <v>473</v>
      </c>
    </row>
    <row r="48" spans="1:8" x14ac:dyDescent="0.25">
      <c r="A48" s="35" t="s">
        <v>441</v>
      </c>
      <c r="B48" s="2"/>
      <c r="C48" s="2"/>
      <c r="D48" s="2"/>
      <c r="E48" s="2"/>
      <c r="F48" s="2"/>
      <c r="G48" s="2" t="s">
        <v>469</v>
      </c>
      <c r="H48" s="2" t="s">
        <v>471</v>
      </c>
    </row>
    <row r="49" spans="1:8" x14ac:dyDescent="0.25">
      <c r="A49" s="35" t="s">
        <v>442</v>
      </c>
      <c r="B49" s="2"/>
      <c r="C49" s="2"/>
      <c r="D49" s="2"/>
      <c r="E49" s="2"/>
      <c r="F49" s="2"/>
      <c r="G49" s="2" t="s">
        <v>466</v>
      </c>
      <c r="H49" s="37" t="s">
        <v>474</v>
      </c>
    </row>
    <row r="50" spans="1:8" x14ac:dyDescent="0.25">
      <c r="A50" s="35" t="s">
        <v>443</v>
      </c>
      <c r="B50" s="2"/>
      <c r="C50" s="2"/>
      <c r="D50" s="2"/>
      <c r="E50" s="2"/>
      <c r="F50" s="2"/>
      <c r="G50" s="2" t="s">
        <v>470</v>
      </c>
      <c r="H50" s="2" t="s">
        <v>472</v>
      </c>
    </row>
    <row r="51" spans="1:8" x14ac:dyDescent="0.25">
      <c r="A51" s="35" t="s">
        <v>444</v>
      </c>
      <c r="B51" s="2"/>
      <c r="C51" s="2"/>
      <c r="D51" s="2"/>
      <c r="E51" s="2"/>
      <c r="F51" s="2"/>
      <c r="G51" s="2" t="s">
        <v>475</v>
      </c>
      <c r="H51" s="2" t="s">
        <v>476</v>
      </c>
    </row>
    <row r="52" spans="1:8" x14ac:dyDescent="0.25">
      <c r="A52" s="35" t="s">
        <v>445</v>
      </c>
      <c r="B52" s="2"/>
      <c r="C52" s="2"/>
      <c r="D52" s="2"/>
      <c r="E52" s="2"/>
      <c r="F52" s="2"/>
      <c r="G52" s="2" t="s">
        <v>477</v>
      </c>
      <c r="H52" s="2" t="s">
        <v>478</v>
      </c>
    </row>
    <row r="53" spans="1:8" x14ac:dyDescent="0.25">
      <c r="A53" s="35" t="s">
        <v>446</v>
      </c>
      <c r="B53" s="2"/>
      <c r="C53" s="2"/>
      <c r="D53" s="2"/>
      <c r="E53" s="2"/>
      <c r="F53" s="2"/>
      <c r="G53" s="2" t="s">
        <v>467</v>
      </c>
      <c r="H53" s="2" t="s">
        <v>479</v>
      </c>
    </row>
    <row r="54" spans="1:8" x14ac:dyDescent="0.25">
      <c r="A54" s="35" t="s">
        <v>447</v>
      </c>
      <c r="B54" s="2"/>
      <c r="C54" s="2"/>
      <c r="D54" s="2"/>
      <c r="E54" s="2"/>
      <c r="F54" s="2"/>
      <c r="G54" s="2" t="s">
        <v>480</v>
      </c>
      <c r="H54" s="2" t="s">
        <v>481</v>
      </c>
    </row>
    <row r="55" spans="1:8" x14ac:dyDescent="0.25">
      <c r="A55" s="35" t="s">
        <v>448</v>
      </c>
      <c r="B55" s="2"/>
      <c r="C55" s="2"/>
      <c r="D55" s="2"/>
      <c r="E55" s="2"/>
      <c r="F55" s="2"/>
      <c r="G55" s="2" t="s">
        <v>468</v>
      </c>
      <c r="H55" s="2" t="s">
        <v>482</v>
      </c>
    </row>
    <row r="56" spans="1:8" x14ac:dyDescent="0.25">
      <c r="A56" s="35" t="s">
        <v>449</v>
      </c>
      <c r="B56" s="2"/>
      <c r="C56" s="2"/>
      <c r="D56" s="2"/>
      <c r="E56" s="2"/>
      <c r="F56" s="2"/>
      <c r="G56" s="35" t="s">
        <v>515</v>
      </c>
      <c r="H56" s="35" t="s">
        <v>516</v>
      </c>
    </row>
    <row r="57" spans="1:8" x14ac:dyDescent="0.25">
      <c r="A57" s="35" t="s">
        <v>450</v>
      </c>
      <c r="B57" s="2"/>
      <c r="C57" s="2"/>
      <c r="D57" s="2"/>
      <c r="E57" s="2"/>
      <c r="F57" s="2"/>
      <c r="G57" s="35" t="s">
        <v>518</v>
      </c>
      <c r="H57" s="35" t="s">
        <v>517</v>
      </c>
    </row>
    <row r="58" spans="1:8" x14ac:dyDescent="0.25">
      <c r="A58" s="35" t="s">
        <v>451</v>
      </c>
      <c r="B58" s="2"/>
      <c r="C58" s="2"/>
      <c r="D58" s="2"/>
      <c r="E58" s="2"/>
      <c r="F58" s="2"/>
      <c r="G58" s="35" t="s">
        <v>519</v>
      </c>
      <c r="H58" s="35" t="s">
        <v>520</v>
      </c>
    </row>
    <row r="59" spans="1:8" x14ac:dyDescent="0.25">
      <c r="A59" s="35" t="s">
        <v>452</v>
      </c>
      <c r="B59" s="2"/>
      <c r="C59" s="2"/>
      <c r="D59" s="2"/>
      <c r="E59" s="2"/>
      <c r="F59" s="2"/>
      <c r="G59" s="35" t="s">
        <v>522</v>
      </c>
      <c r="H59" s="35" t="s">
        <v>523</v>
      </c>
    </row>
    <row r="60" spans="1:8" x14ac:dyDescent="0.25">
      <c r="A60" s="35" t="s">
        <v>453</v>
      </c>
      <c r="B60" s="2"/>
      <c r="C60" s="2"/>
      <c r="D60" s="2"/>
      <c r="E60" s="2"/>
      <c r="F60" s="2"/>
      <c r="G60" s="35" t="s">
        <v>524</v>
      </c>
      <c r="H60" s="35" t="s">
        <v>526</v>
      </c>
    </row>
    <row r="61" spans="1:8" x14ac:dyDescent="0.25">
      <c r="A61" s="35" t="s">
        <v>454</v>
      </c>
      <c r="B61" s="2"/>
      <c r="C61" s="2"/>
      <c r="D61" s="2"/>
      <c r="E61" s="2"/>
      <c r="F61" s="2"/>
      <c r="G61" s="35" t="s">
        <v>525</v>
      </c>
      <c r="H61" s="35" t="s">
        <v>527</v>
      </c>
    </row>
    <row r="62" spans="1:8" x14ac:dyDescent="0.25">
      <c r="A62" s="35" t="s">
        <v>455</v>
      </c>
      <c r="B62" s="2"/>
      <c r="C62" s="2"/>
      <c r="D62" s="2"/>
      <c r="E62" s="2"/>
      <c r="F62" s="2"/>
      <c r="G62" s="35" t="s">
        <v>528</v>
      </c>
      <c r="H62" s="35" t="s">
        <v>529</v>
      </c>
    </row>
    <row r="63" spans="1:8" x14ac:dyDescent="0.25">
      <c r="A63" s="35" t="s">
        <v>456</v>
      </c>
      <c r="B63" s="2"/>
      <c r="C63" s="2"/>
      <c r="D63" s="2"/>
      <c r="E63" s="2"/>
      <c r="F63" s="2"/>
      <c r="G63" s="35" t="s">
        <v>530</v>
      </c>
      <c r="H63" s="35" t="s">
        <v>531</v>
      </c>
    </row>
    <row r="64" spans="1:8" x14ac:dyDescent="0.25">
      <c r="A64" s="35" t="s">
        <v>457</v>
      </c>
      <c r="B64" s="2"/>
      <c r="C64" s="2"/>
      <c r="D64" s="2"/>
      <c r="E64" s="2"/>
      <c r="F64" s="2"/>
      <c r="G64" s="35" t="s">
        <v>532</v>
      </c>
      <c r="H64" s="35" t="s">
        <v>533</v>
      </c>
    </row>
    <row r="65" spans="1:8" x14ac:dyDescent="0.25">
      <c r="A65" s="35" t="s">
        <v>458</v>
      </c>
      <c r="B65" s="2"/>
      <c r="C65" s="2"/>
      <c r="D65" s="2"/>
      <c r="E65" s="2"/>
      <c r="F65" s="2"/>
      <c r="G65" s="35" t="s">
        <v>534</v>
      </c>
      <c r="H65" s="35" t="s">
        <v>535</v>
      </c>
    </row>
    <row r="66" spans="1:8" x14ac:dyDescent="0.25">
      <c r="A66" s="35" t="s">
        <v>459</v>
      </c>
      <c r="B66" s="2"/>
      <c r="C66" s="2"/>
      <c r="D66" s="2"/>
      <c r="E66" s="2"/>
      <c r="F66" s="2"/>
      <c r="G66" s="35" t="s">
        <v>536</v>
      </c>
      <c r="H66" s="35" t="s">
        <v>537</v>
      </c>
    </row>
    <row r="67" spans="1:8" x14ac:dyDescent="0.25">
      <c r="A67" s="34" t="s">
        <v>314</v>
      </c>
      <c r="B67" s="2"/>
      <c r="C67" s="2"/>
      <c r="D67" s="2"/>
      <c r="E67" s="2"/>
      <c r="F67" s="2"/>
      <c r="G67" s="34" t="s">
        <v>27</v>
      </c>
      <c r="H67" s="34" t="s">
        <v>192</v>
      </c>
    </row>
    <row r="68" spans="1:8" x14ac:dyDescent="0.25">
      <c r="A68" s="34" t="s">
        <v>315</v>
      </c>
      <c r="B68" s="2"/>
      <c r="C68" s="2"/>
      <c r="D68" s="2"/>
      <c r="E68" s="2"/>
      <c r="F68" s="2"/>
      <c r="G68" s="34" t="s">
        <v>538</v>
      </c>
      <c r="H68" s="34" t="s">
        <v>539</v>
      </c>
    </row>
    <row r="69" spans="1:8" x14ac:dyDescent="0.25">
      <c r="A69" s="35" t="s">
        <v>397</v>
      </c>
      <c r="B69" s="2"/>
      <c r="C69" s="2"/>
      <c r="D69" s="2"/>
      <c r="E69" s="2"/>
      <c r="F69" s="2"/>
      <c r="G69" s="35" t="s">
        <v>540</v>
      </c>
      <c r="H69" s="35" t="s">
        <v>541</v>
      </c>
    </row>
    <row r="70" spans="1:8" x14ac:dyDescent="0.25">
      <c r="A70" s="35" t="s">
        <v>398</v>
      </c>
      <c r="B70" s="2"/>
      <c r="C70" s="2"/>
      <c r="D70" s="2"/>
      <c r="E70" s="2"/>
      <c r="F70" s="2"/>
      <c r="G70" s="35" t="s">
        <v>542</v>
      </c>
      <c r="H70" s="35" t="s">
        <v>543</v>
      </c>
    </row>
    <row r="71" spans="1:8" x14ac:dyDescent="0.25">
      <c r="A71" s="35" t="s">
        <v>399</v>
      </c>
      <c r="B71" s="2"/>
      <c r="C71" s="2"/>
      <c r="D71" s="2"/>
      <c r="E71" s="2"/>
      <c r="F71" s="2"/>
      <c r="G71" s="35" t="s">
        <v>544</v>
      </c>
      <c r="H71" s="35" t="s">
        <v>545</v>
      </c>
    </row>
    <row r="72" spans="1:8" x14ac:dyDescent="0.25">
      <c r="A72" s="35" t="s">
        <v>400</v>
      </c>
      <c r="B72" s="2"/>
      <c r="C72" s="2"/>
      <c r="D72" s="2"/>
      <c r="E72" s="2"/>
      <c r="F72" s="2"/>
      <c r="G72" s="35" t="s">
        <v>546</v>
      </c>
      <c r="H72" s="35" t="s">
        <v>547</v>
      </c>
    </row>
    <row r="73" spans="1:8" x14ac:dyDescent="0.25">
      <c r="A73" s="34" t="s">
        <v>316</v>
      </c>
      <c r="B73" s="2"/>
      <c r="C73" s="2"/>
      <c r="D73" s="2"/>
      <c r="E73" s="2"/>
      <c r="F73" s="2"/>
      <c r="G73" s="34" t="s">
        <v>548</v>
      </c>
      <c r="H73" s="34" t="s">
        <v>549</v>
      </c>
    </row>
    <row r="74" spans="1:8" x14ac:dyDescent="0.25">
      <c r="A74" s="35" t="s">
        <v>401</v>
      </c>
      <c r="B74" s="2"/>
      <c r="C74" s="2"/>
      <c r="D74" s="2"/>
      <c r="E74" s="2"/>
      <c r="F74" s="2"/>
      <c r="G74" s="35" t="s">
        <v>550</v>
      </c>
      <c r="H74" s="35" t="s">
        <v>556</v>
      </c>
    </row>
    <row r="75" spans="1:8" x14ac:dyDescent="0.25">
      <c r="A75" s="35" t="s">
        <v>402</v>
      </c>
      <c r="B75" s="2"/>
      <c r="C75" s="2"/>
      <c r="D75" s="2"/>
      <c r="E75" s="2"/>
      <c r="F75" s="2"/>
      <c r="G75" s="35" t="s">
        <v>553</v>
      </c>
      <c r="H75" s="35" t="s">
        <v>557</v>
      </c>
    </row>
    <row r="76" spans="1:8" x14ac:dyDescent="0.25">
      <c r="A76" s="35" t="s">
        <v>403</v>
      </c>
      <c r="B76" s="2"/>
      <c r="C76" s="2"/>
      <c r="D76" s="2"/>
      <c r="E76" s="2"/>
      <c r="F76" s="2"/>
      <c r="G76" s="35" t="s">
        <v>554</v>
      </c>
      <c r="H76" s="35" t="s">
        <v>558</v>
      </c>
    </row>
    <row r="77" spans="1:8" x14ac:dyDescent="0.25">
      <c r="A77" s="35" t="s">
        <v>404</v>
      </c>
      <c r="B77" s="2"/>
      <c r="C77" s="2"/>
      <c r="D77" s="2"/>
      <c r="E77" s="2"/>
      <c r="F77" s="2"/>
      <c r="G77" s="35" t="s">
        <v>555</v>
      </c>
      <c r="H77" s="35" t="s">
        <v>559</v>
      </c>
    </row>
    <row r="78" spans="1:8" x14ac:dyDescent="0.25">
      <c r="A78" s="34" t="s">
        <v>317</v>
      </c>
      <c r="B78" s="2"/>
      <c r="C78" s="2"/>
      <c r="D78" s="2"/>
      <c r="E78" s="2"/>
      <c r="F78" s="2"/>
      <c r="G78" s="34" t="s">
        <v>551</v>
      </c>
      <c r="H78" s="34" t="s">
        <v>552</v>
      </c>
    </row>
    <row r="79" spans="1:8" x14ac:dyDescent="0.25">
      <c r="A79" s="35" t="s">
        <v>241</v>
      </c>
      <c r="B79" s="2"/>
      <c r="C79" s="2"/>
      <c r="D79" s="2"/>
      <c r="E79" s="2"/>
      <c r="F79" s="2"/>
      <c r="G79" s="35" t="s">
        <v>241</v>
      </c>
      <c r="H79" s="35" t="s">
        <v>241</v>
      </c>
    </row>
    <row r="80" spans="1:8" x14ac:dyDescent="0.25">
      <c r="A80" s="35" t="s">
        <v>405</v>
      </c>
      <c r="B80" s="2"/>
      <c r="C80" s="2"/>
      <c r="D80" s="2"/>
      <c r="E80" s="2"/>
      <c r="F80" s="2"/>
      <c r="G80" s="35" t="s">
        <v>560</v>
      </c>
      <c r="H80" s="35" t="s">
        <v>561</v>
      </c>
    </row>
    <row r="81" spans="1:8" x14ac:dyDescent="0.25">
      <c r="A81" s="35" t="s">
        <v>406</v>
      </c>
      <c r="B81" s="2"/>
      <c r="C81" s="2"/>
      <c r="D81" s="2"/>
      <c r="E81" s="2"/>
      <c r="F81" s="2"/>
      <c r="G81" s="35" t="s">
        <v>562</v>
      </c>
      <c r="H81" s="35" t="s">
        <v>563</v>
      </c>
    </row>
    <row r="82" spans="1:8" x14ac:dyDescent="0.25">
      <c r="A82" s="34" t="s">
        <v>354</v>
      </c>
      <c r="B82" s="2"/>
      <c r="C82" s="2"/>
      <c r="D82" s="2"/>
      <c r="E82" s="2"/>
      <c r="F82" s="2"/>
      <c r="G82" s="34" t="s">
        <v>463</v>
      </c>
      <c r="H82" s="34" t="s">
        <v>464</v>
      </c>
    </row>
    <row r="83" spans="1:8" x14ac:dyDescent="0.25">
      <c r="A83" s="35" t="s">
        <v>407</v>
      </c>
      <c r="B83" s="2"/>
      <c r="C83" s="2"/>
      <c r="D83" s="2"/>
      <c r="E83" s="2"/>
      <c r="F83" s="2"/>
      <c r="G83" s="2" t="s">
        <v>465</v>
      </c>
      <c r="H83" s="37" t="s">
        <v>473</v>
      </c>
    </row>
    <row r="84" spans="1:8" x14ac:dyDescent="0.25">
      <c r="A84" s="35" t="s">
        <v>426</v>
      </c>
      <c r="B84" s="2"/>
      <c r="C84" s="2"/>
      <c r="D84" s="2"/>
      <c r="E84" s="2"/>
      <c r="F84" s="2"/>
      <c r="G84" s="2" t="s">
        <v>469</v>
      </c>
      <c r="H84" s="2" t="s">
        <v>471</v>
      </c>
    </row>
    <row r="85" spans="1:8" x14ac:dyDescent="0.25">
      <c r="A85" s="35" t="s">
        <v>408</v>
      </c>
      <c r="B85" s="2"/>
      <c r="C85" s="2"/>
      <c r="D85" s="2"/>
      <c r="E85" s="2"/>
      <c r="F85" s="2"/>
      <c r="G85" s="2" t="s">
        <v>466</v>
      </c>
      <c r="H85" s="37" t="s">
        <v>474</v>
      </c>
    </row>
    <row r="86" spans="1:8" x14ac:dyDescent="0.25">
      <c r="A86" s="35" t="s">
        <v>439</v>
      </c>
      <c r="B86" s="2"/>
      <c r="C86" s="2"/>
      <c r="D86" s="2"/>
      <c r="E86" s="2"/>
      <c r="F86" s="2"/>
      <c r="G86" s="2" t="s">
        <v>470</v>
      </c>
      <c r="H86" s="2" t="s">
        <v>472</v>
      </c>
    </row>
    <row r="87" spans="1:8" x14ac:dyDescent="0.25">
      <c r="A87" s="35" t="s">
        <v>409</v>
      </c>
      <c r="B87" s="2"/>
      <c r="C87" s="2"/>
      <c r="D87" s="2"/>
      <c r="E87" s="2"/>
      <c r="F87" s="2"/>
      <c r="G87" s="2" t="s">
        <v>475</v>
      </c>
      <c r="H87" s="2" t="s">
        <v>476</v>
      </c>
    </row>
    <row r="88" spans="1:8" x14ac:dyDescent="0.25">
      <c r="A88" s="35" t="s">
        <v>427</v>
      </c>
      <c r="B88" s="2"/>
      <c r="C88" s="2"/>
      <c r="D88" s="2"/>
      <c r="E88" s="2"/>
      <c r="F88" s="2"/>
      <c r="G88" s="2" t="s">
        <v>477</v>
      </c>
      <c r="H88" s="2" t="s">
        <v>478</v>
      </c>
    </row>
    <row r="89" spans="1:8" x14ac:dyDescent="0.25">
      <c r="A89" s="35" t="s">
        <v>410</v>
      </c>
      <c r="B89" s="2"/>
      <c r="C89" s="2"/>
      <c r="D89" s="2"/>
      <c r="E89" s="2"/>
      <c r="F89" s="2"/>
      <c r="G89" s="2" t="s">
        <v>467</v>
      </c>
      <c r="H89" s="2" t="s">
        <v>479</v>
      </c>
    </row>
    <row r="90" spans="1:8" x14ac:dyDescent="0.25">
      <c r="A90" s="35" t="s">
        <v>411</v>
      </c>
      <c r="B90" s="2"/>
      <c r="C90" s="2"/>
      <c r="D90" s="2"/>
      <c r="E90" s="2"/>
      <c r="F90" s="2"/>
      <c r="G90" s="2" t="s">
        <v>480</v>
      </c>
      <c r="H90" s="2" t="s">
        <v>481</v>
      </c>
    </row>
    <row r="91" spans="1:8" x14ac:dyDescent="0.25">
      <c r="A91" s="35" t="s">
        <v>412</v>
      </c>
      <c r="B91" s="2"/>
      <c r="C91" s="2"/>
      <c r="D91" s="2"/>
      <c r="E91" s="2"/>
      <c r="F91" s="2"/>
      <c r="G91" s="2" t="s">
        <v>468</v>
      </c>
      <c r="H91" s="2" t="s">
        <v>482</v>
      </c>
    </row>
    <row r="92" spans="1:8" x14ac:dyDescent="0.25">
      <c r="A92" s="35" t="s">
        <v>413</v>
      </c>
      <c r="B92" s="2"/>
      <c r="C92" s="2"/>
      <c r="D92" s="2"/>
      <c r="E92" s="2"/>
      <c r="F92" s="2"/>
      <c r="G92" s="35" t="s">
        <v>515</v>
      </c>
      <c r="H92" s="35" t="s">
        <v>516</v>
      </c>
    </row>
    <row r="93" spans="1:8" x14ac:dyDescent="0.25">
      <c r="A93" s="35" t="s">
        <v>428</v>
      </c>
      <c r="B93" s="2"/>
      <c r="C93" s="2"/>
      <c r="D93" s="2"/>
      <c r="E93" s="2"/>
      <c r="F93" s="2"/>
      <c r="G93" s="35" t="s">
        <v>518</v>
      </c>
      <c r="H93" s="35" t="s">
        <v>517</v>
      </c>
    </row>
    <row r="94" spans="1:8" x14ac:dyDescent="0.25">
      <c r="A94" s="35" t="s">
        <v>414</v>
      </c>
      <c r="B94" s="2"/>
      <c r="C94" s="2"/>
      <c r="D94" s="2"/>
      <c r="E94" s="2"/>
      <c r="F94" s="2"/>
      <c r="G94" s="35" t="s">
        <v>519</v>
      </c>
      <c r="H94" s="35" t="s">
        <v>520</v>
      </c>
    </row>
    <row r="95" spans="1:8" x14ac:dyDescent="0.25">
      <c r="A95" s="35" t="s">
        <v>429</v>
      </c>
      <c r="B95" s="2"/>
      <c r="C95" s="2"/>
      <c r="D95" s="2"/>
      <c r="E95" s="2"/>
      <c r="F95" s="2"/>
      <c r="G95" s="35" t="s">
        <v>522</v>
      </c>
      <c r="H95" s="35" t="s">
        <v>523</v>
      </c>
    </row>
    <row r="96" spans="1:8" x14ac:dyDescent="0.25">
      <c r="A96" s="35" t="s">
        <v>415</v>
      </c>
      <c r="B96" s="2"/>
      <c r="C96" s="2"/>
      <c r="D96" s="2"/>
      <c r="E96" s="2"/>
      <c r="F96" s="2"/>
      <c r="G96" s="35" t="s">
        <v>524</v>
      </c>
      <c r="H96" s="35" t="s">
        <v>526</v>
      </c>
    </row>
    <row r="97" spans="1:8" x14ac:dyDescent="0.25">
      <c r="A97" s="35" t="s">
        <v>416</v>
      </c>
      <c r="B97" s="2"/>
      <c r="C97" s="2"/>
      <c r="D97" s="2"/>
      <c r="E97" s="2"/>
      <c r="F97" s="2"/>
      <c r="G97" s="35" t="s">
        <v>525</v>
      </c>
      <c r="H97" s="35" t="s">
        <v>527</v>
      </c>
    </row>
    <row r="98" spans="1:8" x14ac:dyDescent="0.25">
      <c r="A98" s="35" t="s">
        <v>430</v>
      </c>
      <c r="B98" s="2"/>
      <c r="C98" s="2"/>
      <c r="D98" s="2"/>
      <c r="E98" s="2"/>
      <c r="F98" s="2"/>
      <c r="G98" s="35" t="s">
        <v>528</v>
      </c>
      <c r="H98" s="35" t="s">
        <v>529</v>
      </c>
    </row>
    <row r="99" spans="1:8" x14ac:dyDescent="0.25">
      <c r="A99" s="35" t="s">
        <v>417</v>
      </c>
      <c r="B99" s="2"/>
      <c r="C99" s="2"/>
      <c r="D99" s="2"/>
      <c r="E99" s="2"/>
      <c r="F99" s="2"/>
      <c r="G99" s="35" t="s">
        <v>530</v>
      </c>
      <c r="H99" s="35" t="s">
        <v>531</v>
      </c>
    </row>
    <row r="100" spans="1:8" x14ac:dyDescent="0.25">
      <c r="A100" s="35" t="s">
        <v>418</v>
      </c>
      <c r="B100" s="2"/>
      <c r="C100" s="2"/>
      <c r="D100" s="2"/>
      <c r="E100" s="2"/>
      <c r="F100" s="2"/>
      <c r="G100" s="35" t="s">
        <v>532</v>
      </c>
      <c r="H100" s="35" t="s">
        <v>533</v>
      </c>
    </row>
    <row r="101" spans="1:8" x14ac:dyDescent="0.25">
      <c r="A101" s="35" t="s">
        <v>419</v>
      </c>
      <c r="B101" s="2"/>
      <c r="C101" s="2"/>
      <c r="D101" s="2"/>
      <c r="E101" s="2"/>
      <c r="F101" s="2"/>
      <c r="G101" s="35" t="s">
        <v>534</v>
      </c>
      <c r="H101" s="35" t="s">
        <v>535</v>
      </c>
    </row>
    <row r="102" spans="1:8" x14ac:dyDescent="0.25">
      <c r="A102" s="35" t="s">
        <v>420</v>
      </c>
      <c r="B102" s="2"/>
      <c r="C102" s="2"/>
      <c r="D102" s="2"/>
      <c r="E102" s="2"/>
      <c r="F102" s="2"/>
      <c r="G102" s="35" t="s">
        <v>536</v>
      </c>
      <c r="H102" s="35" t="s">
        <v>537</v>
      </c>
    </row>
    <row r="103" spans="1:8" x14ac:dyDescent="0.25">
      <c r="A103" s="34" t="s">
        <v>355</v>
      </c>
      <c r="B103" s="2"/>
      <c r="C103" s="2"/>
      <c r="D103" s="2"/>
      <c r="E103" s="2"/>
      <c r="F103" s="2"/>
      <c r="G103" s="34" t="s">
        <v>27</v>
      </c>
      <c r="H103" s="34" t="s">
        <v>192</v>
      </c>
    </row>
    <row r="104" spans="1:8" x14ac:dyDescent="0.25">
      <c r="A104" s="35" t="s">
        <v>421</v>
      </c>
      <c r="B104" s="2"/>
      <c r="C104" s="2"/>
      <c r="D104" s="2"/>
      <c r="E104" s="2"/>
      <c r="F104" s="2"/>
      <c r="G104" s="34" t="s">
        <v>568</v>
      </c>
      <c r="H104" s="34" t="s">
        <v>569</v>
      </c>
    </row>
    <row r="105" spans="1:8" x14ac:dyDescent="0.25">
      <c r="A105" s="35" t="s">
        <v>422</v>
      </c>
      <c r="B105" s="2"/>
      <c r="C105" s="2"/>
      <c r="D105" s="2"/>
      <c r="E105" s="2"/>
      <c r="F105" s="2"/>
      <c r="G105" s="35" t="s">
        <v>176</v>
      </c>
      <c r="H105" s="35" t="s">
        <v>177</v>
      </c>
    </row>
    <row r="106" spans="1:8" x14ac:dyDescent="0.25">
      <c r="A106" s="35" t="s">
        <v>423</v>
      </c>
      <c r="B106" s="2"/>
      <c r="C106" s="2"/>
      <c r="D106" s="2"/>
      <c r="E106" s="2"/>
      <c r="F106" s="2"/>
      <c r="G106" s="35" t="s">
        <v>570</v>
      </c>
      <c r="H106" s="35" t="s">
        <v>571</v>
      </c>
    </row>
    <row r="107" spans="1:8" x14ac:dyDescent="0.25">
      <c r="A107" s="34" t="s">
        <v>356</v>
      </c>
      <c r="B107" s="2"/>
      <c r="C107" s="2"/>
      <c r="D107" s="2"/>
      <c r="E107" s="2"/>
      <c r="F107" s="2"/>
      <c r="G107" s="34" t="s">
        <v>538</v>
      </c>
      <c r="H107" s="34" t="s">
        <v>539</v>
      </c>
    </row>
    <row r="108" spans="1:8" x14ac:dyDescent="0.25">
      <c r="A108" s="35" t="s">
        <v>424</v>
      </c>
      <c r="B108" s="2"/>
      <c r="C108" s="2"/>
      <c r="D108" s="2"/>
      <c r="E108" s="2"/>
      <c r="F108" s="2"/>
      <c r="G108" s="34" t="s">
        <v>566</v>
      </c>
      <c r="H108" s="34" t="s">
        <v>567</v>
      </c>
    </row>
    <row r="109" spans="1:8" x14ac:dyDescent="0.25">
      <c r="A109" s="35" t="s">
        <v>431</v>
      </c>
      <c r="B109" s="2"/>
      <c r="C109" s="2"/>
      <c r="D109" s="2"/>
      <c r="E109" s="2"/>
      <c r="F109" s="2"/>
      <c r="G109" s="35" t="s">
        <v>540</v>
      </c>
      <c r="H109" s="35" t="s">
        <v>541</v>
      </c>
    </row>
    <row r="110" spans="1:8" x14ac:dyDescent="0.25">
      <c r="A110" s="35" t="s">
        <v>437</v>
      </c>
      <c r="B110" s="2"/>
      <c r="C110" s="2"/>
      <c r="D110" s="2"/>
      <c r="E110" s="2"/>
      <c r="F110" s="2"/>
      <c r="G110" s="35" t="s">
        <v>542</v>
      </c>
      <c r="H110" s="35" t="s">
        <v>543</v>
      </c>
    </row>
    <row r="111" spans="1:8" x14ac:dyDescent="0.25">
      <c r="A111" s="35" t="s">
        <v>438</v>
      </c>
      <c r="B111" s="2"/>
      <c r="C111" s="2"/>
      <c r="D111" s="2"/>
      <c r="E111" s="2"/>
      <c r="F111" s="2"/>
      <c r="G111" s="35" t="s">
        <v>544</v>
      </c>
      <c r="H111" s="35" t="s">
        <v>545</v>
      </c>
    </row>
    <row r="112" spans="1:8" x14ac:dyDescent="0.25">
      <c r="A112" s="35" t="s">
        <v>432</v>
      </c>
      <c r="B112" s="2"/>
      <c r="C112" s="2"/>
      <c r="D112" s="2"/>
      <c r="E112" s="2"/>
      <c r="F112" s="2"/>
      <c r="G112" s="35" t="s">
        <v>546</v>
      </c>
      <c r="H112" s="35" t="s">
        <v>547</v>
      </c>
    </row>
    <row r="113" spans="1:8" x14ac:dyDescent="0.25">
      <c r="A113" s="34" t="s">
        <v>357</v>
      </c>
      <c r="B113" s="2"/>
      <c r="C113" s="2"/>
      <c r="D113" s="2"/>
      <c r="E113" s="2"/>
      <c r="F113" s="2"/>
      <c r="G113" s="34" t="s">
        <v>548</v>
      </c>
      <c r="H113" s="34" t="s">
        <v>549</v>
      </c>
    </row>
    <row r="114" spans="1:8" x14ac:dyDescent="0.25">
      <c r="A114" s="35" t="s">
        <v>425</v>
      </c>
      <c r="B114" s="2"/>
      <c r="C114" s="2"/>
      <c r="D114" s="2"/>
      <c r="E114" s="2"/>
      <c r="F114" s="2"/>
      <c r="G114" s="34" t="s">
        <v>564</v>
      </c>
      <c r="H114" s="34" t="s">
        <v>565</v>
      </c>
    </row>
    <row r="115" spans="1:8" x14ac:dyDescent="0.25">
      <c r="A115" s="35" t="s">
        <v>433</v>
      </c>
      <c r="B115" s="2"/>
      <c r="C115" s="2"/>
      <c r="D115" s="2"/>
      <c r="E115" s="2"/>
      <c r="F115" s="2"/>
      <c r="G115" s="35" t="s">
        <v>550</v>
      </c>
      <c r="H115" s="35" t="s">
        <v>556</v>
      </c>
    </row>
    <row r="116" spans="1:8" x14ac:dyDescent="0.25">
      <c r="A116" s="35" t="s">
        <v>434</v>
      </c>
      <c r="B116" s="2"/>
      <c r="C116" s="2"/>
      <c r="D116" s="2"/>
      <c r="E116" s="2"/>
      <c r="F116" s="2"/>
      <c r="G116" s="35" t="s">
        <v>553</v>
      </c>
      <c r="H116" s="35" t="s">
        <v>557</v>
      </c>
    </row>
    <row r="117" spans="1:8" x14ac:dyDescent="0.25">
      <c r="A117" s="35" t="s">
        <v>435</v>
      </c>
      <c r="B117" s="2"/>
      <c r="C117" s="2"/>
      <c r="D117" s="2"/>
      <c r="E117" s="2"/>
      <c r="F117" s="2"/>
      <c r="G117" s="35" t="s">
        <v>554</v>
      </c>
      <c r="H117" s="35" t="s">
        <v>558</v>
      </c>
    </row>
    <row r="118" spans="1:8" x14ac:dyDescent="0.25">
      <c r="A118" s="35" t="s">
        <v>436</v>
      </c>
      <c r="B118" s="2"/>
      <c r="C118" s="2"/>
      <c r="D118" s="2"/>
      <c r="E118" s="2"/>
      <c r="F118" s="2"/>
      <c r="G118" s="35" t="s">
        <v>555</v>
      </c>
      <c r="H118" s="35" t="s">
        <v>559</v>
      </c>
    </row>
    <row r="119" spans="1:8" x14ac:dyDescent="0.25">
      <c r="A119" s="2" t="s">
        <v>18182</v>
      </c>
      <c r="B119" s="2"/>
      <c r="C119" s="2"/>
      <c r="D119" s="2"/>
      <c r="E119" s="2"/>
      <c r="F119" s="2"/>
      <c r="G119" s="2" t="s">
        <v>18183</v>
      </c>
      <c r="H119" s="2" t="s">
        <v>18184</v>
      </c>
    </row>
  </sheetData>
  <phoneticPr fontId="1" type="noConversion"/>
  <dataValidations count="1">
    <dataValidation type="list" showInputMessage="1" promptTitle="Langue" prompt="Choisir une langue" sqref="J1" xr:uid="{57ED852D-08F0-49B7-866B-A3431F5C3F34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tabSelected="1" topLeftCell="C58" zoomScale="82" zoomScaleNormal="82" workbookViewId="0">
      <selection activeCell="K27" sqref="K27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7" width="12.5703125" customWidth="1"/>
    <col min="18" max="18" width="31.5703125" customWidth="1"/>
    <col min="19" max="19" width="23.28515625" bestFit="1" customWidth="1"/>
  </cols>
  <sheetData>
    <row r="1" spans="2:19" x14ac:dyDescent="0.25">
      <c r="B1" t="s">
        <v>106</v>
      </c>
      <c r="J1" s="9"/>
      <c r="Q1" s="41" t="s">
        <v>577</v>
      </c>
      <c r="R1" s="9" t="s">
        <v>586</v>
      </c>
    </row>
    <row r="3" spans="2:19" x14ac:dyDescent="0.25">
      <c r="B3" t="s">
        <v>82</v>
      </c>
      <c r="C3" t="s">
        <v>104</v>
      </c>
      <c r="D3" t="s">
        <v>102</v>
      </c>
      <c r="E3" t="s">
        <v>128</v>
      </c>
      <c r="F3" t="s">
        <v>573</v>
      </c>
      <c r="G3" t="s">
        <v>89</v>
      </c>
      <c r="H3" t="s">
        <v>92</v>
      </c>
      <c r="I3" t="s">
        <v>127</v>
      </c>
      <c r="J3" t="s">
        <v>83</v>
      </c>
      <c r="K3" t="s">
        <v>147</v>
      </c>
      <c r="L3" t="s">
        <v>146</v>
      </c>
      <c r="M3" t="s">
        <v>188</v>
      </c>
      <c r="N3" t="s">
        <v>575</v>
      </c>
      <c r="O3" t="s">
        <v>84</v>
      </c>
      <c r="P3" t="s">
        <v>312</v>
      </c>
      <c r="Q3" t="s">
        <v>103</v>
      </c>
      <c r="R3" s="38" t="s">
        <v>108</v>
      </c>
      <c r="S3" t="s">
        <v>100</v>
      </c>
    </row>
    <row r="4" spans="2:19" ht="30" x14ac:dyDescent="0.25">
      <c r="B4" s="13" t="s">
        <v>485</v>
      </c>
      <c r="C4" s="14" t="s">
        <v>105</v>
      </c>
      <c r="D4" s="14" t="s">
        <v>86</v>
      </c>
      <c r="E4" s="14" t="s">
        <v>129</v>
      </c>
      <c r="F4" s="14" t="s">
        <v>88</v>
      </c>
      <c r="G4" s="14" t="s">
        <v>0</v>
      </c>
      <c r="H4" s="14" t="s">
        <v>90</v>
      </c>
      <c r="I4" s="14" t="s">
        <v>86</v>
      </c>
      <c r="J4" s="14" t="s">
        <v>85</v>
      </c>
      <c r="K4" s="14"/>
      <c r="L4" s="14"/>
      <c r="M4" s="14">
        <v>1</v>
      </c>
      <c r="N4" s="14">
        <v>14</v>
      </c>
      <c r="O4" s="14" t="s">
        <v>86</v>
      </c>
      <c r="P4" s="14"/>
      <c r="Q4" s="14" t="s">
        <v>79</v>
      </c>
      <c r="R4" s="15" t="s">
        <v>169</v>
      </c>
      <c r="S4" s="14" t="s">
        <v>98</v>
      </c>
    </row>
    <row r="5" spans="2:19" ht="30" x14ac:dyDescent="0.25">
      <c r="B5" s="14"/>
      <c r="C5" s="14"/>
      <c r="D5" s="14"/>
      <c r="E5" s="14"/>
      <c r="F5" s="14"/>
      <c r="G5" s="14" t="s">
        <v>39</v>
      </c>
      <c r="H5" s="14" t="s">
        <v>93</v>
      </c>
      <c r="I5" s="14" t="s">
        <v>86</v>
      </c>
      <c r="J5" s="14" t="s">
        <v>65</v>
      </c>
      <c r="K5" s="14"/>
      <c r="L5" s="14"/>
      <c r="M5" s="14">
        <v>1</v>
      </c>
      <c r="N5" s="14">
        <v>14</v>
      </c>
      <c r="O5" s="14" t="s">
        <v>88</v>
      </c>
      <c r="P5" s="14"/>
      <c r="Q5" s="14" t="s">
        <v>75</v>
      </c>
      <c r="R5" s="15" t="s">
        <v>170</v>
      </c>
      <c r="S5" s="14" t="s">
        <v>101</v>
      </c>
    </row>
    <row r="6" spans="2:19" ht="30" x14ac:dyDescent="0.25">
      <c r="B6" s="14"/>
      <c r="C6" s="14"/>
      <c r="D6" s="14"/>
      <c r="E6" s="14"/>
      <c r="F6" s="14"/>
      <c r="G6" s="14" t="s">
        <v>94</v>
      </c>
      <c r="H6" s="14" t="s">
        <v>93</v>
      </c>
      <c r="I6" s="14" t="s">
        <v>86</v>
      </c>
      <c r="J6" s="14" t="s">
        <v>95</v>
      </c>
      <c r="K6" s="14"/>
      <c r="L6" s="14"/>
      <c r="M6" s="14">
        <v>1</v>
      </c>
      <c r="N6" s="14">
        <v>14</v>
      </c>
      <c r="O6" s="14" t="s">
        <v>88</v>
      </c>
      <c r="P6" s="14"/>
      <c r="Q6" s="14" t="s">
        <v>70</v>
      </c>
      <c r="R6" s="15" t="s">
        <v>170</v>
      </c>
      <c r="S6" s="14" t="s">
        <v>101</v>
      </c>
    </row>
    <row r="7" spans="2:19" x14ac:dyDescent="0.25">
      <c r="B7" s="14"/>
      <c r="C7" s="14"/>
      <c r="D7" s="14"/>
      <c r="E7" s="14"/>
      <c r="F7" s="14"/>
      <c r="G7" s="14" t="s">
        <v>87</v>
      </c>
      <c r="H7" s="14" t="s">
        <v>91</v>
      </c>
      <c r="I7" s="14" t="s">
        <v>88</v>
      </c>
      <c r="J7" s="14" t="s">
        <v>66</v>
      </c>
      <c r="K7" s="14"/>
      <c r="L7" s="14" t="s">
        <v>148</v>
      </c>
      <c r="M7" s="14">
        <v>1</v>
      </c>
      <c r="N7" s="14">
        <v>28</v>
      </c>
      <c r="O7" s="14" t="s">
        <v>88</v>
      </c>
      <c r="P7" s="14"/>
      <c r="Q7" s="14"/>
      <c r="R7" s="15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5"/>
      <c r="S8" s="14"/>
    </row>
    <row r="9" spans="2:19" ht="30" x14ac:dyDescent="0.25">
      <c r="B9" s="13" t="s">
        <v>484</v>
      </c>
      <c r="C9" s="14" t="s">
        <v>229</v>
      </c>
      <c r="D9" s="14" t="s">
        <v>86</v>
      </c>
      <c r="E9" s="15" t="s">
        <v>504</v>
      </c>
      <c r="F9" s="15" t="s">
        <v>86</v>
      </c>
      <c r="G9" s="62" t="s">
        <v>574</v>
      </c>
      <c r="H9" s="62"/>
      <c r="I9" s="63"/>
      <c r="J9" s="62" t="s">
        <v>138</v>
      </c>
      <c r="K9" s="62"/>
      <c r="L9" s="62"/>
      <c r="M9" s="62">
        <v>1</v>
      </c>
      <c r="N9" s="63">
        <v>5</v>
      </c>
      <c r="O9" s="63"/>
      <c r="P9" s="64"/>
      <c r="Q9" s="14" t="s">
        <v>126</v>
      </c>
      <c r="R9" s="15" t="s">
        <v>508</v>
      </c>
      <c r="S9" s="14" t="s">
        <v>98</v>
      </c>
    </row>
    <row r="10" spans="2:19" x14ac:dyDescent="0.25">
      <c r="B10" s="14"/>
      <c r="C10" s="14"/>
      <c r="D10" s="14"/>
      <c r="E10" s="14"/>
      <c r="F10" s="14"/>
      <c r="G10" s="63" t="s">
        <v>173</v>
      </c>
      <c r="H10" s="63" t="s">
        <v>93</v>
      </c>
      <c r="I10" s="63" t="s">
        <v>86</v>
      </c>
      <c r="J10" s="62" t="s">
        <v>189</v>
      </c>
      <c r="K10" s="63" t="s">
        <v>173</v>
      </c>
      <c r="L10" s="63"/>
      <c r="M10" s="63">
        <v>4</v>
      </c>
      <c r="N10" s="63">
        <v>10</v>
      </c>
      <c r="O10" s="63" t="s">
        <v>88</v>
      </c>
      <c r="P10" s="64" t="s">
        <v>275</v>
      </c>
      <c r="Q10" s="33"/>
      <c r="R10" s="39"/>
      <c r="S10" s="33"/>
    </row>
    <row r="11" spans="2:19" x14ac:dyDescent="0.25">
      <c r="B11" s="14"/>
      <c r="C11" s="14"/>
      <c r="D11" s="14"/>
      <c r="E11" s="14"/>
      <c r="F11" s="14"/>
      <c r="G11" s="63" t="s">
        <v>318</v>
      </c>
      <c r="H11" s="63" t="s">
        <v>93</v>
      </c>
      <c r="I11" s="63" t="s">
        <v>86</v>
      </c>
      <c r="J11" s="62" t="s">
        <v>139</v>
      </c>
      <c r="K11" s="63" t="s">
        <v>37</v>
      </c>
      <c r="L11" s="63"/>
      <c r="M11" s="63">
        <v>4</v>
      </c>
      <c r="N11" s="63">
        <v>10</v>
      </c>
      <c r="O11" s="63" t="s">
        <v>88</v>
      </c>
      <c r="P11" s="64" t="s">
        <v>276</v>
      </c>
      <c r="Q11" s="33"/>
      <c r="R11" s="39"/>
      <c r="S11" s="33"/>
    </row>
    <row r="12" spans="2:19" x14ac:dyDescent="0.25">
      <c r="B12" s="14"/>
      <c r="C12" s="14"/>
      <c r="D12" s="14"/>
      <c r="E12" s="14"/>
      <c r="F12" s="14"/>
      <c r="G12" s="63" t="s">
        <v>319</v>
      </c>
      <c r="H12" s="63" t="s">
        <v>93</v>
      </c>
      <c r="I12" s="63" t="s">
        <v>86</v>
      </c>
      <c r="J12" s="63" t="s">
        <v>405</v>
      </c>
      <c r="K12" s="63" t="s">
        <v>361</v>
      </c>
      <c r="L12" s="63"/>
      <c r="M12" s="63">
        <v>4</v>
      </c>
      <c r="N12" s="63">
        <v>10</v>
      </c>
      <c r="O12" s="63" t="s">
        <v>88</v>
      </c>
      <c r="P12" s="64" t="s">
        <v>277</v>
      </c>
      <c r="Q12" s="33"/>
      <c r="R12" s="39"/>
      <c r="S12" s="33"/>
    </row>
    <row r="13" spans="2:19" x14ac:dyDescent="0.25">
      <c r="B13" s="14"/>
      <c r="C13" s="14"/>
      <c r="D13" s="14"/>
      <c r="E13" s="14"/>
      <c r="F13" s="14"/>
      <c r="G13" s="63" t="s">
        <v>320</v>
      </c>
      <c r="H13" s="63" t="s">
        <v>93</v>
      </c>
      <c r="I13" s="63" t="s">
        <v>86</v>
      </c>
      <c r="J13" s="63" t="s">
        <v>406</v>
      </c>
      <c r="K13" s="63" t="s">
        <v>361</v>
      </c>
      <c r="L13" s="63"/>
      <c r="M13" s="63">
        <v>4</v>
      </c>
      <c r="N13" s="63">
        <v>11</v>
      </c>
      <c r="O13" s="63" t="s">
        <v>88</v>
      </c>
      <c r="P13" s="64" t="s">
        <v>278</v>
      </c>
      <c r="Q13" s="33"/>
      <c r="R13" s="39"/>
      <c r="S13" s="33"/>
    </row>
    <row r="14" spans="2:19" x14ac:dyDescent="0.25">
      <c r="B14" s="14"/>
      <c r="C14" s="14"/>
      <c r="D14" s="14"/>
      <c r="E14" s="14"/>
      <c r="F14" s="14"/>
      <c r="G14" s="62" t="s">
        <v>187</v>
      </c>
      <c r="H14" s="62"/>
      <c r="I14" s="63"/>
      <c r="J14" s="62" t="s">
        <v>354</v>
      </c>
      <c r="K14" s="62"/>
      <c r="L14" s="62"/>
      <c r="M14" s="62">
        <v>2</v>
      </c>
      <c r="N14" s="63">
        <v>6</v>
      </c>
      <c r="O14" s="63"/>
      <c r="P14" s="64"/>
      <c r="Q14" s="33"/>
      <c r="R14" s="39"/>
      <c r="S14" s="33"/>
    </row>
    <row r="15" spans="2:19" x14ac:dyDescent="0.25">
      <c r="B15" s="14"/>
      <c r="C15" s="14"/>
      <c r="D15" s="14"/>
      <c r="E15" s="14"/>
      <c r="F15" s="14"/>
      <c r="G15" s="63" t="s">
        <v>321</v>
      </c>
      <c r="H15" s="63" t="s">
        <v>141</v>
      </c>
      <c r="I15" s="63" t="s">
        <v>88</v>
      </c>
      <c r="J15" s="63" t="s">
        <v>407</v>
      </c>
      <c r="K15" s="63"/>
      <c r="L15" s="63"/>
      <c r="M15" s="63">
        <v>4</v>
      </c>
      <c r="N15" s="63">
        <v>10</v>
      </c>
      <c r="O15" s="63" t="s">
        <v>88</v>
      </c>
      <c r="P15" s="64" t="s">
        <v>279</v>
      </c>
      <c r="Q15" s="33"/>
      <c r="R15" s="39"/>
      <c r="S15" s="33"/>
    </row>
    <row r="16" spans="2:19" x14ac:dyDescent="0.25">
      <c r="B16" s="14"/>
      <c r="C16" s="14"/>
      <c r="D16" s="14"/>
      <c r="E16" s="14"/>
      <c r="F16" s="14"/>
      <c r="G16" s="63" t="s">
        <v>322</v>
      </c>
      <c r="H16" s="63" t="s">
        <v>93</v>
      </c>
      <c r="I16" s="63" t="s">
        <v>88</v>
      </c>
      <c r="J16" s="63" t="s">
        <v>426</v>
      </c>
      <c r="K16" s="63" t="s">
        <v>358</v>
      </c>
      <c r="L16" s="63"/>
      <c r="M16" s="63">
        <v>4</v>
      </c>
      <c r="N16" s="63">
        <v>10</v>
      </c>
      <c r="O16" s="63" t="s">
        <v>88</v>
      </c>
      <c r="P16" s="64" t="s">
        <v>280</v>
      </c>
      <c r="Q16" s="33"/>
      <c r="R16" s="39"/>
      <c r="S16" s="33"/>
    </row>
    <row r="17" spans="2:19" x14ac:dyDescent="0.25">
      <c r="B17" s="14"/>
      <c r="C17" s="14"/>
      <c r="D17" s="14"/>
      <c r="E17" s="14"/>
      <c r="F17" s="14"/>
      <c r="G17" s="63" t="s">
        <v>323</v>
      </c>
      <c r="H17" s="63" t="s">
        <v>141</v>
      </c>
      <c r="I17" s="63" t="s">
        <v>88</v>
      </c>
      <c r="J17" s="63" t="s">
        <v>408</v>
      </c>
      <c r="K17" s="63"/>
      <c r="L17" s="63"/>
      <c r="M17" s="63">
        <v>4</v>
      </c>
      <c r="N17" s="63">
        <v>10</v>
      </c>
      <c r="O17" s="63" t="s">
        <v>88</v>
      </c>
      <c r="P17" s="64" t="s">
        <v>281</v>
      </c>
      <c r="Q17" s="33"/>
      <c r="R17" s="39"/>
      <c r="S17" s="33"/>
    </row>
    <row r="18" spans="2:19" x14ac:dyDescent="0.25">
      <c r="B18" s="14"/>
      <c r="C18" s="14"/>
      <c r="D18" s="14"/>
      <c r="E18" s="14"/>
      <c r="F18" s="14"/>
      <c r="G18" s="63" t="s">
        <v>324</v>
      </c>
      <c r="H18" s="63" t="s">
        <v>93</v>
      </c>
      <c r="I18" s="63" t="s">
        <v>88</v>
      </c>
      <c r="J18" s="63" t="s">
        <v>439</v>
      </c>
      <c r="K18" s="63" t="s">
        <v>358</v>
      </c>
      <c r="L18" s="63"/>
      <c r="M18" s="63">
        <v>4</v>
      </c>
      <c r="N18" s="63">
        <v>10</v>
      </c>
      <c r="O18" s="63" t="s">
        <v>88</v>
      </c>
      <c r="P18" s="64" t="s">
        <v>282</v>
      </c>
      <c r="Q18" s="33"/>
      <c r="R18" s="39"/>
      <c r="S18" s="33"/>
    </row>
    <row r="19" spans="2:19" x14ac:dyDescent="0.25">
      <c r="B19" s="14"/>
      <c r="C19" s="14"/>
      <c r="D19" s="14"/>
      <c r="E19" s="14"/>
      <c r="F19" s="14"/>
      <c r="G19" s="63" t="s">
        <v>325</v>
      </c>
      <c r="H19" s="63" t="s">
        <v>141</v>
      </c>
      <c r="I19" s="63" t="s">
        <v>88</v>
      </c>
      <c r="J19" s="63" t="s">
        <v>409</v>
      </c>
      <c r="K19" s="63"/>
      <c r="L19" s="63"/>
      <c r="M19" s="63">
        <v>4</v>
      </c>
      <c r="N19" s="63">
        <v>10</v>
      </c>
      <c r="O19" s="63" t="s">
        <v>88</v>
      </c>
      <c r="P19" s="64" t="s">
        <v>283</v>
      </c>
      <c r="Q19" s="33"/>
      <c r="R19" s="39"/>
      <c r="S19" s="33"/>
    </row>
    <row r="20" spans="2:19" x14ac:dyDescent="0.25">
      <c r="B20" s="14"/>
      <c r="C20" s="14"/>
      <c r="D20" s="14"/>
      <c r="E20" s="14"/>
      <c r="F20" s="14"/>
      <c r="G20" s="63" t="s">
        <v>326</v>
      </c>
      <c r="H20" s="63" t="s">
        <v>93</v>
      </c>
      <c r="I20" s="63" t="s">
        <v>88</v>
      </c>
      <c r="J20" s="63" t="s">
        <v>427</v>
      </c>
      <c r="K20" s="63" t="s">
        <v>682</v>
      </c>
      <c r="L20" s="63"/>
      <c r="M20" s="63">
        <v>4</v>
      </c>
      <c r="N20" s="63">
        <v>10</v>
      </c>
      <c r="O20" s="63" t="s">
        <v>88</v>
      </c>
      <c r="P20" s="64" t="s">
        <v>284</v>
      </c>
      <c r="Q20" s="33"/>
      <c r="R20" s="39"/>
      <c r="S20" s="33"/>
    </row>
    <row r="21" spans="2:19" x14ac:dyDescent="0.25">
      <c r="B21" s="14"/>
      <c r="C21" s="14"/>
      <c r="D21" s="14"/>
      <c r="E21" s="14"/>
      <c r="F21" s="14"/>
      <c r="G21" s="63" t="s">
        <v>327</v>
      </c>
      <c r="H21" s="63" t="s">
        <v>141</v>
      </c>
      <c r="I21" s="63" t="s">
        <v>88</v>
      </c>
      <c r="J21" s="63" t="s">
        <v>410</v>
      </c>
      <c r="K21" s="63"/>
      <c r="L21" s="63"/>
      <c r="M21" s="63">
        <v>4</v>
      </c>
      <c r="N21" s="63">
        <v>10</v>
      </c>
      <c r="O21" s="63" t="s">
        <v>88</v>
      </c>
      <c r="P21" s="64" t="s">
        <v>285</v>
      </c>
      <c r="Q21" s="33"/>
      <c r="R21" s="39"/>
      <c r="S21" s="33"/>
    </row>
    <row r="22" spans="2:19" x14ac:dyDescent="0.25">
      <c r="B22" s="14"/>
      <c r="C22" s="14"/>
      <c r="D22" s="14"/>
      <c r="E22" s="14"/>
      <c r="F22" s="14"/>
      <c r="G22" s="63" t="s">
        <v>328</v>
      </c>
      <c r="H22" s="63" t="s">
        <v>90</v>
      </c>
      <c r="I22" s="63" t="s">
        <v>88</v>
      </c>
      <c r="J22" s="63" t="s">
        <v>411</v>
      </c>
      <c r="K22" s="63" t="s">
        <v>683</v>
      </c>
      <c r="L22" s="63"/>
      <c r="M22" s="63">
        <v>4</v>
      </c>
      <c r="N22" s="63">
        <v>10</v>
      </c>
      <c r="O22" s="63" t="s">
        <v>88</v>
      </c>
      <c r="P22" s="64" t="s">
        <v>286</v>
      </c>
      <c r="Q22" s="33"/>
      <c r="R22" s="39"/>
      <c r="S22" s="33"/>
    </row>
    <row r="23" spans="2:19" x14ac:dyDescent="0.25">
      <c r="B23" s="14"/>
      <c r="C23" s="14"/>
      <c r="D23" s="14"/>
      <c r="E23" s="14"/>
      <c r="F23" s="14"/>
      <c r="G23" s="63" t="s">
        <v>329</v>
      </c>
      <c r="H23" s="63" t="s">
        <v>141</v>
      </c>
      <c r="I23" s="63" t="s">
        <v>88</v>
      </c>
      <c r="J23" s="63" t="s">
        <v>412</v>
      </c>
      <c r="K23" s="63"/>
      <c r="L23" s="63"/>
      <c r="M23" s="63">
        <v>4</v>
      </c>
      <c r="N23" s="63">
        <v>10</v>
      </c>
      <c r="O23" s="63" t="s">
        <v>88</v>
      </c>
      <c r="P23" s="64" t="s">
        <v>287</v>
      </c>
      <c r="Q23" s="33"/>
      <c r="R23" s="39"/>
      <c r="S23" s="33"/>
    </row>
    <row r="24" spans="2:19" x14ac:dyDescent="0.25">
      <c r="B24" s="14"/>
      <c r="C24" s="14"/>
      <c r="D24" s="14"/>
      <c r="E24" s="14"/>
      <c r="F24" s="14"/>
      <c r="G24" s="63" t="s">
        <v>330</v>
      </c>
      <c r="H24" s="63" t="s">
        <v>141</v>
      </c>
      <c r="I24" s="63" t="s">
        <v>88</v>
      </c>
      <c r="J24" s="63" t="s">
        <v>413</v>
      </c>
      <c r="K24" s="63"/>
      <c r="L24" s="63"/>
      <c r="M24" s="63">
        <v>4</v>
      </c>
      <c r="N24" s="63">
        <v>10</v>
      </c>
      <c r="O24" s="63" t="s">
        <v>88</v>
      </c>
      <c r="P24" s="64" t="s">
        <v>288</v>
      </c>
      <c r="Q24" s="33"/>
      <c r="R24" s="39"/>
      <c r="S24" s="33"/>
    </row>
    <row r="25" spans="2:19" x14ac:dyDescent="0.25">
      <c r="B25" s="14"/>
      <c r="C25" s="14"/>
      <c r="D25" s="14"/>
      <c r="E25" s="14"/>
      <c r="F25" s="14"/>
      <c r="G25" s="63" t="s">
        <v>331</v>
      </c>
      <c r="H25" s="63" t="s">
        <v>90</v>
      </c>
      <c r="I25" s="63" t="s">
        <v>88</v>
      </c>
      <c r="J25" s="63" t="s">
        <v>428</v>
      </c>
      <c r="K25" s="63" t="s">
        <v>359</v>
      </c>
      <c r="L25" s="63"/>
      <c r="M25" s="63">
        <v>4</v>
      </c>
      <c r="N25" s="63">
        <v>10</v>
      </c>
      <c r="O25" s="63" t="s">
        <v>88</v>
      </c>
      <c r="P25" s="64" t="s">
        <v>289</v>
      </c>
      <c r="Q25" s="33"/>
      <c r="R25" s="39"/>
      <c r="S25" s="33"/>
    </row>
    <row r="26" spans="2:19" x14ac:dyDescent="0.25">
      <c r="B26" s="14"/>
      <c r="C26" s="14"/>
      <c r="D26" s="14"/>
      <c r="E26" s="14"/>
      <c r="F26" s="14"/>
      <c r="G26" s="63" t="s">
        <v>332</v>
      </c>
      <c r="H26" s="63" t="s">
        <v>141</v>
      </c>
      <c r="I26" s="63" t="s">
        <v>88</v>
      </c>
      <c r="J26" s="63" t="s">
        <v>414</v>
      </c>
      <c r="K26" s="63"/>
      <c r="L26" s="63"/>
      <c r="M26" s="63">
        <v>4</v>
      </c>
      <c r="N26" s="63">
        <v>10</v>
      </c>
      <c r="O26" s="63" t="s">
        <v>88</v>
      </c>
      <c r="P26" s="64" t="s">
        <v>290</v>
      </c>
      <c r="Q26" s="33"/>
      <c r="R26" s="39"/>
      <c r="S26" s="33"/>
    </row>
    <row r="27" spans="2:19" x14ac:dyDescent="0.25">
      <c r="B27" s="14"/>
      <c r="C27" s="14"/>
      <c r="D27" s="14"/>
      <c r="E27" s="14"/>
      <c r="F27" s="14"/>
      <c r="G27" s="63" t="s">
        <v>333</v>
      </c>
      <c r="H27" s="63" t="s">
        <v>93</v>
      </c>
      <c r="I27" s="63" t="s">
        <v>88</v>
      </c>
      <c r="J27" s="63" t="s">
        <v>429</v>
      </c>
      <c r="K27" s="63"/>
      <c r="L27" s="63"/>
      <c r="M27" s="63">
        <v>4</v>
      </c>
      <c r="N27" s="63">
        <v>10</v>
      </c>
      <c r="O27" s="63" t="s">
        <v>88</v>
      </c>
      <c r="P27" s="64" t="s">
        <v>291</v>
      </c>
      <c r="Q27" s="33"/>
      <c r="R27" s="39"/>
      <c r="S27" s="33"/>
    </row>
    <row r="28" spans="2:19" x14ac:dyDescent="0.25">
      <c r="B28" s="14"/>
      <c r="C28" s="14"/>
      <c r="D28" s="14"/>
      <c r="E28" s="14"/>
      <c r="F28" s="14"/>
      <c r="G28" s="63" t="s">
        <v>334</v>
      </c>
      <c r="H28" s="63" t="s">
        <v>141</v>
      </c>
      <c r="I28" s="63" t="s">
        <v>88</v>
      </c>
      <c r="J28" s="63" t="s">
        <v>415</v>
      </c>
      <c r="K28" s="63"/>
      <c r="L28" s="63"/>
      <c r="M28" s="63">
        <v>4</v>
      </c>
      <c r="N28" s="63">
        <v>10</v>
      </c>
      <c r="O28" s="63" t="s">
        <v>88</v>
      </c>
      <c r="P28" s="64" t="s">
        <v>292</v>
      </c>
      <c r="Q28" s="33"/>
      <c r="R28" s="39"/>
      <c r="S28" s="33"/>
    </row>
    <row r="29" spans="2:19" x14ac:dyDescent="0.25">
      <c r="B29" s="14"/>
      <c r="C29" s="14"/>
      <c r="D29" s="14"/>
      <c r="E29" s="14"/>
      <c r="F29" s="14"/>
      <c r="G29" s="63" t="s">
        <v>335</v>
      </c>
      <c r="H29" s="63" t="s">
        <v>141</v>
      </c>
      <c r="I29" s="63" t="s">
        <v>88</v>
      </c>
      <c r="J29" s="63" t="s">
        <v>416</v>
      </c>
      <c r="K29" s="63"/>
      <c r="L29" s="63"/>
      <c r="M29" s="63">
        <v>4</v>
      </c>
      <c r="N29" s="63">
        <v>10</v>
      </c>
      <c r="O29" s="63" t="s">
        <v>88</v>
      </c>
      <c r="P29" s="64" t="s">
        <v>293</v>
      </c>
      <c r="Q29" s="33"/>
      <c r="R29" s="39"/>
      <c r="S29" s="33"/>
    </row>
    <row r="30" spans="2:19" x14ac:dyDescent="0.25">
      <c r="B30" s="14"/>
      <c r="C30" s="14"/>
      <c r="D30" s="14"/>
      <c r="E30" s="14"/>
      <c r="F30" s="14"/>
      <c r="G30" s="63" t="s">
        <v>336</v>
      </c>
      <c r="H30" s="63" t="s">
        <v>93</v>
      </c>
      <c r="I30" s="63" t="s">
        <v>88</v>
      </c>
      <c r="J30" s="63" t="s">
        <v>430</v>
      </c>
      <c r="K30" s="63" t="s">
        <v>580</v>
      </c>
      <c r="L30" s="63"/>
      <c r="M30" s="63">
        <v>4</v>
      </c>
      <c r="N30" s="63">
        <v>10</v>
      </c>
      <c r="O30" s="63" t="s">
        <v>88</v>
      </c>
      <c r="P30" s="64" t="s">
        <v>294</v>
      </c>
      <c r="Q30" s="33"/>
      <c r="R30" s="39"/>
      <c r="S30" s="33"/>
    </row>
    <row r="31" spans="2:19" x14ac:dyDescent="0.25">
      <c r="B31" s="14"/>
      <c r="C31" s="14"/>
      <c r="D31" s="14"/>
      <c r="E31" s="14"/>
      <c r="F31" s="14"/>
      <c r="G31" s="63" t="s">
        <v>337</v>
      </c>
      <c r="H31" s="63" t="s">
        <v>93</v>
      </c>
      <c r="I31" s="63" t="s">
        <v>88</v>
      </c>
      <c r="J31" s="63" t="s">
        <v>417</v>
      </c>
      <c r="K31" s="63" t="s">
        <v>581</v>
      </c>
      <c r="L31" s="63"/>
      <c r="M31" s="63">
        <v>4</v>
      </c>
      <c r="N31" s="63">
        <v>10</v>
      </c>
      <c r="O31" s="63" t="s">
        <v>88</v>
      </c>
      <c r="P31" s="64" t="s">
        <v>295</v>
      </c>
      <c r="Q31" s="33"/>
      <c r="R31" s="39"/>
      <c r="S31" s="33"/>
    </row>
    <row r="32" spans="2:19" x14ac:dyDescent="0.25">
      <c r="B32" s="14"/>
      <c r="C32" s="14"/>
      <c r="D32" s="14"/>
      <c r="E32" s="14"/>
      <c r="F32" s="14"/>
      <c r="G32" s="63" t="s">
        <v>338</v>
      </c>
      <c r="H32" s="63" t="s">
        <v>93</v>
      </c>
      <c r="I32" s="63" t="s">
        <v>88</v>
      </c>
      <c r="J32" s="63" t="s">
        <v>418</v>
      </c>
      <c r="K32" s="63" t="s">
        <v>582</v>
      </c>
      <c r="L32" s="63"/>
      <c r="M32" s="63">
        <v>4</v>
      </c>
      <c r="N32" s="63">
        <v>10</v>
      </c>
      <c r="O32" s="63" t="s">
        <v>88</v>
      </c>
      <c r="P32" s="64" t="s">
        <v>296</v>
      </c>
      <c r="Q32" s="33"/>
      <c r="R32" s="39"/>
      <c r="S32" s="33"/>
    </row>
    <row r="33" spans="2:19" x14ac:dyDescent="0.25">
      <c r="B33" s="14"/>
      <c r="C33" s="14"/>
      <c r="D33" s="14"/>
      <c r="E33" s="14"/>
      <c r="F33" s="14"/>
      <c r="G33" s="63" t="s">
        <v>339</v>
      </c>
      <c r="H33" s="63" t="s">
        <v>93</v>
      </c>
      <c r="I33" s="63" t="s">
        <v>88</v>
      </c>
      <c r="J33" s="63" t="s">
        <v>419</v>
      </c>
      <c r="K33" s="63" t="s">
        <v>583</v>
      </c>
      <c r="L33" s="63"/>
      <c r="M33" s="63">
        <v>4</v>
      </c>
      <c r="N33" s="63">
        <v>10</v>
      </c>
      <c r="O33" s="63" t="s">
        <v>88</v>
      </c>
      <c r="P33" s="64" t="s">
        <v>297</v>
      </c>
      <c r="Q33" s="33"/>
      <c r="R33" s="39"/>
      <c r="S33" s="33"/>
    </row>
    <row r="34" spans="2:19" x14ac:dyDescent="0.25">
      <c r="B34" s="14"/>
      <c r="C34" s="14"/>
      <c r="D34" s="14"/>
      <c r="E34" s="14"/>
      <c r="F34" s="14"/>
      <c r="G34" s="63" t="s">
        <v>340</v>
      </c>
      <c r="H34" s="63" t="s">
        <v>93</v>
      </c>
      <c r="I34" s="63" t="s">
        <v>88</v>
      </c>
      <c r="J34" s="63" t="s">
        <v>420</v>
      </c>
      <c r="K34" s="63" t="s">
        <v>584</v>
      </c>
      <c r="L34" s="63"/>
      <c r="M34" s="63">
        <v>4</v>
      </c>
      <c r="N34" s="63">
        <v>10</v>
      </c>
      <c r="O34" s="63" t="s">
        <v>88</v>
      </c>
      <c r="P34" s="64" t="s">
        <v>298</v>
      </c>
      <c r="Q34" s="33"/>
      <c r="R34" s="39"/>
      <c r="S34" s="33"/>
    </row>
    <row r="35" spans="2:19" x14ac:dyDescent="0.25">
      <c r="B35" s="14"/>
      <c r="C35" s="14"/>
      <c r="D35" s="14"/>
      <c r="E35" s="14"/>
      <c r="F35" s="14"/>
      <c r="G35" s="62" t="s">
        <v>574</v>
      </c>
      <c r="H35" s="62"/>
      <c r="I35" s="63"/>
      <c r="J35" s="62" t="s">
        <v>355</v>
      </c>
      <c r="K35" s="62"/>
      <c r="L35" s="62"/>
      <c r="M35" s="62">
        <v>2</v>
      </c>
      <c r="N35" s="63">
        <v>6</v>
      </c>
      <c r="O35" s="63"/>
      <c r="P35" s="64"/>
      <c r="Q35" s="33"/>
      <c r="R35" s="39"/>
      <c r="S35" s="33"/>
    </row>
    <row r="36" spans="2:19" x14ac:dyDescent="0.25">
      <c r="B36" s="14"/>
      <c r="C36" s="14"/>
      <c r="D36" s="14"/>
      <c r="E36" s="14"/>
      <c r="F36" s="14"/>
      <c r="G36" s="63" t="s">
        <v>341</v>
      </c>
      <c r="H36" s="63" t="s">
        <v>141</v>
      </c>
      <c r="I36" s="63" t="s">
        <v>88</v>
      </c>
      <c r="J36" s="63" t="s">
        <v>421</v>
      </c>
      <c r="K36" s="63"/>
      <c r="L36" s="63"/>
      <c r="M36" s="63">
        <v>4</v>
      </c>
      <c r="N36" s="63">
        <v>11</v>
      </c>
      <c r="O36" s="63" t="s">
        <v>88</v>
      </c>
      <c r="P36" s="64" t="s">
        <v>299</v>
      </c>
      <c r="Q36" s="33"/>
      <c r="R36" s="39"/>
      <c r="S36" s="33"/>
    </row>
    <row r="37" spans="2:19" x14ac:dyDescent="0.25">
      <c r="B37" s="14"/>
      <c r="C37" s="14"/>
      <c r="D37" s="14"/>
      <c r="E37" s="14"/>
      <c r="F37" s="14"/>
      <c r="G37" s="63" t="s">
        <v>342</v>
      </c>
      <c r="H37" s="63" t="s">
        <v>91</v>
      </c>
      <c r="I37" s="63" t="s">
        <v>88</v>
      </c>
      <c r="J37" s="63" t="s">
        <v>422</v>
      </c>
      <c r="K37" s="63" t="s">
        <v>667</v>
      </c>
      <c r="L37" s="62" t="s">
        <v>186</v>
      </c>
      <c r="M37" s="63">
        <v>4</v>
      </c>
      <c r="N37" s="63">
        <v>22</v>
      </c>
      <c r="O37" s="63" t="s">
        <v>88</v>
      </c>
      <c r="P37" s="64" t="s">
        <v>300</v>
      </c>
      <c r="Q37" s="33"/>
      <c r="R37" s="39"/>
      <c r="S37" s="33"/>
    </row>
    <row r="38" spans="2:19" x14ac:dyDescent="0.25">
      <c r="B38" s="14"/>
      <c r="C38" s="14"/>
      <c r="D38" s="14"/>
      <c r="E38" s="14"/>
      <c r="F38" s="14"/>
      <c r="G38" s="63" t="s">
        <v>343</v>
      </c>
      <c r="H38" s="63" t="s">
        <v>141</v>
      </c>
      <c r="I38" s="63" t="s">
        <v>88</v>
      </c>
      <c r="J38" s="63" t="s">
        <v>423</v>
      </c>
      <c r="K38" s="63"/>
      <c r="L38" s="63"/>
      <c r="M38" s="63">
        <v>4</v>
      </c>
      <c r="N38" s="63">
        <v>11</v>
      </c>
      <c r="O38" s="63" t="s">
        <v>88</v>
      </c>
      <c r="P38" s="64" t="s">
        <v>301</v>
      </c>
      <c r="Q38" s="33"/>
      <c r="R38" s="39"/>
      <c r="S38" s="33"/>
    </row>
    <row r="39" spans="2:19" x14ac:dyDescent="0.25">
      <c r="B39" s="14"/>
      <c r="C39" s="14"/>
      <c r="D39" s="14"/>
      <c r="E39" s="14"/>
      <c r="F39" s="14"/>
      <c r="G39" s="62" t="s">
        <v>187</v>
      </c>
      <c r="H39" s="62"/>
      <c r="I39" s="63"/>
      <c r="J39" s="62" t="s">
        <v>356</v>
      </c>
      <c r="K39" s="62"/>
      <c r="L39" s="62"/>
      <c r="M39" s="62">
        <v>3</v>
      </c>
      <c r="N39" s="63">
        <v>6</v>
      </c>
      <c r="O39" s="63"/>
      <c r="P39" s="64"/>
      <c r="Q39" s="33"/>
      <c r="R39" s="39"/>
      <c r="S39" s="33"/>
    </row>
    <row r="40" spans="2:19" x14ac:dyDescent="0.25">
      <c r="B40" s="14"/>
      <c r="C40" s="14"/>
      <c r="D40" s="14"/>
      <c r="E40" s="14"/>
      <c r="F40" s="14"/>
      <c r="G40" s="63" t="s">
        <v>344</v>
      </c>
      <c r="H40" s="63" t="s">
        <v>141</v>
      </c>
      <c r="I40" s="63" t="s">
        <v>88</v>
      </c>
      <c r="J40" s="63" t="s">
        <v>424</v>
      </c>
      <c r="K40" s="63"/>
      <c r="L40" s="63"/>
      <c r="M40" s="63">
        <v>4</v>
      </c>
      <c r="N40" s="63">
        <v>10</v>
      </c>
      <c r="O40" s="63" t="s">
        <v>88</v>
      </c>
      <c r="P40" s="64" t="s">
        <v>302</v>
      </c>
      <c r="Q40" s="33"/>
      <c r="R40" s="39"/>
      <c r="S40" s="33"/>
    </row>
    <row r="41" spans="2:19" x14ac:dyDescent="0.25">
      <c r="B41" s="14"/>
      <c r="C41" s="14"/>
      <c r="D41" s="14"/>
      <c r="E41" s="14"/>
      <c r="F41" s="14"/>
      <c r="G41" s="63" t="s">
        <v>345</v>
      </c>
      <c r="H41" s="63" t="s">
        <v>141</v>
      </c>
      <c r="I41" s="63" t="s">
        <v>88</v>
      </c>
      <c r="J41" s="63" t="s">
        <v>431</v>
      </c>
      <c r="K41" s="63"/>
      <c r="L41" s="63"/>
      <c r="M41" s="63">
        <v>4</v>
      </c>
      <c r="N41" s="63">
        <v>10</v>
      </c>
      <c r="O41" s="63" t="s">
        <v>88</v>
      </c>
      <c r="P41" s="64" t="s">
        <v>303</v>
      </c>
      <c r="Q41" s="33"/>
      <c r="R41" s="39"/>
      <c r="S41" s="33"/>
    </row>
    <row r="42" spans="2:19" x14ac:dyDescent="0.25">
      <c r="B42" s="14"/>
      <c r="C42" s="14"/>
      <c r="D42" s="14"/>
      <c r="E42" s="14"/>
      <c r="F42" s="14"/>
      <c r="G42" s="63" t="s">
        <v>346</v>
      </c>
      <c r="H42" s="63" t="s">
        <v>141</v>
      </c>
      <c r="I42" s="63" t="s">
        <v>88</v>
      </c>
      <c r="J42" s="63" t="s">
        <v>437</v>
      </c>
      <c r="K42" s="63"/>
      <c r="L42" s="63"/>
      <c r="M42" s="63">
        <v>4</v>
      </c>
      <c r="N42" s="63">
        <v>10</v>
      </c>
      <c r="O42" s="63" t="s">
        <v>88</v>
      </c>
      <c r="P42" s="64" t="s">
        <v>304</v>
      </c>
      <c r="Q42" s="33"/>
      <c r="R42" s="39"/>
      <c r="S42" s="33"/>
    </row>
    <row r="43" spans="2:19" x14ac:dyDescent="0.25">
      <c r="B43" s="14"/>
      <c r="C43" s="14"/>
      <c r="D43" s="14"/>
      <c r="E43" s="14"/>
      <c r="F43" s="14"/>
      <c r="G43" s="63" t="s">
        <v>347</v>
      </c>
      <c r="H43" s="63" t="s">
        <v>141</v>
      </c>
      <c r="I43" s="63" t="s">
        <v>88</v>
      </c>
      <c r="J43" s="63" t="s">
        <v>438</v>
      </c>
      <c r="K43" s="63"/>
      <c r="L43" s="63"/>
      <c r="M43" s="63">
        <v>4</v>
      </c>
      <c r="N43" s="63">
        <v>10</v>
      </c>
      <c r="O43" s="63" t="s">
        <v>88</v>
      </c>
      <c r="P43" s="64" t="s">
        <v>305</v>
      </c>
      <c r="Q43" s="33"/>
      <c r="R43" s="39"/>
      <c r="S43" s="33"/>
    </row>
    <row r="44" spans="2:19" x14ac:dyDescent="0.25">
      <c r="B44" s="14"/>
      <c r="C44" s="14"/>
      <c r="D44" s="14"/>
      <c r="E44" s="14"/>
      <c r="F44" s="14"/>
      <c r="G44" s="63" t="s">
        <v>348</v>
      </c>
      <c r="H44" s="63" t="s">
        <v>90</v>
      </c>
      <c r="I44" s="63" t="s">
        <v>88</v>
      </c>
      <c r="J44" s="63" t="s">
        <v>432</v>
      </c>
      <c r="K44" s="63" t="s">
        <v>683</v>
      </c>
      <c r="L44" s="63"/>
      <c r="M44" s="63">
        <v>4</v>
      </c>
      <c r="N44" s="63">
        <v>10</v>
      </c>
      <c r="O44" s="63" t="s">
        <v>88</v>
      </c>
      <c r="P44" s="64" t="s">
        <v>306</v>
      </c>
      <c r="Q44" s="33"/>
      <c r="R44" s="39"/>
      <c r="S44" s="33"/>
    </row>
    <row r="45" spans="2:19" x14ac:dyDescent="0.25">
      <c r="B45" s="14"/>
      <c r="C45" s="14"/>
      <c r="D45" s="14"/>
      <c r="E45" s="14"/>
      <c r="F45" s="14"/>
      <c r="G45" s="62" t="s">
        <v>187</v>
      </c>
      <c r="H45" s="62"/>
      <c r="I45" s="63"/>
      <c r="J45" s="62" t="s">
        <v>357</v>
      </c>
      <c r="K45" s="62"/>
      <c r="L45" s="62"/>
      <c r="M45" s="62">
        <v>3</v>
      </c>
      <c r="N45" s="63">
        <v>6</v>
      </c>
      <c r="O45" s="63"/>
      <c r="P45" s="64"/>
      <c r="Q45" s="33"/>
      <c r="R45" s="39"/>
      <c r="S45" s="33"/>
    </row>
    <row r="46" spans="2:19" x14ac:dyDescent="0.25">
      <c r="B46" s="14"/>
      <c r="C46" s="14"/>
      <c r="D46" s="14"/>
      <c r="E46" s="14"/>
      <c r="F46" s="14"/>
      <c r="G46" s="63" t="s">
        <v>349</v>
      </c>
      <c r="H46" s="63" t="s">
        <v>141</v>
      </c>
      <c r="I46" s="63" t="s">
        <v>88</v>
      </c>
      <c r="J46" s="63" t="s">
        <v>425</v>
      </c>
      <c r="K46" s="63"/>
      <c r="L46" s="63"/>
      <c r="M46" s="63">
        <v>4</v>
      </c>
      <c r="N46" s="63">
        <v>10</v>
      </c>
      <c r="O46" s="63" t="s">
        <v>88</v>
      </c>
      <c r="P46" s="64" t="s">
        <v>307</v>
      </c>
      <c r="Q46" s="33"/>
      <c r="R46" s="39"/>
      <c r="S46" s="33"/>
    </row>
    <row r="47" spans="2:19" x14ac:dyDescent="0.25">
      <c r="B47" s="14"/>
      <c r="C47" s="14"/>
      <c r="D47" s="14"/>
      <c r="E47" s="14"/>
      <c r="F47" s="14"/>
      <c r="G47" s="63" t="s">
        <v>350</v>
      </c>
      <c r="H47" s="63" t="s">
        <v>141</v>
      </c>
      <c r="I47" s="63" t="s">
        <v>88</v>
      </c>
      <c r="J47" s="63" t="s">
        <v>433</v>
      </c>
      <c r="K47" s="63"/>
      <c r="L47" s="63"/>
      <c r="M47" s="63">
        <v>4</v>
      </c>
      <c r="N47" s="63">
        <v>10</v>
      </c>
      <c r="O47" s="63" t="s">
        <v>88</v>
      </c>
      <c r="P47" s="64" t="s">
        <v>308</v>
      </c>
      <c r="Q47" s="33"/>
      <c r="R47" s="39"/>
      <c r="S47" s="33"/>
    </row>
    <row r="48" spans="2:19" x14ac:dyDescent="0.25">
      <c r="B48" s="14"/>
      <c r="C48" s="14"/>
      <c r="D48" s="14"/>
      <c r="E48" s="14"/>
      <c r="F48" s="14"/>
      <c r="G48" s="63" t="s">
        <v>351</v>
      </c>
      <c r="H48" s="63" t="s">
        <v>141</v>
      </c>
      <c r="I48" s="63" t="s">
        <v>88</v>
      </c>
      <c r="J48" s="63" t="s">
        <v>434</v>
      </c>
      <c r="K48" s="63"/>
      <c r="L48" s="63"/>
      <c r="M48" s="63">
        <v>4</v>
      </c>
      <c r="N48" s="63">
        <v>10</v>
      </c>
      <c r="O48" s="63" t="s">
        <v>88</v>
      </c>
      <c r="P48" s="64" t="s">
        <v>309</v>
      </c>
      <c r="Q48" s="33"/>
      <c r="R48" s="39"/>
      <c r="S48" s="33"/>
    </row>
    <row r="49" spans="2:19" x14ac:dyDescent="0.25">
      <c r="B49" s="14"/>
      <c r="C49" s="14"/>
      <c r="D49" s="14"/>
      <c r="E49" s="14"/>
      <c r="F49" s="14"/>
      <c r="G49" s="63" t="s">
        <v>352</v>
      </c>
      <c r="H49" s="63" t="s">
        <v>141</v>
      </c>
      <c r="I49" s="63" t="s">
        <v>88</v>
      </c>
      <c r="J49" s="63" t="s">
        <v>435</v>
      </c>
      <c r="K49" s="63"/>
      <c r="L49" s="63"/>
      <c r="M49" s="63">
        <v>4</v>
      </c>
      <c r="N49" s="63">
        <v>10</v>
      </c>
      <c r="O49" s="63" t="s">
        <v>88</v>
      </c>
      <c r="P49" s="64" t="s">
        <v>310</v>
      </c>
      <c r="Q49" s="33"/>
      <c r="R49" s="39"/>
      <c r="S49" s="33"/>
    </row>
    <row r="50" spans="2:19" x14ac:dyDescent="0.25">
      <c r="B50" s="14"/>
      <c r="C50" s="14"/>
      <c r="D50" s="14"/>
      <c r="E50" s="14"/>
      <c r="F50" s="14"/>
      <c r="G50" s="63" t="s">
        <v>353</v>
      </c>
      <c r="H50" s="63" t="s">
        <v>90</v>
      </c>
      <c r="I50" s="63" t="s">
        <v>88</v>
      </c>
      <c r="J50" s="63" t="s">
        <v>436</v>
      </c>
      <c r="K50" s="63" t="s">
        <v>683</v>
      </c>
      <c r="L50" s="63"/>
      <c r="M50" s="63">
        <v>4</v>
      </c>
      <c r="N50" s="63">
        <v>10</v>
      </c>
      <c r="O50" s="63" t="s">
        <v>88</v>
      </c>
      <c r="P50" s="64" t="s">
        <v>311</v>
      </c>
      <c r="Q50" s="33"/>
      <c r="R50" s="39"/>
      <c r="S50" s="33"/>
    </row>
    <row r="51" spans="2:19" x14ac:dyDescent="0.25">
      <c r="B51" s="14"/>
      <c r="C51" s="14"/>
      <c r="D51" s="14"/>
      <c r="E51" s="14"/>
      <c r="F51" s="14"/>
      <c r="G51" s="62" t="s">
        <v>574</v>
      </c>
      <c r="H51" s="62"/>
      <c r="I51" s="62"/>
      <c r="J51" s="62" t="s">
        <v>191</v>
      </c>
      <c r="K51" s="62"/>
      <c r="L51" s="62"/>
      <c r="M51" s="62">
        <v>1</v>
      </c>
      <c r="N51" s="62">
        <v>6</v>
      </c>
      <c r="O51" s="62"/>
      <c r="P51" s="65"/>
      <c r="Q51" s="33"/>
      <c r="R51" s="39"/>
      <c r="S51" s="33"/>
    </row>
    <row r="52" spans="2:19" x14ac:dyDescent="0.25">
      <c r="B52" s="14"/>
      <c r="C52" s="14"/>
      <c r="D52" s="14"/>
      <c r="E52" s="14"/>
      <c r="F52" s="14"/>
      <c r="G52" s="63" t="s">
        <v>183</v>
      </c>
      <c r="H52" s="63" t="s">
        <v>93</v>
      </c>
      <c r="I52" s="63" t="s">
        <v>86</v>
      </c>
      <c r="J52" s="62" t="s">
        <v>65</v>
      </c>
      <c r="K52" s="62" t="s">
        <v>578</v>
      </c>
      <c r="L52" s="63"/>
      <c r="M52" s="63">
        <v>4</v>
      </c>
      <c r="N52" s="63">
        <v>10</v>
      </c>
      <c r="O52" s="63" t="s">
        <v>88</v>
      </c>
      <c r="P52" s="64" t="s">
        <v>240</v>
      </c>
      <c r="Q52" s="33"/>
      <c r="R52" s="39"/>
      <c r="S52" s="33"/>
    </row>
    <row r="53" spans="2:19" x14ac:dyDescent="0.25">
      <c r="B53" s="14"/>
      <c r="C53" s="14"/>
      <c r="D53" s="14"/>
      <c r="E53" s="14"/>
      <c r="F53" s="14"/>
      <c r="G53" s="63" t="s">
        <v>184</v>
      </c>
      <c r="H53" s="63" t="s">
        <v>93</v>
      </c>
      <c r="I53" s="63" t="s">
        <v>86</v>
      </c>
      <c r="J53" s="62" t="s">
        <v>95</v>
      </c>
      <c r="K53" s="63"/>
      <c r="L53" s="63"/>
      <c r="M53" s="63">
        <v>4</v>
      </c>
      <c r="N53" s="63">
        <v>10</v>
      </c>
      <c r="O53" s="63" t="s">
        <v>88</v>
      </c>
      <c r="P53" s="64" t="s">
        <v>271</v>
      </c>
      <c r="Q53" s="33"/>
      <c r="R53" s="39"/>
      <c r="S53" s="33"/>
    </row>
    <row r="54" spans="2:19" x14ac:dyDescent="0.25">
      <c r="B54" s="14"/>
      <c r="C54" s="14"/>
      <c r="D54" s="14"/>
      <c r="E54" s="14"/>
      <c r="F54" s="14"/>
      <c r="G54" s="63" t="s">
        <v>185</v>
      </c>
      <c r="H54" s="63" t="s">
        <v>93</v>
      </c>
      <c r="I54" s="63" t="s">
        <v>86</v>
      </c>
      <c r="J54" s="62" t="s">
        <v>97</v>
      </c>
      <c r="K54" s="63" t="s">
        <v>579</v>
      </c>
      <c r="L54" s="63"/>
      <c r="M54" s="63">
        <v>4</v>
      </c>
      <c r="N54" s="63">
        <v>10</v>
      </c>
      <c r="O54" s="63" t="s">
        <v>88</v>
      </c>
      <c r="P54" s="64" t="s">
        <v>272</v>
      </c>
      <c r="Q54" s="33"/>
      <c r="R54" s="39"/>
      <c r="S54" s="33"/>
    </row>
    <row r="55" spans="2:19" x14ac:dyDescent="0.25">
      <c r="B55" s="14"/>
      <c r="C55" s="14"/>
      <c r="D55" s="14"/>
      <c r="E55" s="14"/>
      <c r="F55" s="14"/>
      <c r="G55" s="63" t="s">
        <v>364</v>
      </c>
      <c r="H55" s="63" t="s">
        <v>91</v>
      </c>
      <c r="I55" s="63" t="s">
        <v>86</v>
      </c>
      <c r="J55" s="63" t="s">
        <v>362</v>
      </c>
      <c r="K55" s="63" t="s">
        <v>665</v>
      </c>
      <c r="L55" s="62" t="s">
        <v>186</v>
      </c>
      <c r="M55" s="63">
        <v>4</v>
      </c>
      <c r="N55" s="63">
        <v>22</v>
      </c>
      <c r="O55" s="63" t="s">
        <v>88</v>
      </c>
      <c r="P55" s="64" t="s">
        <v>273</v>
      </c>
      <c r="Q55" s="33"/>
      <c r="R55" s="39"/>
      <c r="S55" s="33"/>
    </row>
    <row r="56" spans="2:19" x14ac:dyDescent="0.25">
      <c r="B56" s="14"/>
      <c r="C56" s="14"/>
      <c r="D56" s="14"/>
      <c r="E56" s="14"/>
      <c r="F56" s="14"/>
      <c r="G56" s="63" t="s">
        <v>365</v>
      </c>
      <c r="H56" s="63" t="s">
        <v>91</v>
      </c>
      <c r="I56" s="63" t="s">
        <v>86</v>
      </c>
      <c r="J56" s="63" t="s">
        <v>363</v>
      </c>
      <c r="K56" s="63" t="s">
        <v>666</v>
      </c>
      <c r="L56" s="62" t="s">
        <v>186</v>
      </c>
      <c r="M56" s="63">
        <v>4</v>
      </c>
      <c r="N56" s="63">
        <v>22</v>
      </c>
      <c r="O56" s="63" t="s">
        <v>88</v>
      </c>
      <c r="P56" s="64" t="s">
        <v>274</v>
      </c>
      <c r="Q56" s="33"/>
      <c r="R56" s="39"/>
      <c r="S56" s="33"/>
    </row>
    <row r="57" spans="2:19" x14ac:dyDescent="0.25">
      <c r="B57" s="14"/>
      <c r="C57" s="14"/>
      <c r="D57" s="14"/>
      <c r="E57" s="14"/>
      <c r="F57" s="14"/>
      <c r="G57" s="62" t="s">
        <v>187</v>
      </c>
      <c r="H57" s="62"/>
      <c r="I57" s="63"/>
      <c r="J57" s="62" t="s">
        <v>317</v>
      </c>
      <c r="K57" s="62"/>
      <c r="L57" s="62"/>
      <c r="M57" s="62">
        <v>2</v>
      </c>
      <c r="N57" s="62">
        <v>6</v>
      </c>
      <c r="O57" s="63"/>
      <c r="P57" s="64"/>
      <c r="Q57" s="33"/>
      <c r="R57" s="39"/>
      <c r="S57" s="33"/>
    </row>
    <row r="58" spans="2:19" x14ac:dyDescent="0.25">
      <c r="B58" s="14"/>
      <c r="C58" s="14"/>
      <c r="D58" s="14"/>
      <c r="E58" s="14"/>
      <c r="F58" s="14"/>
      <c r="G58" s="62" t="s">
        <v>187</v>
      </c>
      <c r="H58" s="62"/>
      <c r="I58" s="63"/>
      <c r="J58" s="62" t="s">
        <v>313</v>
      </c>
      <c r="K58" s="62"/>
      <c r="L58" s="62"/>
      <c r="M58" s="62">
        <v>2</v>
      </c>
      <c r="N58" s="62">
        <v>6</v>
      </c>
      <c r="O58" s="63"/>
      <c r="P58" s="64"/>
      <c r="Q58" s="33"/>
      <c r="R58" s="39"/>
      <c r="S58" s="33"/>
    </row>
    <row r="59" spans="2:19" x14ac:dyDescent="0.25">
      <c r="B59" s="14"/>
      <c r="C59" s="14"/>
      <c r="D59" s="14"/>
      <c r="E59" s="14"/>
      <c r="F59" s="14"/>
      <c r="G59" s="63" t="s">
        <v>366</v>
      </c>
      <c r="H59" s="63" t="s">
        <v>141</v>
      </c>
      <c r="I59" s="63" t="s">
        <v>88</v>
      </c>
      <c r="J59" s="63" t="s">
        <v>440</v>
      </c>
      <c r="K59" s="63"/>
      <c r="L59" s="63"/>
      <c r="M59" s="63">
        <v>4</v>
      </c>
      <c r="N59" s="63">
        <v>10</v>
      </c>
      <c r="O59" s="63" t="s">
        <v>88</v>
      </c>
      <c r="P59" s="64" t="s">
        <v>242</v>
      </c>
      <c r="Q59" s="33"/>
      <c r="R59" s="39"/>
      <c r="S59" s="33"/>
    </row>
    <row r="60" spans="2:19" x14ac:dyDescent="0.25">
      <c r="B60" s="14"/>
      <c r="C60" s="14"/>
      <c r="D60" s="14"/>
      <c r="E60" s="14"/>
      <c r="F60" s="14"/>
      <c r="G60" s="63" t="s">
        <v>367</v>
      </c>
      <c r="H60" s="63" t="s">
        <v>93</v>
      </c>
      <c r="I60" s="63" t="s">
        <v>88</v>
      </c>
      <c r="J60" s="63" t="s">
        <v>441</v>
      </c>
      <c r="K60" s="63" t="s">
        <v>358</v>
      </c>
      <c r="L60" s="63"/>
      <c r="M60" s="63">
        <v>4</v>
      </c>
      <c r="N60" s="63">
        <v>10</v>
      </c>
      <c r="O60" s="63" t="s">
        <v>88</v>
      </c>
      <c r="P60" s="64" t="s">
        <v>243</v>
      </c>
      <c r="Q60" s="33"/>
      <c r="R60" s="39"/>
      <c r="S60" s="33"/>
    </row>
    <row r="61" spans="2:19" x14ac:dyDescent="0.25">
      <c r="B61" s="14"/>
      <c r="C61" s="14"/>
      <c r="D61" s="14"/>
      <c r="E61" s="14"/>
      <c r="F61" s="14"/>
      <c r="G61" s="63" t="s">
        <v>368</v>
      </c>
      <c r="H61" s="63" t="s">
        <v>141</v>
      </c>
      <c r="I61" s="63" t="s">
        <v>88</v>
      </c>
      <c r="J61" s="63" t="s">
        <v>442</v>
      </c>
      <c r="K61" s="63"/>
      <c r="L61" s="63"/>
      <c r="M61" s="63">
        <v>4</v>
      </c>
      <c r="N61" s="63">
        <v>10</v>
      </c>
      <c r="O61" s="63" t="s">
        <v>88</v>
      </c>
      <c r="P61" s="64" t="s">
        <v>244</v>
      </c>
      <c r="Q61" s="33"/>
      <c r="R61" s="39"/>
      <c r="S61" s="33"/>
    </row>
    <row r="62" spans="2:19" x14ac:dyDescent="0.25">
      <c r="B62" s="14"/>
      <c r="C62" s="14"/>
      <c r="D62" s="14"/>
      <c r="E62" s="14"/>
      <c r="F62" s="14"/>
      <c r="G62" s="63" t="s">
        <v>369</v>
      </c>
      <c r="H62" s="63" t="s">
        <v>93</v>
      </c>
      <c r="I62" s="63" t="s">
        <v>88</v>
      </c>
      <c r="J62" s="63" t="s">
        <v>443</v>
      </c>
      <c r="K62" s="63" t="s">
        <v>358</v>
      </c>
      <c r="L62" s="63"/>
      <c r="M62" s="63">
        <v>4</v>
      </c>
      <c r="N62" s="63">
        <v>10</v>
      </c>
      <c r="O62" s="63" t="s">
        <v>88</v>
      </c>
      <c r="P62" s="64" t="s">
        <v>245</v>
      </c>
      <c r="Q62" s="33"/>
      <c r="R62" s="39"/>
      <c r="S62" s="33"/>
    </row>
    <row r="63" spans="2:19" x14ac:dyDescent="0.25">
      <c r="B63" s="14"/>
      <c r="C63" s="14"/>
      <c r="D63" s="14"/>
      <c r="E63" s="14"/>
      <c r="F63" s="14"/>
      <c r="G63" s="63" t="s">
        <v>370</v>
      </c>
      <c r="H63" s="63" t="s">
        <v>141</v>
      </c>
      <c r="I63" s="63" t="s">
        <v>88</v>
      </c>
      <c r="J63" s="63" t="s">
        <v>444</v>
      </c>
      <c r="K63" s="63"/>
      <c r="L63" s="63"/>
      <c r="M63" s="63">
        <v>4</v>
      </c>
      <c r="N63" s="63">
        <v>10</v>
      </c>
      <c r="O63" s="63" t="s">
        <v>88</v>
      </c>
      <c r="P63" s="64" t="s">
        <v>246</v>
      </c>
      <c r="Q63" s="33"/>
      <c r="R63" s="39"/>
      <c r="S63" s="33"/>
    </row>
    <row r="64" spans="2:19" x14ac:dyDescent="0.25">
      <c r="B64" s="14"/>
      <c r="C64" s="14"/>
      <c r="D64" s="14"/>
      <c r="E64" s="14"/>
      <c r="F64" s="14"/>
      <c r="G64" s="63" t="s">
        <v>371</v>
      </c>
      <c r="H64" s="63" t="s">
        <v>93</v>
      </c>
      <c r="I64" s="63" t="s">
        <v>88</v>
      </c>
      <c r="J64" s="63" t="s">
        <v>445</v>
      </c>
      <c r="K64" s="63" t="s">
        <v>682</v>
      </c>
      <c r="L64" s="63"/>
      <c r="M64" s="63">
        <v>4</v>
      </c>
      <c r="N64" s="63">
        <v>10</v>
      </c>
      <c r="O64" s="63" t="s">
        <v>88</v>
      </c>
      <c r="P64" s="64" t="s">
        <v>247</v>
      </c>
      <c r="Q64" s="33"/>
      <c r="R64" s="39"/>
      <c r="S64" s="33"/>
    </row>
    <row r="65" spans="2:19" x14ac:dyDescent="0.25">
      <c r="B65" s="14"/>
      <c r="C65" s="14"/>
      <c r="D65" s="14"/>
      <c r="E65" s="14"/>
      <c r="F65" s="14"/>
      <c r="G65" s="63" t="s">
        <v>372</v>
      </c>
      <c r="H65" s="63" t="s">
        <v>141</v>
      </c>
      <c r="I65" s="63" t="s">
        <v>88</v>
      </c>
      <c r="J65" s="63" t="s">
        <v>446</v>
      </c>
      <c r="K65" s="63"/>
      <c r="L65" s="63"/>
      <c r="M65" s="63">
        <v>4</v>
      </c>
      <c r="N65" s="63">
        <v>10</v>
      </c>
      <c r="O65" s="63" t="s">
        <v>88</v>
      </c>
      <c r="P65" s="64" t="s">
        <v>248</v>
      </c>
      <c r="Q65" s="33"/>
      <c r="R65" s="39"/>
      <c r="S65" s="33"/>
    </row>
    <row r="66" spans="2:19" x14ac:dyDescent="0.25">
      <c r="B66" s="14"/>
      <c r="C66" s="14"/>
      <c r="D66" s="14"/>
      <c r="E66" s="14"/>
      <c r="F66" s="14"/>
      <c r="G66" s="63" t="s">
        <v>373</v>
      </c>
      <c r="H66" s="63" t="s">
        <v>90</v>
      </c>
      <c r="I66" s="63" t="s">
        <v>88</v>
      </c>
      <c r="J66" s="63" t="s">
        <v>447</v>
      </c>
      <c r="K66" s="63" t="s">
        <v>683</v>
      </c>
      <c r="L66" s="63"/>
      <c r="M66" s="63">
        <v>4</v>
      </c>
      <c r="N66" s="63">
        <v>10</v>
      </c>
      <c r="O66" s="63" t="s">
        <v>88</v>
      </c>
      <c r="P66" s="64" t="s">
        <v>249</v>
      </c>
      <c r="Q66" s="33"/>
      <c r="R66" s="39"/>
      <c r="S66" s="33"/>
    </row>
    <row r="67" spans="2:19" x14ac:dyDescent="0.25">
      <c r="B67" s="14"/>
      <c r="C67" s="14"/>
      <c r="D67" s="14"/>
      <c r="E67" s="14"/>
      <c r="F67" s="14"/>
      <c r="G67" s="63" t="s">
        <v>374</v>
      </c>
      <c r="H67" s="63" t="s">
        <v>141</v>
      </c>
      <c r="I67" s="63" t="s">
        <v>88</v>
      </c>
      <c r="J67" s="63" t="s">
        <v>448</v>
      </c>
      <c r="K67" s="63"/>
      <c r="L67" s="63"/>
      <c r="M67" s="63">
        <v>4</v>
      </c>
      <c r="N67" s="63">
        <v>10</v>
      </c>
      <c r="O67" s="63" t="s">
        <v>88</v>
      </c>
      <c r="P67" s="64" t="s">
        <v>250</v>
      </c>
      <c r="Q67" s="33"/>
      <c r="R67" s="39"/>
      <c r="S67" s="33"/>
    </row>
    <row r="68" spans="2:19" x14ac:dyDescent="0.25">
      <c r="B68" s="14"/>
      <c r="C68" s="14"/>
      <c r="D68" s="14"/>
      <c r="E68" s="14"/>
      <c r="F68" s="14"/>
      <c r="G68" s="63" t="s">
        <v>375</v>
      </c>
      <c r="H68" s="63" t="s">
        <v>141</v>
      </c>
      <c r="I68" s="63" t="s">
        <v>88</v>
      </c>
      <c r="J68" s="63" t="s">
        <v>449</v>
      </c>
      <c r="K68" s="63"/>
      <c r="L68" s="63"/>
      <c r="M68" s="63">
        <v>4</v>
      </c>
      <c r="N68" s="63">
        <v>10</v>
      </c>
      <c r="O68" s="63" t="s">
        <v>88</v>
      </c>
      <c r="P68" s="64" t="s">
        <v>251</v>
      </c>
      <c r="Q68" s="33"/>
      <c r="R68" s="39"/>
      <c r="S68" s="33"/>
    </row>
    <row r="69" spans="2:19" x14ac:dyDescent="0.25">
      <c r="B69" s="14"/>
      <c r="C69" s="14"/>
      <c r="D69" s="14"/>
      <c r="E69" s="14"/>
      <c r="F69" s="14"/>
      <c r="G69" s="63" t="s">
        <v>376</v>
      </c>
      <c r="H69" s="63" t="s">
        <v>90</v>
      </c>
      <c r="I69" s="63" t="s">
        <v>88</v>
      </c>
      <c r="J69" s="63" t="s">
        <v>450</v>
      </c>
      <c r="K69" s="63" t="s">
        <v>359</v>
      </c>
      <c r="L69" s="63"/>
      <c r="M69" s="63">
        <v>4</v>
      </c>
      <c r="N69" s="63">
        <v>10</v>
      </c>
      <c r="O69" s="63" t="s">
        <v>88</v>
      </c>
      <c r="P69" s="64" t="s">
        <v>252</v>
      </c>
      <c r="Q69" s="33"/>
      <c r="R69" s="39"/>
      <c r="S69" s="33"/>
    </row>
    <row r="70" spans="2:19" x14ac:dyDescent="0.25">
      <c r="B70" s="14"/>
      <c r="C70" s="14"/>
      <c r="D70" s="14"/>
      <c r="E70" s="14"/>
      <c r="F70" s="14"/>
      <c r="G70" s="63" t="s">
        <v>377</v>
      </c>
      <c r="H70" s="63" t="s">
        <v>141</v>
      </c>
      <c r="I70" s="63" t="s">
        <v>88</v>
      </c>
      <c r="J70" s="63" t="s">
        <v>451</v>
      </c>
      <c r="K70" s="63"/>
      <c r="L70" s="63"/>
      <c r="M70" s="63">
        <v>4</v>
      </c>
      <c r="N70" s="63">
        <v>10</v>
      </c>
      <c r="O70" s="63" t="s">
        <v>88</v>
      </c>
      <c r="P70" s="64" t="s">
        <v>253</v>
      </c>
      <c r="Q70" s="33"/>
      <c r="R70" s="39"/>
      <c r="S70" s="33"/>
    </row>
    <row r="71" spans="2:19" x14ac:dyDescent="0.25">
      <c r="B71" s="14"/>
      <c r="C71" s="14"/>
      <c r="D71" s="14"/>
      <c r="E71" s="14"/>
      <c r="F71" s="14"/>
      <c r="G71" s="63" t="s">
        <v>378</v>
      </c>
      <c r="H71" s="63" t="s">
        <v>93</v>
      </c>
      <c r="I71" s="63" t="s">
        <v>88</v>
      </c>
      <c r="J71" s="63" t="s">
        <v>452</v>
      </c>
      <c r="K71" s="63"/>
      <c r="L71" s="63"/>
      <c r="M71" s="63">
        <v>4</v>
      </c>
      <c r="N71" s="63">
        <v>10</v>
      </c>
      <c r="O71" s="63" t="s">
        <v>88</v>
      </c>
      <c r="P71" s="64" t="s">
        <v>254</v>
      </c>
      <c r="Q71" s="33"/>
      <c r="R71" s="39"/>
      <c r="S71" s="33"/>
    </row>
    <row r="72" spans="2:19" x14ac:dyDescent="0.25">
      <c r="B72" s="14"/>
      <c r="C72" s="14"/>
      <c r="D72" s="14"/>
      <c r="E72" s="14"/>
      <c r="F72" s="14"/>
      <c r="G72" s="63" t="s">
        <v>379</v>
      </c>
      <c r="H72" s="63" t="s">
        <v>141</v>
      </c>
      <c r="I72" s="63" t="s">
        <v>88</v>
      </c>
      <c r="J72" s="63" t="s">
        <v>453</v>
      </c>
      <c r="K72" s="63"/>
      <c r="L72" s="63"/>
      <c r="M72" s="63">
        <v>4</v>
      </c>
      <c r="N72" s="63">
        <v>10</v>
      </c>
      <c r="O72" s="63" t="s">
        <v>88</v>
      </c>
      <c r="P72" s="64" t="s">
        <v>255</v>
      </c>
      <c r="Q72" s="33"/>
      <c r="R72" s="39"/>
      <c r="S72" s="33"/>
    </row>
    <row r="73" spans="2:19" x14ac:dyDescent="0.25">
      <c r="B73" s="14"/>
      <c r="C73" s="14"/>
      <c r="D73" s="14"/>
      <c r="E73" s="14"/>
      <c r="F73" s="14"/>
      <c r="G73" s="63" t="s">
        <v>380</v>
      </c>
      <c r="H73" s="63" t="s">
        <v>141</v>
      </c>
      <c r="I73" s="63" t="s">
        <v>88</v>
      </c>
      <c r="J73" s="63" t="s">
        <v>454</v>
      </c>
      <c r="K73" s="63"/>
      <c r="L73" s="63"/>
      <c r="M73" s="63">
        <v>4</v>
      </c>
      <c r="N73" s="63">
        <v>10</v>
      </c>
      <c r="O73" s="63" t="s">
        <v>88</v>
      </c>
      <c r="P73" s="64" t="s">
        <v>256</v>
      </c>
      <c r="Q73" s="33"/>
      <c r="R73" s="39"/>
      <c r="S73" s="33"/>
    </row>
    <row r="74" spans="2:19" x14ac:dyDescent="0.25">
      <c r="B74" s="14"/>
      <c r="C74" s="14"/>
      <c r="D74" s="14"/>
      <c r="E74" s="14"/>
      <c r="F74" s="14"/>
      <c r="G74" s="63" t="s">
        <v>381</v>
      </c>
      <c r="H74" s="63" t="s">
        <v>93</v>
      </c>
      <c r="I74" s="63" t="s">
        <v>88</v>
      </c>
      <c r="J74" s="63" t="s">
        <v>455</v>
      </c>
      <c r="K74" s="63" t="s">
        <v>580</v>
      </c>
      <c r="L74" s="63"/>
      <c r="M74" s="63">
        <v>4</v>
      </c>
      <c r="N74" s="63">
        <v>10</v>
      </c>
      <c r="O74" s="63" t="s">
        <v>88</v>
      </c>
      <c r="P74" s="64" t="s">
        <v>257</v>
      </c>
      <c r="Q74" s="33"/>
      <c r="R74" s="39"/>
      <c r="S74" s="33"/>
    </row>
    <row r="75" spans="2:19" x14ac:dyDescent="0.25">
      <c r="B75" s="14"/>
      <c r="C75" s="14"/>
      <c r="D75" s="14"/>
      <c r="E75" s="14"/>
      <c r="F75" s="14"/>
      <c r="G75" s="63" t="s">
        <v>382</v>
      </c>
      <c r="H75" s="63" t="s">
        <v>93</v>
      </c>
      <c r="I75" s="63" t="s">
        <v>88</v>
      </c>
      <c r="J75" s="63" t="s">
        <v>456</v>
      </c>
      <c r="K75" s="63" t="s">
        <v>581</v>
      </c>
      <c r="L75" s="63"/>
      <c r="M75" s="63">
        <v>4</v>
      </c>
      <c r="N75" s="63">
        <v>10</v>
      </c>
      <c r="O75" s="63" t="s">
        <v>88</v>
      </c>
      <c r="P75" s="64" t="s">
        <v>258</v>
      </c>
      <c r="Q75" s="33"/>
      <c r="R75" s="39"/>
      <c r="S75" s="33"/>
    </row>
    <row r="76" spans="2:19" x14ac:dyDescent="0.25">
      <c r="B76" s="14"/>
      <c r="C76" s="14"/>
      <c r="D76" s="14"/>
      <c r="E76" s="14"/>
      <c r="F76" s="14"/>
      <c r="G76" s="63" t="s">
        <v>383</v>
      </c>
      <c r="H76" s="63" t="s">
        <v>93</v>
      </c>
      <c r="I76" s="63" t="s">
        <v>88</v>
      </c>
      <c r="J76" s="63" t="s">
        <v>457</v>
      </c>
      <c r="K76" s="63" t="s">
        <v>582</v>
      </c>
      <c r="L76" s="63"/>
      <c r="M76" s="63">
        <v>4</v>
      </c>
      <c r="N76" s="63">
        <v>10</v>
      </c>
      <c r="O76" s="63" t="s">
        <v>88</v>
      </c>
      <c r="P76" s="64" t="s">
        <v>259</v>
      </c>
      <c r="Q76" s="33"/>
      <c r="R76" s="39"/>
      <c r="S76" s="33"/>
    </row>
    <row r="77" spans="2:19" x14ac:dyDescent="0.25">
      <c r="B77" s="14"/>
      <c r="C77" s="14"/>
      <c r="D77" s="14"/>
      <c r="E77" s="14"/>
      <c r="F77" s="14"/>
      <c r="G77" s="63" t="s">
        <v>384</v>
      </c>
      <c r="H77" s="63" t="s">
        <v>93</v>
      </c>
      <c r="I77" s="63" t="s">
        <v>88</v>
      </c>
      <c r="J77" s="63" t="s">
        <v>458</v>
      </c>
      <c r="K77" s="63" t="s">
        <v>583</v>
      </c>
      <c r="L77" s="63"/>
      <c r="M77" s="63">
        <v>4</v>
      </c>
      <c r="N77" s="63">
        <v>10</v>
      </c>
      <c r="O77" s="63" t="s">
        <v>88</v>
      </c>
      <c r="P77" s="64" t="s">
        <v>260</v>
      </c>
      <c r="Q77" s="33"/>
      <c r="R77" s="39"/>
      <c r="S77" s="33"/>
    </row>
    <row r="78" spans="2:19" x14ac:dyDescent="0.25">
      <c r="B78" s="14"/>
      <c r="C78" s="14"/>
      <c r="D78" s="14"/>
      <c r="E78" s="14"/>
      <c r="F78" s="14"/>
      <c r="G78" s="63" t="s">
        <v>385</v>
      </c>
      <c r="H78" s="63" t="s">
        <v>93</v>
      </c>
      <c r="I78" s="63" t="s">
        <v>88</v>
      </c>
      <c r="J78" s="63" t="s">
        <v>459</v>
      </c>
      <c r="K78" s="63" t="s">
        <v>584</v>
      </c>
      <c r="L78" s="63"/>
      <c r="M78" s="63">
        <v>4</v>
      </c>
      <c r="N78" s="63">
        <v>10</v>
      </c>
      <c r="O78" s="63" t="s">
        <v>88</v>
      </c>
      <c r="P78" s="64" t="s">
        <v>261</v>
      </c>
      <c r="Q78" s="33"/>
      <c r="R78" s="39"/>
      <c r="S78" s="33"/>
    </row>
    <row r="79" spans="2:19" x14ac:dyDescent="0.25">
      <c r="B79" s="14"/>
      <c r="C79" s="14"/>
      <c r="D79" s="14"/>
      <c r="E79" s="14"/>
      <c r="F79" s="14"/>
      <c r="G79" s="62" t="s">
        <v>574</v>
      </c>
      <c r="H79" s="62"/>
      <c r="I79" s="63"/>
      <c r="J79" s="62" t="s">
        <v>314</v>
      </c>
      <c r="K79" s="62"/>
      <c r="L79" s="62"/>
      <c r="M79" s="62">
        <v>2</v>
      </c>
      <c r="N79" s="63">
        <v>6</v>
      </c>
      <c r="O79" s="63"/>
      <c r="P79" s="64"/>
      <c r="Q79" s="33"/>
      <c r="R79" s="39"/>
      <c r="S79" s="33"/>
    </row>
    <row r="80" spans="2:19" x14ac:dyDescent="0.25">
      <c r="B80" s="14"/>
      <c r="C80" s="14"/>
      <c r="D80" s="14"/>
      <c r="E80" s="14"/>
      <c r="F80" s="14"/>
      <c r="G80" s="63" t="s">
        <v>386</v>
      </c>
      <c r="H80" s="63" t="s">
        <v>91</v>
      </c>
      <c r="I80" s="63" t="s">
        <v>88</v>
      </c>
      <c r="J80" s="62" t="s">
        <v>140</v>
      </c>
      <c r="K80" s="63" t="s">
        <v>667</v>
      </c>
      <c r="L80" s="62" t="s">
        <v>186</v>
      </c>
      <c r="M80" s="63">
        <v>4</v>
      </c>
      <c r="N80" s="63">
        <v>22</v>
      </c>
      <c r="O80" s="63" t="s">
        <v>88</v>
      </c>
      <c r="P80" s="64" t="s">
        <v>262</v>
      </c>
      <c r="Q80" s="33"/>
      <c r="R80" s="39"/>
      <c r="S80" s="33"/>
    </row>
    <row r="81" spans="2:19" x14ac:dyDescent="0.25">
      <c r="B81" s="14"/>
      <c r="C81" s="14"/>
      <c r="D81" s="14"/>
      <c r="E81" s="14"/>
      <c r="F81" s="14"/>
      <c r="G81" s="63" t="s">
        <v>387</v>
      </c>
      <c r="H81" s="63" t="s">
        <v>141</v>
      </c>
      <c r="I81" s="63" t="s">
        <v>88</v>
      </c>
      <c r="J81" s="62" t="s">
        <v>172</v>
      </c>
      <c r="K81" s="63"/>
      <c r="L81" s="63"/>
      <c r="M81" s="63">
        <v>4</v>
      </c>
      <c r="N81" s="63">
        <v>11</v>
      </c>
      <c r="O81" s="63" t="s">
        <v>88</v>
      </c>
      <c r="P81" s="64" t="s">
        <v>130</v>
      </c>
      <c r="Q81" s="33"/>
      <c r="R81" s="39"/>
      <c r="S81" s="33"/>
    </row>
    <row r="82" spans="2:19" x14ac:dyDescent="0.25">
      <c r="B82" s="14"/>
      <c r="C82" s="14"/>
      <c r="D82" s="14"/>
      <c r="E82" s="14"/>
      <c r="F82" s="14"/>
      <c r="G82" s="62" t="s">
        <v>187</v>
      </c>
      <c r="H82" s="62"/>
      <c r="I82" s="63"/>
      <c r="J82" s="62" t="s">
        <v>315</v>
      </c>
      <c r="K82" s="62"/>
      <c r="L82" s="62"/>
      <c r="M82" s="62">
        <v>3</v>
      </c>
      <c r="N82" s="63">
        <v>6</v>
      </c>
      <c r="O82" s="63"/>
      <c r="P82" s="64"/>
      <c r="Q82" s="33"/>
      <c r="R82" s="39"/>
      <c r="S82" s="33"/>
    </row>
    <row r="83" spans="2:19" x14ac:dyDescent="0.25">
      <c r="B83" s="14"/>
      <c r="C83" s="14"/>
      <c r="D83" s="14"/>
      <c r="E83" s="14"/>
      <c r="F83" s="14"/>
      <c r="G83" s="63" t="s">
        <v>388</v>
      </c>
      <c r="H83" s="63" t="s">
        <v>141</v>
      </c>
      <c r="I83" s="63" t="s">
        <v>88</v>
      </c>
      <c r="J83" s="63" t="s">
        <v>397</v>
      </c>
      <c r="K83" s="63"/>
      <c r="L83" s="63"/>
      <c r="M83" s="63">
        <v>4</v>
      </c>
      <c r="N83" s="63">
        <v>10</v>
      </c>
      <c r="O83" s="63" t="s">
        <v>88</v>
      </c>
      <c r="P83" s="64" t="s">
        <v>263</v>
      </c>
      <c r="Q83" s="33"/>
      <c r="R83" s="39"/>
      <c r="S83" s="33"/>
    </row>
    <row r="84" spans="2:19" x14ac:dyDescent="0.25">
      <c r="B84" s="14"/>
      <c r="C84" s="14"/>
      <c r="D84" s="14"/>
      <c r="E84" s="14"/>
      <c r="F84" s="14"/>
      <c r="G84" s="63" t="s">
        <v>389</v>
      </c>
      <c r="H84" s="63" t="s">
        <v>141</v>
      </c>
      <c r="I84" s="63" t="s">
        <v>88</v>
      </c>
      <c r="J84" s="63" t="s">
        <v>398</v>
      </c>
      <c r="K84" s="63"/>
      <c r="L84" s="63"/>
      <c r="M84" s="63">
        <v>4</v>
      </c>
      <c r="N84" s="63">
        <v>10</v>
      </c>
      <c r="O84" s="63" t="s">
        <v>88</v>
      </c>
      <c r="P84" s="64" t="s">
        <v>264</v>
      </c>
      <c r="Q84" s="33"/>
      <c r="R84" s="39"/>
      <c r="S84" s="33"/>
    </row>
    <row r="85" spans="2:19" x14ac:dyDescent="0.25">
      <c r="B85" s="14"/>
      <c r="C85" s="14"/>
      <c r="D85" s="14"/>
      <c r="E85" s="14"/>
      <c r="F85" s="14"/>
      <c r="G85" s="63" t="s">
        <v>390</v>
      </c>
      <c r="H85" s="63" t="s">
        <v>141</v>
      </c>
      <c r="I85" s="63" t="s">
        <v>88</v>
      </c>
      <c r="J85" s="63" t="s">
        <v>399</v>
      </c>
      <c r="K85" s="63"/>
      <c r="L85" s="63"/>
      <c r="M85" s="63">
        <v>4</v>
      </c>
      <c r="N85" s="63">
        <v>10</v>
      </c>
      <c r="O85" s="63" t="s">
        <v>88</v>
      </c>
      <c r="P85" s="64" t="s">
        <v>265</v>
      </c>
      <c r="Q85" s="33"/>
      <c r="R85" s="39"/>
      <c r="S85" s="33"/>
    </row>
    <row r="86" spans="2:19" x14ac:dyDescent="0.25">
      <c r="B86" s="14"/>
      <c r="C86" s="14"/>
      <c r="D86" s="14"/>
      <c r="E86" s="14"/>
      <c r="F86" s="14"/>
      <c r="G86" s="63" t="s">
        <v>391</v>
      </c>
      <c r="H86" s="63" t="s">
        <v>90</v>
      </c>
      <c r="I86" s="63" t="s">
        <v>88</v>
      </c>
      <c r="J86" s="63" t="s">
        <v>400</v>
      </c>
      <c r="K86" s="63" t="s">
        <v>683</v>
      </c>
      <c r="L86" s="63"/>
      <c r="M86" s="63">
        <v>4</v>
      </c>
      <c r="N86" s="63">
        <v>10</v>
      </c>
      <c r="O86" s="63" t="s">
        <v>88</v>
      </c>
      <c r="P86" s="64" t="s">
        <v>266</v>
      </c>
      <c r="Q86" s="33"/>
      <c r="R86" s="39"/>
      <c r="S86" s="33"/>
    </row>
    <row r="87" spans="2:19" x14ac:dyDescent="0.25">
      <c r="B87" s="14"/>
      <c r="C87" s="14"/>
      <c r="D87" s="14"/>
      <c r="E87" s="14"/>
      <c r="F87" s="14"/>
      <c r="G87" s="62" t="s">
        <v>187</v>
      </c>
      <c r="H87" s="62"/>
      <c r="I87" s="63"/>
      <c r="J87" s="62" t="s">
        <v>316</v>
      </c>
      <c r="K87" s="62"/>
      <c r="L87" s="62"/>
      <c r="M87" s="62">
        <v>3</v>
      </c>
      <c r="N87" s="63">
        <v>6</v>
      </c>
      <c r="O87" s="63"/>
      <c r="P87" s="64"/>
      <c r="Q87" s="33"/>
      <c r="R87" s="39"/>
      <c r="S87" s="33"/>
    </row>
    <row r="88" spans="2:19" x14ac:dyDescent="0.25">
      <c r="B88" s="14"/>
      <c r="C88" s="14"/>
      <c r="D88" s="14"/>
      <c r="E88" s="14"/>
      <c r="F88" s="14"/>
      <c r="G88" s="63" t="s">
        <v>392</v>
      </c>
      <c r="H88" s="63" t="s">
        <v>141</v>
      </c>
      <c r="I88" s="63" t="s">
        <v>88</v>
      </c>
      <c r="J88" s="63" t="s">
        <v>401</v>
      </c>
      <c r="K88" s="63"/>
      <c r="L88" s="63"/>
      <c r="M88" s="63">
        <v>4</v>
      </c>
      <c r="N88" s="63">
        <v>10</v>
      </c>
      <c r="O88" s="63" t="s">
        <v>88</v>
      </c>
      <c r="P88" s="64" t="s">
        <v>267</v>
      </c>
      <c r="Q88" s="33"/>
      <c r="R88" s="39"/>
      <c r="S88" s="33"/>
    </row>
    <row r="89" spans="2:19" x14ac:dyDescent="0.25">
      <c r="B89" s="14"/>
      <c r="C89" s="14"/>
      <c r="D89" s="14"/>
      <c r="E89" s="14"/>
      <c r="F89" s="14"/>
      <c r="G89" s="63" t="s">
        <v>393</v>
      </c>
      <c r="H89" s="63" t="s">
        <v>141</v>
      </c>
      <c r="I89" s="63" t="s">
        <v>88</v>
      </c>
      <c r="J89" s="63" t="s">
        <v>402</v>
      </c>
      <c r="K89" s="63"/>
      <c r="L89" s="63"/>
      <c r="M89" s="63">
        <v>4</v>
      </c>
      <c r="N89" s="63">
        <v>10</v>
      </c>
      <c r="O89" s="63" t="s">
        <v>88</v>
      </c>
      <c r="P89" s="64" t="s">
        <v>268</v>
      </c>
      <c r="Q89" s="33"/>
      <c r="R89" s="39"/>
      <c r="S89" s="33"/>
    </row>
    <row r="90" spans="2:19" x14ac:dyDescent="0.25">
      <c r="B90" s="14"/>
      <c r="C90" s="14"/>
      <c r="D90" s="14"/>
      <c r="E90" s="14"/>
      <c r="F90" s="14"/>
      <c r="G90" s="63" t="s">
        <v>394</v>
      </c>
      <c r="H90" s="63" t="s">
        <v>141</v>
      </c>
      <c r="I90" s="63" t="s">
        <v>88</v>
      </c>
      <c r="J90" s="63" t="s">
        <v>403</v>
      </c>
      <c r="K90" s="63"/>
      <c r="L90" s="63"/>
      <c r="M90" s="63">
        <v>4</v>
      </c>
      <c r="N90" s="63">
        <v>10</v>
      </c>
      <c r="O90" s="63" t="s">
        <v>88</v>
      </c>
      <c r="P90" s="64" t="s">
        <v>269</v>
      </c>
      <c r="Q90" s="33"/>
      <c r="R90" s="39"/>
      <c r="S90" s="33"/>
    </row>
    <row r="91" spans="2:19" x14ac:dyDescent="0.25">
      <c r="B91" s="14"/>
      <c r="C91" s="14"/>
      <c r="D91" s="14"/>
      <c r="E91" s="14"/>
      <c r="F91" s="14"/>
      <c r="G91" s="63" t="s">
        <v>395</v>
      </c>
      <c r="H91" s="63" t="s">
        <v>90</v>
      </c>
      <c r="I91" s="63" t="s">
        <v>88</v>
      </c>
      <c r="J91" s="63" t="s">
        <v>404</v>
      </c>
      <c r="K91" s="63" t="s">
        <v>683</v>
      </c>
      <c r="L91" s="63"/>
      <c r="M91" s="63">
        <v>4</v>
      </c>
      <c r="N91" s="63">
        <v>10</v>
      </c>
      <c r="O91" s="63" t="s">
        <v>88</v>
      </c>
      <c r="P91" s="64" t="s">
        <v>270</v>
      </c>
      <c r="Q91" s="33"/>
      <c r="R91" s="39"/>
      <c r="S91" s="33"/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A1:Q10008"/>
  <sheetViews>
    <sheetView topLeftCell="A152" zoomScale="115" zoomScaleNormal="115" workbookViewId="0">
      <selection activeCell="E163" sqref="E163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1:17" x14ac:dyDescent="0.25">
      <c r="B1" t="s">
        <v>106</v>
      </c>
      <c r="I1" s="9"/>
    </row>
    <row r="3" spans="1:17" x14ac:dyDescent="0.25">
      <c r="B3" t="s">
        <v>82</v>
      </c>
      <c r="C3" t="s">
        <v>104</v>
      </c>
      <c r="D3" t="s">
        <v>102</v>
      </c>
      <c r="E3" t="s">
        <v>128</v>
      </c>
      <c r="F3" t="s">
        <v>89</v>
      </c>
      <c r="G3" t="s">
        <v>92</v>
      </c>
      <c r="H3" t="s">
        <v>127</v>
      </c>
      <c r="I3" t="s">
        <v>83</v>
      </c>
      <c r="J3" t="s">
        <v>147</v>
      </c>
      <c r="K3" t="s">
        <v>146</v>
      </c>
      <c r="L3" t="s">
        <v>188</v>
      </c>
      <c r="M3" t="s">
        <v>84</v>
      </c>
      <c r="N3" t="s">
        <v>103</v>
      </c>
      <c r="O3" t="s">
        <v>108</v>
      </c>
      <c r="P3" t="s">
        <v>100</v>
      </c>
      <c r="Q3" t="s">
        <v>312</v>
      </c>
    </row>
    <row r="4" spans="1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1:17" x14ac:dyDescent="0.25">
      <c r="B7" s="14"/>
      <c r="C7" s="14"/>
      <c r="D7" s="14"/>
      <c r="E7" s="14"/>
      <c r="F7" s="32" t="s">
        <v>396</v>
      </c>
      <c r="G7" s="32" t="s">
        <v>93</v>
      </c>
      <c r="H7" s="32" t="s">
        <v>88</v>
      </c>
      <c r="I7" s="32" t="s">
        <v>496</v>
      </c>
      <c r="J7" s="32"/>
      <c r="K7" s="32"/>
      <c r="L7" s="32">
        <v>3</v>
      </c>
      <c r="M7" s="32" t="s">
        <v>88</v>
      </c>
      <c r="N7" s="33"/>
      <c r="O7" s="33"/>
      <c r="P7" s="33"/>
      <c r="Q7" s="32" t="s">
        <v>495</v>
      </c>
    </row>
    <row r="8" spans="1:17" x14ac:dyDescent="0.25">
      <c r="D8" t="s">
        <v>8084</v>
      </c>
    </row>
    <row r="9" spans="1:17" x14ac:dyDescent="0.25">
      <c r="D9" t="s">
        <v>8085</v>
      </c>
    </row>
    <row r="10" spans="1:17" x14ac:dyDescent="0.25">
      <c r="B10" t="s">
        <v>8084</v>
      </c>
      <c r="D10" t="s">
        <v>8086</v>
      </c>
    </row>
    <row r="11" spans="1:17" x14ac:dyDescent="0.25">
      <c r="B11" t="s">
        <v>8085</v>
      </c>
      <c r="D11" t="s">
        <v>8087</v>
      </c>
    </row>
    <row r="12" spans="1:17" x14ac:dyDescent="0.25">
      <c r="B12" t="s">
        <v>8086</v>
      </c>
      <c r="D12" t="s">
        <v>8088</v>
      </c>
      <c r="F12" t="s">
        <v>9085</v>
      </c>
    </row>
    <row r="13" spans="1:17" x14ac:dyDescent="0.25">
      <c r="B13" t="s">
        <v>8087</v>
      </c>
      <c r="D13" t="s">
        <v>8089</v>
      </c>
    </row>
    <row r="14" spans="1:17" x14ac:dyDescent="0.25">
      <c r="A14" t="s">
        <v>2585</v>
      </c>
      <c r="B14" t="s">
        <v>8088</v>
      </c>
      <c r="D14" t="s">
        <v>8090</v>
      </c>
    </row>
    <row r="15" spans="1:17" x14ac:dyDescent="0.25">
      <c r="A15" t="s">
        <v>2586</v>
      </c>
      <c r="B15" t="s">
        <v>8089</v>
      </c>
      <c r="D15" t="s">
        <v>8091</v>
      </c>
    </row>
    <row r="16" spans="1:17" x14ac:dyDescent="0.25">
      <c r="A16" t="s">
        <v>2587</v>
      </c>
      <c r="B16" t="s">
        <v>8090</v>
      </c>
      <c r="D16" t="s">
        <v>8092</v>
      </c>
    </row>
    <row r="17" spans="1:4" x14ac:dyDescent="0.25">
      <c r="A17" t="s">
        <v>2588</v>
      </c>
      <c r="B17" t="s">
        <v>8091</v>
      </c>
      <c r="D17" t="s">
        <v>8093</v>
      </c>
    </row>
    <row r="18" spans="1:4" x14ac:dyDescent="0.25">
      <c r="A18" t="s">
        <v>2589</v>
      </c>
      <c r="B18" t="s">
        <v>8092</v>
      </c>
      <c r="D18" t="s">
        <v>8094</v>
      </c>
    </row>
    <row r="19" spans="1:4" x14ac:dyDescent="0.25">
      <c r="A19" t="s">
        <v>2590</v>
      </c>
      <c r="B19" t="s">
        <v>8093</v>
      </c>
      <c r="D19" t="s">
        <v>8095</v>
      </c>
    </row>
    <row r="20" spans="1:4" x14ac:dyDescent="0.25">
      <c r="A20" t="s">
        <v>2591</v>
      </c>
      <c r="B20" t="s">
        <v>8094</v>
      </c>
      <c r="D20" t="s">
        <v>8096</v>
      </c>
    </row>
    <row r="21" spans="1:4" x14ac:dyDescent="0.25">
      <c r="A21" t="s">
        <v>2592</v>
      </c>
      <c r="B21" t="s">
        <v>8095</v>
      </c>
      <c r="D21" t="s">
        <v>8097</v>
      </c>
    </row>
    <row r="22" spans="1:4" x14ac:dyDescent="0.25">
      <c r="A22" t="s">
        <v>2593</v>
      </c>
      <c r="B22" t="s">
        <v>8096</v>
      </c>
      <c r="D22" t="s">
        <v>8098</v>
      </c>
    </row>
    <row r="23" spans="1:4" x14ac:dyDescent="0.25">
      <c r="A23" t="s">
        <v>2594</v>
      </c>
      <c r="B23" t="s">
        <v>8097</v>
      </c>
      <c r="D23" t="s">
        <v>8099</v>
      </c>
    </row>
    <row r="24" spans="1:4" x14ac:dyDescent="0.25">
      <c r="A24" t="s">
        <v>2595</v>
      </c>
      <c r="B24" t="s">
        <v>8098</v>
      </c>
      <c r="D24" t="s">
        <v>8100</v>
      </c>
    </row>
    <row r="25" spans="1:4" x14ac:dyDescent="0.25">
      <c r="A25" t="s">
        <v>2596</v>
      </c>
      <c r="B25" t="s">
        <v>8099</v>
      </c>
      <c r="D25" t="s">
        <v>8101</v>
      </c>
    </row>
    <row r="26" spans="1:4" x14ac:dyDescent="0.25">
      <c r="A26" t="s">
        <v>2597</v>
      </c>
      <c r="B26" t="s">
        <v>8100</v>
      </c>
      <c r="D26" t="s">
        <v>8102</v>
      </c>
    </row>
    <row r="27" spans="1:4" x14ac:dyDescent="0.25">
      <c r="A27" t="s">
        <v>2598</v>
      </c>
      <c r="B27" t="s">
        <v>8101</v>
      </c>
      <c r="D27" t="s">
        <v>8103</v>
      </c>
    </row>
    <row r="28" spans="1:4" x14ac:dyDescent="0.25">
      <c r="A28" t="s">
        <v>2599</v>
      </c>
      <c r="B28" t="s">
        <v>8102</v>
      </c>
      <c r="D28" t="s">
        <v>8104</v>
      </c>
    </row>
    <row r="29" spans="1:4" x14ac:dyDescent="0.25">
      <c r="A29" t="s">
        <v>2600</v>
      </c>
      <c r="B29" t="s">
        <v>8103</v>
      </c>
      <c r="D29" t="s">
        <v>8105</v>
      </c>
    </row>
    <row r="30" spans="1:4" x14ac:dyDescent="0.25">
      <c r="A30" t="s">
        <v>2601</v>
      </c>
      <c r="B30" t="s">
        <v>8104</v>
      </c>
      <c r="D30" t="s">
        <v>8106</v>
      </c>
    </row>
    <row r="31" spans="1:4" x14ac:dyDescent="0.25">
      <c r="A31" t="s">
        <v>2602</v>
      </c>
      <c r="B31" t="s">
        <v>8105</v>
      </c>
      <c r="D31" t="s">
        <v>8107</v>
      </c>
    </row>
    <row r="32" spans="1:4" x14ac:dyDescent="0.25">
      <c r="A32" t="s">
        <v>2603</v>
      </c>
      <c r="B32" t="s">
        <v>8106</v>
      </c>
      <c r="D32" t="s">
        <v>8108</v>
      </c>
    </row>
    <row r="33" spans="1:4" x14ac:dyDescent="0.25">
      <c r="A33" t="s">
        <v>2604</v>
      </c>
      <c r="B33" t="s">
        <v>8107</v>
      </c>
      <c r="D33" t="s">
        <v>8109</v>
      </c>
    </row>
    <row r="34" spans="1:4" x14ac:dyDescent="0.25">
      <c r="A34" t="s">
        <v>2605</v>
      </c>
      <c r="B34" t="s">
        <v>8108</v>
      </c>
      <c r="D34" t="s">
        <v>8110</v>
      </c>
    </row>
    <row r="35" spans="1:4" x14ac:dyDescent="0.25">
      <c r="A35" t="s">
        <v>2606</v>
      </c>
      <c r="B35" t="s">
        <v>8109</v>
      </c>
      <c r="D35" t="s">
        <v>8111</v>
      </c>
    </row>
    <row r="36" spans="1:4" x14ac:dyDescent="0.25">
      <c r="A36" t="s">
        <v>2607</v>
      </c>
      <c r="B36" t="s">
        <v>8110</v>
      </c>
      <c r="D36" t="s">
        <v>8112</v>
      </c>
    </row>
    <row r="37" spans="1:4" x14ac:dyDescent="0.25">
      <c r="A37" t="s">
        <v>2608</v>
      </c>
      <c r="B37" t="s">
        <v>8111</v>
      </c>
      <c r="D37" t="s">
        <v>8113</v>
      </c>
    </row>
    <row r="38" spans="1:4" x14ac:dyDescent="0.25">
      <c r="A38" t="s">
        <v>2609</v>
      </c>
      <c r="B38" t="s">
        <v>8112</v>
      </c>
      <c r="D38" t="s">
        <v>8114</v>
      </c>
    </row>
    <row r="39" spans="1:4" x14ac:dyDescent="0.25">
      <c r="A39" t="s">
        <v>2610</v>
      </c>
      <c r="B39" t="s">
        <v>8113</v>
      </c>
      <c r="D39" t="s">
        <v>8115</v>
      </c>
    </row>
    <row r="40" spans="1:4" x14ac:dyDescent="0.25">
      <c r="A40" t="s">
        <v>2611</v>
      </c>
      <c r="B40" t="s">
        <v>8114</v>
      </c>
      <c r="D40" t="s">
        <v>8116</v>
      </c>
    </row>
    <row r="41" spans="1:4" x14ac:dyDescent="0.25">
      <c r="A41" t="s">
        <v>2612</v>
      </c>
      <c r="B41" t="s">
        <v>8115</v>
      </c>
      <c r="D41" t="s">
        <v>8117</v>
      </c>
    </row>
    <row r="42" spans="1:4" x14ac:dyDescent="0.25">
      <c r="A42" t="s">
        <v>2613</v>
      </c>
      <c r="B42" t="s">
        <v>8116</v>
      </c>
      <c r="D42" t="s">
        <v>8118</v>
      </c>
    </row>
    <row r="43" spans="1:4" x14ac:dyDescent="0.25">
      <c r="A43" t="s">
        <v>2614</v>
      </c>
      <c r="B43" t="s">
        <v>8117</v>
      </c>
      <c r="D43" t="s">
        <v>8119</v>
      </c>
    </row>
    <row r="44" spans="1:4" x14ac:dyDescent="0.25">
      <c r="A44" t="s">
        <v>2615</v>
      </c>
      <c r="B44" t="s">
        <v>8118</v>
      </c>
      <c r="D44" t="s">
        <v>8120</v>
      </c>
    </row>
    <row r="45" spans="1:4" x14ac:dyDescent="0.25">
      <c r="A45" t="s">
        <v>2616</v>
      </c>
      <c r="B45" t="s">
        <v>8119</v>
      </c>
      <c r="D45" t="s">
        <v>8121</v>
      </c>
    </row>
    <row r="46" spans="1:4" x14ac:dyDescent="0.25">
      <c r="A46" t="s">
        <v>2617</v>
      </c>
      <c r="B46" t="s">
        <v>8120</v>
      </c>
      <c r="D46" t="s">
        <v>8122</v>
      </c>
    </row>
    <row r="47" spans="1:4" x14ac:dyDescent="0.25">
      <c r="A47" t="s">
        <v>2618</v>
      </c>
      <c r="B47" t="s">
        <v>8121</v>
      </c>
      <c r="D47" t="s">
        <v>8123</v>
      </c>
    </row>
    <row r="48" spans="1:4" x14ac:dyDescent="0.25">
      <c r="A48" t="s">
        <v>2619</v>
      </c>
      <c r="B48" t="s">
        <v>8122</v>
      </c>
      <c r="D48" t="s">
        <v>8124</v>
      </c>
    </row>
    <row r="49" spans="1:4" x14ac:dyDescent="0.25">
      <c r="A49" t="s">
        <v>2620</v>
      </c>
      <c r="B49" t="s">
        <v>8123</v>
      </c>
      <c r="D49" t="s">
        <v>8125</v>
      </c>
    </row>
    <row r="50" spans="1:4" x14ac:dyDescent="0.25">
      <c r="A50" t="s">
        <v>2621</v>
      </c>
      <c r="B50" t="s">
        <v>8124</v>
      </c>
      <c r="D50" t="s">
        <v>8126</v>
      </c>
    </row>
    <row r="51" spans="1:4" x14ac:dyDescent="0.25">
      <c r="A51" t="s">
        <v>2622</v>
      </c>
      <c r="B51" t="s">
        <v>8125</v>
      </c>
      <c r="D51" t="s">
        <v>8127</v>
      </c>
    </row>
    <row r="52" spans="1:4" x14ac:dyDescent="0.25">
      <c r="A52" t="s">
        <v>2623</v>
      </c>
      <c r="B52" t="s">
        <v>8126</v>
      </c>
      <c r="D52" t="s">
        <v>8128</v>
      </c>
    </row>
    <row r="53" spans="1:4" x14ac:dyDescent="0.25">
      <c r="A53" t="s">
        <v>2624</v>
      </c>
      <c r="B53" t="s">
        <v>8127</v>
      </c>
      <c r="D53" t="s">
        <v>8129</v>
      </c>
    </row>
    <row r="54" spans="1:4" x14ac:dyDescent="0.25">
      <c r="A54" t="s">
        <v>2625</v>
      </c>
      <c r="B54" t="s">
        <v>8128</v>
      </c>
      <c r="D54" t="s">
        <v>8130</v>
      </c>
    </row>
    <row r="55" spans="1:4" x14ac:dyDescent="0.25">
      <c r="A55" t="s">
        <v>2626</v>
      </c>
      <c r="B55" t="s">
        <v>8129</v>
      </c>
      <c r="D55" t="s">
        <v>8131</v>
      </c>
    </row>
    <row r="56" spans="1:4" x14ac:dyDescent="0.25">
      <c r="A56" t="s">
        <v>2627</v>
      </c>
      <c r="B56" t="s">
        <v>8130</v>
      </c>
      <c r="D56" t="s">
        <v>8132</v>
      </c>
    </row>
    <row r="57" spans="1:4" x14ac:dyDescent="0.25">
      <c r="A57" t="s">
        <v>2628</v>
      </c>
      <c r="B57" t="s">
        <v>8131</v>
      </c>
      <c r="D57" t="s">
        <v>8133</v>
      </c>
    </row>
    <row r="58" spans="1:4" x14ac:dyDescent="0.25">
      <c r="A58" t="s">
        <v>2629</v>
      </c>
      <c r="B58" t="s">
        <v>8132</v>
      </c>
      <c r="D58" t="s">
        <v>8134</v>
      </c>
    </row>
    <row r="59" spans="1:4" x14ac:dyDescent="0.25">
      <c r="A59" t="s">
        <v>2630</v>
      </c>
      <c r="B59" t="s">
        <v>8133</v>
      </c>
      <c r="D59" t="s">
        <v>8135</v>
      </c>
    </row>
    <row r="60" spans="1:4" x14ac:dyDescent="0.25">
      <c r="A60" t="s">
        <v>2631</v>
      </c>
      <c r="B60" t="s">
        <v>8134</v>
      </c>
      <c r="D60" t="s">
        <v>8136</v>
      </c>
    </row>
    <row r="61" spans="1:4" x14ac:dyDescent="0.25">
      <c r="A61" t="s">
        <v>2632</v>
      </c>
      <c r="B61" t="s">
        <v>8135</v>
      </c>
      <c r="D61" t="s">
        <v>8137</v>
      </c>
    </row>
    <row r="62" spans="1:4" x14ac:dyDescent="0.25">
      <c r="A62" t="s">
        <v>2633</v>
      </c>
      <c r="B62" t="s">
        <v>8136</v>
      </c>
      <c r="D62" t="s">
        <v>8138</v>
      </c>
    </row>
    <row r="63" spans="1:4" x14ac:dyDescent="0.25">
      <c r="A63" t="s">
        <v>2634</v>
      </c>
      <c r="B63" t="s">
        <v>8137</v>
      </c>
      <c r="D63" t="s">
        <v>8139</v>
      </c>
    </row>
    <row r="64" spans="1:4" x14ac:dyDescent="0.25">
      <c r="A64" t="s">
        <v>2635</v>
      </c>
      <c r="B64" t="s">
        <v>8138</v>
      </c>
      <c r="D64" t="s">
        <v>8140</v>
      </c>
    </row>
    <row r="65" spans="1:14" x14ac:dyDescent="0.25">
      <c r="A65" t="s">
        <v>2636</v>
      </c>
      <c r="B65" t="s">
        <v>8139</v>
      </c>
      <c r="D65" t="s">
        <v>8141</v>
      </c>
    </row>
    <row r="66" spans="1:14" x14ac:dyDescent="0.25">
      <c r="A66" t="s">
        <v>2637</v>
      </c>
      <c r="B66" t="s">
        <v>8140</v>
      </c>
      <c r="D66" t="s">
        <v>8142</v>
      </c>
    </row>
    <row r="67" spans="1:14" x14ac:dyDescent="0.25">
      <c r="A67" t="s">
        <v>2638</v>
      </c>
      <c r="B67" t="s">
        <v>8141</v>
      </c>
      <c r="D67" t="s">
        <v>8143</v>
      </c>
    </row>
    <row r="68" spans="1:14" x14ac:dyDescent="0.25">
      <c r="A68" t="s">
        <v>2639</v>
      </c>
      <c r="B68" t="s">
        <v>8142</v>
      </c>
      <c r="D68" t="s">
        <v>8144</v>
      </c>
    </row>
    <row r="69" spans="1:14" x14ac:dyDescent="0.25">
      <c r="A69" t="s">
        <v>2640</v>
      </c>
      <c r="B69" t="s">
        <v>8143</v>
      </c>
      <c r="D69" t="s">
        <v>8145</v>
      </c>
    </row>
    <row r="70" spans="1:14" x14ac:dyDescent="0.25">
      <c r="A70" t="s">
        <v>2641</v>
      </c>
      <c r="B70" t="s">
        <v>8144</v>
      </c>
      <c r="D70" t="s">
        <v>8146</v>
      </c>
    </row>
    <row r="71" spans="1:14" x14ac:dyDescent="0.25">
      <c r="A71" t="s">
        <v>2642</v>
      </c>
      <c r="B71" t="s">
        <v>8145</v>
      </c>
      <c r="D71" t="s">
        <v>8147</v>
      </c>
    </row>
    <row r="72" spans="1:14" x14ac:dyDescent="0.25">
      <c r="A72" t="s">
        <v>2643</v>
      </c>
      <c r="B72" t="s">
        <v>8146</v>
      </c>
      <c r="D72" t="s">
        <v>8148</v>
      </c>
    </row>
    <row r="73" spans="1:14" x14ac:dyDescent="0.25">
      <c r="A73" t="s">
        <v>2644</v>
      </c>
      <c r="B73" t="s">
        <v>8147</v>
      </c>
      <c r="D73" t="s">
        <v>8149</v>
      </c>
      <c r="F73" s="45" t="s">
        <v>574</v>
      </c>
      <c r="G73" s="45"/>
      <c r="H73" s="44"/>
      <c r="I73" s="45" t="s">
        <v>138</v>
      </c>
      <c r="J73" s="45"/>
      <c r="K73" s="45"/>
      <c r="L73" s="45">
        <v>1</v>
      </c>
      <c r="M73" s="44">
        <v>5</v>
      </c>
      <c r="N73" s="44"/>
    </row>
    <row r="74" spans="1:14" x14ac:dyDescent="0.25">
      <c r="A74" t="s">
        <v>2645</v>
      </c>
      <c r="B74" t="s">
        <v>8148</v>
      </c>
      <c r="D74" t="s">
        <v>8150</v>
      </c>
      <c r="F74" s="46" t="s">
        <v>173</v>
      </c>
      <c r="G74" s="46" t="s">
        <v>93</v>
      </c>
      <c r="H74" s="46" t="s">
        <v>86</v>
      </c>
      <c r="I74" s="43" t="s">
        <v>189</v>
      </c>
      <c r="J74" s="46" t="s">
        <v>173</v>
      </c>
      <c r="K74" s="46"/>
      <c r="L74" s="46">
        <v>4</v>
      </c>
      <c r="M74" s="46">
        <v>9</v>
      </c>
      <c r="N74" s="46" t="s">
        <v>88</v>
      </c>
    </row>
    <row r="75" spans="1:14" x14ac:dyDescent="0.25">
      <c r="A75" t="s">
        <v>2646</v>
      </c>
      <c r="B75" t="s">
        <v>8149</v>
      </c>
      <c r="D75" t="s">
        <v>8151</v>
      </c>
      <c r="F75" s="44" t="s">
        <v>318</v>
      </c>
      <c r="G75" s="44" t="s">
        <v>93</v>
      </c>
      <c r="H75" s="44" t="s">
        <v>86</v>
      </c>
      <c r="I75" s="45" t="s">
        <v>139</v>
      </c>
      <c r="J75" s="44" t="s">
        <v>37</v>
      </c>
      <c r="K75" s="44"/>
      <c r="L75" s="44">
        <v>4</v>
      </c>
      <c r="M75" s="44">
        <v>9</v>
      </c>
      <c r="N75" s="44" t="s">
        <v>88</v>
      </c>
    </row>
    <row r="76" spans="1:14" x14ac:dyDescent="0.25">
      <c r="A76" t="s">
        <v>2647</v>
      </c>
      <c r="B76" t="s">
        <v>8150</v>
      </c>
      <c r="D76" t="s">
        <v>8152</v>
      </c>
      <c r="F76" s="46" t="s">
        <v>319</v>
      </c>
      <c r="G76" s="46" t="s">
        <v>93</v>
      </c>
      <c r="H76" s="46" t="s">
        <v>86</v>
      </c>
      <c r="I76" s="46" t="s">
        <v>405</v>
      </c>
      <c r="J76" s="46" t="s">
        <v>361</v>
      </c>
      <c r="K76" s="46"/>
      <c r="L76" s="46">
        <v>4</v>
      </c>
      <c r="M76" s="46">
        <v>9</v>
      </c>
      <c r="N76" s="46" t="s">
        <v>88</v>
      </c>
    </row>
    <row r="77" spans="1:14" x14ac:dyDescent="0.25">
      <c r="A77" t="s">
        <v>2648</v>
      </c>
      <c r="B77" t="s">
        <v>8151</v>
      </c>
      <c r="D77" t="s">
        <v>8153</v>
      </c>
      <c r="F77" s="44" t="s">
        <v>320</v>
      </c>
      <c r="G77" s="44" t="s">
        <v>93</v>
      </c>
      <c r="H77" s="44" t="s">
        <v>86</v>
      </c>
      <c r="I77" s="44" t="s">
        <v>406</v>
      </c>
      <c r="J77" s="44" t="s">
        <v>361</v>
      </c>
      <c r="K77" s="44"/>
      <c r="L77" s="44">
        <v>4</v>
      </c>
      <c r="M77" s="44">
        <v>10</v>
      </c>
      <c r="N77" s="44" t="s">
        <v>88</v>
      </c>
    </row>
    <row r="78" spans="1:14" x14ac:dyDescent="0.25">
      <c r="A78" t="s">
        <v>2649</v>
      </c>
      <c r="B78" t="s">
        <v>8152</v>
      </c>
      <c r="D78" t="s">
        <v>8154</v>
      </c>
      <c r="F78" s="43" t="s">
        <v>187</v>
      </c>
      <c r="G78" s="43"/>
      <c r="H78" s="46"/>
      <c r="I78" s="43" t="s">
        <v>354</v>
      </c>
      <c r="J78" s="43"/>
      <c r="K78" s="43"/>
      <c r="L78" s="43">
        <v>2</v>
      </c>
      <c r="M78" s="46">
        <v>5</v>
      </c>
      <c r="N78" s="46"/>
    </row>
    <row r="79" spans="1:14" x14ac:dyDescent="0.25">
      <c r="A79" t="s">
        <v>2650</v>
      </c>
      <c r="B79" t="s">
        <v>8153</v>
      </c>
      <c r="D79" t="s">
        <v>8155</v>
      </c>
      <c r="F79" s="44" t="s">
        <v>321</v>
      </c>
      <c r="G79" s="44" t="s">
        <v>141</v>
      </c>
      <c r="H79" s="44" t="s">
        <v>88</v>
      </c>
      <c r="I79" s="44" t="s">
        <v>407</v>
      </c>
      <c r="J79" s="44"/>
      <c r="K79" s="44"/>
      <c r="L79" s="44">
        <v>4</v>
      </c>
      <c r="M79" s="44">
        <v>9</v>
      </c>
      <c r="N79" s="44" t="s">
        <v>88</v>
      </c>
    </row>
    <row r="80" spans="1:14" x14ac:dyDescent="0.25">
      <c r="A80" t="s">
        <v>2651</v>
      </c>
      <c r="B80" t="s">
        <v>8154</v>
      </c>
      <c r="D80" t="s">
        <v>8156</v>
      </c>
      <c r="F80" s="46" t="s">
        <v>322</v>
      </c>
      <c r="G80" s="46" t="s">
        <v>93</v>
      </c>
      <c r="H80" s="46" t="s">
        <v>88</v>
      </c>
      <c r="I80" s="46" t="s">
        <v>426</v>
      </c>
      <c r="J80" s="46" t="s">
        <v>358</v>
      </c>
      <c r="K80" s="46"/>
      <c r="L80" s="46">
        <v>4</v>
      </c>
      <c r="M80" s="46">
        <v>9</v>
      </c>
      <c r="N80" s="46" t="s">
        <v>88</v>
      </c>
    </row>
    <row r="81" spans="1:14" x14ac:dyDescent="0.25">
      <c r="A81" t="s">
        <v>2652</v>
      </c>
      <c r="B81" t="s">
        <v>8155</v>
      </c>
      <c r="D81" t="s">
        <v>8157</v>
      </c>
      <c r="F81" s="44" t="s">
        <v>323</v>
      </c>
      <c r="G81" s="44" t="s">
        <v>141</v>
      </c>
      <c r="H81" s="44" t="s">
        <v>88</v>
      </c>
      <c r="I81" s="44" t="s">
        <v>408</v>
      </c>
      <c r="J81" s="44"/>
      <c r="K81" s="44"/>
      <c r="L81" s="44">
        <v>4</v>
      </c>
      <c r="M81" s="44">
        <v>9</v>
      </c>
      <c r="N81" s="44" t="s">
        <v>88</v>
      </c>
    </row>
    <row r="82" spans="1:14" x14ac:dyDescent="0.25">
      <c r="A82" t="s">
        <v>2653</v>
      </c>
      <c r="B82" t="s">
        <v>8156</v>
      </c>
      <c r="D82" t="s">
        <v>8158</v>
      </c>
      <c r="F82" s="46" t="s">
        <v>324</v>
      </c>
      <c r="G82" s="46" t="s">
        <v>93</v>
      </c>
      <c r="H82" s="46" t="s">
        <v>88</v>
      </c>
      <c r="I82" s="46" t="s">
        <v>439</v>
      </c>
      <c r="J82" s="46" t="s">
        <v>358</v>
      </c>
      <c r="K82" s="46"/>
      <c r="L82" s="46">
        <v>4</v>
      </c>
      <c r="M82" s="46">
        <v>9</v>
      </c>
      <c r="N82" s="46" t="s">
        <v>88</v>
      </c>
    </row>
    <row r="83" spans="1:14" x14ac:dyDescent="0.25">
      <c r="A83" t="s">
        <v>2654</v>
      </c>
      <c r="B83" t="s">
        <v>8157</v>
      </c>
      <c r="D83" t="s">
        <v>8159</v>
      </c>
      <c r="F83" s="44" t="s">
        <v>325</v>
      </c>
      <c r="G83" s="44" t="s">
        <v>141</v>
      </c>
      <c r="H83" s="44" t="s">
        <v>88</v>
      </c>
      <c r="I83" s="44" t="s">
        <v>409</v>
      </c>
      <c r="J83" s="44"/>
      <c r="K83" s="44"/>
      <c r="L83" s="44">
        <v>4</v>
      </c>
      <c r="M83" s="44">
        <v>9</v>
      </c>
      <c r="N83" s="44" t="s">
        <v>88</v>
      </c>
    </row>
    <row r="84" spans="1:14" x14ac:dyDescent="0.25">
      <c r="A84" t="s">
        <v>2655</v>
      </c>
      <c r="B84" t="s">
        <v>8158</v>
      </c>
      <c r="D84" t="s">
        <v>8160</v>
      </c>
      <c r="F84" s="46" t="s">
        <v>326</v>
      </c>
      <c r="G84" s="46" t="s">
        <v>93</v>
      </c>
      <c r="H84" s="46" t="s">
        <v>88</v>
      </c>
      <c r="I84" s="46" t="s">
        <v>427</v>
      </c>
      <c r="J84" s="46" t="s">
        <v>682</v>
      </c>
      <c r="K84" s="46"/>
      <c r="L84" s="46">
        <v>4</v>
      </c>
      <c r="M84" s="46">
        <v>9</v>
      </c>
      <c r="N84" s="46" t="s">
        <v>88</v>
      </c>
    </row>
    <row r="85" spans="1:14" x14ac:dyDescent="0.25">
      <c r="A85" t="s">
        <v>2656</v>
      </c>
      <c r="B85" t="s">
        <v>8159</v>
      </c>
      <c r="D85" t="s">
        <v>8161</v>
      </c>
      <c r="F85" s="44" t="s">
        <v>327</v>
      </c>
      <c r="G85" s="44" t="s">
        <v>141</v>
      </c>
      <c r="H85" s="44" t="s">
        <v>88</v>
      </c>
      <c r="I85" s="44" t="s">
        <v>410</v>
      </c>
      <c r="J85" s="44"/>
      <c r="K85" s="44"/>
      <c r="L85" s="44">
        <v>4</v>
      </c>
      <c r="M85" s="44">
        <v>9</v>
      </c>
      <c r="N85" s="44" t="s">
        <v>88</v>
      </c>
    </row>
    <row r="86" spans="1:14" x14ac:dyDescent="0.25">
      <c r="A86" t="s">
        <v>2657</v>
      </c>
      <c r="B86" t="s">
        <v>8160</v>
      </c>
      <c r="D86" t="s">
        <v>8162</v>
      </c>
      <c r="F86" s="46" t="s">
        <v>328</v>
      </c>
      <c r="G86" s="46" t="s">
        <v>90</v>
      </c>
      <c r="H86" s="46" t="s">
        <v>88</v>
      </c>
      <c r="I86" s="46" t="s">
        <v>411</v>
      </c>
      <c r="J86" s="46" t="s">
        <v>683</v>
      </c>
      <c r="K86" s="46"/>
      <c r="L86" s="46">
        <v>4</v>
      </c>
      <c r="M86" s="46">
        <v>9</v>
      </c>
      <c r="N86" s="46" t="s">
        <v>88</v>
      </c>
    </row>
    <row r="87" spans="1:14" x14ac:dyDescent="0.25">
      <c r="A87" t="s">
        <v>2658</v>
      </c>
      <c r="B87" t="s">
        <v>8161</v>
      </c>
      <c r="D87" t="s">
        <v>8163</v>
      </c>
      <c r="F87" s="44" t="s">
        <v>329</v>
      </c>
      <c r="G87" s="44" t="s">
        <v>141</v>
      </c>
      <c r="H87" s="44" t="s">
        <v>88</v>
      </c>
      <c r="I87" s="44" t="s">
        <v>412</v>
      </c>
      <c r="J87" s="44"/>
      <c r="K87" s="44"/>
      <c r="L87" s="44">
        <v>4</v>
      </c>
      <c r="M87" s="44">
        <v>9</v>
      </c>
      <c r="N87" s="44" t="s">
        <v>88</v>
      </c>
    </row>
    <row r="88" spans="1:14" x14ac:dyDescent="0.25">
      <c r="A88" t="s">
        <v>2659</v>
      </c>
      <c r="B88" t="s">
        <v>8162</v>
      </c>
      <c r="D88" t="s">
        <v>8164</v>
      </c>
      <c r="F88" s="46" t="s">
        <v>330</v>
      </c>
      <c r="G88" s="46" t="s">
        <v>141</v>
      </c>
      <c r="H88" s="46" t="s">
        <v>88</v>
      </c>
      <c r="I88" s="46" t="s">
        <v>413</v>
      </c>
      <c r="J88" s="46"/>
      <c r="K88" s="46"/>
      <c r="L88" s="46">
        <v>4</v>
      </c>
      <c r="M88" s="46">
        <v>9</v>
      </c>
      <c r="N88" s="46" t="s">
        <v>88</v>
      </c>
    </row>
    <row r="89" spans="1:14" x14ac:dyDescent="0.25">
      <c r="A89" t="s">
        <v>2660</v>
      </c>
      <c r="B89" t="s">
        <v>8163</v>
      </c>
      <c r="D89" t="s">
        <v>8165</v>
      </c>
      <c r="F89" s="44" t="s">
        <v>331</v>
      </c>
      <c r="G89" s="44" t="s">
        <v>90</v>
      </c>
      <c r="H89" s="44" t="s">
        <v>88</v>
      </c>
      <c r="I89" s="44" t="s">
        <v>428</v>
      </c>
      <c r="J89" s="44" t="s">
        <v>359</v>
      </c>
      <c r="K89" s="44"/>
      <c r="L89" s="44">
        <v>4</v>
      </c>
      <c r="M89" s="44">
        <v>9</v>
      </c>
      <c r="N89" s="44" t="s">
        <v>88</v>
      </c>
    </row>
    <row r="90" spans="1:14" x14ac:dyDescent="0.25">
      <c r="A90" t="s">
        <v>2661</v>
      </c>
      <c r="B90" t="s">
        <v>8164</v>
      </c>
      <c r="D90" t="s">
        <v>8166</v>
      </c>
      <c r="F90" s="46" t="s">
        <v>332</v>
      </c>
      <c r="G90" s="46" t="s">
        <v>141</v>
      </c>
      <c r="H90" s="46" t="s">
        <v>88</v>
      </c>
      <c r="I90" s="46" t="s">
        <v>414</v>
      </c>
      <c r="J90" s="46"/>
      <c r="K90" s="46"/>
      <c r="L90" s="46">
        <v>4</v>
      </c>
      <c r="M90" s="46">
        <v>9</v>
      </c>
      <c r="N90" s="46" t="s">
        <v>88</v>
      </c>
    </row>
    <row r="91" spans="1:14" x14ac:dyDescent="0.25">
      <c r="A91" t="s">
        <v>2662</v>
      </c>
      <c r="B91" t="s">
        <v>8165</v>
      </c>
      <c r="D91" t="s">
        <v>8167</v>
      </c>
      <c r="F91" s="44" t="s">
        <v>333</v>
      </c>
      <c r="G91" s="44" t="s">
        <v>93</v>
      </c>
      <c r="H91" s="44" t="s">
        <v>88</v>
      </c>
      <c r="I91" s="44" t="s">
        <v>429</v>
      </c>
      <c r="J91" s="44" t="s">
        <v>360</v>
      </c>
      <c r="K91" s="44"/>
      <c r="L91" s="44">
        <v>4</v>
      </c>
      <c r="M91" s="44">
        <v>9</v>
      </c>
      <c r="N91" s="44" t="s">
        <v>88</v>
      </c>
    </row>
    <row r="92" spans="1:14" x14ac:dyDescent="0.25">
      <c r="A92" t="s">
        <v>2663</v>
      </c>
      <c r="B92" t="s">
        <v>8166</v>
      </c>
      <c r="D92" t="s">
        <v>8168</v>
      </c>
      <c r="F92" s="46" t="s">
        <v>334</v>
      </c>
      <c r="G92" s="46" t="s">
        <v>141</v>
      </c>
      <c r="H92" s="46" t="s">
        <v>88</v>
      </c>
      <c r="I92" s="46" t="s">
        <v>415</v>
      </c>
      <c r="J92" s="46"/>
      <c r="K92" s="46"/>
      <c r="L92" s="46">
        <v>4</v>
      </c>
      <c r="M92" s="46">
        <v>9</v>
      </c>
      <c r="N92" s="46" t="s">
        <v>88</v>
      </c>
    </row>
    <row r="93" spans="1:14" x14ac:dyDescent="0.25">
      <c r="A93" t="s">
        <v>2664</v>
      </c>
      <c r="B93" t="s">
        <v>8167</v>
      </c>
      <c r="D93" t="s">
        <v>8169</v>
      </c>
      <c r="F93" s="44" t="s">
        <v>335</v>
      </c>
      <c r="G93" s="44" t="s">
        <v>141</v>
      </c>
      <c r="H93" s="44" t="s">
        <v>88</v>
      </c>
      <c r="I93" s="44" t="s">
        <v>416</v>
      </c>
      <c r="J93" s="44"/>
      <c r="K93" s="44"/>
      <c r="L93" s="44">
        <v>4</v>
      </c>
      <c r="M93" s="44">
        <v>9</v>
      </c>
      <c r="N93" s="44" t="s">
        <v>88</v>
      </c>
    </row>
    <row r="94" spans="1:14" x14ac:dyDescent="0.25">
      <c r="A94" t="s">
        <v>2665</v>
      </c>
      <c r="B94" t="s">
        <v>8168</v>
      </c>
      <c r="D94" t="s">
        <v>8170</v>
      </c>
      <c r="F94" s="46" t="s">
        <v>336</v>
      </c>
      <c r="G94" s="46" t="s">
        <v>93</v>
      </c>
      <c r="H94" s="46" t="s">
        <v>88</v>
      </c>
      <c r="I94" s="46" t="s">
        <v>430</v>
      </c>
      <c r="J94" s="46" t="s">
        <v>580</v>
      </c>
      <c r="K94" s="46"/>
      <c r="L94" s="46">
        <v>4</v>
      </c>
      <c r="M94" s="46">
        <v>9</v>
      </c>
      <c r="N94" s="46" t="s">
        <v>88</v>
      </c>
    </row>
    <row r="95" spans="1:14" x14ac:dyDescent="0.25">
      <c r="A95" t="s">
        <v>2666</v>
      </c>
      <c r="B95" t="s">
        <v>8169</v>
      </c>
      <c r="D95" t="s">
        <v>8171</v>
      </c>
      <c r="F95" s="44" t="s">
        <v>337</v>
      </c>
      <c r="G95" s="44" t="s">
        <v>93</v>
      </c>
      <c r="H95" s="44" t="s">
        <v>88</v>
      </c>
      <c r="I95" s="44" t="s">
        <v>417</v>
      </c>
      <c r="J95" s="44" t="s">
        <v>581</v>
      </c>
      <c r="K95" s="44"/>
      <c r="L95" s="44">
        <v>4</v>
      </c>
      <c r="M95" s="44">
        <v>9</v>
      </c>
      <c r="N95" s="44" t="s">
        <v>88</v>
      </c>
    </row>
    <row r="96" spans="1:14" x14ac:dyDescent="0.25">
      <c r="A96" t="s">
        <v>2667</v>
      </c>
      <c r="B96" t="s">
        <v>8170</v>
      </c>
      <c r="D96" t="s">
        <v>8172</v>
      </c>
      <c r="F96" s="46" t="s">
        <v>338</v>
      </c>
      <c r="G96" s="46" t="s">
        <v>93</v>
      </c>
      <c r="H96" s="46" t="s">
        <v>88</v>
      </c>
      <c r="I96" s="46" t="s">
        <v>418</v>
      </c>
      <c r="J96" s="46" t="s">
        <v>582</v>
      </c>
      <c r="K96" s="46"/>
      <c r="L96" s="46">
        <v>4</v>
      </c>
      <c r="M96" s="46">
        <v>9</v>
      </c>
      <c r="N96" s="46" t="s">
        <v>88</v>
      </c>
    </row>
    <row r="97" spans="1:14" x14ac:dyDescent="0.25">
      <c r="A97" t="s">
        <v>2668</v>
      </c>
      <c r="B97" t="s">
        <v>8171</v>
      </c>
      <c r="D97" t="s">
        <v>8173</v>
      </c>
      <c r="F97" s="44" t="s">
        <v>339</v>
      </c>
      <c r="G97" s="44" t="s">
        <v>93</v>
      </c>
      <c r="H97" s="44" t="s">
        <v>88</v>
      </c>
      <c r="I97" s="44" t="s">
        <v>419</v>
      </c>
      <c r="J97" s="44" t="s">
        <v>583</v>
      </c>
      <c r="K97" s="44"/>
      <c r="L97" s="44">
        <v>4</v>
      </c>
      <c r="M97" s="44">
        <v>9</v>
      </c>
      <c r="N97" s="44" t="s">
        <v>88</v>
      </c>
    </row>
    <row r="98" spans="1:14" x14ac:dyDescent="0.25">
      <c r="A98" t="s">
        <v>2669</v>
      </c>
      <c r="B98" t="s">
        <v>8172</v>
      </c>
      <c r="D98" t="s">
        <v>8174</v>
      </c>
      <c r="F98" s="46" t="s">
        <v>340</v>
      </c>
      <c r="G98" s="46" t="s">
        <v>93</v>
      </c>
      <c r="H98" s="46" t="s">
        <v>88</v>
      </c>
      <c r="I98" s="46" t="s">
        <v>420</v>
      </c>
      <c r="J98" s="46" t="s">
        <v>584</v>
      </c>
      <c r="K98" s="46"/>
      <c r="L98" s="46">
        <v>4</v>
      </c>
      <c r="M98" s="46">
        <v>9</v>
      </c>
      <c r="N98" s="46" t="s">
        <v>88</v>
      </c>
    </row>
    <row r="99" spans="1:14" x14ac:dyDescent="0.25">
      <c r="A99" t="s">
        <v>2670</v>
      </c>
      <c r="B99" t="s">
        <v>8173</v>
      </c>
      <c r="D99" t="s">
        <v>8175</v>
      </c>
      <c r="F99" s="45" t="s">
        <v>574</v>
      </c>
      <c r="G99" s="45"/>
      <c r="H99" s="44"/>
      <c r="I99" s="45" t="s">
        <v>355</v>
      </c>
      <c r="J99" s="45"/>
      <c r="K99" s="45"/>
      <c r="L99" s="45">
        <v>2</v>
      </c>
      <c r="M99" s="44">
        <v>5</v>
      </c>
      <c r="N99" s="44"/>
    </row>
    <row r="100" spans="1:14" x14ac:dyDescent="0.25">
      <c r="A100" t="s">
        <v>2671</v>
      </c>
      <c r="B100" t="s">
        <v>8174</v>
      </c>
      <c r="D100" t="s">
        <v>8176</v>
      </c>
      <c r="F100" s="46" t="s">
        <v>341</v>
      </c>
      <c r="G100" s="46" t="s">
        <v>141</v>
      </c>
      <c r="H100" s="46" t="s">
        <v>88</v>
      </c>
      <c r="I100" s="46" t="s">
        <v>421</v>
      </c>
      <c r="J100" s="46"/>
      <c r="K100" s="46"/>
      <c r="L100" s="46">
        <v>4</v>
      </c>
      <c r="M100" s="46">
        <v>10</v>
      </c>
      <c r="N100" s="46" t="s">
        <v>88</v>
      </c>
    </row>
    <row r="101" spans="1:14" x14ac:dyDescent="0.25">
      <c r="A101" t="s">
        <v>2672</v>
      </c>
      <c r="B101" t="s">
        <v>8175</v>
      </c>
      <c r="D101" t="s">
        <v>8177</v>
      </c>
      <c r="F101" s="44" t="s">
        <v>342</v>
      </c>
      <c r="G101" s="44" t="s">
        <v>91</v>
      </c>
      <c r="H101" s="44" t="s">
        <v>88</v>
      </c>
      <c r="I101" s="44" t="s">
        <v>422</v>
      </c>
      <c r="J101" s="44" t="s">
        <v>667</v>
      </c>
      <c r="K101" s="45" t="s">
        <v>186</v>
      </c>
      <c r="L101" s="44">
        <v>4</v>
      </c>
      <c r="M101" s="44">
        <v>21</v>
      </c>
      <c r="N101" s="44" t="s">
        <v>88</v>
      </c>
    </row>
    <row r="102" spans="1:14" x14ac:dyDescent="0.25">
      <c r="A102" t="s">
        <v>2673</v>
      </c>
      <c r="B102" t="s">
        <v>8176</v>
      </c>
      <c r="D102" t="s">
        <v>8178</v>
      </c>
      <c r="F102" s="46" t="s">
        <v>343</v>
      </c>
      <c r="G102" s="46" t="s">
        <v>141</v>
      </c>
      <c r="H102" s="46" t="s">
        <v>88</v>
      </c>
      <c r="I102" s="46" t="s">
        <v>423</v>
      </c>
      <c r="J102" s="46"/>
      <c r="K102" s="46"/>
      <c r="L102" s="46">
        <v>4</v>
      </c>
      <c r="M102" s="46">
        <v>10</v>
      </c>
      <c r="N102" s="46" t="s">
        <v>88</v>
      </c>
    </row>
    <row r="103" spans="1:14" x14ac:dyDescent="0.25">
      <c r="A103" t="s">
        <v>2674</v>
      </c>
      <c r="B103" t="s">
        <v>8177</v>
      </c>
      <c r="D103" t="s">
        <v>8179</v>
      </c>
      <c r="F103" s="45" t="s">
        <v>187</v>
      </c>
      <c r="G103" s="45"/>
      <c r="H103" s="44"/>
      <c r="I103" s="45" t="s">
        <v>356</v>
      </c>
      <c r="J103" s="45"/>
      <c r="K103" s="45"/>
      <c r="L103" s="45">
        <v>3</v>
      </c>
      <c r="M103" s="44">
        <v>5</v>
      </c>
      <c r="N103" s="44"/>
    </row>
    <row r="104" spans="1:14" x14ac:dyDescent="0.25">
      <c r="A104" t="s">
        <v>2675</v>
      </c>
      <c r="B104" t="s">
        <v>8178</v>
      </c>
      <c r="D104" t="s">
        <v>8180</v>
      </c>
      <c r="F104" s="46" t="s">
        <v>344</v>
      </c>
      <c r="G104" s="46" t="s">
        <v>141</v>
      </c>
      <c r="H104" s="46" t="s">
        <v>88</v>
      </c>
      <c r="I104" s="46" t="s">
        <v>424</v>
      </c>
      <c r="J104" s="46"/>
      <c r="K104" s="46"/>
      <c r="L104" s="46">
        <v>4</v>
      </c>
      <c r="M104" s="46">
        <v>9</v>
      </c>
      <c r="N104" s="46" t="s">
        <v>88</v>
      </c>
    </row>
    <row r="105" spans="1:14" x14ac:dyDescent="0.25">
      <c r="A105" t="s">
        <v>2676</v>
      </c>
      <c r="B105" t="s">
        <v>8179</v>
      </c>
      <c r="D105" t="s">
        <v>8181</v>
      </c>
      <c r="F105" s="44" t="s">
        <v>345</v>
      </c>
      <c r="G105" s="44" t="s">
        <v>141</v>
      </c>
      <c r="H105" s="44" t="s">
        <v>88</v>
      </c>
      <c r="I105" s="44" t="s">
        <v>431</v>
      </c>
      <c r="J105" s="44"/>
      <c r="K105" s="44"/>
      <c r="L105" s="44">
        <v>4</v>
      </c>
      <c r="M105" s="44">
        <v>9</v>
      </c>
      <c r="N105" s="44" t="s">
        <v>88</v>
      </c>
    </row>
    <row r="106" spans="1:14" x14ac:dyDescent="0.25">
      <c r="A106" t="s">
        <v>2677</v>
      </c>
      <c r="B106" t="s">
        <v>8180</v>
      </c>
      <c r="D106" t="s">
        <v>8182</v>
      </c>
      <c r="F106" s="46" t="s">
        <v>346</v>
      </c>
      <c r="G106" s="46" t="s">
        <v>141</v>
      </c>
      <c r="H106" s="46" t="s">
        <v>88</v>
      </c>
      <c r="I106" s="46" t="s">
        <v>437</v>
      </c>
      <c r="J106" s="46"/>
      <c r="K106" s="46"/>
      <c r="L106" s="46">
        <v>4</v>
      </c>
      <c r="M106" s="46">
        <v>9</v>
      </c>
      <c r="N106" s="46" t="s">
        <v>88</v>
      </c>
    </row>
    <row r="107" spans="1:14" x14ac:dyDescent="0.25">
      <c r="A107" t="s">
        <v>2678</v>
      </c>
      <c r="B107" t="s">
        <v>8181</v>
      </c>
      <c r="D107" t="s">
        <v>8183</v>
      </c>
      <c r="F107" s="44" t="s">
        <v>347</v>
      </c>
      <c r="G107" s="44" t="s">
        <v>141</v>
      </c>
      <c r="H107" s="44" t="s">
        <v>88</v>
      </c>
      <c r="I107" s="44" t="s">
        <v>438</v>
      </c>
      <c r="J107" s="44"/>
      <c r="K107" s="44"/>
      <c r="L107" s="44">
        <v>4</v>
      </c>
      <c r="M107" s="44">
        <v>9</v>
      </c>
      <c r="N107" s="44" t="s">
        <v>88</v>
      </c>
    </row>
    <row r="108" spans="1:14" x14ac:dyDescent="0.25">
      <c r="A108" t="s">
        <v>2679</v>
      </c>
      <c r="B108" t="s">
        <v>8182</v>
      </c>
      <c r="D108" t="s">
        <v>8184</v>
      </c>
      <c r="F108" s="46" t="s">
        <v>348</v>
      </c>
      <c r="G108" s="46" t="s">
        <v>90</v>
      </c>
      <c r="H108" s="46" t="s">
        <v>88</v>
      </c>
      <c r="I108" s="46" t="s">
        <v>432</v>
      </c>
      <c r="J108" s="46" t="s">
        <v>683</v>
      </c>
      <c r="K108" s="46"/>
      <c r="L108" s="46">
        <v>4</v>
      </c>
      <c r="M108" s="46">
        <v>9</v>
      </c>
      <c r="N108" s="46" t="s">
        <v>88</v>
      </c>
    </row>
    <row r="109" spans="1:14" x14ac:dyDescent="0.25">
      <c r="A109" t="s">
        <v>2680</v>
      </c>
      <c r="B109" t="s">
        <v>8183</v>
      </c>
      <c r="D109" t="s">
        <v>8185</v>
      </c>
      <c r="F109" s="45" t="s">
        <v>187</v>
      </c>
      <c r="G109" s="45"/>
      <c r="H109" s="44"/>
      <c r="I109" s="45" t="s">
        <v>357</v>
      </c>
      <c r="J109" s="45"/>
      <c r="K109" s="45"/>
      <c r="L109" s="45">
        <v>3</v>
      </c>
      <c r="M109" s="44">
        <v>5</v>
      </c>
      <c r="N109" s="44"/>
    </row>
    <row r="110" spans="1:14" x14ac:dyDescent="0.25">
      <c r="A110" t="s">
        <v>2681</v>
      </c>
      <c r="B110" t="s">
        <v>8184</v>
      </c>
      <c r="D110" t="s">
        <v>8186</v>
      </c>
      <c r="F110" s="46" t="s">
        <v>349</v>
      </c>
      <c r="G110" s="46" t="s">
        <v>141</v>
      </c>
      <c r="H110" s="46" t="s">
        <v>88</v>
      </c>
      <c r="I110" s="46" t="s">
        <v>425</v>
      </c>
      <c r="J110" s="46"/>
      <c r="K110" s="46"/>
      <c r="L110" s="46">
        <v>4</v>
      </c>
      <c r="M110" s="46">
        <v>9</v>
      </c>
      <c r="N110" s="46" t="s">
        <v>88</v>
      </c>
    </row>
    <row r="111" spans="1:14" x14ac:dyDescent="0.25">
      <c r="A111" t="s">
        <v>2682</v>
      </c>
      <c r="B111" t="s">
        <v>8185</v>
      </c>
      <c r="C111" t="s">
        <v>684</v>
      </c>
      <c r="D111" t="s">
        <v>8187</v>
      </c>
      <c r="F111" s="44" t="s">
        <v>350</v>
      </c>
      <c r="G111" s="44" t="s">
        <v>141</v>
      </c>
      <c r="H111" s="44" t="s">
        <v>88</v>
      </c>
      <c r="I111" s="44" t="s">
        <v>433</v>
      </c>
      <c r="J111" s="44"/>
      <c r="K111" s="44"/>
      <c r="L111" s="44">
        <v>4</v>
      </c>
      <c r="M111" s="44">
        <v>9</v>
      </c>
      <c r="N111" s="44" t="s">
        <v>88</v>
      </c>
    </row>
    <row r="112" spans="1:14" x14ac:dyDescent="0.25">
      <c r="A112" t="s">
        <v>2683</v>
      </c>
      <c r="B112" t="s">
        <v>8186</v>
      </c>
      <c r="C112" t="s">
        <v>685</v>
      </c>
      <c r="D112" t="s">
        <v>8188</v>
      </c>
      <c r="F112" s="46" t="s">
        <v>351</v>
      </c>
      <c r="G112" s="46" t="s">
        <v>141</v>
      </c>
      <c r="H112" s="46" t="s">
        <v>88</v>
      </c>
      <c r="I112" s="46" t="s">
        <v>434</v>
      </c>
      <c r="J112" s="46"/>
      <c r="K112" s="46"/>
      <c r="L112" s="46">
        <v>4</v>
      </c>
      <c r="M112" s="46">
        <v>9</v>
      </c>
      <c r="N112" s="46" t="s">
        <v>88</v>
      </c>
    </row>
    <row r="113" spans="1:14" x14ac:dyDescent="0.25">
      <c r="A113" t="s">
        <v>2684</v>
      </c>
      <c r="B113" t="s">
        <v>8187</v>
      </c>
      <c r="C113" t="s">
        <v>686</v>
      </c>
      <c r="D113" t="s">
        <v>8189</v>
      </c>
      <c r="F113" s="44" t="s">
        <v>352</v>
      </c>
      <c r="G113" s="44" t="s">
        <v>141</v>
      </c>
      <c r="H113" s="44" t="s">
        <v>88</v>
      </c>
      <c r="I113" s="44" t="s">
        <v>435</v>
      </c>
      <c r="J113" s="44"/>
      <c r="K113" s="44"/>
      <c r="L113" s="44">
        <v>4</v>
      </c>
      <c r="M113" s="44">
        <v>9</v>
      </c>
      <c r="N113" s="44" t="s">
        <v>88</v>
      </c>
    </row>
    <row r="114" spans="1:14" x14ac:dyDescent="0.25">
      <c r="A114" t="s">
        <v>2685</v>
      </c>
      <c r="B114" t="s">
        <v>8188</v>
      </c>
      <c r="C114" t="s">
        <v>687</v>
      </c>
      <c r="D114" t="s">
        <v>8190</v>
      </c>
      <c r="F114" s="46" t="s">
        <v>353</v>
      </c>
      <c r="G114" s="46" t="s">
        <v>90</v>
      </c>
      <c r="H114" s="46" t="s">
        <v>88</v>
      </c>
      <c r="I114" s="46" t="s">
        <v>436</v>
      </c>
      <c r="J114" s="46" t="s">
        <v>683</v>
      </c>
      <c r="K114" s="46"/>
      <c r="L114" s="46">
        <v>4</v>
      </c>
      <c r="M114" s="46">
        <v>9</v>
      </c>
      <c r="N114" s="46" t="s">
        <v>88</v>
      </c>
    </row>
    <row r="115" spans="1:14" x14ac:dyDescent="0.25">
      <c r="A115" t="s">
        <v>2686</v>
      </c>
      <c r="B115" t="s">
        <v>8189</v>
      </c>
      <c r="C115" t="s">
        <v>688</v>
      </c>
      <c r="D115" t="s">
        <v>8191</v>
      </c>
      <c r="F115" s="43" t="s">
        <v>574</v>
      </c>
      <c r="G115" s="43"/>
      <c r="H115" s="43"/>
      <c r="I115" s="43" t="s">
        <v>191</v>
      </c>
      <c r="J115" s="43"/>
      <c r="K115" s="43"/>
      <c r="L115" s="43">
        <v>1</v>
      </c>
      <c r="M115" s="43">
        <v>5</v>
      </c>
      <c r="N115" s="43"/>
    </row>
    <row r="116" spans="1:14" x14ac:dyDescent="0.25">
      <c r="A116" t="s">
        <v>2687</v>
      </c>
      <c r="B116" t="s">
        <v>8190</v>
      </c>
      <c r="C116" t="s">
        <v>689</v>
      </c>
      <c r="D116" t="s">
        <v>8192</v>
      </c>
      <c r="F116" s="44" t="s">
        <v>183</v>
      </c>
      <c r="G116" s="44" t="s">
        <v>93</v>
      </c>
      <c r="H116" s="44" t="s">
        <v>86</v>
      </c>
      <c r="I116" s="45" t="s">
        <v>65</v>
      </c>
      <c r="J116" s="45" t="s">
        <v>578</v>
      </c>
      <c r="K116" s="44"/>
      <c r="L116" s="44">
        <v>4</v>
      </c>
      <c r="M116" s="44">
        <v>9</v>
      </c>
      <c r="N116" s="44" t="s">
        <v>88</v>
      </c>
    </row>
    <row r="117" spans="1:14" x14ac:dyDescent="0.25">
      <c r="A117" t="s">
        <v>2688</v>
      </c>
      <c r="B117" t="s">
        <v>8191</v>
      </c>
      <c r="C117" t="s">
        <v>690</v>
      </c>
      <c r="D117" t="s">
        <v>8193</v>
      </c>
      <c r="F117" s="46" t="s">
        <v>184</v>
      </c>
      <c r="G117" s="46" t="s">
        <v>93</v>
      </c>
      <c r="H117" s="46" t="s">
        <v>86</v>
      </c>
      <c r="I117" s="43" t="s">
        <v>95</v>
      </c>
      <c r="J117" s="46" t="s">
        <v>587</v>
      </c>
      <c r="K117" s="46"/>
      <c r="L117" s="46">
        <v>4</v>
      </c>
      <c r="M117" s="46">
        <v>9</v>
      </c>
      <c r="N117" s="46" t="s">
        <v>88</v>
      </c>
    </row>
    <row r="118" spans="1:14" x14ac:dyDescent="0.25">
      <c r="A118" t="s">
        <v>2689</v>
      </c>
      <c r="B118" t="s">
        <v>8192</v>
      </c>
      <c r="C118" t="s">
        <v>691</v>
      </c>
      <c r="D118" t="s">
        <v>8194</v>
      </c>
      <c r="F118" s="44" t="s">
        <v>185</v>
      </c>
      <c r="G118" s="44" t="s">
        <v>93</v>
      </c>
      <c r="H118" s="44" t="s">
        <v>86</v>
      </c>
      <c r="I118" s="45" t="s">
        <v>97</v>
      </c>
      <c r="J118" s="44" t="s">
        <v>579</v>
      </c>
      <c r="K118" s="44"/>
      <c r="L118" s="44">
        <v>4</v>
      </c>
      <c r="M118" s="44">
        <v>9</v>
      </c>
      <c r="N118" s="44" t="s">
        <v>88</v>
      </c>
    </row>
    <row r="119" spans="1:14" x14ac:dyDescent="0.25">
      <c r="A119" t="s">
        <v>2690</v>
      </c>
      <c r="B119" t="s">
        <v>8193</v>
      </c>
      <c r="C119" t="s">
        <v>692</v>
      </c>
      <c r="D119" t="s">
        <v>8195</v>
      </c>
      <c r="F119" s="46" t="s">
        <v>364</v>
      </c>
      <c r="G119" s="46" t="s">
        <v>91</v>
      </c>
      <c r="H119" s="46" t="s">
        <v>86</v>
      </c>
      <c r="I119" s="46" t="s">
        <v>362</v>
      </c>
      <c r="J119" s="46" t="s">
        <v>665</v>
      </c>
      <c r="K119" s="43" t="s">
        <v>186</v>
      </c>
      <c r="L119" s="46">
        <v>4</v>
      </c>
      <c r="M119" s="46">
        <v>21</v>
      </c>
      <c r="N119" s="46" t="s">
        <v>88</v>
      </c>
    </row>
    <row r="120" spans="1:14" x14ac:dyDescent="0.25">
      <c r="A120" t="s">
        <v>2691</v>
      </c>
      <c r="B120" t="s">
        <v>8194</v>
      </c>
      <c r="C120" t="s">
        <v>693</v>
      </c>
      <c r="D120" t="s">
        <v>8196</v>
      </c>
      <c r="F120" s="44" t="s">
        <v>365</v>
      </c>
      <c r="G120" s="44" t="s">
        <v>91</v>
      </c>
      <c r="H120" s="44" t="s">
        <v>86</v>
      </c>
      <c r="I120" s="44" t="s">
        <v>363</v>
      </c>
      <c r="J120" s="44" t="s">
        <v>666</v>
      </c>
      <c r="K120" s="45" t="s">
        <v>186</v>
      </c>
      <c r="L120" s="44">
        <v>4</v>
      </c>
      <c r="M120" s="44">
        <v>21</v>
      </c>
      <c r="N120" s="44" t="s">
        <v>88</v>
      </c>
    </row>
    <row r="121" spans="1:14" x14ac:dyDescent="0.25">
      <c r="A121" t="s">
        <v>2692</v>
      </c>
      <c r="B121" t="s">
        <v>8195</v>
      </c>
      <c r="C121" t="s">
        <v>694</v>
      </c>
      <c r="D121" t="s">
        <v>8197</v>
      </c>
      <c r="F121" s="43" t="s">
        <v>187</v>
      </c>
      <c r="G121" s="43"/>
      <c r="H121" s="46"/>
      <c r="I121" s="43" t="s">
        <v>317</v>
      </c>
      <c r="J121" s="43"/>
      <c r="K121" s="43"/>
      <c r="L121" s="43">
        <v>2</v>
      </c>
      <c r="M121" s="43">
        <v>5</v>
      </c>
      <c r="N121" s="46"/>
    </row>
    <row r="122" spans="1:14" x14ac:dyDescent="0.25">
      <c r="A122" t="s">
        <v>2693</v>
      </c>
      <c r="B122" t="s">
        <v>8196</v>
      </c>
      <c r="C122" t="s">
        <v>695</v>
      </c>
      <c r="D122" t="s">
        <v>8198</v>
      </c>
      <c r="F122" s="45" t="s">
        <v>187</v>
      </c>
      <c r="G122" s="45"/>
      <c r="H122" s="44"/>
      <c r="I122" s="45" t="s">
        <v>313</v>
      </c>
      <c r="J122" s="45"/>
      <c r="K122" s="45"/>
      <c r="L122" s="45">
        <v>2</v>
      </c>
      <c r="M122" s="45">
        <v>5</v>
      </c>
      <c r="N122" s="44"/>
    </row>
    <row r="123" spans="1:14" x14ac:dyDescent="0.25">
      <c r="A123" t="s">
        <v>2694</v>
      </c>
      <c r="B123" t="s">
        <v>8197</v>
      </c>
      <c r="C123" t="s">
        <v>696</v>
      </c>
      <c r="D123" t="s">
        <v>8199</v>
      </c>
      <c r="F123" s="46" t="s">
        <v>366</v>
      </c>
      <c r="G123" s="46" t="s">
        <v>141</v>
      </c>
      <c r="H123" s="46" t="s">
        <v>88</v>
      </c>
      <c r="I123" s="46" t="s">
        <v>440</v>
      </c>
      <c r="J123" s="46"/>
      <c r="K123" s="46"/>
      <c r="L123" s="46">
        <v>4</v>
      </c>
      <c r="M123" s="46">
        <v>9</v>
      </c>
      <c r="N123" s="46" t="s">
        <v>88</v>
      </c>
    </row>
    <row r="124" spans="1:14" x14ac:dyDescent="0.25">
      <c r="A124" t="s">
        <v>2695</v>
      </c>
      <c r="B124" t="s">
        <v>8198</v>
      </c>
      <c r="C124" t="s">
        <v>697</v>
      </c>
      <c r="D124" t="s">
        <v>8200</v>
      </c>
      <c r="F124" s="44" t="s">
        <v>367</v>
      </c>
      <c r="G124" s="44" t="s">
        <v>93</v>
      </c>
      <c r="H124" s="44" t="s">
        <v>88</v>
      </c>
      <c r="I124" s="44" t="s">
        <v>441</v>
      </c>
      <c r="J124" s="44" t="s">
        <v>358</v>
      </c>
      <c r="K124" s="44"/>
      <c r="L124" s="44">
        <v>4</v>
      </c>
      <c r="M124" s="44">
        <v>9</v>
      </c>
      <c r="N124" s="44" t="s">
        <v>88</v>
      </c>
    </row>
    <row r="125" spans="1:14" x14ac:dyDescent="0.25">
      <c r="A125" t="s">
        <v>2696</v>
      </c>
      <c r="B125" t="s">
        <v>8199</v>
      </c>
      <c r="C125" t="s">
        <v>698</v>
      </c>
      <c r="D125" t="s">
        <v>8201</v>
      </c>
      <c r="F125" s="46" t="s">
        <v>368</v>
      </c>
      <c r="G125" s="46" t="s">
        <v>141</v>
      </c>
      <c r="H125" s="46" t="s">
        <v>88</v>
      </c>
      <c r="I125" s="46" t="s">
        <v>442</v>
      </c>
      <c r="J125" s="46"/>
      <c r="K125" s="46"/>
      <c r="L125" s="46">
        <v>4</v>
      </c>
      <c r="M125" s="46">
        <v>9</v>
      </c>
      <c r="N125" s="46" t="s">
        <v>88</v>
      </c>
    </row>
    <row r="126" spans="1:14" x14ac:dyDescent="0.25">
      <c r="A126" t="s">
        <v>2697</v>
      </c>
      <c r="B126" t="s">
        <v>8200</v>
      </c>
      <c r="C126" t="s">
        <v>699</v>
      </c>
      <c r="D126" t="s">
        <v>8202</v>
      </c>
      <c r="F126" s="44" t="s">
        <v>369</v>
      </c>
      <c r="G126" s="44" t="s">
        <v>93</v>
      </c>
      <c r="H126" s="44" t="s">
        <v>88</v>
      </c>
      <c r="I126" s="44" t="s">
        <v>443</v>
      </c>
      <c r="J126" s="44" t="s">
        <v>358</v>
      </c>
      <c r="K126" s="44"/>
      <c r="L126" s="44">
        <v>4</v>
      </c>
      <c r="M126" s="44">
        <v>9</v>
      </c>
      <c r="N126" s="44" t="s">
        <v>88</v>
      </c>
    </row>
    <row r="127" spans="1:14" x14ac:dyDescent="0.25">
      <c r="A127" t="s">
        <v>2698</v>
      </c>
      <c r="B127" t="s">
        <v>8201</v>
      </c>
      <c r="C127" t="s">
        <v>700</v>
      </c>
      <c r="D127" t="s">
        <v>8203</v>
      </c>
      <c r="F127" s="46" t="s">
        <v>370</v>
      </c>
      <c r="G127" s="46" t="s">
        <v>141</v>
      </c>
      <c r="H127" s="46" t="s">
        <v>88</v>
      </c>
      <c r="I127" s="46" t="s">
        <v>444</v>
      </c>
      <c r="J127" s="46"/>
      <c r="K127" s="46"/>
      <c r="L127" s="46">
        <v>4</v>
      </c>
      <c r="M127" s="46">
        <v>9</v>
      </c>
      <c r="N127" s="46" t="s">
        <v>88</v>
      </c>
    </row>
    <row r="128" spans="1:14" x14ac:dyDescent="0.25">
      <c r="A128" t="s">
        <v>2699</v>
      </c>
      <c r="B128" t="s">
        <v>8202</v>
      </c>
      <c r="C128" t="s">
        <v>701</v>
      </c>
      <c r="D128" t="s">
        <v>8204</v>
      </c>
      <c r="F128" s="44" t="s">
        <v>371</v>
      </c>
      <c r="G128" s="44" t="s">
        <v>93</v>
      </c>
      <c r="H128" s="44" t="s">
        <v>88</v>
      </c>
      <c r="I128" s="44" t="s">
        <v>445</v>
      </c>
      <c r="J128" s="44" t="s">
        <v>682</v>
      </c>
      <c r="K128" s="44"/>
      <c r="L128" s="44">
        <v>4</v>
      </c>
      <c r="M128" s="44">
        <v>9</v>
      </c>
      <c r="N128" s="44" t="s">
        <v>88</v>
      </c>
    </row>
    <row r="129" spans="1:14" x14ac:dyDescent="0.25">
      <c r="A129" t="s">
        <v>2700</v>
      </c>
      <c r="B129" t="s">
        <v>8203</v>
      </c>
      <c r="C129" t="s">
        <v>702</v>
      </c>
      <c r="D129" t="s">
        <v>8205</v>
      </c>
      <c r="F129" s="46" t="s">
        <v>372</v>
      </c>
      <c r="G129" s="46" t="s">
        <v>141</v>
      </c>
      <c r="H129" s="46" t="s">
        <v>88</v>
      </c>
      <c r="I129" s="46" t="s">
        <v>446</v>
      </c>
      <c r="J129" s="46"/>
      <c r="K129" s="46"/>
      <c r="L129" s="46">
        <v>4</v>
      </c>
      <c r="M129" s="46">
        <v>9</v>
      </c>
      <c r="N129" s="46" t="s">
        <v>88</v>
      </c>
    </row>
    <row r="130" spans="1:14" x14ac:dyDescent="0.25">
      <c r="A130" t="s">
        <v>2701</v>
      </c>
      <c r="B130" t="s">
        <v>8204</v>
      </c>
      <c r="C130" t="s">
        <v>703</v>
      </c>
      <c r="D130" t="s">
        <v>8206</v>
      </c>
      <c r="F130" s="44" t="s">
        <v>373</v>
      </c>
      <c r="G130" s="44" t="s">
        <v>90</v>
      </c>
      <c r="H130" s="44" t="s">
        <v>88</v>
      </c>
      <c r="I130" s="44" t="s">
        <v>447</v>
      </c>
      <c r="J130" s="44" t="s">
        <v>683</v>
      </c>
      <c r="K130" s="44"/>
      <c r="L130" s="44">
        <v>4</v>
      </c>
      <c r="M130" s="44">
        <v>9</v>
      </c>
      <c r="N130" s="44" t="s">
        <v>88</v>
      </c>
    </row>
    <row r="131" spans="1:14" x14ac:dyDescent="0.25">
      <c r="A131" t="s">
        <v>2702</v>
      </c>
      <c r="B131" t="s">
        <v>8205</v>
      </c>
      <c r="C131" t="s">
        <v>704</v>
      </c>
      <c r="D131" t="s">
        <v>8207</v>
      </c>
      <c r="F131" s="46" t="s">
        <v>374</v>
      </c>
      <c r="G131" s="46" t="s">
        <v>141</v>
      </c>
      <c r="H131" s="46" t="s">
        <v>88</v>
      </c>
      <c r="I131" s="46" t="s">
        <v>448</v>
      </c>
      <c r="J131" s="46"/>
      <c r="K131" s="46"/>
      <c r="L131" s="46">
        <v>4</v>
      </c>
      <c r="M131" s="46">
        <v>9</v>
      </c>
      <c r="N131" s="46" t="s">
        <v>88</v>
      </c>
    </row>
    <row r="132" spans="1:14" x14ac:dyDescent="0.25">
      <c r="A132" t="s">
        <v>2703</v>
      </c>
      <c r="B132" t="s">
        <v>8206</v>
      </c>
      <c r="C132" t="s">
        <v>705</v>
      </c>
      <c r="D132" t="s">
        <v>8208</v>
      </c>
      <c r="F132" s="44" t="s">
        <v>375</v>
      </c>
      <c r="G132" s="44" t="s">
        <v>141</v>
      </c>
      <c r="H132" s="44" t="s">
        <v>88</v>
      </c>
      <c r="I132" s="44" t="s">
        <v>449</v>
      </c>
      <c r="J132" s="44"/>
      <c r="K132" s="44"/>
      <c r="L132" s="44">
        <v>4</v>
      </c>
      <c r="M132" s="44">
        <v>9</v>
      </c>
      <c r="N132" s="44" t="s">
        <v>88</v>
      </c>
    </row>
    <row r="133" spans="1:14" x14ac:dyDescent="0.25">
      <c r="A133" t="s">
        <v>2704</v>
      </c>
      <c r="B133" t="s">
        <v>8207</v>
      </c>
      <c r="C133" t="s">
        <v>706</v>
      </c>
      <c r="D133" t="s">
        <v>8209</v>
      </c>
      <c r="F133" s="46" t="s">
        <v>376</v>
      </c>
      <c r="G133" s="46" t="s">
        <v>90</v>
      </c>
      <c r="H133" s="46" t="s">
        <v>88</v>
      </c>
      <c r="I133" s="46" t="s">
        <v>450</v>
      </c>
      <c r="J133" s="46" t="s">
        <v>359</v>
      </c>
      <c r="K133" s="46"/>
      <c r="L133" s="46">
        <v>4</v>
      </c>
      <c r="M133" s="46">
        <v>9</v>
      </c>
      <c r="N133" s="46" t="s">
        <v>88</v>
      </c>
    </row>
    <row r="134" spans="1:14" x14ac:dyDescent="0.25">
      <c r="A134" t="s">
        <v>2705</v>
      </c>
      <c r="B134" t="s">
        <v>8208</v>
      </c>
      <c r="C134" t="s">
        <v>707</v>
      </c>
      <c r="D134" t="s">
        <v>8210</v>
      </c>
      <c r="F134" s="44" t="s">
        <v>377</v>
      </c>
      <c r="G134" s="44" t="s">
        <v>141</v>
      </c>
      <c r="H134" s="44" t="s">
        <v>88</v>
      </c>
      <c r="I134" s="44" t="s">
        <v>451</v>
      </c>
      <c r="J134" s="44"/>
      <c r="K134" s="44"/>
      <c r="L134" s="44">
        <v>4</v>
      </c>
      <c r="M134" s="44">
        <v>9</v>
      </c>
      <c r="N134" s="44" t="s">
        <v>88</v>
      </c>
    </row>
    <row r="135" spans="1:14" x14ac:dyDescent="0.25">
      <c r="A135" t="s">
        <v>2706</v>
      </c>
      <c r="B135" t="s">
        <v>8209</v>
      </c>
      <c r="C135" t="s">
        <v>708</v>
      </c>
      <c r="D135" t="s">
        <v>8211</v>
      </c>
      <c r="F135" s="46" t="s">
        <v>378</v>
      </c>
      <c r="G135" s="46" t="s">
        <v>93</v>
      </c>
      <c r="H135" s="46" t="s">
        <v>88</v>
      </c>
      <c r="I135" s="46" t="s">
        <v>452</v>
      </c>
      <c r="J135" s="46" t="s">
        <v>360</v>
      </c>
      <c r="K135" s="46"/>
      <c r="L135" s="46">
        <v>4</v>
      </c>
      <c r="M135" s="46">
        <v>9</v>
      </c>
      <c r="N135" s="46" t="s">
        <v>88</v>
      </c>
    </row>
    <row r="136" spans="1:14" x14ac:dyDescent="0.25">
      <c r="A136" t="s">
        <v>2707</v>
      </c>
      <c r="B136" t="s">
        <v>8210</v>
      </c>
      <c r="C136" t="s">
        <v>709</v>
      </c>
      <c r="D136" t="s">
        <v>8212</v>
      </c>
      <c r="F136" s="44" t="s">
        <v>379</v>
      </c>
      <c r="G136" s="44" t="s">
        <v>141</v>
      </c>
      <c r="H136" s="44" t="s">
        <v>88</v>
      </c>
      <c r="I136" s="44" t="s">
        <v>453</v>
      </c>
      <c r="J136" s="44"/>
      <c r="K136" s="44"/>
      <c r="L136" s="44">
        <v>4</v>
      </c>
      <c r="M136" s="44">
        <v>9</v>
      </c>
      <c r="N136" s="44" t="s">
        <v>88</v>
      </c>
    </row>
    <row r="137" spans="1:14" x14ac:dyDescent="0.25">
      <c r="A137" t="s">
        <v>2708</v>
      </c>
      <c r="B137" t="s">
        <v>8211</v>
      </c>
      <c r="C137" t="s">
        <v>710</v>
      </c>
      <c r="D137" t="s">
        <v>8213</v>
      </c>
      <c r="F137" s="46" t="s">
        <v>380</v>
      </c>
      <c r="G137" s="46" t="s">
        <v>141</v>
      </c>
      <c r="H137" s="46" t="s">
        <v>88</v>
      </c>
      <c r="I137" s="46" t="s">
        <v>454</v>
      </c>
      <c r="J137" s="46"/>
      <c r="K137" s="46"/>
      <c r="L137" s="46">
        <v>4</v>
      </c>
      <c r="M137" s="46">
        <v>9</v>
      </c>
      <c r="N137" s="46" t="s">
        <v>88</v>
      </c>
    </row>
    <row r="138" spans="1:14" x14ac:dyDescent="0.25">
      <c r="A138" t="s">
        <v>2709</v>
      </c>
      <c r="B138" t="s">
        <v>8212</v>
      </c>
      <c r="C138" t="s">
        <v>711</v>
      </c>
      <c r="D138" t="s">
        <v>8214</v>
      </c>
      <c r="F138" s="44" t="s">
        <v>381</v>
      </c>
      <c r="G138" s="44" t="s">
        <v>93</v>
      </c>
      <c r="H138" s="44" t="s">
        <v>88</v>
      </c>
      <c r="I138" s="44" t="s">
        <v>455</v>
      </c>
      <c r="J138" s="44" t="s">
        <v>580</v>
      </c>
      <c r="K138" s="44"/>
      <c r="L138" s="44">
        <v>4</v>
      </c>
      <c r="M138" s="44">
        <v>9</v>
      </c>
      <c r="N138" s="44" t="s">
        <v>88</v>
      </c>
    </row>
    <row r="139" spans="1:14" x14ac:dyDescent="0.25">
      <c r="A139" t="s">
        <v>2710</v>
      </c>
      <c r="B139" t="s">
        <v>8213</v>
      </c>
      <c r="C139" t="s">
        <v>712</v>
      </c>
      <c r="D139" t="s">
        <v>8215</v>
      </c>
      <c r="F139" s="46" t="s">
        <v>382</v>
      </c>
      <c r="G139" s="46" t="s">
        <v>93</v>
      </c>
      <c r="H139" s="46" t="s">
        <v>88</v>
      </c>
      <c r="I139" s="46" t="s">
        <v>456</v>
      </c>
      <c r="J139" s="46" t="s">
        <v>581</v>
      </c>
      <c r="K139" s="46"/>
      <c r="L139" s="46">
        <v>4</v>
      </c>
      <c r="M139" s="46">
        <v>9</v>
      </c>
      <c r="N139" s="46" t="s">
        <v>88</v>
      </c>
    </row>
    <row r="140" spans="1:14" x14ac:dyDescent="0.25">
      <c r="A140" t="s">
        <v>2711</v>
      </c>
      <c r="B140" t="s">
        <v>8214</v>
      </c>
      <c r="C140" t="s">
        <v>713</v>
      </c>
      <c r="D140" t="s">
        <v>8216</v>
      </c>
      <c r="F140" s="44" t="s">
        <v>383</v>
      </c>
      <c r="G140" s="44" t="s">
        <v>93</v>
      </c>
      <c r="H140" s="44" t="s">
        <v>88</v>
      </c>
      <c r="I140" s="44" t="s">
        <v>457</v>
      </c>
      <c r="J140" s="44" t="s">
        <v>582</v>
      </c>
      <c r="K140" s="44"/>
      <c r="L140" s="44">
        <v>4</v>
      </c>
      <c r="M140" s="44">
        <v>9</v>
      </c>
      <c r="N140" s="44" t="s">
        <v>88</v>
      </c>
    </row>
    <row r="141" spans="1:14" x14ac:dyDescent="0.25">
      <c r="A141" t="s">
        <v>2712</v>
      </c>
      <c r="B141" t="s">
        <v>8215</v>
      </c>
      <c r="C141" t="s">
        <v>714</v>
      </c>
      <c r="D141" t="s">
        <v>8217</v>
      </c>
      <c r="F141" s="46" t="s">
        <v>384</v>
      </c>
      <c r="G141" s="46" t="s">
        <v>93</v>
      </c>
      <c r="H141" s="46" t="s">
        <v>88</v>
      </c>
      <c r="I141" s="46" t="s">
        <v>458</v>
      </c>
      <c r="J141" s="46" t="s">
        <v>583</v>
      </c>
      <c r="K141" s="46"/>
      <c r="L141" s="46">
        <v>4</v>
      </c>
      <c r="M141" s="46">
        <v>9</v>
      </c>
      <c r="N141" s="46" t="s">
        <v>88</v>
      </c>
    </row>
    <row r="142" spans="1:14" x14ac:dyDescent="0.25">
      <c r="A142" t="s">
        <v>2713</v>
      </c>
      <c r="B142" t="s">
        <v>8216</v>
      </c>
      <c r="C142" t="s">
        <v>715</v>
      </c>
      <c r="D142" t="s">
        <v>8218</v>
      </c>
      <c r="F142" s="44" t="s">
        <v>385</v>
      </c>
      <c r="G142" s="44" t="s">
        <v>93</v>
      </c>
      <c r="H142" s="44" t="s">
        <v>88</v>
      </c>
      <c r="I142" s="44" t="s">
        <v>459</v>
      </c>
      <c r="J142" s="44" t="s">
        <v>584</v>
      </c>
      <c r="K142" s="44"/>
      <c r="L142" s="44">
        <v>4</v>
      </c>
      <c r="M142" s="44">
        <v>9</v>
      </c>
      <c r="N142" s="44" t="s">
        <v>88</v>
      </c>
    </row>
    <row r="143" spans="1:14" x14ac:dyDescent="0.25">
      <c r="A143" t="s">
        <v>2714</v>
      </c>
      <c r="B143" t="s">
        <v>8217</v>
      </c>
      <c r="C143" t="s">
        <v>716</v>
      </c>
      <c r="D143" t="s">
        <v>8219</v>
      </c>
      <c r="F143" s="43" t="s">
        <v>574</v>
      </c>
      <c r="G143" s="43"/>
      <c r="H143" s="46"/>
      <c r="I143" s="43" t="s">
        <v>314</v>
      </c>
      <c r="J143" s="43"/>
      <c r="K143" s="43"/>
      <c r="L143" s="43">
        <v>2</v>
      </c>
      <c r="M143" s="46">
        <v>5</v>
      </c>
      <c r="N143" s="46"/>
    </row>
    <row r="144" spans="1:14" x14ac:dyDescent="0.25">
      <c r="A144" t="s">
        <v>2715</v>
      </c>
      <c r="B144" t="s">
        <v>8218</v>
      </c>
      <c r="C144" t="s">
        <v>717</v>
      </c>
      <c r="D144" t="s">
        <v>8220</v>
      </c>
      <c r="F144" s="44" t="s">
        <v>386</v>
      </c>
      <c r="G144" s="44" t="s">
        <v>91</v>
      </c>
      <c r="H144" s="44" t="s">
        <v>88</v>
      </c>
      <c r="I144" s="45" t="s">
        <v>140</v>
      </c>
      <c r="J144" s="44" t="s">
        <v>667</v>
      </c>
      <c r="K144" s="45" t="s">
        <v>186</v>
      </c>
      <c r="L144" s="44">
        <v>4</v>
      </c>
      <c r="M144" s="44">
        <v>21</v>
      </c>
      <c r="N144" s="44" t="s">
        <v>88</v>
      </c>
    </row>
    <row r="145" spans="1:14" x14ac:dyDescent="0.25">
      <c r="A145" t="s">
        <v>2716</v>
      </c>
      <c r="B145" t="s">
        <v>8219</v>
      </c>
      <c r="C145" t="s">
        <v>718</v>
      </c>
      <c r="D145" t="s">
        <v>8221</v>
      </c>
      <c r="F145" s="46" t="s">
        <v>387</v>
      </c>
      <c r="G145" s="46" t="s">
        <v>141</v>
      </c>
      <c r="H145" s="46" t="s">
        <v>88</v>
      </c>
      <c r="I145" s="43" t="s">
        <v>172</v>
      </c>
      <c r="J145" s="46"/>
      <c r="K145" s="46"/>
      <c r="L145" s="46">
        <v>4</v>
      </c>
      <c r="M145" s="46">
        <v>10</v>
      </c>
      <c r="N145" s="46" t="s">
        <v>88</v>
      </c>
    </row>
    <row r="146" spans="1:14" x14ac:dyDescent="0.25">
      <c r="A146" t="s">
        <v>2717</v>
      </c>
      <c r="B146" t="s">
        <v>8220</v>
      </c>
      <c r="C146" t="s">
        <v>719</v>
      </c>
      <c r="D146" t="s">
        <v>8222</v>
      </c>
      <c r="F146" s="45" t="s">
        <v>187</v>
      </c>
      <c r="G146" s="45"/>
      <c r="H146" s="44"/>
      <c r="I146" s="45" t="s">
        <v>315</v>
      </c>
      <c r="J146" s="45"/>
      <c r="K146" s="45"/>
      <c r="L146" s="45">
        <v>3</v>
      </c>
      <c r="M146" s="44">
        <v>5</v>
      </c>
      <c r="N146" s="44"/>
    </row>
    <row r="147" spans="1:14" x14ac:dyDescent="0.25">
      <c r="A147" t="s">
        <v>2718</v>
      </c>
      <c r="B147" t="s">
        <v>8221</v>
      </c>
      <c r="C147" t="s">
        <v>720</v>
      </c>
      <c r="D147" t="s">
        <v>8223</v>
      </c>
      <c r="F147" s="46" t="s">
        <v>388</v>
      </c>
      <c r="G147" s="46" t="s">
        <v>141</v>
      </c>
      <c r="H147" s="46" t="s">
        <v>88</v>
      </c>
      <c r="I147" s="46" t="s">
        <v>397</v>
      </c>
      <c r="J147" s="46"/>
      <c r="K147" s="46"/>
      <c r="L147" s="46">
        <v>4</v>
      </c>
      <c r="M147" s="46">
        <v>9</v>
      </c>
      <c r="N147" s="46" t="s">
        <v>88</v>
      </c>
    </row>
    <row r="148" spans="1:14" x14ac:dyDescent="0.25">
      <c r="A148" t="s">
        <v>2719</v>
      </c>
      <c r="B148" t="s">
        <v>8222</v>
      </c>
      <c r="C148" t="s">
        <v>721</v>
      </c>
      <c r="D148" t="s">
        <v>8224</v>
      </c>
      <c r="F148" s="44" t="s">
        <v>389</v>
      </c>
      <c r="G148" s="44" t="s">
        <v>141</v>
      </c>
      <c r="H148" s="44" t="s">
        <v>88</v>
      </c>
      <c r="I148" s="44" t="s">
        <v>398</v>
      </c>
      <c r="J148" s="44"/>
      <c r="K148" s="44"/>
      <c r="L148" s="44">
        <v>4</v>
      </c>
      <c r="M148" s="44">
        <v>9</v>
      </c>
      <c r="N148" s="44" t="s">
        <v>88</v>
      </c>
    </row>
    <row r="149" spans="1:14" x14ac:dyDescent="0.25">
      <c r="A149" t="s">
        <v>2720</v>
      </c>
      <c r="B149" t="s">
        <v>8223</v>
      </c>
      <c r="C149" t="s">
        <v>722</v>
      </c>
      <c r="D149" t="s">
        <v>8225</v>
      </c>
      <c r="F149" s="46" t="s">
        <v>390</v>
      </c>
      <c r="G149" s="46" t="s">
        <v>141</v>
      </c>
      <c r="H149" s="46" t="s">
        <v>88</v>
      </c>
      <c r="I149" s="46" t="s">
        <v>399</v>
      </c>
      <c r="J149" s="46"/>
      <c r="K149" s="46"/>
      <c r="L149" s="46">
        <v>4</v>
      </c>
      <c r="M149" s="46">
        <v>9</v>
      </c>
      <c r="N149" s="46" t="s">
        <v>88</v>
      </c>
    </row>
    <row r="150" spans="1:14" x14ac:dyDescent="0.25">
      <c r="A150" t="s">
        <v>2721</v>
      </c>
      <c r="B150" t="s">
        <v>8224</v>
      </c>
      <c r="C150" t="s">
        <v>723</v>
      </c>
      <c r="D150" t="s">
        <v>8226</v>
      </c>
      <c r="F150" s="44" t="s">
        <v>391</v>
      </c>
      <c r="G150" s="44" t="s">
        <v>90</v>
      </c>
      <c r="H150" s="44" t="s">
        <v>88</v>
      </c>
      <c r="I150" s="44" t="s">
        <v>400</v>
      </c>
      <c r="J150" s="44" t="s">
        <v>683</v>
      </c>
      <c r="K150" s="44"/>
      <c r="L150" s="44">
        <v>4</v>
      </c>
      <c r="M150" s="44">
        <v>9</v>
      </c>
      <c r="N150" s="44" t="s">
        <v>88</v>
      </c>
    </row>
    <row r="151" spans="1:14" x14ac:dyDescent="0.25">
      <c r="A151" t="s">
        <v>2722</v>
      </c>
      <c r="B151" t="s">
        <v>8225</v>
      </c>
      <c r="C151" t="s">
        <v>724</v>
      </c>
      <c r="D151" t="s">
        <v>8227</v>
      </c>
      <c r="F151" s="43" t="s">
        <v>187</v>
      </c>
      <c r="G151" s="43"/>
      <c r="H151" s="46"/>
      <c r="I151" s="43" t="s">
        <v>316</v>
      </c>
      <c r="J151" s="43"/>
      <c r="K151" s="43"/>
      <c r="L151" s="43">
        <v>3</v>
      </c>
      <c r="M151" s="46">
        <v>5</v>
      </c>
      <c r="N151" s="46"/>
    </row>
    <row r="152" spans="1:14" x14ac:dyDescent="0.25">
      <c r="A152" t="s">
        <v>2723</v>
      </c>
      <c r="B152" t="s">
        <v>8226</v>
      </c>
      <c r="C152" t="s">
        <v>725</v>
      </c>
      <c r="D152" t="s">
        <v>8228</v>
      </c>
      <c r="F152" s="44" t="s">
        <v>392</v>
      </c>
      <c r="G152" s="44" t="s">
        <v>141</v>
      </c>
      <c r="H152" s="44" t="s">
        <v>88</v>
      </c>
      <c r="I152" s="44" t="s">
        <v>401</v>
      </c>
      <c r="J152" s="44"/>
      <c r="K152" s="44"/>
      <c r="L152" s="44">
        <v>4</v>
      </c>
      <c r="M152" s="44">
        <v>9</v>
      </c>
      <c r="N152" s="44" t="s">
        <v>88</v>
      </c>
    </row>
    <row r="153" spans="1:14" x14ac:dyDescent="0.25">
      <c r="A153" t="s">
        <v>2724</v>
      </c>
      <c r="B153" t="s">
        <v>8227</v>
      </c>
      <c r="C153" t="s">
        <v>726</v>
      </c>
      <c r="D153" t="s">
        <v>8229</v>
      </c>
      <c r="F153" s="46" t="s">
        <v>393</v>
      </c>
      <c r="G153" s="46" t="s">
        <v>141</v>
      </c>
      <c r="H153" s="46" t="s">
        <v>88</v>
      </c>
      <c r="I153" s="46" t="s">
        <v>402</v>
      </c>
      <c r="J153" s="46"/>
      <c r="K153" s="46"/>
      <c r="L153" s="46">
        <v>4</v>
      </c>
      <c r="M153" s="46">
        <v>9</v>
      </c>
      <c r="N153" s="46" t="s">
        <v>88</v>
      </c>
    </row>
    <row r="154" spans="1:14" x14ac:dyDescent="0.25">
      <c r="A154" t="s">
        <v>2725</v>
      </c>
      <c r="B154" t="s">
        <v>8228</v>
      </c>
      <c r="C154" t="s">
        <v>727</v>
      </c>
      <c r="D154" t="s">
        <v>8230</v>
      </c>
      <c r="F154" s="44" t="s">
        <v>394</v>
      </c>
      <c r="G154" s="44" t="s">
        <v>141</v>
      </c>
      <c r="H154" s="44" t="s">
        <v>88</v>
      </c>
      <c r="I154" s="44" t="s">
        <v>403</v>
      </c>
      <c r="J154" s="44"/>
      <c r="K154" s="44"/>
      <c r="L154" s="44">
        <v>4</v>
      </c>
      <c r="M154" s="44">
        <v>9</v>
      </c>
      <c r="N154" s="44" t="s">
        <v>88</v>
      </c>
    </row>
    <row r="155" spans="1:14" x14ac:dyDescent="0.25">
      <c r="A155" t="s">
        <v>2726</v>
      </c>
      <c r="B155" t="s">
        <v>8229</v>
      </c>
      <c r="C155" t="s">
        <v>728</v>
      </c>
      <c r="D155" t="s">
        <v>8231</v>
      </c>
      <c r="F155" s="46" t="s">
        <v>395</v>
      </c>
      <c r="G155" s="46" t="s">
        <v>90</v>
      </c>
      <c r="H155" s="46" t="s">
        <v>88</v>
      </c>
      <c r="I155" s="46" t="s">
        <v>404</v>
      </c>
      <c r="J155" s="46" t="s">
        <v>683</v>
      </c>
      <c r="K155" s="46"/>
      <c r="L155" s="46">
        <v>4</v>
      </c>
      <c r="M155" s="46">
        <v>9</v>
      </c>
      <c r="N155" s="46" t="s">
        <v>88</v>
      </c>
    </row>
    <row r="156" spans="1:14" x14ac:dyDescent="0.25">
      <c r="A156" t="s">
        <v>2727</v>
      </c>
      <c r="B156" t="s">
        <v>8230</v>
      </c>
      <c r="C156" t="s">
        <v>729</v>
      </c>
      <c r="D156" t="s">
        <v>8232</v>
      </c>
    </row>
    <row r="157" spans="1:14" x14ac:dyDescent="0.25">
      <c r="A157" t="s">
        <v>2728</v>
      </c>
      <c r="B157" t="s">
        <v>8231</v>
      </c>
      <c r="C157" t="s">
        <v>730</v>
      </c>
      <c r="D157" t="s">
        <v>8233</v>
      </c>
    </row>
    <row r="158" spans="1:14" x14ac:dyDescent="0.25">
      <c r="A158" t="s">
        <v>2729</v>
      </c>
      <c r="B158" t="s">
        <v>8232</v>
      </c>
      <c r="C158" t="s">
        <v>731</v>
      </c>
      <c r="D158" t="s">
        <v>8234</v>
      </c>
      <c r="E158">
        <v>9744</v>
      </c>
      <c r="F158" s="49" t="str">
        <f>_xlfn.UNICHAR(E158)</f>
        <v>☐</v>
      </c>
      <c r="G158" s="50" t="s">
        <v>18086</v>
      </c>
    </row>
    <row r="159" spans="1:14" x14ac:dyDescent="0.25">
      <c r="A159" t="s">
        <v>2730</v>
      </c>
      <c r="B159" t="s">
        <v>8233</v>
      </c>
      <c r="C159" t="s">
        <v>732</v>
      </c>
      <c r="D159" t="s">
        <v>8235</v>
      </c>
      <c r="E159">
        <v>8199</v>
      </c>
      <c r="F159" t="str">
        <f>_xlfn.UNICHAR(E159)</f>
        <v> </v>
      </c>
    </row>
    <row r="160" spans="1:14" x14ac:dyDescent="0.25">
      <c r="A160" t="s">
        <v>2731</v>
      </c>
      <c r="B160" t="s">
        <v>8234</v>
      </c>
      <c r="C160" t="s">
        <v>733</v>
      </c>
      <c r="D160" t="s">
        <v>8236</v>
      </c>
      <c r="E160">
        <v>10003</v>
      </c>
      <c r="F160" t="str">
        <f>_xlfn.UNICHAR(E160)</f>
        <v>✓</v>
      </c>
    </row>
    <row r="161" spans="1:6" x14ac:dyDescent="0.25">
      <c r="A161" t="s">
        <v>2732</v>
      </c>
      <c r="B161" t="s">
        <v>8235</v>
      </c>
      <c r="C161" t="s">
        <v>734</v>
      </c>
      <c r="D161" t="s">
        <v>8237</v>
      </c>
      <c r="F161" t="s">
        <v>18087</v>
      </c>
    </row>
    <row r="162" spans="1:6" x14ac:dyDescent="0.25">
      <c r="A162" t="s">
        <v>2733</v>
      </c>
      <c r="B162" t="s">
        <v>8236</v>
      </c>
      <c r="C162" t="s">
        <v>735</v>
      </c>
      <c r="D162" t="s">
        <v>8238</v>
      </c>
      <c r="E162">
        <v>10240</v>
      </c>
      <c r="F162" t="str">
        <f>_xlfn.UNICHAR(E162)</f>
        <v>⠀</v>
      </c>
    </row>
    <row r="163" spans="1:6" x14ac:dyDescent="0.25">
      <c r="A163" t="s">
        <v>2734</v>
      </c>
      <c r="B163" t="s">
        <v>8237</v>
      </c>
      <c r="C163" t="s">
        <v>736</v>
      </c>
      <c r="D163" t="s">
        <v>8239</v>
      </c>
    </row>
    <row r="164" spans="1:6" x14ac:dyDescent="0.25">
      <c r="A164" t="s">
        <v>2735</v>
      </c>
      <c r="B164" t="s">
        <v>8238</v>
      </c>
      <c r="C164" t="s">
        <v>737</v>
      </c>
      <c r="D164" t="s">
        <v>8240</v>
      </c>
    </row>
    <row r="165" spans="1:6" x14ac:dyDescent="0.25">
      <c r="A165" t="s">
        <v>2736</v>
      </c>
      <c r="B165" t="s">
        <v>8239</v>
      </c>
      <c r="C165" t="s">
        <v>738</v>
      </c>
      <c r="D165" t="s">
        <v>8241</v>
      </c>
    </row>
    <row r="166" spans="1:6" x14ac:dyDescent="0.25">
      <c r="A166" t="s">
        <v>2737</v>
      </c>
      <c r="B166" t="s">
        <v>8240</v>
      </c>
      <c r="C166" t="s">
        <v>739</v>
      </c>
      <c r="D166" t="s">
        <v>8242</v>
      </c>
    </row>
    <row r="167" spans="1:6" x14ac:dyDescent="0.25">
      <c r="A167" t="s">
        <v>2738</v>
      </c>
      <c r="B167" t="s">
        <v>8241</v>
      </c>
      <c r="C167" t="s">
        <v>740</v>
      </c>
      <c r="D167" t="s">
        <v>8243</v>
      </c>
    </row>
    <row r="168" spans="1:6" x14ac:dyDescent="0.25">
      <c r="A168" t="s">
        <v>2739</v>
      </c>
      <c r="B168" t="s">
        <v>8242</v>
      </c>
      <c r="C168" t="s">
        <v>741</v>
      </c>
      <c r="D168" t="s">
        <v>8244</v>
      </c>
    </row>
    <row r="169" spans="1:6" x14ac:dyDescent="0.25">
      <c r="A169" t="s">
        <v>2740</v>
      </c>
      <c r="B169" t="s">
        <v>8243</v>
      </c>
      <c r="C169" t="s">
        <v>742</v>
      </c>
      <c r="D169" t="s">
        <v>8245</v>
      </c>
    </row>
    <row r="170" spans="1:6" x14ac:dyDescent="0.25">
      <c r="A170" t="s">
        <v>2741</v>
      </c>
      <c r="B170" t="s">
        <v>8244</v>
      </c>
      <c r="C170" t="s">
        <v>743</v>
      </c>
      <c r="D170" t="s">
        <v>8246</v>
      </c>
    </row>
    <row r="171" spans="1:6" x14ac:dyDescent="0.25">
      <c r="A171" t="s">
        <v>2742</v>
      </c>
      <c r="B171" t="s">
        <v>8245</v>
      </c>
      <c r="C171" t="s">
        <v>744</v>
      </c>
      <c r="D171" t="s">
        <v>8247</v>
      </c>
    </row>
    <row r="172" spans="1:6" x14ac:dyDescent="0.25">
      <c r="A172" t="s">
        <v>2743</v>
      </c>
      <c r="B172" t="s">
        <v>8246</v>
      </c>
      <c r="C172" t="s">
        <v>745</v>
      </c>
      <c r="D172" t="s">
        <v>8248</v>
      </c>
    </row>
    <row r="173" spans="1:6" x14ac:dyDescent="0.25">
      <c r="A173" t="s">
        <v>2744</v>
      </c>
      <c r="B173" t="s">
        <v>8247</v>
      </c>
      <c r="C173" t="s">
        <v>746</v>
      </c>
      <c r="D173" t="s">
        <v>8249</v>
      </c>
    </row>
    <row r="174" spans="1:6" x14ac:dyDescent="0.25">
      <c r="A174" t="s">
        <v>2745</v>
      </c>
      <c r="B174" t="s">
        <v>8248</v>
      </c>
      <c r="C174" t="s">
        <v>747</v>
      </c>
      <c r="D174" t="s">
        <v>8250</v>
      </c>
    </row>
    <row r="175" spans="1:6" x14ac:dyDescent="0.25">
      <c r="A175" t="s">
        <v>2746</v>
      </c>
      <c r="B175" t="s">
        <v>8249</v>
      </c>
      <c r="C175" t="s">
        <v>748</v>
      </c>
      <c r="D175" t="s">
        <v>8251</v>
      </c>
    </row>
    <row r="176" spans="1:6" x14ac:dyDescent="0.25">
      <c r="A176" t="s">
        <v>2747</v>
      </c>
      <c r="B176" t="s">
        <v>8250</v>
      </c>
      <c r="C176" t="s">
        <v>749</v>
      </c>
      <c r="D176" t="s">
        <v>8252</v>
      </c>
    </row>
    <row r="177" spans="1:4" x14ac:dyDescent="0.25">
      <c r="A177" t="s">
        <v>2748</v>
      </c>
      <c r="B177" t="s">
        <v>8251</v>
      </c>
      <c r="C177" t="s">
        <v>750</v>
      </c>
      <c r="D177" t="s">
        <v>8253</v>
      </c>
    </row>
    <row r="178" spans="1:4" x14ac:dyDescent="0.25">
      <c r="A178" t="s">
        <v>2749</v>
      </c>
      <c r="B178" t="s">
        <v>8252</v>
      </c>
      <c r="C178" t="s">
        <v>751</v>
      </c>
      <c r="D178" t="s">
        <v>8254</v>
      </c>
    </row>
    <row r="179" spans="1:4" x14ac:dyDescent="0.25">
      <c r="A179" t="s">
        <v>2750</v>
      </c>
      <c r="B179" t="s">
        <v>8253</v>
      </c>
      <c r="C179" t="s">
        <v>752</v>
      </c>
      <c r="D179" t="s">
        <v>8255</v>
      </c>
    </row>
    <row r="180" spans="1:4" x14ac:dyDescent="0.25">
      <c r="A180" t="s">
        <v>2751</v>
      </c>
      <c r="B180" t="s">
        <v>8254</v>
      </c>
      <c r="C180" t="s">
        <v>753</v>
      </c>
      <c r="D180" t="s">
        <v>8256</v>
      </c>
    </row>
    <row r="181" spans="1:4" x14ac:dyDescent="0.25">
      <c r="A181" t="s">
        <v>2752</v>
      </c>
      <c r="B181" t="s">
        <v>8255</v>
      </c>
      <c r="C181" t="s">
        <v>754</v>
      </c>
      <c r="D181" t="s">
        <v>8257</v>
      </c>
    </row>
    <row r="182" spans="1:4" x14ac:dyDescent="0.25">
      <c r="A182" t="s">
        <v>2753</v>
      </c>
      <c r="B182" t="s">
        <v>8256</v>
      </c>
      <c r="C182" t="s">
        <v>755</v>
      </c>
      <c r="D182" t="s">
        <v>8258</v>
      </c>
    </row>
    <row r="183" spans="1:4" x14ac:dyDescent="0.25">
      <c r="A183" t="s">
        <v>2754</v>
      </c>
      <c r="B183" t="s">
        <v>8257</v>
      </c>
      <c r="C183" t="s">
        <v>756</v>
      </c>
      <c r="D183" t="s">
        <v>8259</v>
      </c>
    </row>
    <row r="184" spans="1:4" x14ac:dyDescent="0.25">
      <c r="A184" t="s">
        <v>2755</v>
      </c>
      <c r="B184" t="s">
        <v>8258</v>
      </c>
      <c r="C184" t="s">
        <v>757</v>
      </c>
      <c r="D184" t="s">
        <v>8260</v>
      </c>
    </row>
    <row r="185" spans="1:4" x14ac:dyDescent="0.25">
      <c r="A185" t="s">
        <v>2756</v>
      </c>
      <c r="B185" t="s">
        <v>8259</v>
      </c>
      <c r="C185" t="s">
        <v>758</v>
      </c>
      <c r="D185" t="s">
        <v>8261</v>
      </c>
    </row>
    <row r="186" spans="1:4" x14ac:dyDescent="0.25">
      <c r="A186" t="s">
        <v>2757</v>
      </c>
      <c r="B186" t="s">
        <v>8260</v>
      </c>
      <c r="C186" t="s">
        <v>759</v>
      </c>
      <c r="D186" t="s">
        <v>8262</v>
      </c>
    </row>
    <row r="187" spans="1:4" x14ac:dyDescent="0.25">
      <c r="A187" t="s">
        <v>2758</v>
      </c>
      <c r="B187" t="s">
        <v>8261</v>
      </c>
      <c r="C187" t="s">
        <v>760</v>
      </c>
      <c r="D187" t="s">
        <v>8263</v>
      </c>
    </row>
    <row r="188" spans="1:4" x14ac:dyDescent="0.25">
      <c r="A188" t="s">
        <v>2759</v>
      </c>
      <c r="B188" t="s">
        <v>8262</v>
      </c>
      <c r="C188" t="s">
        <v>761</v>
      </c>
      <c r="D188" t="s">
        <v>8264</v>
      </c>
    </row>
    <row r="189" spans="1:4" x14ac:dyDescent="0.25">
      <c r="A189" t="s">
        <v>2760</v>
      </c>
      <c r="B189" t="s">
        <v>8263</v>
      </c>
      <c r="C189" t="s">
        <v>762</v>
      </c>
      <c r="D189" t="s">
        <v>8265</v>
      </c>
    </row>
    <row r="190" spans="1:4" x14ac:dyDescent="0.25">
      <c r="A190" t="s">
        <v>2761</v>
      </c>
      <c r="B190" t="s">
        <v>8264</v>
      </c>
      <c r="C190" t="s">
        <v>763</v>
      </c>
      <c r="D190" t="s">
        <v>8266</v>
      </c>
    </row>
    <row r="191" spans="1:4" x14ac:dyDescent="0.25">
      <c r="A191" t="s">
        <v>2762</v>
      </c>
      <c r="B191" t="s">
        <v>8265</v>
      </c>
      <c r="C191" t="s">
        <v>764</v>
      </c>
      <c r="D191" t="s">
        <v>8267</v>
      </c>
    </row>
    <row r="192" spans="1:4" x14ac:dyDescent="0.25">
      <c r="A192" t="s">
        <v>2763</v>
      </c>
      <c r="B192" t="s">
        <v>8266</v>
      </c>
      <c r="C192" t="s">
        <v>765</v>
      </c>
      <c r="D192" t="s">
        <v>8268</v>
      </c>
    </row>
    <row r="193" spans="1:4" x14ac:dyDescent="0.25">
      <c r="A193" t="s">
        <v>2764</v>
      </c>
      <c r="B193" t="s">
        <v>8267</v>
      </c>
      <c r="C193" t="s">
        <v>766</v>
      </c>
      <c r="D193" t="s">
        <v>8269</v>
      </c>
    </row>
    <row r="194" spans="1:4" x14ac:dyDescent="0.25">
      <c r="A194" t="s">
        <v>2765</v>
      </c>
      <c r="B194" t="s">
        <v>8268</v>
      </c>
      <c r="C194" t="s">
        <v>767</v>
      </c>
      <c r="D194" t="s">
        <v>8270</v>
      </c>
    </row>
    <row r="195" spans="1:4" x14ac:dyDescent="0.25">
      <c r="A195" t="s">
        <v>2766</v>
      </c>
      <c r="B195" t="s">
        <v>8269</v>
      </c>
      <c r="C195" t="s">
        <v>768</v>
      </c>
      <c r="D195" t="s">
        <v>8271</v>
      </c>
    </row>
    <row r="196" spans="1:4" x14ac:dyDescent="0.25">
      <c r="A196" t="s">
        <v>2767</v>
      </c>
      <c r="B196" t="s">
        <v>8270</v>
      </c>
      <c r="C196" t="s">
        <v>769</v>
      </c>
      <c r="D196" t="s">
        <v>8272</v>
      </c>
    </row>
    <row r="197" spans="1:4" x14ac:dyDescent="0.25">
      <c r="A197" t="s">
        <v>2768</v>
      </c>
      <c r="B197" t="s">
        <v>8271</v>
      </c>
      <c r="C197" t="s">
        <v>770</v>
      </c>
      <c r="D197" t="s">
        <v>8273</v>
      </c>
    </row>
    <row r="198" spans="1:4" x14ac:dyDescent="0.25">
      <c r="A198" t="s">
        <v>2769</v>
      </c>
      <c r="B198" t="s">
        <v>8272</v>
      </c>
      <c r="C198" t="s">
        <v>771</v>
      </c>
      <c r="D198" t="s">
        <v>8274</v>
      </c>
    </row>
    <row r="199" spans="1:4" x14ac:dyDescent="0.25">
      <c r="A199" t="s">
        <v>2770</v>
      </c>
      <c r="B199" t="s">
        <v>8273</v>
      </c>
      <c r="C199" t="s">
        <v>772</v>
      </c>
      <c r="D199" t="s">
        <v>8275</v>
      </c>
    </row>
    <row r="200" spans="1:4" x14ac:dyDescent="0.25">
      <c r="A200" t="s">
        <v>2771</v>
      </c>
      <c r="B200" t="s">
        <v>8274</v>
      </c>
      <c r="C200" t="s">
        <v>773</v>
      </c>
      <c r="D200" t="s">
        <v>8276</v>
      </c>
    </row>
    <row r="201" spans="1:4" x14ac:dyDescent="0.25">
      <c r="A201" t="s">
        <v>2772</v>
      </c>
      <c r="B201" t="s">
        <v>8275</v>
      </c>
      <c r="C201" t="s">
        <v>774</v>
      </c>
      <c r="D201" t="s">
        <v>8277</v>
      </c>
    </row>
    <row r="202" spans="1:4" x14ac:dyDescent="0.25">
      <c r="A202" t="s">
        <v>2773</v>
      </c>
      <c r="B202" t="s">
        <v>8276</v>
      </c>
      <c r="C202" t="s">
        <v>775</v>
      </c>
      <c r="D202" t="s">
        <v>8278</v>
      </c>
    </row>
    <row r="203" spans="1:4" x14ac:dyDescent="0.25">
      <c r="A203" t="s">
        <v>2774</v>
      </c>
      <c r="B203" t="s">
        <v>8277</v>
      </c>
      <c r="C203" t="s">
        <v>776</v>
      </c>
      <c r="D203" t="s">
        <v>8279</v>
      </c>
    </row>
    <row r="204" spans="1:4" x14ac:dyDescent="0.25">
      <c r="A204" t="s">
        <v>2775</v>
      </c>
      <c r="B204" t="s">
        <v>8278</v>
      </c>
      <c r="C204" t="s">
        <v>777</v>
      </c>
      <c r="D204" t="s">
        <v>8280</v>
      </c>
    </row>
    <row r="205" spans="1:4" x14ac:dyDescent="0.25">
      <c r="A205" t="s">
        <v>2776</v>
      </c>
      <c r="B205" t="s">
        <v>8279</v>
      </c>
      <c r="C205" t="s">
        <v>778</v>
      </c>
      <c r="D205" t="s">
        <v>8281</v>
      </c>
    </row>
    <row r="206" spans="1:4" x14ac:dyDescent="0.25">
      <c r="A206" t="s">
        <v>2777</v>
      </c>
      <c r="B206" t="s">
        <v>8280</v>
      </c>
      <c r="C206" t="s">
        <v>779</v>
      </c>
      <c r="D206" t="s">
        <v>8282</v>
      </c>
    </row>
    <row r="207" spans="1:4" x14ac:dyDescent="0.25">
      <c r="A207" t="s">
        <v>2778</v>
      </c>
      <c r="B207" t="s">
        <v>8281</v>
      </c>
      <c r="C207" t="s">
        <v>780</v>
      </c>
      <c r="D207" t="s">
        <v>8283</v>
      </c>
    </row>
    <row r="208" spans="1:4" x14ac:dyDescent="0.25">
      <c r="A208" t="s">
        <v>2779</v>
      </c>
      <c r="B208" t="s">
        <v>8282</v>
      </c>
      <c r="C208" t="s">
        <v>781</v>
      </c>
      <c r="D208" t="s">
        <v>8284</v>
      </c>
    </row>
    <row r="209" spans="1:4" x14ac:dyDescent="0.25">
      <c r="A209" t="s">
        <v>2780</v>
      </c>
      <c r="B209" t="s">
        <v>8283</v>
      </c>
      <c r="C209" t="s">
        <v>782</v>
      </c>
      <c r="D209" t="s">
        <v>8285</v>
      </c>
    </row>
    <row r="210" spans="1:4" x14ac:dyDescent="0.25">
      <c r="A210" t="s">
        <v>2781</v>
      </c>
      <c r="B210" t="s">
        <v>8284</v>
      </c>
      <c r="C210" t="s">
        <v>783</v>
      </c>
      <c r="D210" t="s">
        <v>8286</v>
      </c>
    </row>
    <row r="211" spans="1:4" x14ac:dyDescent="0.25">
      <c r="A211" t="s">
        <v>2782</v>
      </c>
      <c r="B211" t="s">
        <v>8285</v>
      </c>
      <c r="C211" t="s">
        <v>784</v>
      </c>
      <c r="D211" t="s">
        <v>8287</v>
      </c>
    </row>
    <row r="212" spans="1:4" x14ac:dyDescent="0.25">
      <c r="A212" t="s">
        <v>2783</v>
      </c>
      <c r="B212" t="s">
        <v>8286</v>
      </c>
      <c r="C212" t="s">
        <v>785</v>
      </c>
      <c r="D212" t="s">
        <v>8288</v>
      </c>
    </row>
    <row r="213" spans="1:4" x14ac:dyDescent="0.25">
      <c r="A213" t="s">
        <v>2784</v>
      </c>
      <c r="B213" t="s">
        <v>8287</v>
      </c>
      <c r="C213" t="s">
        <v>786</v>
      </c>
      <c r="D213" t="s">
        <v>8289</v>
      </c>
    </row>
    <row r="214" spans="1:4" x14ac:dyDescent="0.25">
      <c r="A214" t="s">
        <v>2785</v>
      </c>
      <c r="B214" t="s">
        <v>8288</v>
      </c>
      <c r="C214" t="s">
        <v>787</v>
      </c>
      <c r="D214" t="s">
        <v>8290</v>
      </c>
    </row>
    <row r="215" spans="1:4" x14ac:dyDescent="0.25">
      <c r="A215" t="s">
        <v>2786</v>
      </c>
      <c r="B215" t="s">
        <v>8289</v>
      </c>
      <c r="C215" t="s">
        <v>788</v>
      </c>
      <c r="D215" t="s">
        <v>8291</v>
      </c>
    </row>
    <row r="216" spans="1:4" x14ac:dyDescent="0.25">
      <c r="A216" t="s">
        <v>2787</v>
      </c>
      <c r="B216" t="s">
        <v>8290</v>
      </c>
      <c r="C216" t="s">
        <v>789</v>
      </c>
      <c r="D216" t="s">
        <v>8292</v>
      </c>
    </row>
    <row r="217" spans="1:4" x14ac:dyDescent="0.25">
      <c r="A217" t="s">
        <v>2788</v>
      </c>
      <c r="B217" t="s">
        <v>8291</v>
      </c>
      <c r="C217" t="s">
        <v>790</v>
      </c>
      <c r="D217" t="s">
        <v>8293</v>
      </c>
    </row>
    <row r="218" spans="1:4" x14ac:dyDescent="0.25">
      <c r="A218" t="s">
        <v>2789</v>
      </c>
      <c r="B218" t="s">
        <v>8292</v>
      </c>
      <c r="C218" t="s">
        <v>791</v>
      </c>
      <c r="D218" t="s">
        <v>8294</v>
      </c>
    </row>
    <row r="219" spans="1:4" x14ac:dyDescent="0.25">
      <c r="A219" t="s">
        <v>2790</v>
      </c>
      <c r="B219" t="s">
        <v>8293</v>
      </c>
      <c r="C219" t="s">
        <v>792</v>
      </c>
      <c r="D219" t="s">
        <v>8295</v>
      </c>
    </row>
    <row r="220" spans="1:4" x14ac:dyDescent="0.25">
      <c r="A220" t="s">
        <v>2791</v>
      </c>
      <c r="B220" t="s">
        <v>8294</v>
      </c>
      <c r="C220" t="s">
        <v>793</v>
      </c>
      <c r="D220" t="s">
        <v>8296</v>
      </c>
    </row>
    <row r="221" spans="1:4" x14ac:dyDescent="0.25">
      <c r="A221" t="s">
        <v>2792</v>
      </c>
      <c r="B221" t="s">
        <v>8295</v>
      </c>
      <c r="C221" t="s">
        <v>794</v>
      </c>
      <c r="D221" t="s">
        <v>8297</v>
      </c>
    </row>
    <row r="222" spans="1:4" x14ac:dyDescent="0.25">
      <c r="A222" t="s">
        <v>2793</v>
      </c>
      <c r="B222" t="s">
        <v>8296</v>
      </c>
      <c r="C222" t="s">
        <v>795</v>
      </c>
      <c r="D222" t="s">
        <v>8298</v>
      </c>
    </row>
    <row r="223" spans="1:4" x14ac:dyDescent="0.25">
      <c r="A223" t="s">
        <v>2794</v>
      </c>
      <c r="B223" t="s">
        <v>8297</v>
      </c>
      <c r="C223" t="s">
        <v>796</v>
      </c>
      <c r="D223" t="s">
        <v>8299</v>
      </c>
    </row>
    <row r="224" spans="1:4" x14ac:dyDescent="0.25">
      <c r="A224" t="s">
        <v>2795</v>
      </c>
      <c r="B224" t="s">
        <v>8298</v>
      </c>
      <c r="C224" t="s">
        <v>797</v>
      </c>
      <c r="D224" t="s">
        <v>8300</v>
      </c>
    </row>
    <row r="225" spans="1:4" x14ac:dyDescent="0.25">
      <c r="A225" t="s">
        <v>2796</v>
      </c>
      <c r="B225" t="s">
        <v>8299</v>
      </c>
      <c r="C225" t="s">
        <v>798</v>
      </c>
      <c r="D225" t="s">
        <v>8301</v>
      </c>
    </row>
    <row r="226" spans="1:4" x14ac:dyDescent="0.25">
      <c r="A226" t="s">
        <v>2797</v>
      </c>
      <c r="B226" t="s">
        <v>8300</v>
      </c>
      <c r="C226" t="s">
        <v>799</v>
      </c>
      <c r="D226" t="s">
        <v>8302</v>
      </c>
    </row>
    <row r="227" spans="1:4" x14ac:dyDescent="0.25">
      <c r="A227" t="s">
        <v>2798</v>
      </c>
      <c r="B227" t="s">
        <v>8301</v>
      </c>
      <c r="C227" t="s">
        <v>800</v>
      </c>
      <c r="D227" t="s">
        <v>8303</v>
      </c>
    </row>
    <row r="228" spans="1:4" x14ac:dyDescent="0.25">
      <c r="A228" t="s">
        <v>2799</v>
      </c>
      <c r="B228" t="s">
        <v>8302</v>
      </c>
      <c r="C228" t="s">
        <v>801</v>
      </c>
      <c r="D228" t="s">
        <v>8304</v>
      </c>
    </row>
    <row r="229" spans="1:4" x14ac:dyDescent="0.25">
      <c r="A229" t="s">
        <v>2800</v>
      </c>
      <c r="B229" t="s">
        <v>8303</v>
      </c>
      <c r="C229" t="s">
        <v>802</v>
      </c>
      <c r="D229" t="s">
        <v>8305</v>
      </c>
    </row>
    <row r="230" spans="1:4" x14ac:dyDescent="0.25">
      <c r="A230" t="s">
        <v>2801</v>
      </c>
      <c r="B230" t="s">
        <v>8304</v>
      </c>
      <c r="C230" t="s">
        <v>803</v>
      </c>
      <c r="D230" t="s">
        <v>8306</v>
      </c>
    </row>
    <row r="231" spans="1:4" x14ac:dyDescent="0.25">
      <c r="A231" t="s">
        <v>2802</v>
      </c>
      <c r="B231" t="s">
        <v>8305</v>
      </c>
      <c r="C231" t="s">
        <v>804</v>
      </c>
      <c r="D231" t="s">
        <v>8307</v>
      </c>
    </row>
    <row r="232" spans="1:4" x14ac:dyDescent="0.25">
      <c r="A232" t="s">
        <v>2803</v>
      </c>
      <c r="B232" t="s">
        <v>8306</v>
      </c>
      <c r="C232" t="s">
        <v>805</v>
      </c>
      <c r="D232" t="s">
        <v>8308</v>
      </c>
    </row>
    <row r="233" spans="1:4" x14ac:dyDescent="0.25">
      <c r="A233" t="s">
        <v>2804</v>
      </c>
      <c r="B233" t="s">
        <v>8307</v>
      </c>
      <c r="C233" t="s">
        <v>806</v>
      </c>
      <c r="D233" t="s">
        <v>8309</v>
      </c>
    </row>
    <row r="234" spans="1:4" x14ac:dyDescent="0.25">
      <c r="A234" t="s">
        <v>2805</v>
      </c>
      <c r="B234" t="s">
        <v>8308</v>
      </c>
      <c r="C234" t="s">
        <v>807</v>
      </c>
      <c r="D234" t="s">
        <v>8310</v>
      </c>
    </row>
    <row r="235" spans="1:4" x14ac:dyDescent="0.25">
      <c r="A235" t="s">
        <v>2806</v>
      </c>
      <c r="B235" t="s">
        <v>8309</v>
      </c>
      <c r="C235" t="s">
        <v>808</v>
      </c>
      <c r="D235" t="s">
        <v>8311</v>
      </c>
    </row>
    <row r="236" spans="1:4" x14ac:dyDescent="0.25">
      <c r="A236" t="s">
        <v>2807</v>
      </c>
      <c r="B236" t="s">
        <v>8310</v>
      </c>
      <c r="C236" t="s">
        <v>809</v>
      </c>
      <c r="D236" t="s">
        <v>8312</v>
      </c>
    </row>
    <row r="237" spans="1:4" x14ac:dyDescent="0.25">
      <c r="A237" t="s">
        <v>2808</v>
      </c>
      <c r="B237" t="s">
        <v>8311</v>
      </c>
      <c r="C237" t="s">
        <v>810</v>
      </c>
      <c r="D237" t="s">
        <v>8313</v>
      </c>
    </row>
    <row r="238" spans="1:4" x14ac:dyDescent="0.25">
      <c r="A238" t="s">
        <v>2809</v>
      </c>
      <c r="B238" t="s">
        <v>8312</v>
      </c>
      <c r="C238" t="s">
        <v>811</v>
      </c>
      <c r="D238" t="s">
        <v>8314</v>
      </c>
    </row>
    <row r="239" spans="1:4" x14ac:dyDescent="0.25">
      <c r="A239" t="s">
        <v>2810</v>
      </c>
      <c r="B239" t="s">
        <v>8313</v>
      </c>
      <c r="C239" t="s">
        <v>812</v>
      </c>
      <c r="D239" t="s">
        <v>8315</v>
      </c>
    </row>
    <row r="240" spans="1:4" x14ac:dyDescent="0.25">
      <c r="A240" t="s">
        <v>2811</v>
      </c>
      <c r="B240" t="s">
        <v>8314</v>
      </c>
      <c r="C240" t="s">
        <v>813</v>
      </c>
      <c r="D240" t="s">
        <v>8316</v>
      </c>
    </row>
    <row r="241" spans="1:4" x14ac:dyDescent="0.25">
      <c r="A241" t="s">
        <v>2812</v>
      </c>
      <c r="B241" t="s">
        <v>8315</v>
      </c>
      <c r="C241" t="s">
        <v>814</v>
      </c>
      <c r="D241" t="s">
        <v>8317</v>
      </c>
    </row>
    <row r="242" spans="1:4" x14ac:dyDescent="0.25">
      <c r="A242" t="s">
        <v>2813</v>
      </c>
      <c r="B242" t="s">
        <v>8316</v>
      </c>
      <c r="C242" t="s">
        <v>815</v>
      </c>
      <c r="D242" t="s">
        <v>8318</v>
      </c>
    </row>
    <row r="243" spans="1:4" x14ac:dyDescent="0.25">
      <c r="A243" t="s">
        <v>2814</v>
      </c>
      <c r="B243" t="s">
        <v>8317</v>
      </c>
      <c r="C243" t="s">
        <v>816</v>
      </c>
      <c r="D243" t="s">
        <v>8319</v>
      </c>
    </row>
    <row r="244" spans="1:4" x14ac:dyDescent="0.25">
      <c r="A244" t="s">
        <v>2815</v>
      </c>
      <c r="B244" t="s">
        <v>8318</v>
      </c>
      <c r="C244" t="s">
        <v>817</v>
      </c>
      <c r="D244" t="s">
        <v>8320</v>
      </c>
    </row>
    <row r="245" spans="1:4" x14ac:dyDescent="0.25">
      <c r="A245" t="s">
        <v>2816</v>
      </c>
      <c r="B245" t="s">
        <v>8319</v>
      </c>
      <c r="C245" t="s">
        <v>818</v>
      </c>
      <c r="D245" t="s">
        <v>8321</v>
      </c>
    </row>
    <row r="246" spans="1:4" x14ac:dyDescent="0.25">
      <c r="A246" t="s">
        <v>2817</v>
      </c>
      <c r="B246" t="s">
        <v>8320</v>
      </c>
      <c r="C246" t="s">
        <v>819</v>
      </c>
      <c r="D246" t="s">
        <v>8322</v>
      </c>
    </row>
    <row r="247" spans="1:4" x14ac:dyDescent="0.25">
      <c r="A247" t="s">
        <v>2818</v>
      </c>
      <c r="B247" t="s">
        <v>8321</v>
      </c>
      <c r="C247" t="s">
        <v>820</v>
      </c>
      <c r="D247" t="s">
        <v>8323</v>
      </c>
    </row>
    <row r="248" spans="1:4" x14ac:dyDescent="0.25">
      <c r="A248" t="s">
        <v>2819</v>
      </c>
      <c r="B248" t="s">
        <v>8322</v>
      </c>
      <c r="C248" t="s">
        <v>821</v>
      </c>
      <c r="D248" t="s">
        <v>8324</v>
      </c>
    </row>
    <row r="249" spans="1:4" x14ac:dyDescent="0.25">
      <c r="A249" t="s">
        <v>2820</v>
      </c>
      <c r="B249" t="s">
        <v>8323</v>
      </c>
      <c r="C249" t="s">
        <v>822</v>
      </c>
      <c r="D249" t="s">
        <v>8325</v>
      </c>
    </row>
    <row r="250" spans="1:4" x14ac:dyDescent="0.25">
      <c r="A250" t="s">
        <v>2821</v>
      </c>
      <c r="B250" t="s">
        <v>8324</v>
      </c>
      <c r="C250" t="s">
        <v>823</v>
      </c>
      <c r="D250" t="s">
        <v>8326</v>
      </c>
    </row>
    <row r="251" spans="1:4" x14ac:dyDescent="0.25">
      <c r="A251" t="s">
        <v>2822</v>
      </c>
      <c r="B251" t="s">
        <v>8325</v>
      </c>
      <c r="C251" t="s">
        <v>824</v>
      </c>
      <c r="D251" t="s">
        <v>8327</v>
      </c>
    </row>
    <row r="252" spans="1:4" x14ac:dyDescent="0.25">
      <c r="A252" t="s">
        <v>2823</v>
      </c>
      <c r="B252" t="s">
        <v>8326</v>
      </c>
      <c r="C252" t="s">
        <v>825</v>
      </c>
      <c r="D252" t="s">
        <v>8328</v>
      </c>
    </row>
    <row r="253" spans="1:4" x14ac:dyDescent="0.25">
      <c r="A253" t="s">
        <v>2824</v>
      </c>
      <c r="B253" t="s">
        <v>8327</v>
      </c>
      <c r="C253" t="s">
        <v>826</v>
      </c>
      <c r="D253" t="s">
        <v>8329</v>
      </c>
    </row>
    <row r="254" spans="1:4" x14ac:dyDescent="0.25">
      <c r="A254" t="s">
        <v>2825</v>
      </c>
      <c r="B254" t="s">
        <v>8328</v>
      </c>
      <c r="C254" t="s">
        <v>827</v>
      </c>
      <c r="D254" t="s">
        <v>8330</v>
      </c>
    </row>
    <row r="255" spans="1:4" x14ac:dyDescent="0.25">
      <c r="A255" t="s">
        <v>2826</v>
      </c>
      <c r="B255" t="s">
        <v>8329</v>
      </c>
      <c r="C255" t="s">
        <v>828</v>
      </c>
      <c r="D255" t="s">
        <v>8331</v>
      </c>
    </row>
    <row r="256" spans="1:4" x14ac:dyDescent="0.25">
      <c r="A256" t="s">
        <v>2827</v>
      </c>
      <c r="B256" t="s">
        <v>8330</v>
      </c>
      <c r="C256" t="s">
        <v>829</v>
      </c>
      <c r="D256" t="s">
        <v>8332</v>
      </c>
    </row>
    <row r="257" spans="1:4" x14ac:dyDescent="0.25">
      <c r="A257" t="s">
        <v>2828</v>
      </c>
      <c r="B257" t="s">
        <v>8331</v>
      </c>
      <c r="C257" t="s">
        <v>830</v>
      </c>
      <c r="D257" t="s">
        <v>8333</v>
      </c>
    </row>
    <row r="258" spans="1:4" x14ac:dyDescent="0.25">
      <c r="A258" t="s">
        <v>2829</v>
      </c>
      <c r="B258" t="s">
        <v>8332</v>
      </c>
      <c r="C258" t="s">
        <v>831</v>
      </c>
      <c r="D258" t="s">
        <v>8334</v>
      </c>
    </row>
    <row r="259" spans="1:4" x14ac:dyDescent="0.25">
      <c r="A259" t="s">
        <v>2830</v>
      </c>
      <c r="B259" t="s">
        <v>8333</v>
      </c>
      <c r="C259" t="s">
        <v>832</v>
      </c>
      <c r="D259" t="s">
        <v>8335</v>
      </c>
    </row>
    <row r="260" spans="1:4" x14ac:dyDescent="0.25">
      <c r="A260" t="s">
        <v>2831</v>
      </c>
      <c r="B260" t="s">
        <v>8334</v>
      </c>
      <c r="C260" t="s">
        <v>833</v>
      </c>
      <c r="D260" t="s">
        <v>8336</v>
      </c>
    </row>
    <row r="261" spans="1:4" x14ac:dyDescent="0.25">
      <c r="A261" t="s">
        <v>2832</v>
      </c>
      <c r="B261" t="s">
        <v>8335</v>
      </c>
      <c r="C261" t="s">
        <v>834</v>
      </c>
      <c r="D261" t="s">
        <v>8337</v>
      </c>
    </row>
    <row r="262" spans="1:4" x14ac:dyDescent="0.25">
      <c r="A262" t="s">
        <v>2833</v>
      </c>
      <c r="B262" t="s">
        <v>8336</v>
      </c>
      <c r="C262" t="s">
        <v>835</v>
      </c>
      <c r="D262" t="s">
        <v>8338</v>
      </c>
    </row>
    <row r="263" spans="1:4" x14ac:dyDescent="0.25">
      <c r="A263" t="s">
        <v>2834</v>
      </c>
      <c r="B263" t="s">
        <v>8337</v>
      </c>
      <c r="C263" t="s">
        <v>836</v>
      </c>
      <c r="D263" t="s">
        <v>8339</v>
      </c>
    </row>
    <row r="264" spans="1:4" x14ac:dyDescent="0.25">
      <c r="A264" t="s">
        <v>2835</v>
      </c>
      <c r="B264" t="s">
        <v>8338</v>
      </c>
      <c r="C264" t="s">
        <v>837</v>
      </c>
      <c r="D264" t="s">
        <v>8340</v>
      </c>
    </row>
    <row r="265" spans="1:4" x14ac:dyDescent="0.25">
      <c r="A265" t="s">
        <v>2836</v>
      </c>
      <c r="B265" t="s">
        <v>8339</v>
      </c>
      <c r="C265" t="s">
        <v>838</v>
      </c>
      <c r="D265" t="s">
        <v>8341</v>
      </c>
    </row>
    <row r="266" spans="1:4" x14ac:dyDescent="0.25">
      <c r="A266" t="s">
        <v>2837</v>
      </c>
      <c r="B266" t="s">
        <v>8340</v>
      </c>
      <c r="C266" t="s">
        <v>839</v>
      </c>
      <c r="D266" t="s">
        <v>8342</v>
      </c>
    </row>
    <row r="267" spans="1:4" x14ac:dyDescent="0.25">
      <c r="A267" t="s">
        <v>2838</v>
      </c>
      <c r="B267" t="s">
        <v>8341</v>
      </c>
      <c r="C267" t="s">
        <v>840</v>
      </c>
      <c r="D267" t="s">
        <v>8343</v>
      </c>
    </row>
    <row r="268" spans="1:4" x14ac:dyDescent="0.25">
      <c r="A268" t="s">
        <v>2839</v>
      </c>
      <c r="B268" t="s">
        <v>8342</v>
      </c>
      <c r="C268" t="s">
        <v>841</v>
      </c>
      <c r="D268" t="s">
        <v>8344</v>
      </c>
    </row>
    <row r="269" spans="1:4" x14ac:dyDescent="0.25">
      <c r="A269" t="s">
        <v>2840</v>
      </c>
      <c r="B269" t="s">
        <v>8343</v>
      </c>
      <c r="C269" t="s">
        <v>842</v>
      </c>
      <c r="D269" t="s">
        <v>8345</v>
      </c>
    </row>
    <row r="270" spans="1:4" x14ac:dyDescent="0.25">
      <c r="A270" t="s">
        <v>2841</v>
      </c>
      <c r="B270" t="s">
        <v>8344</v>
      </c>
      <c r="C270" t="s">
        <v>843</v>
      </c>
      <c r="D270" t="s">
        <v>8346</v>
      </c>
    </row>
    <row r="271" spans="1:4" x14ac:dyDescent="0.25">
      <c r="A271" t="s">
        <v>2842</v>
      </c>
      <c r="B271" t="s">
        <v>8345</v>
      </c>
      <c r="C271" t="s">
        <v>844</v>
      </c>
      <c r="D271" t="s">
        <v>8347</v>
      </c>
    </row>
    <row r="272" spans="1:4" x14ac:dyDescent="0.25">
      <c r="A272" t="s">
        <v>2843</v>
      </c>
      <c r="B272" t="s">
        <v>8346</v>
      </c>
      <c r="C272" t="s">
        <v>845</v>
      </c>
      <c r="D272" t="s">
        <v>8348</v>
      </c>
    </row>
    <row r="273" spans="1:4" x14ac:dyDescent="0.25">
      <c r="A273" t="s">
        <v>2844</v>
      </c>
      <c r="B273" t="s">
        <v>8347</v>
      </c>
      <c r="C273" t="s">
        <v>846</v>
      </c>
      <c r="D273" t="s">
        <v>8349</v>
      </c>
    </row>
    <row r="274" spans="1:4" x14ac:dyDescent="0.25">
      <c r="A274" t="s">
        <v>2845</v>
      </c>
      <c r="B274" t="s">
        <v>8348</v>
      </c>
      <c r="C274" t="s">
        <v>847</v>
      </c>
      <c r="D274" t="s">
        <v>8350</v>
      </c>
    </row>
    <row r="275" spans="1:4" x14ac:dyDescent="0.25">
      <c r="A275" t="s">
        <v>2846</v>
      </c>
      <c r="B275" t="s">
        <v>8349</v>
      </c>
      <c r="C275" t="s">
        <v>848</v>
      </c>
      <c r="D275" t="s">
        <v>8351</v>
      </c>
    </row>
    <row r="276" spans="1:4" x14ac:dyDescent="0.25">
      <c r="A276" t="s">
        <v>2847</v>
      </c>
      <c r="B276" t="s">
        <v>8350</v>
      </c>
      <c r="C276" t="s">
        <v>849</v>
      </c>
      <c r="D276" t="s">
        <v>8352</v>
      </c>
    </row>
    <row r="277" spans="1:4" x14ac:dyDescent="0.25">
      <c r="A277" t="s">
        <v>2848</v>
      </c>
      <c r="B277" t="s">
        <v>8351</v>
      </c>
      <c r="C277" t="s">
        <v>850</v>
      </c>
      <c r="D277" t="s">
        <v>8353</v>
      </c>
    </row>
    <row r="278" spans="1:4" x14ac:dyDescent="0.25">
      <c r="A278" t="s">
        <v>2849</v>
      </c>
      <c r="B278" t="s">
        <v>8352</v>
      </c>
      <c r="C278" t="s">
        <v>851</v>
      </c>
      <c r="D278" t="s">
        <v>8354</v>
      </c>
    </row>
    <row r="279" spans="1:4" x14ac:dyDescent="0.25">
      <c r="A279" t="s">
        <v>2850</v>
      </c>
      <c r="B279" t="s">
        <v>8353</v>
      </c>
      <c r="C279" t="s">
        <v>852</v>
      </c>
      <c r="D279" t="s">
        <v>8355</v>
      </c>
    </row>
    <row r="280" spans="1:4" x14ac:dyDescent="0.25">
      <c r="A280" t="s">
        <v>2851</v>
      </c>
      <c r="B280" t="s">
        <v>8354</v>
      </c>
      <c r="C280" t="s">
        <v>853</v>
      </c>
      <c r="D280" t="s">
        <v>8356</v>
      </c>
    </row>
    <row r="281" spans="1:4" x14ac:dyDescent="0.25">
      <c r="A281" t="s">
        <v>2852</v>
      </c>
      <c r="B281" t="s">
        <v>8355</v>
      </c>
      <c r="C281" t="s">
        <v>854</v>
      </c>
      <c r="D281" t="s">
        <v>8357</v>
      </c>
    </row>
    <row r="282" spans="1:4" x14ac:dyDescent="0.25">
      <c r="A282" t="s">
        <v>2853</v>
      </c>
      <c r="B282" t="s">
        <v>8356</v>
      </c>
      <c r="C282" t="s">
        <v>855</v>
      </c>
      <c r="D282" t="s">
        <v>8358</v>
      </c>
    </row>
    <row r="283" spans="1:4" x14ac:dyDescent="0.25">
      <c r="A283" t="s">
        <v>2854</v>
      </c>
      <c r="B283" t="s">
        <v>8357</v>
      </c>
      <c r="C283" t="s">
        <v>856</v>
      </c>
      <c r="D283" t="s">
        <v>8359</v>
      </c>
    </row>
    <row r="284" spans="1:4" x14ac:dyDescent="0.25">
      <c r="A284" t="s">
        <v>2855</v>
      </c>
      <c r="B284" t="s">
        <v>8358</v>
      </c>
      <c r="C284" t="s">
        <v>857</v>
      </c>
      <c r="D284" t="s">
        <v>8360</v>
      </c>
    </row>
    <row r="285" spans="1:4" x14ac:dyDescent="0.25">
      <c r="A285" t="s">
        <v>2856</v>
      </c>
      <c r="B285" t="s">
        <v>8359</v>
      </c>
      <c r="C285" t="s">
        <v>858</v>
      </c>
      <c r="D285" t="s">
        <v>8361</v>
      </c>
    </row>
    <row r="286" spans="1:4" x14ac:dyDescent="0.25">
      <c r="A286" t="s">
        <v>2857</v>
      </c>
      <c r="B286" t="s">
        <v>8360</v>
      </c>
      <c r="C286" t="s">
        <v>859</v>
      </c>
      <c r="D286" t="s">
        <v>8362</v>
      </c>
    </row>
    <row r="287" spans="1:4" x14ac:dyDescent="0.25">
      <c r="A287" t="s">
        <v>2858</v>
      </c>
      <c r="B287" t="s">
        <v>8361</v>
      </c>
      <c r="C287" t="s">
        <v>860</v>
      </c>
      <c r="D287" t="s">
        <v>8363</v>
      </c>
    </row>
    <row r="288" spans="1:4" x14ac:dyDescent="0.25">
      <c r="A288" t="s">
        <v>2859</v>
      </c>
      <c r="B288" t="s">
        <v>8362</v>
      </c>
      <c r="C288" t="s">
        <v>861</v>
      </c>
      <c r="D288" t="s">
        <v>8364</v>
      </c>
    </row>
    <row r="289" spans="1:4" x14ac:dyDescent="0.25">
      <c r="A289" t="s">
        <v>2860</v>
      </c>
      <c r="B289" t="s">
        <v>8363</v>
      </c>
      <c r="C289" t="s">
        <v>862</v>
      </c>
      <c r="D289" t="s">
        <v>8365</v>
      </c>
    </row>
    <row r="290" spans="1:4" x14ac:dyDescent="0.25">
      <c r="A290" t="s">
        <v>2861</v>
      </c>
      <c r="B290" t="s">
        <v>8364</v>
      </c>
      <c r="C290" t="s">
        <v>863</v>
      </c>
      <c r="D290" t="s">
        <v>8366</v>
      </c>
    </row>
    <row r="291" spans="1:4" x14ac:dyDescent="0.25">
      <c r="A291" t="s">
        <v>2862</v>
      </c>
      <c r="B291" t="s">
        <v>8365</v>
      </c>
      <c r="C291" t="s">
        <v>864</v>
      </c>
      <c r="D291" t="s">
        <v>8367</v>
      </c>
    </row>
    <row r="292" spans="1:4" x14ac:dyDescent="0.25">
      <c r="A292" t="s">
        <v>2863</v>
      </c>
      <c r="B292" t="s">
        <v>8366</v>
      </c>
      <c r="C292" t="s">
        <v>865</v>
      </c>
      <c r="D292" t="s">
        <v>8368</v>
      </c>
    </row>
    <row r="293" spans="1:4" x14ac:dyDescent="0.25">
      <c r="A293" t="s">
        <v>2864</v>
      </c>
      <c r="B293" t="s">
        <v>8367</v>
      </c>
      <c r="C293" t="s">
        <v>866</v>
      </c>
      <c r="D293" t="s">
        <v>8369</v>
      </c>
    </row>
    <row r="294" spans="1:4" x14ac:dyDescent="0.25">
      <c r="A294" t="s">
        <v>2865</v>
      </c>
      <c r="B294" t="s">
        <v>8368</v>
      </c>
      <c r="C294" t="s">
        <v>867</v>
      </c>
      <c r="D294" t="s">
        <v>8370</v>
      </c>
    </row>
    <row r="295" spans="1:4" x14ac:dyDescent="0.25">
      <c r="A295" t="s">
        <v>2866</v>
      </c>
      <c r="B295" t="s">
        <v>8369</v>
      </c>
      <c r="C295" t="s">
        <v>868</v>
      </c>
      <c r="D295" t="s">
        <v>8371</v>
      </c>
    </row>
    <row r="296" spans="1:4" x14ac:dyDescent="0.25">
      <c r="A296" t="s">
        <v>2867</v>
      </c>
      <c r="B296" t="s">
        <v>8370</v>
      </c>
      <c r="C296" t="s">
        <v>869</v>
      </c>
      <c r="D296" t="s">
        <v>8372</v>
      </c>
    </row>
    <row r="297" spans="1:4" x14ac:dyDescent="0.25">
      <c r="A297" t="s">
        <v>2868</v>
      </c>
      <c r="B297" t="s">
        <v>8371</v>
      </c>
      <c r="C297" t="s">
        <v>870</v>
      </c>
      <c r="D297" t="s">
        <v>8373</v>
      </c>
    </row>
    <row r="298" spans="1:4" x14ac:dyDescent="0.25">
      <c r="A298" t="s">
        <v>2869</v>
      </c>
      <c r="B298" t="s">
        <v>8372</v>
      </c>
      <c r="C298" t="s">
        <v>871</v>
      </c>
      <c r="D298" t="s">
        <v>8374</v>
      </c>
    </row>
    <row r="299" spans="1:4" x14ac:dyDescent="0.25">
      <c r="A299" t="s">
        <v>2870</v>
      </c>
      <c r="B299" t="s">
        <v>8373</v>
      </c>
      <c r="C299" t="s">
        <v>872</v>
      </c>
      <c r="D299" t="s">
        <v>8375</v>
      </c>
    </row>
    <row r="300" spans="1:4" x14ac:dyDescent="0.25">
      <c r="A300" t="s">
        <v>2871</v>
      </c>
      <c r="B300" t="s">
        <v>8374</v>
      </c>
      <c r="C300" t="s">
        <v>873</v>
      </c>
      <c r="D300" t="s">
        <v>8376</v>
      </c>
    </row>
    <row r="301" spans="1:4" x14ac:dyDescent="0.25">
      <c r="A301" t="s">
        <v>2872</v>
      </c>
      <c r="B301" t="s">
        <v>8375</v>
      </c>
      <c r="C301" t="s">
        <v>874</v>
      </c>
      <c r="D301" t="s">
        <v>8377</v>
      </c>
    </row>
    <row r="302" spans="1:4" x14ac:dyDescent="0.25">
      <c r="A302" t="s">
        <v>2873</v>
      </c>
      <c r="B302" t="s">
        <v>8376</v>
      </c>
      <c r="C302" t="s">
        <v>875</v>
      </c>
      <c r="D302" t="s">
        <v>8378</v>
      </c>
    </row>
    <row r="303" spans="1:4" x14ac:dyDescent="0.25">
      <c r="A303" t="s">
        <v>2874</v>
      </c>
      <c r="B303" t="s">
        <v>8377</v>
      </c>
      <c r="C303" t="s">
        <v>876</v>
      </c>
      <c r="D303" t="s">
        <v>8379</v>
      </c>
    </row>
    <row r="304" spans="1:4" x14ac:dyDescent="0.25">
      <c r="A304" t="s">
        <v>2875</v>
      </c>
      <c r="B304" t="s">
        <v>8378</v>
      </c>
      <c r="C304" t="s">
        <v>877</v>
      </c>
      <c r="D304" t="s">
        <v>8380</v>
      </c>
    </row>
    <row r="305" spans="1:4" x14ac:dyDescent="0.25">
      <c r="A305" t="s">
        <v>2876</v>
      </c>
      <c r="B305" t="s">
        <v>8379</v>
      </c>
      <c r="C305" t="s">
        <v>878</v>
      </c>
      <c r="D305" t="s">
        <v>8381</v>
      </c>
    </row>
    <row r="306" spans="1:4" x14ac:dyDescent="0.25">
      <c r="A306" t="s">
        <v>2877</v>
      </c>
      <c r="B306" t="s">
        <v>8380</v>
      </c>
      <c r="C306" t="s">
        <v>879</v>
      </c>
      <c r="D306" t="s">
        <v>8382</v>
      </c>
    </row>
    <row r="307" spans="1:4" x14ac:dyDescent="0.25">
      <c r="A307" t="s">
        <v>2878</v>
      </c>
      <c r="B307" t="s">
        <v>8381</v>
      </c>
      <c r="C307" t="s">
        <v>880</v>
      </c>
      <c r="D307" t="s">
        <v>8383</v>
      </c>
    </row>
    <row r="308" spans="1:4" x14ac:dyDescent="0.25">
      <c r="A308" t="s">
        <v>2879</v>
      </c>
      <c r="B308" t="s">
        <v>8382</v>
      </c>
      <c r="C308" t="s">
        <v>881</v>
      </c>
      <c r="D308" t="s">
        <v>8384</v>
      </c>
    </row>
    <row r="309" spans="1:4" x14ac:dyDescent="0.25">
      <c r="A309" t="s">
        <v>2880</v>
      </c>
      <c r="B309" t="s">
        <v>8383</v>
      </c>
      <c r="C309" t="s">
        <v>882</v>
      </c>
      <c r="D309" t="s">
        <v>8385</v>
      </c>
    </row>
    <row r="310" spans="1:4" x14ac:dyDescent="0.25">
      <c r="A310" t="s">
        <v>2881</v>
      </c>
      <c r="B310" t="s">
        <v>8384</v>
      </c>
      <c r="C310" t="s">
        <v>883</v>
      </c>
      <c r="D310" t="s">
        <v>8386</v>
      </c>
    </row>
    <row r="311" spans="1:4" x14ac:dyDescent="0.25">
      <c r="A311" t="s">
        <v>2882</v>
      </c>
      <c r="B311" t="s">
        <v>8385</v>
      </c>
      <c r="C311" t="s">
        <v>884</v>
      </c>
      <c r="D311" t="s">
        <v>8387</v>
      </c>
    </row>
    <row r="312" spans="1:4" x14ac:dyDescent="0.25">
      <c r="A312" t="s">
        <v>2883</v>
      </c>
      <c r="B312" t="s">
        <v>8386</v>
      </c>
      <c r="C312" t="s">
        <v>885</v>
      </c>
      <c r="D312" t="s">
        <v>8388</v>
      </c>
    </row>
    <row r="313" spans="1:4" x14ac:dyDescent="0.25">
      <c r="A313" t="s">
        <v>2884</v>
      </c>
      <c r="B313" t="s">
        <v>8387</v>
      </c>
      <c r="C313" t="s">
        <v>886</v>
      </c>
      <c r="D313" t="s">
        <v>8389</v>
      </c>
    </row>
    <row r="314" spans="1:4" x14ac:dyDescent="0.25">
      <c r="A314" t="s">
        <v>2885</v>
      </c>
      <c r="B314" t="s">
        <v>8388</v>
      </c>
      <c r="C314" t="s">
        <v>887</v>
      </c>
      <c r="D314" t="s">
        <v>8390</v>
      </c>
    </row>
    <row r="315" spans="1:4" x14ac:dyDescent="0.25">
      <c r="A315" t="s">
        <v>2886</v>
      </c>
      <c r="B315" t="s">
        <v>8389</v>
      </c>
      <c r="C315" t="s">
        <v>888</v>
      </c>
      <c r="D315" t="s">
        <v>8391</v>
      </c>
    </row>
    <row r="316" spans="1:4" x14ac:dyDescent="0.25">
      <c r="A316" t="s">
        <v>2887</v>
      </c>
      <c r="B316" t="s">
        <v>8390</v>
      </c>
      <c r="C316" t="s">
        <v>889</v>
      </c>
      <c r="D316" t="s">
        <v>8392</v>
      </c>
    </row>
    <row r="317" spans="1:4" x14ac:dyDescent="0.25">
      <c r="A317" t="s">
        <v>2888</v>
      </c>
      <c r="B317" t="s">
        <v>8391</v>
      </c>
      <c r="C317" t="s">
        <v>890</v>
      </c>
      <c r="D317" t="s">
        <v>8393</v>
      </c>
    </row>
    <row r="318" spans="1:4" x14ac:dyDescent="0.25">
      <c r="A318" t="s">
        <v>2889</v>
      </c>
      <c r="B318" t="s">
        <v>8392</v>
      </c>
      <c r="C318" t="s">
        <v>891</v>
      </c>
      <c r="D318" t="s">
        <v>8394</v>
      </c>
    </row>
    <row r="319" spans="1:4" x14ac:dyDescent="0.25">
      <c r="A319" t="s">
        <v>2890</v>
      </c>
      <c r="B319" t="s">
        <v>8393</v>
      </c>
      <c r="C319" t="s">
        <v>892</v>
      </c>
      <c r="D319" t="s">
        <v>8395</v>
      </c>
    </row>
    <row r="320" spans="1:4" x14ac:dyDescent="0.25">
      <c r="A320" t="s">
        <v>2891</v>
      </c>
      <c r="B320" t="s">
        <v>8394</v>
      </c>
      <c r="C320" t="s">
        <v>893</v>
      </c>
      <c r="D320" t="s">
        <v>8396</v>
      </c>
    </row>
    <row r="321" spans="1:4" x14ac:dyDescent="0.25">
      <c r="A321" t="s">
        <v>2892</v>
      </c>
      <c r="B321" t="s">
        <v>8395</v>
      </c>
      <c r="C321" t="s">
        <v>894</v>
      </c>
      <c r="D321" t="s">
        <v>8397</v>
      </c>
    </row>
    <row r="322" spans="1:4" x14ac:dyDescent="0.25">
      <c r="A322" t="s">
        <v>2893</v>
      </c>
      <c r="B322" t="s">
        <v>8396</v>
      </c>
      <c r="C322" t="s">
        <v>895</v>
      </c>
      <c r="D322" t="s">
        <v>8398</v>
      </c>
    </row>
    <row r="323" spans="1:4" x14ac:dyDescent="0.25">
      <c r="A323" t="s">
        <v>2894</v>
      </c>
      <c r="B323" t="s">
        <v>8397</v>
      </c>
      <c r="C323" t="s">
        <v>896</v>
      </c>
      <c r="D323" t="s">
        <v>8399</v>
      </c>
    </row>
    <row r="324" spans="1:4" x14ac:dyDescent="0.25">
      <c r="A324" t="s">
        <v>2895</v>
      </c>
      <c r="B324" t="s">
        <v>8398</v>
      </c>
      <c r="C324" t="s">
        <v>897</v>
      </c>
      <c r="D324" t="s">
        <v>8400</v>
      </c>
    </row>
    <row r="325" spans="1:4" x14ac:dyDescent="0.25">
      <c r="A325" t="s">
        <v>2896</v>
      </c>
      <c r="B325" t="s">
        <v>8399</v>
      </c>
      <c r="C325" t="s">
        <v>898</v>
      </c>
      <c r="D325" t="s">
        <v>8401</v>
      </c>
    </row>
    <row r="326" spans="1:4" x14ac:dyDescent="0.25">
      <c r="A326" t="s">
        <v>2897</v>
      </c>
      <c r="B326" t="s">
        <v>8400</v>
      </c>
      <c r="C326" t="s">
        <v>899</v>
      </c>
      <c r="D326" t="s">
        <v>8402</v>
      </c>
    </row>
    <row r="327" spans="1:4" x14ac:dyDescent="0.25">
      <c r="A327" t="s">
        <v>2898</v>
      </c>
      <c r="B327" t="s">
        <v>8401</v>
      </c>
      <c r="C327" t="s">
        <v>900</v>
      </c>
      <c r="D327" t="s">
        <v>8403</v>
      </c>
    </row>
    <row r="328" spans="1:4" x14ac:dyDescent="0.25">
      <c r="A328" t="s">
        <v>2899</v>
      </c>
      <c r="B328" t="s">
        <v>8402</v>
      </c>
      <c r="C328" t="s">
        <v>901</v>
      </c>
      <c r="D328" t="s">
        <v>8404</v>
      </c>
    </row>
    <row r="329" spans="1:4" x14ac:dyDescent="0.25">
      <c r="A329" t="s">
        <v>2900</v>
      </c>
      <c r="B329" t="s">
        <v>8403</v>
      </c>
      <c r="C329" t="s">
        <v>902</v>
      </c>
      <c r="D329" t="s">
        <v>8405</v>
      </c>
    </row>
    <row r="330" spans="1:4" x14ac:dyDescent="0.25">
      <c r="A330" t="s">
        <v>2901</v>
      </c>
      <c r="B330" t="s">
        <v>8404</v>
      </c>
      <c r="C330" t="s">
        <v>903</v>
      </c>
      <c r="D330" t="s">
        <v>8406</v>
      </c>
    </row>
    <row r="331" spans="1:4" x14ac:dyDescent="0.25">
      <c r="A331" t="s">
        <v>2902</v>
      </c>
      <c r="B331" t="s">
        <v>8405</v>
      </c>
      <c r="C331" t="s">
        <v>904</v>
      </c>
      <c r="D331" t="s">
        <v>8407</v>
      </c>
    </row>
    <row r="332" spans="1:4" x14ac:dyDescent="0.25">
      <c r="A332" t="s">
        <v>2903</v>
      </c>
      <c r="B332" t="s">
        <v>8406</v>
      </c>
      <c r="C332" t="s">
        <v>905</v>
      </c>
      <c r="D332" t="s">
        <v>8408</v>
      </c>
    </row>
    <row r="333" spans="1:4" x14ac:dyDescent="0.25">
      <c r="A333" t="s">
        <v>2904</v>
      </c>
      <c r="B333" t="s">
        <v>8407</v>
      </c>
      <c r="C333" t="s">
        <v>906</v>
      </c>
      <c r="D333" t="s">
        <v>8409</v>
      </c>
    </row>
    <row r="334" spans="1:4" x14ac:dyDescent="0.25">
      <c r="A334" t="s">
        <v>2905</v>
      </c>
      <c r="B334" t="s">
        <v>8408</v>
      </c>
      <c r="C334" t="s">
        <v>907</v>
      </c>
      <c r="D334" t="s">
        <v>8410</v>
      </c>
    </row>
    <row r="335" spans="1:4" x14ac:dyDescent="0.25">
      <c r="A335" t="s">
        <v>2906</v>
      </c>
      <c r="B335" t="s">
        <v>8409</v>
      </c>
      <c r="C335" t="s">
        <v>908</v>
      </c>
      <c r="D335" t="s">
        <v>8411</v>
      </c>
    </row>
    <row r="336" spans="1:4" x14ac:dyDescent="0.25">
      <c r="A336" t="s">
        <v>2907</v>
      </c>
      <c r="B336" t="s">
        <v>8410</v>
      </c>
      <c r="C336" t="s">
        <v>909</v>
      </c>
      <c r="D336" t="s">
        <v>8412</v>
      </c>
    </row>
    <row r="337" spans="1:4" x14ac:dyDescent="0.25">
      <c r="A337" t="s">
        <v>2908</v>
      </c>
      <c r="B337" t="s">
        <v>8411</v>
      </c>
      <c r="C337" t="s">
        <v>910</v>
      </c>
      <c r="D337" t="s">
        <v>8413</v>
      </c>
    </row>
    <row r="338" spans="1:4" x14ac:dyDescent="0.25">
      <c r="A338" t="s">
        <v>2909</v>
      </c>
      <c r="B338" t="s">
        <v>8412</v>
      </c>
      <c r="C338" t="s">
        <v>911</v>
      </c>
      <c r="D338" t="s">
        <v>8414</v>
      </c>
    </row>
    <row r="339" spans="1:4" x14ac:dyDescent="0.25">
      <c r="A339" t="s">
        <v>2910</v>
      </c>
      <c r="B339" t="s">
        <v>8413</v>
      </c>
      <c r="C339" t="s">
        <v>912</v>
      </c>
      <c r="D339" t="s">
        <v>8415</v>
      </c>
    </row>
    <row r="340" spans="1:4" x14ac:dyDescent="0.25">
      <c r="A340" t="s">
        <v>2911</v>
      </c>
      <c r="B340" t="s">
        <v>8414</v>
      </c>
      <c r="C340" t="s">
        <v>913</v>
      </c>
      <c r="D340" t="s">
        <v>8416</v>
      </c>
    </row>
    <row r="341" spans="1:4" x14ac:dyDescent="0.25">
      <c r="A341" t="s">
        <v>2912</v>
      </c>
      <c r="B341" t="s">
        <v>8415</v>
      </c>
      <c r="C341" t="s">
        <v>914</v>
      </c>
      <c r="D341" t="s">
        <v>8417</v>
      </c>
    </row>
    <row r="342" spans="1:4" x14ac:dyDescent="0.25">
      <c r="A342" t="s">
        <v>2913</v>
      </c>
      <c r="B342" t="s">
        <v>8416</v>
      </c>
      <c r="C342" t="s">
        <v>915</v>
      </c>
      <c r="D342" t="s">
        <v>8418</v>
      </c>
    </row>
    <row r="343" spans="1:4" x14ac:dyDescent="0.25">
      <c r="A343" t="s">
        <v>2914</v>
      </c>
      <c r="B343" t="s">
        <v>8417</v>
      </c>
      <c r="C343" t="s">
        <v>916</v>
      </c>
      <c r="D343" t="s">
        <v>8419</v>
      </c>
    </row>
    <row r="344" spans="1:4" x14ac:dyDescent="0.25">
      <c r="A344" t="s">
        <v>2915</v>
      </c>
      <c r="B344" t="s">
        <v>8418</v>
      </c>
      <c r="C344" t="s">
        <v>917</v>
      </c>
      <c r="D344" t="s">
        <v>8420</v>
      </c>
    </row>
    <row r="345" spans="1:4" x14ac:dyDescent="0.25">
      <c r="A345" t="s">
        <v>2916</v>
      </c>
      <c r="B345" t="s">
        <v>8419</v>
      </c>
      <c r="C345" t="s">
        <v>918</v>
      </c>
      <c r="D345" t="s">
        <v>8421</v>
      </c>
    </row>
    <row r="346" spans="1:4" x14ac:dyDescent="0.25">
      <c r="A346" t="s">
        <v>2917</v>
      </c>
      <c r="B346" t="s">
        <v>8420</v>
      </c>
      <c r="C346" t="s">
        <v>919</v>
      </c>
      <c r="D346" t="s">
        <v>8422</v>
      </c>
    </row>
    <row r="347" spans="1:4" x14ac:dyDescent="0.25">
      <c r="A347" t="s">
        <v>2918</v>
      </c>
      <c r="B347" t="s">
        <v>8421</v>
      </c>
      <c r="C347" t="s">
        <v>920</v>
      </c>
      <c r="D347" t="s">
        <v>8423</v>
      </c>
    </row>
    <row r="348" spans="1:4" x14ac:dyDescent="0.25">
      <c r="A348" t="s">
        <v>2919</v>
      </c>
      <c r="B348" t="s">
        <v>8422</v>
      </c>
      <c r="C348" t="s">
        <v>921</v>
      </c>
      <c r="D348" t="s">
        <v>8424</v>
      </c>
    </row>
    <row r="349" spans="1:4" x14ac:dyDescent="0.25">
      <c r="A349" t="s">
        <v>2920</v>
      </c>
      <c r="B349" t="s">
        <v>8423</v>
      </c>
      <c r="C349" t="s">
        <v>922</v>
      </c>
      <c r="D349" t="s">
        <v>8425</v>
      </c>
    </row>
    <row r="350" spans="1:4" x14ac:dyDescent="0.25">
      <c r="A350" t="s">
        <v>2921</v>
      </c>
      <c r="B350" t="s">
        <v>8424</v>
      </c>
      <c r="C350" t="s">
        <v>923</v>
      </c>
      <c r="D350" t="s">
        <v>8426</v>
      </c>
    </row>
    <row r="351" spans="1:4" x14ac:dyDescent="0.25">
      <c r="A351" t="s">
        <v>2922</v>
      </c>
      <c r="B351" t="s">
        <v>8425</v>
      </c>
      <c r="C351" t="s">
        <v>924</v>
      </c>
      <c r="D351" t="s">
        <v>8427</v>
      </c>
    </row>
    <row r="352" spans="1:4" x14ac:dyDescent="0.25">
      <c r="A352" t="s">
        <v>2923</v>
      </c>
      <c r="B352" t="s">
        <v>8426</v>
      </c>
      <c r="C352" t="s">
        <v>925</v>
      </c>
      <c r="D352" t="s">
        <v>8428</v>
      </c>
    </row>
    <row r="353" spans="1:4" x14ac:dyDescent="0.25">
      <c r="A353" t="s">
        <v>2924</v>
      </c>
      <c r="B353" t="s">
        <v>8427</v>
      </c>
      <c r="C353" t="s">
        <v>926</v>
      </c>
      <c r="D353" t="s">
        <v>8429</v>
      </c>
    </row>
    <row r="354" spans="1:4" x14ac:dyDescent="0.25">
      <c r="A354" t="s">
        <v>2925</v>
      </c>
      <c r="B354" t="s">
        <v>8428</v>
      </c>
      <c r="C354" t="s">
        <v>927</v>
      </c>
      <c r="D354" t="s">
        <v>8430</v>
      </c>
    </row>
    <row r="355" spans="1:4" x14ac:dyDescent="0.25">
      <c r="A355" t="s">
        <v>2926</v>
      </c>
      <c r="B355" t="s">
        <v>8429</v>
      </c>
      <c r="C355" t="s">
        <v>928</v>
      </c>
      <c r="D355" t="s">
        <v>8431</v>
      </c>
    </row>
    <row r="356" spans="1:4" x14ac:dyDescent="0.25">
      <c r="A356" t="s">
        <v>2927</v>
      </c>
      <c r="B356" t="s">
        <v>8430</v>
      </c>
      <c r="C356" t="s">
        <v>929</v>
      </c>
      <c r="D356" t="s">
        <v>8432</v>
      </c>
    </row>
    <row r="357" spans="1:4" x14ac:dyDescent="0.25">
      <c r="A357" t="s">
        <v>2928</v>
      </c>
      <c r="B357" t="s">
        <v>8431</v>
      </c>
      <c r="C357" t="s">
        <v>930</v>
      </c>
      <c r="D357" t="s">
        <v>8433</v>
      </c>
    </row>
    <row r="358" spans="1:4" x14ac:dyDescent="0.25">
      <c r="A358" t="s">
        <v>2929</v>
      </c>
      <c r="B358" t="s">
        <v>8432</v>
      </c>
      <c r="C358" t="s">
        <v>931</v>
      </c>
      <c r="D358" t="s">
        <v>8434</v>
      </c>
    </row>
    <row r="359" spans="1:4" x14ac:dyDescent="0.25">
      <c r="A359" t="s">
        <v>2930</v>
      </c>
      <c r="B359" t="s">
        <v>8433</v>
      </c>
      <c r="C359" t="s">
        <v>932</v>
      </c>
      <c r="D359" t="s">
        <v>8435</v>
      </c>
    </row>
    <row r="360" spans="1:4" x14ac:dyDescent="0.25">
      <c r="A360" t="s">
        <v>2931</v>
      </c>
      <c r="B360" t="s">
        <v>8434</v>
      </c>
      <c r="C360" t="s">
        <v>933</v>
      </c>
      <c r="D360" t="s">
        <v>8436</v>
      </c>
    </row>
    <row r="361" spans="1:4" x14ac:dyDescent="0.25">
      <c r="A361" t="s">
        <v>2932</v>
      </c>
      <c r="B361" t="s">
        <v>8435</v>
      </c>
      <c r="C361" t="s">
        <v>934</v>
      </c>
      <c r="D361" t="s">
        <v>8437</v>
      </c>
    </row>
    <row r="362" spans="1:4" x14ac:dyDescent="0.25">
      <c r="A362" t="s">
        <v>2933</v>
      </c>
      <c r="B362" t="s">
        <v>8436</v>
      </c>
      <c r="C362" t="s">
        <v>935</v>
      </c>
      <c r="D362" t="s">
        <v>8438</v>
      </c>
    </row>
    <row r="363" spans="1:4" x14ac:dyDescent="0.25">
      <c r="A363" t="s">
        <v>2934</v>
      </c>
      <c r="B363" t="s">
        <v>8437</v>
      </c>
      <c r="C363" t="s">
        <v>936</v>
      </c>
      <c r="D363" t="s">
        <v>8439</v>
      </c>
    </row>
    <row r="364" spans="1:4" x14ac:dyDescent="0.25">
      <c r="A364" t="s">
        <v>2935</v>
      </c>
      <c r="B364" t="s">
        <v>8438</v>
      </c>
      <c r="C364" t="s">
        <v>937</v>
      </c>
      <c r="D364" t="s">
        <v>8440</v>
      </c>
    </row>
    <row r="365" spans="1:4" x14ac:dyDescent="0.25">
      <c r="A365" t="s">
        <v>2936</v>
      </c>
      <c r="B365" t="s">
        <v>8439</v>
      </c>
      <c r="C365" t="s">
        <v>938</v>
      </c>
      <c r="D365" t="s">
        <v>8441</v>
      </c>
    </row>
    <row r="366" spans="1:4" x14ac:dyDescent="0.25">
      <c r="A366" t="s">
        <v>2937</v>
      </c>
      <c r="B366" t="s">
        <v>8440</v>
      </c>
      <c r="C366" t="s">
        <v>939</v>
      </c>
      <c r="D366" t="s">
        <v>8442</v>
      </c>
    </row>
    <row r="367" spans="1:4" x14ac:dyDescent="0.25">
      <c r="A367" t="s">
        <v>2938</v>
      </c>
      <c r="B367" t="s">
        <v>8441</v>
      </c>
      <c r="C367" t="s">
        <v>940</v>
      </c>
      <c r="D367" t="s">
        <v>8443</v>
      </c>
    </row>
    <row r="368" spans="1:4" x14ac:dyDescent="0.25">
      <c r="A368" t="s">
        <v>2939</v>
      </c>
      <c r="B368" t="s">
        <v>8442</v>
      </c>
      <c r="C368" t="s">
        <v>941</v>
      </c>
      <c r="D368" t="s">
        <v>8444</v>
      </c>
    </row>
    <row r="369" spans="1:4" x14ac:dyDescent="0.25">
      <c r="A369" t="s">
        <v>2940</v>
      </c>
      <c r="B369" t="s">
        <v>8443</v>
      </c>
      <c r="C369" t="s">
        <v>942</v>
      </c>
      <c r="D369" t="s">
        <v>8445</v>
      </c>
    </row>
    <row r="370" spans="1:4" x14ac:dyDescent="0.25">
      <c r="A370" t="s">
        <v>2941</v>
      </c>
      <c r="B370" t="s">
        <v>8444</v>
      </c>
      <c r="C370" t="s">
        <v>943</v>
      </c>
      <c r="D370" t="s">
        <v>8446</v>
      </c>
    </row>
    <row r="371" spans="1:4" x14ac:dyDescent="0.25">
      <c r="A371" t="s">
        <v>2942</v>
      </c>
      <c r="B371" t="s">
        <v>8445</v>
      </c>
      <c r="C371" t="s">
        <v>944</v>
      </c>
      <c r="D371" t="s">
        <v>8447</v>
      </c>
    </row>
    <row r="372" spans="1:4" x14ac:dyDescent="0.25">
      <c r="A372" t="s">
        <v>2943</v>
      </c>
      <c r="B372" t="s">
        <v>8446</v>
      </c>
      <c r="C372" t="s">
        <v>945</v>
      </c>
      <c r="D372" t="s">
        <v>8448</v>
      </c>
    </row>
    <row r="373" spans="1:4" x14ac:dyDescent="0.25">
      <c r="A373" t="s">
        <v>2944</v>
      </c>
      <c r="B373" t="s">
        <v>8447</v>
      </c>
      <c r="C373" t="s">
        <v>946</v>
      </c>
      <c r="D373" t="s">
        <v>8449</v>
      </c>
    </row>
    <row r="374" spans="1:4" x14ac:dyDescent="0.25">
      <c r="A374" t="s">
        <v>2945</v>
      </c>
      <c r="B374" t="s">
        <v>8448</v>
      </c>
      <c r="C374" t="s">
        <v>947</v>
      </c>
      <c r="D374" t="s">
        <v>8450</v>
      </c>
    </row>
    <row r="375" spans="1:4" x14ac:dyDescent="0.25">
      <c r="A375" t="s">
        <v>2946</v>
      </c>
      <c r="B375" t="s">
        <v>8449</v>
      </c>
      <c r="C375" t="s">
        <v>948</v>
      </c>
      <c r="D375" t="s">
        <v>8451</v>
      </c>
    </row>
    <row r="376" spans="1:4" x14ac:dyDescent="0.25">
      <c r="A376" t="s">
        <v>2947</v>
      </c>
      <c r="B376" t="s">
        <v>8450</v>
      </c>
      <c r="C376" t="s">
        <v>949</v>
      </c>
      <c r="D376" t="s">
        <v>8452</v>
      </c>
    </row>
    <row r="377" spans="1:4" x14ac:dyDescent="0.25">
      <c r="A377" t="s">
        <v>2948</v>
      </c>
      <c r="B377" t="s">
        <v>8451</v>
      </c>
      <c r="C377" t="s">
        <v>950</v>
      </c>
      <c r="D377" t="s">
        <v>8453</v>
      </c>
    </row>
    <row r="378" spans="1:4" x14ac:dyDescent="0.25">
      <c r="A378" t="s">
        <v>2949</v>
      </c>
      <c r="B378" t="s">
        <v>8452</v>
      </c>
      <c r="C378" t="s">
        <v>951</v>
      </c>
      <c r="D378" t="s">
        <v>8454</v>
      </c>
    </row>
    <row r="379" spans="1:4" x14ac:dyDescent="0.25">
      <c r="A379" t="s">
        <v>2950</v>
      </c>
      <c r="B379" t="s">
        <v>8453</v>
      </c>
      <c r="C379" t="s">
        <v>952</v>
      </c>
      <c r="D379" t="s">
        <v>8455</v>
      </c>
    </row>
    <row r="380" spans="1:4" x14ac:dyDescent="0.25">
      <c r="A380" t="s">
        <v>2951</v>
      </c>
      <c r="B380" t="s">
        <v>8454</v>
      </c>
      <c r="C380" t="s">
        <v>953</v>
      </c>
      <c r="D380" t="s">
        <v>8456</v>
      </c>
    </row>
    <row r="381" spans="1:4" x14ac:dyDescent="0.25">
      <c r="A381" t="s">
        <v>2952</v>
      </c>
      <c r="B381" t="s">
        <v>8455</v>
      </c>
      <c r="C381" t="s">
        <v>954</v>
      </c>
      <c r="D381" t="s">
        <v>8457</v>
      </c>
    </row>
    <row r="382" spans="1:4" x14ac:dyDescent="0.25">
      <c r="A382" t="s">
        <v>2953</v>
      </c>
      <c r="B382" t="s">
        <v>8456</v>
      </c>
      <c r="C382" t="s">
        <v>955</v>
      </c>
      <c r="D382" t="s">
        <v>8458</v>
      </c>
    </row>
    <row r="383" spans="1:4" x14ac:dyDescent="0.25">
      <c r="A383" t="s">
        <v>2954</v>
      </c>
      <c r="B383" t="s">
        <v>8457</v>
      </c>
      <c r="C383" t="s">
        <v>956</v>
      </c>
      <c r="D383" t="s">
        <v>8459</v>
      </c>
    </row>
    <row r="384" spans="1:4" x14ac:dyDescent="0.25">
      <c r="A384" t="s">
        <v>2955</v>
      </c>
      <c r="B384" t="s">
        <v>8458</v>
      </c>
      <c r="C384" t="s">
        <v>957</v>
      </c>
      <c r="D384" t="s">
        <v>8460</v>
      </c>
    </row>
    <row r="385" spans="1:4" x14ac:dyDescent="0.25">
      <c r="A385" t="s">
        <v>2956</v>
      </c>
      <c r="B385" t="s">
        <v>8459</v>
      </c>
      <c r="C385" t="s">
        <v>958</v>
      </c>
      <c r="D385" t="s">
        <v>8461</v>
      </c>
    </row>
    <row r="386" spans="1:4" x14ac:dyDescent="0.25">
      <c r="A386" t="s">
        <v>2957</v>
      </c>
      <c r="B386" t="s">
        <v>8460</v>
      </c>
      <c r="C386" t="s">
        <v>959</v>
      </c>
      <c r="D386" t="s">
        <v>8462</v>
      </c>
    </row>
    <row r="387" spans="1:4" x14ac:dyDescent="0.25">
      <c r="A387" t="s">
        <v>2958</v>
      </c>
      <c r="B387" t="s">
        <v>8461</v>
      </c>
      <c r="C387" t="s">
        <v>960</v>
      </c>
      <c r="D387" t="s">
        <v>8463</v>
      </c>
    </row>
    <row r="388" spans="1:4" x14ac:dyDescent="0.25">
      <c r="A388" t="s">
        <v>2959</v>
      </c>
      <c r="B388" t="s">
        <v>8462</v>
      </c>
      <c r="C388" t="s">
        <v>961</v>
      </c>
      <c r="D388" t="s">
        <v>8464</v>
      </c>
    </row>
    <row r="389" spans="1:4" x14ac:dyDescent="0.25">
      <c r="A389" t="s">
        <v>2960</v>
      </c>
      <c r="B389" t="s">
        <v>8463</v>
      </c>
      <c r="C389" t="s">
        <v>962</v>
      </c>
      <c r="D389" t="s">
        <v>8465</v>
      </c>
    </row>
    <row r="390" spans="1:4" x14ac:dyDescent="0.25">
      <c r="A390" t="s">
        <v>2961</v>
      </c>
      <c r="B390" t="s">
        <v>8464</v>
      </c>
      <c r="C390" t="s">
        <v>963</v>
      </c>
      <c r="D390" t="s">
        <v>8466</v>
      </c>
    </row>
    <row r="391" spans="1:4" x14ac:dyDescent="0.25">
      <c r="A391" t="s">
        <v>2962</v>
      </c>
      <c r="B391" t="s">
        <v>8465</v>
      </c>
      <c r="C391" t="s">
        <v>964</v>
      </c>
      <c r="D391" t="s">
        <v>8467</v>
      </c>
    </row>
    <row r="392" spans="1:4" x14ac:dyDescent="0.25">
      <c r="A392" t="s">
        <v>2963</v>
      </c>
      <c r="B392" t="s">
        <v>8466</v>
      </c>
      <c r="C392" t="s">
        <v>965</v>
      </c>
      <c r="D392" t="s">
        <v>8468</v>
      </c>
    </row>
    <row r="393" spans="1:4" x14ac:dyDescent="0.25">
      <c r="A393" t="s">
        <v>2964</v>
      </c>
      <c r="B393" t="s">
        <v>8467</v>
      </c>
      <c r="C393" t="s">
        <v>966</v>
      </c>
      <c r="D393" t="s">
        <v>8469</v>
      </c>
    </row>
    <row r="394" spans="1:4" x14ac:dyDescent="0.25">
      <c r="A394" t="s">
        <v>2965</v>
      </c>
      <c r="B394" t="s">
        <v>8468</v>
      </c>
      <c r="C394" t="s">
        <v>967</v>
      </c>
      <c r="D394" t="s">
        <v>8470</v>
      </c>
    </row>
    <row r="395" spans="1:4" x14ac:dyDescent="0.25">
      <c r="A395" t="s">
        <v>2966</v>
      </c>
      <c r="B395" t="s">
        <v>8469</v>
      </c>
      <c r="C395" t="s">
        <v>968</v>
      </c>
      <c r="D395" t="s">
        <v>8471</v>
      </c>
    </row>
    <row r="396" spans="1:4" x14ac:dyDescent="0.25">
      <c r="A396" t="s">
        <v>2967</v>
      </c>
      <c r="B396" t="s">
        <v>8470</v>
      </c>
      <c r="C396" t="s">
        <v>969</v>
      </c>
      <c r="D396" t="s">
        <v>8472</v>
      </c>
    </row>
    <row r="397" spans="1:4" x14ac:dyDescent="0.25">
      <c r="A397" t="s">
        <v>2968</v>
      </c>
      <c r="B397" t="s">
        <v>8471</v>
      </c>
      <c r="C397" t="s">
        <v>970</v>
      </c>
      <c r="D397" t="s">
        <v>8473</v>
      </c>
    </row>
    <row r="398" spans="1:4" x14ac:dyDescent="0.25">
      <c r="A398" t="s">
        <v>2969</v>
      </c>
      <c r="B398" t="s">
        <v>8472</v>
      </c>
      <c r="C398" t="s">
        <v>971</v>
      </c>
      <c r="D398" t="s">
        <v>8474</v>
      </c>
    </row>
    <row r="399" spans="1:4" x14ac:dyDescent="0.25">
      <c r="A399" t="s">
        <v>2970</v>
      </c>
      <c r="B399" t="s">
        <v>8473</v>
      </c>
      <c r="C399" t="s">
        <v>972</v>
      </c>
      <c r="D399" t="s">
        <v>8475</v>
      </c>
    </row>
    <row r="400" spans="1:4" x14ac:dyDescent="0.25">
      <c r="A400" t="s">
        <v>2971</v>
      </c>
      <c r="B400" t="s">
        <v>8474</v>
      </c>
      <c r="C400" t="s">
        <v>973</v>
      </c>
      <c r="D400" t="s">
        <v>8476</v>
      </c>
    </row>
    <row r="401" spans="1:4" x14ac:dyDescent="0.25">
      <c r="A401" t="s">
        <v>2972</v>
      </c>
      <c r="B401" t="s">
        <v>8475</v>
      </c>
      <c r="C401" t="s">
        <v>974</v>
      </c>
      <c r="D401" t="s">
        <v>8477</v>
      </c>
    </row>
    <row r="402" spans="1:4" x14ac:dyDescent="0.25">
      <c r="A402" t="s">
        <v>2973</v>
      </c>
      <c r="B402" t="s">
        <v>8476</v>
      </c>
      <c r="C402" t="s">
        <v>975</v>
      </c>
      <c r="D402" t="s">
        <v>8478</v>
      </c>
    </row>
    <row r="403" spans="1:4" x14ac:dyDescent="0.25">
      <c r="A403" t="s">
        <v>2974</v>
      </c>
      <c r="B403" t="s">
        <v>8477</v>
      </c>
      <c r="C403" t="s">
        <v>976</v>
      </c>
      <c r="D403" t="s">
        <v>8479</v>
      </c>
    </row>
    <row r="404" spans="1:4" x14ac:dyDescent="0.25">
      <c r="A404" t="s">
        <v>2975</v>
      </c>
      <c r="B404" t="s">
        <v>8478</v>
      </c>
      <c r="C404" t="s">
        <v>977</v>
      </c>
      <c r="D404" t="s">
        <v>8480</v>
      </c>
    </row>
    <row r="405" spans="1:4" x14ac:dyDescent="0.25">
      <c r="A405" t="s">
        <v>2976</v>
      </c>
      <c r="B405" t="s">
        <v>8479</v>
      </c>
      <c r="C405" t="s">
        <v>978</v>
      </c>
      <c r="D405" t="s">
        <v>8481</v>
      </c>
    </row>
    <row r="406" spans="1:4" x14ac:dyDescent="0.25">
      <c r="A406" t="s">
        <v>2977</v>
      </c>
      <c r="B406" t="s">
        <v>8480</v>
      </c>
      <c r="C406" t="s">
        <v>979</v>
      </c>
      <c r="D406" t="s">
        <v>8482</v>
      </c>
    </row>
    <row r="407" spans="1:4" x14ac:dyDescent="0.25">
      <c r="A407" t="s">
        <v>2978</v>
      </c>
      <c r="B407" t="s">
        <v>8481</v>
      </c>
      <c r="C407" t="s">
        <v>980</v>
      </c>
      <c r="D407" t="s">
        <v>8483</v>
      </c>
    </row>
    <row r="408" spans="1:4" x14ac:dyDescent="0.25">
      <c r="A408" t="s">
        <v>2979</v>
      </c>
      <c r="B408" t="s">
        <v>8482</v>
      </c>
      <c r="C408" t="s">
        <v>981</v>
      </c>
      <c r="D408" t="s">
        <v>8484</v>
      </c>
    </row>
    <row r="409" spans="1:4" x14ac:dyDescent="0.25">
      <c r="A409" t="s">
        <v>2980</v>
      </c>
      <c r="B409" t="s">
        <v>8483</v>
      </c>
      <c r="C409" t="s">
        <v>982</v>
      </c>
      <c r="D409" t="s">
        <v>8485</v>
      </c>
    </row>
    <row r="410" spans="1:4" x14ac:dyDescent="0.25">
      <c r="A410" t="s">
        <v>2981</v>
      </c>
      <c r="B410" t="s">
        <v>8484</v>
      </c>
      <c r="C410" t="s">
        <v>983</v>
      </c>
      <c r="D410" t="s">
        <v>8486</v>
      </c>
    </row>
    <row r="411" spans="1:4" x14ac:dyDescent="0.25">
      <c r="A411" t="s">
        <v>2982</v>
      </c>
      <c r="B411" t="s">
        <v>8485</v>
      </c>
      <c r="C411" t="s">
        <v>984</v>
      </c>
      <c r="D411" t="s">
        <v>8487</v>
      </c>
    </row>
    <row r="412" spans="1:4" x14ac:dyDescent="0.25">
      <c r="A412" t="s">
        <v>2983</v>
      </c>
      <c r="B412" t="s">
        <v>8486</v>
      </c>
      <c r="C412" t="s">
        <v>985</v>
      </c>
      <c r="D412" t="s">
        <v>8488</v>
      </c>
    </row>
    <row r="413" spans="1:4" x14ac:dyDescent="0.25">
      <c r="A413" t="s">
        <v>2984</v>
      </c>
      <c r="B413" t="s">
        <v>8487</v>
      </c>
      <c r="C413" t="s">
        <v>986</v>
      </c>
      <c r="D413" t="s">
        <v>8489</v>
      </c>
    </row>
    <row r="414" spans="1:4" x14ac:dyDescent="0.25">
      <c r="A414" t="s">
        <v>2985</v>
      </c>
      <c r="B414" t="s">
        <v>8488</v>
      </c>
      <c r="C414" t="s">
        <v>987</v>
      </c>
      <c r="D414" t="s">
        <v>8490</v>
      </c>
    </row>
    <row r="415" spans="1:4" x14ac:dyDescent="0.25">
      <c r="A415" t="s">
        <v>2986</v>
      </c>
      <c r="B415" t="s">
        <v>8489</v>
      </c>
      <c r="C415" t="s">
        <v>988</v>
      </c>
      <c r="D415" t="s">
        <v>8491</v>
      </c>
    </row>
    <row r="416" spans="1:4" x14ac:dyDescent="0.25">
      <c r="A416" t="s">
        <v>2987</v>
      </c>
      <c r="B416" t="s">
        <v>8490</v>
      </c>
      <c r="C416" t="s">
        <v>989</v>
      </c>
      <c r="D416" t="s">
        <v>8492</v>
      </c>
    </row>
    <row r="417" spans="1:4" x14ac:dyDescent="0.25">
      <c r="A417" t="s">
        <v>2988</v>
      </c>
      <c r="B417" t="s">
        <v>8491</v>
      </c>
      <c r="C417" t="s">
        <v>990</v>
      </c>
      <c r="D417" t="s">
        <v>8493</v>
      </c>
    </row>
    <row r="418" spans="1:4" x14ac:dyDescent="0.25">
      <c r="A418" t="s">
        <v>2989</v>
      </c>
      <c r="B418" t="s">
        <v>8492</v>
      </c>
      <c r="C418" t="s">
        <v>991</v>
      </c>
      <c r="D418" t="s">
        <v>8494</v>
      </c>
    </row>
    <row r="419" spans="1:4" x14ac:dyDescent="0.25">
      <c r="A419" t="s">
        <v>2990</v>
      </c>
      <c r="B419" t="s">
        <v>8493</v>
      </c>
      <c r="C419" t="s">
        <v>992</v>
      </c>
      <c r="D419" t="s">
        <v>8495</v>
      </c>
    </row>
    <row r="420" spans="1:4" x14ac:dyDescent="0.25">
      <c r="A420" t="s">
        <v>2991</v>
      </c>
      <c r="B420" t="s">
        <v>8494</v>
      </c>
      <c r="C420" t="s">
        <v>993</v>
      </c>
      <c r="D420" t="s">
        <v>8496</v>
      </c>
    </row>
    <row r="421" spans="1:4" x14ac:dyDescent="0.25">
      <c r="A421" t="s">
        <v>2992</v>
      </c>
      <c r="B421" t="s">
        <v>8495</v>
      </c>
      <c r="C421" t="s">
        <v>994</v>
      </c>
      <c r="D421" t="s">
        <v>8497</v>
      </c>
    </row>
    <row r="422" spans="1:4" x14ac:dyDescent="0.25">
      <c r="A422" t="s">
        <v>2993</v>
      </c>
      <c r="B422" t="s">
        <v>8496</v>
      </c>
      <c r="C422" t="s">
        <v>995</v>
      </c>
      <c r="D422" t="s">
        <v>8498</v>
      </c>
    </row>
    <row r="423" spans="1:4" x14ac:dyDescent="0.25">
      <c r="A423" t="s">
        <v>2994</v>
      </c>
      <c r="B423" t="s">
        <v>8497</v>
      </c>
      <c r="C423" t="s">
        <v>996</v>
      </c>
      <c r="D423" t="s">
        <v>8499</v>
      </c>
    </row>
    <row r="424" spans="1:4" x14ac:dyDescent="0.25">
      <c r="A424" t="s">
        <v>2995</v>
      </c>
      <c r="B424" t="s">
        <v>8498</v>
      </c>
      <c r="C424" t="s">
        <v>997</v>
      </c>
      <c r="D424" t="s">
        <v>8500</v>
      </c>
    </row>
    <row r="425" spans="1:4" x14ac:dyDescent="0.25">
      <c r="A425" t="s">
        <v>2996</v>
      </c>
      <c r="B425" t="s">
        <v>8499</v>
      </c>
      <c r="C425" t="s">
        <v>998</v>
      </c>
      <c r="D425" t="s">
        <v>8501</v>
      </c>
    </row>
    <row r="426" spans="1:4" x14ac:dyDescent="0.25">
      <c r="A426" t="s">
        <v>2997</v>
      </c>
      <c r="B426" t="s">
        <v>8500</v>
      </c>
      <c r="C426" t="s">
        <v>999</v>
      </c>
      <c r="D426" t="s">
        <v>8502</v>
      </c>
    </row>
    <row r="427" spans="1:4" x14ac:dyDescent="0.25">
      <c r="A427" t="s">
        <v>2998</v>
      </c>
      <c r="B427" t="s">
        <v>8501</v>
      </c>
      <c r="C427" t="s">
        <v>1000</v>
      </c>
      <c r="D427" t="s">
        <v>8503</v>
      </c>
    </row>
    <row r="428" spans="1:4" x14ac:dyDescent="0.25">
      <c r="A428" t="s">
        <v>2999</v>
      </c>
      <c r="B428" t="s">
        <v>8502</v>
      </c>
      <c r="C428" t="s">
        <v>1001</v>
      </c>
      <c r="D428" t="s">
        <v>8504</v>
      </c>
    </row>
    <row r="429" spans="1:4" x14ac:dyDescent="0.25">
      <c r="A429" t="s">
        <v>3000</v>
      </c>
      <c r="B429" t="s">
        <v>8503</v>
      </c>
      <c r="C429" t="s">
        <v>1002</v>
      </c>
      <c r="D429" t="s">
        <v>8505</v>
      </c>
    </row>
    <row r="430" spans="1:4" x14ac:dyDescent="0.25">
      <c r="A430" t="s">
        <v>3001</v>
      </c>
      <c r="B430" t="s">
        <v>8504</v>
      </c>
      <c r="C430" t="s">
        <v>1003</v>
      </c>
      <c r="D430" t="s">
        <v>8506</v>
      </c>
    </row>
    <row r="431" spans="1:4" x14ac:dyDescent="0.25">
      <c r="A431" t="s">
        <v>3002</v>
      </c>
      <c r="B431" t="s">
        <v>8505</v>
      </c>
      <c r="C431" t="s">
        <v>1004</v>
      </c>
      <c r="D431" t="s">
        <v>8507</v>
      </c>
    </row>
    <row r="432" spans="1:4" x14ac:dyDescent="0.25">
      <c r="A432" t="s">
        <v>3003</v>
      </c>
      <c r="B432" t="s">
        <v>8506</v>
      </c>
      <c r="C432" t="s">
        <v>1005</v>
      </c>
      <c r="D432" t="s">
        <v>8508</v>
      </c>
    </row>
    <row r="433" spans="1:4" x14ac:dyDescent="0.25">
      <c r="A433" t="s">
        <v>3004</v>
      </c>
      <c r="B433" t="s">
        <v>8507</v>
      </c>
      <c r="C433" t="s">
        <v>1006</v>
      </c>
      <c r="D433" t="s">
        <v>8509</v>
      </c>
    </row>
    <row r="434" spans="1:4" x14ac:dyDescent="0.25">
      <c r="A434" t="s">
        <v>3005</v>
      </c>
      <c r="B434" t="s">
        <v>8508</v>
      </c>
      <c r="C434" t="s">
        <v>1007</v>
      </c>
      <c r="D434" t="s">
        <v>8510</v>
      </c>
    </row>
    <row r="435" spans="1:4" x14ac:dyDescent="0.25">
      <c r="A435" t="s">
        <v>3006</v>
      </c>
      <c r="B435" t="s">
        <v>8509</v>
      </c>
      <c r="C435" t="s">
        <v>1008</v>
      </c>
      <c r="D435" t="s">
        <v>8511</v>
      </c>
    </row>
    <row r="436" spans="1:4" x14ac:dyDescent="0.25">
      <c r="A436" t="s">
        <v>3007</v>
      </c>
      <c r="B436" t="s">
        <v>8510</v>
      </c>
      <c r="C436" t="s">
        <v>1009</v>
      </c>
      <c r="D436" t="s">
        <v>8512</v>
      </c>
    </row>
    <row r="437" spans="1:4" x14ac:dyDescent="0.25">
      <c r="A437" t="s">
        <v>3008</v>
      </c>
      <c r="B437" t="s">
        <v>8511</v>
      </c>
      <c r="C437" t="s">
        <v>1010</v>
      </c>
      <c r="D437" t="s">
        <v>8513</v>
      </c>
    </row>
    <row r="438" spans="1:4" x14ac:dyDescent="0.25">
      <c r="A438" t="s">
        <v>3009</v>
      </c>
      <c r="B438" t="s">
        <v>8512</v>
      </c>
      <c r="C438" t="s">
        <v>1011</v>
      </c>
      <c r="D438" t="s">
        <v>8514</v>
      </c>
    </row>
    <row r="439" spans="1:4" x14ac:dyDescent="0.25">
      <c r="A439" t="s">
        <v>3010</v>
      </c>
      <c r="B439" t="s">
        <v>8513</v>
      </c>
      <c r="C439" t="s">
        <v>1012</v>
      </c>
      <c r="D439" t="s">
        <v>8515</v>
      </c>
    </row>
    <row r="440" spans="1:4" x14ac:dyDescent="0.25">
      <c r="A440" t="s">
        <v>3011</v>
      </c>
      <c r="B440" t="s">
        <v>8514</v>
      </c>
      <c r="C440" t="s">
        <v>1013</v>
      </c>
      <c r="D440" t="s">
        <v>8516</v>
      </c>
    </row>
    <row r="441" spans="1:4" x14ac:dyDescent="0.25">
      <c r="A441" t="s">
        <v>3012</v>
      </c>
      <c r="B441" t="s">
        <v>8515</v>
      </c>
      <c r="C441" t="s">
        <v>1014</v>
      </c>
      <c r="D441" t="s">
        <v>8517</v>
      </c>
    </row>
    <row r="442" spans="1:4" x14ac:dyDescent="0.25">
      <c r="A442" t="s">
        <v>3013</v>
      </c>
      <c r="B442" t="s">
        <v>8516</v>
      </c>
      <c r="C442" t="s">
        <v>1015</v>
      </c>
      <c r="D442" t="s">
        <v>8518</v>
      </c>
    </row>
    <row r="443" spans="1:4" x14ac:dyDescent="0.25">
      <c r="A443" t="s">
        <v>3014</v>
      </c>
      <c r="B443" t="s">
        <v>8517</v>
      </c>
      <c r="C443" t="s">
        <v>1016</v>
      </c>
      <c r="D443" t="s">
        <v>8519</v>
      </c>
    </row>
    <row r="444" spans="1:4" x14ac:dyDescent="0.25">
      <c r="A444" t="s">
        <v>3015</v>
      </c>
      <c r="B444" t="s">
        <v>8518</v>
      </c>
      <c r="C444" t="s">
        <v>1017</v>
      </c>
      <c r="D444" t="s">
        <v>8520</v>
      </c>
    </row>
    <row r="445" spans="1:4" x14ac:dyDescent="0.25">
      <c r="A445" t="s">
        <v>3016</v>
      </c>
      <c r="B445" t="s">
        <v>8519</v>
      </c>
      <c r="C445" t="s">
        <v>1018</v>
      </c>
      <c r="D445" t="s">
        <v>8521</v>
      </c>
    </row>
    <row r="446" spans="1:4" x14ac:dyDescent="0.25">
      <c r="A446" t="s">
        <v>3017</v>
      </c>
      <c r="B446" t="s">
        <v>8520</v>
      </c>
      <c r="C446" t="s">
        <v>1019</v>
      </c>
      <c r="D446" t="s">
        <v>8522</v>
      </c>
    </row>
    <row r="447" spans="1:4" x14ac:dyDescent="0.25">
      <c r="A447" t="s">
        <v>3018</v>
      </c>
      <c r="B447" t="s">
        <v>8521</v>
      </c>
      <c r="C447" t="s">
        <v>1020</v>
      </c>
      <c r="D447" t="s">
        <v>8523</v>
      </c>
    </row>
    <row r="448" spans="1:4" x14ac:dyDescent="0.25">
      <c r="A448" t="s">
        <v>3019</v>
      </c>
      <c r="B448" t="s">
        <v>8522</v>
      </c>
      <c r="C448" t="s">
        <v>1021</v>
      </c>
      <c r="D448" t="s">
        <v>8524</v>
      </c>
    </row>
    <row r="449" spans="1:4" x14ac:dyDescent="0.25">
      <c r="A449" t="s">
        <v>3020</v>
      </c>
      <c r="B449" t="s">
        <v>8523</v>
      </c>
      <c r="C449" t="s">
        <v>1022</v>
      </c>
      <c r="D449" t="s">
        <v>8525</v>
      </c>
    </row>
    <row r="450" spans="1:4" x14ac:dyDescent="0.25">
      <c r="A450" t="s">
        <v>3021</v>
      </c>
      <c r="B450" t="s">
        <v>8524</v>
      </c>
      <c r="C450" t="s">
        <v>1023</v>
      </c>
      <c r="D450" t="s">
        <v>8526</v>
      </c>
    </row>
    <row r="451" spans="1:4" x14ac:dyDescent="0.25">
      <c r="A451" t="s">
        <v>3022</v>
      </c>
      <c r="B451" t="s">
        <v>8525</v>
      </c>
      <c r="C451" t="s">
        <v>1024</v>
      </c>
      <c r="D451" t="s">
        <v>8527</v>
      </c>
    </row>
    <row r="452" spans="1:4" x14ac:dyDescent="0.25">
      <c r="A452" t="s">
        <v>3023</v>
      </c>
      <c r="B452" t="s">
        <v>8526</v>
      </c>
      <c r="C452" t="s">
        <v>1025</v>
      </c>
      <c r="D452" t="s">
        <v>8528</v>
      </c>
    </row>
    <row r="453" spans="1:4" x14ac:dyDescent="0.25">
      <c r="A453" t="s">
        <v>3024</v>
      </c>
      <c r="B453" t="s">
        <v>8527</v>
      </c>
      <c r="C453" t="s">
        <v>1026</v>
      </c>
      <c r="D453" t="s">
        <v>8529</v>
      </c>
    </row>
    <row r="454" spans="1:4" x14ac:dyDescent="0.25">
      <c r="A454" t="s">
        <v>3025</v>
      </c>
      <c r="B454" t="s">
        <v>8528</v>
      </c>
      <c r="C454" t="s">
        <v>1027</v>
      </c>
      <c r="D454" t="s">
        <v>8530</v>
      </c>
    </row>
    <row r="455" spans="1:4" x14ac:dyDescent="0.25">
      <c r="A455" t="s">
        <v>3026</v>
      </c>
      <c r="B455" t="s">
        <v>8529</v>
      </c>
      <c r="C455" t="s">
        <v>1028</v>
      </c>
      <c r="D455" t="s">
        <v>8531</v>
      </c>
    </row>
    <row r="456" spans="1:4" x14ac:dyDescent="0.25">
      <c r="A456" t="s">
        <v>3027</v>
      </c>
      <c r="B456" t="s">
        <v>8530</v>
      </c>
      <c r="C456" t="s">
        <v>1029</v>
      </c>
      <c r="D456" t="s">
        <v>8532</v>
      </c>
    </row>
    <row r="457" spans="1:4" x14ac:dyDescent="0.25">
      <c r="A457" t="s">
        <v>3028</v>
      </c>
      <c r="B457" t="s">
        <v>8531</v>
      </c>
      <c r="C457" t="s">
        <v>1030</v>
      </c>
      <c r="D457" t="s">
        <v>8533</v>
      </c>
    </row>
    <row r="458" spans="1:4" x14ac:dyDescent="0.25">
      <c r="A458" t="s">
        <v>3029</v>
      </c>
      <c r="B458" t="s">
        <v>8532</v>
      </c>
      <c r="C458" t="s">
        <v>1031</v>
      </c>
      <c r="D458" t="s">
        <v>8534</v>
      </c>
    </row>
    <row r="459" spans="1:4" x14ac:dyDescent="0.25">
      <c r="A459" t="s">
        <v>3030</v>
      </c>
      <c r="B459" t="s">
        <v>8533</v>
      </c>
      <c r="C459" t="s">
        <v>1032</v>
      </c>
      <c r="D459" t="s">
        <v>8535</v>
      </c>
    </row>
    <row r="460" spans="1:4" x14ac:dyDescent="0.25">
      <c r="A460" t="s">
        <v>3031</v>
      </c>
      <c r="B460" t="s">
        <v>8534</v>
      </c>
      <c r="C460" t="s">
        <v>1033</v>
      </c>
      <c r="D460" t="s">
        <v>8536</v>
      </c>
    </row>
    <row r="461" spans="1:4" x14ac:dyDescent="0.25">
      <c r="A461" t="s">
        <v>3032</v>
      </c>
      <c r="B461" t="s">
        <v>8535</v>
      </c>
      <c r="C461" t="s">
        <v>1034</v>
      </c>
      <c r="D461" t="s">
        <v>8537</v>
      </c>
    </row>
    <row r="462" spans="1:4" x14ac:dyDescent="0.25">
      <c r="A462" t="s">
        <v>3033</v>
      </c>
      <c r="B462" t="s">
        <v>8536</v>
      </c>
      <c r="C462" t="s">
        <v>1035</v>
      </c>
      <c r="D462" t="s">
        <v>8538</v>
      </c>
    </row>
    <row r="463" spans="1:4" x14ac:dyDescent="0.25">
      <c r="A463" t="s">
        <v>3034</v>
      </c>
      <c r="B463" t="s">
        <v>8537</v>
      </c>
      <c r="C463" t="s">
        <v>1036</v>
      </c>
      <c r="D463" t="s">
        <v>8539</v>
      </c>
    </row>
    <row r="464" spans="1:4" x14ac:dyDescent="0.25">
      <c r="A464" t="s">
        <v>3035</v>
      </c>
      <c r="B464" t="s">
        <v>8538</v>
      </c>
      <c r="C464" t="s">
        <v>1037</v>
      </c>
      <c r="D464" t="s">
        <v>8540</v>
      </c>
    </row>
    <row r="465" spans="1:4" x14ac:dyDescent="0.25">
      <c r="A465" t="s">
        <v>3036</v>
      </c>
      <c r="B465" t="s">
        <v>8539</v>
      </c>
      <c r="C465" t="s">
        <v>1038</v>
      </c>
      <c r="D465" t="s">
        <v>8541</v>
      </c>
    </row>
    <row r="466" spans="1:4" x14ac:dyDescent="0.25">
      <c r="A466" t="s">
        <v>3037</v>
      </c>
      <c r="B466" t="s">
        <v>8540</v>
      </c>
      <c r="C466" t="s">
        <v>1039</v>
      </c>
      <c r="D466" t="s">
        <v>8542</v>
      </c>
    </row>
    <row r="467" spans="1:4" x14ac:dyDescent="0.25">
      <c r="A467" t="s">
        <v>3038</v>
      </c>
      <c r="B467" t="s">
        <v>8541</v>
      </c>
      <c r="C467" t="s">
        <v>1040</v>
      </c>
      <c r="D467" t="s">
        <v>8543</v>
      </c>
    </row>
    <row r="468" spans="1:4" x14ac:dyDescent="0.25">
      <c r="A468" t="s">
        <v>3039</v>
      </c>
      <c r="B468" t="s">
        <v>8542</v>
      </c>
      <c r="C468" t="s">
        <v>1041</v>
      </c>
      <c r="D468" t="s">
        <v>8544</v>
      </c>
    </row>
    <row r="469" spans="1:4" x14ac:dyDescent="0.25">
      <c r="A469" t="s">
        <v>3040</v>
      </c>
      <c r="B469" t="s">
        <v>8543</v>
      </c>
      <c r="C469" t="s">
        <v>1042</v>
      </c>
      <c r="D469" t="s">
        <v>8545</v>
      </c>
    </row>
    <row r="470" spans="1:4" x14ac:dyDescent="0.25">
      <c r="A470" t="s">
        <v>3041</v>
      </c>
      <c r="B470" t="s">
        <v>8544</v>
      </c>
      <c r="C470" t="s">
        <v>1043</v>
      </c>
      <c r="D470" t="s">
        <v>8546</v>
      </c>
    </row>
    <row r="471" spans="1:4" x14ac:dyDescent="0.25">
      <c r="A471" t="s">
        <v>3042</v>
      </c>
      <c r="B471" t="s">
        <v>8545</v>
      </c>
      <c r="C471" t="s">
        <v>1044</v>
      </c>
      <c r="D471" t="s">
        <v>8547</v>
      </c>
    </row>
    <row r="472" spans="1:4" x14ac:dyDescent="0.25">
      <c r="A472" t="s">
        <v>3043</v>
      </c>
      <c r="B472" t="s">
        <v>8546</v>
      </c>
      <c r="C472" t="s">
        <v>1045</v>
      </c>
      <c r="D472" t="s">
        <v>8548</v>
      </c>
    </row>
    <row r="473" spans="1:4" x14ac:dyDescent="0.25">
      <c r="A473" t="s">
        <v>3044</v>
      </c>
      <c r="B473" t="s">
        <v>8547</v>
      </c>
      <c r="C473" t="s">
        <v>1046</v>
      </c>
      <c r="D473" t="s">
        <v>8549</v>
      </c>
    </row>
    <row r="474" spans="1:4" x14ac:dyDescent="0.25">
      <c r="A474" t="s">
        <v>3045</v>
      </c>
      <c r="B474" t="s">
        <v>8548</v>
      </c>
      <c r="C474" t="s">
        <v>1047</v>
      </c>
      <c r="D474" t="s">
        <v>8550</v>
      </c>
    </row>
    <row r="475" spans="1:4" x14ac:dyDescent="0.25">
      <c r="A475" t="s">
        <v>3046</v>
      </c>
      <c r="B475" t="s">
        <v>8549</v>
      </c>
      <c r="C475" t="s">
        <v>1048</v>
      </c>
      <c r="D475" t="s">
        <v>8551</v>
      </c>
    </row>
    <row r="476" spans="1:4" x14ac:dyDescent="0.25">
      <c r="A476" t="s">
        <v>3047</v>
      </c>
      <c r="B476" t="s">
        <v>8550</v>
      </c>
      <c r="C476" t="s">
        <v>1049</v>
      </c>
      <c r="D476" t="s">
        <v>8552</v>
      </c>
    </row>
    <row r="477" spans="1:4" x14ac:dyDescent="0.25">
      <c r="A477" t="s">
        <v>3048</v>
      </c>
      <c r="B477" t="s">
        <v>8551</v>
      </c>
      <c r="C477" t="s">
        <v>1050</v>
      </c>
      <c r="D477" t="s">
        <v>8553</v>
      </c>
    </row>
    <row r="478" spans="1:4" x14ac:dyDescent="0.25">
      <c r="A478" t="s">
        <v>3049</v>
      </c>
      <c r="B478" t="s">
        <v>8552</v>
      </c>
      <c r="C478" t="s">
        <v>1051</v>
      </c>
      <c r="D478" t="s">
        <v>8554</v>
      </c>
    </row>
    <row r="479" spans="1:4" x14ac:dyDescent="0.25">
      <c r="A479" t="s">
        <v>3050</v>
      </c>
      <c r="B479" t="s">
        <v>8553</v>
      </c>
      <c r="C479" t="s">
        <v>1052</v>
      </c>
      <c r="D479" t="s">
        <v>8555</v>
      </c>
    </row>
    <row r="480" spans="1:4" x14ac:dyDescent="0.25">
      <c r="A480" t="s">
        <v>3051</v>
      </c>
      <c r="B480" t="s">
        <v>8554</v>
      </c>
      <c r="C480" t="s">
        <v>1053</v>
      </c>
      <c r="D480" t="s">
        <v>8556</v>
      </c>
    </row>
    <row r="481" spans="1:4" x14ac:dyDescent="0.25">
      <c r="A481" t="s">
        <v>3052</v>
      </c>
      <c r="B481" t="s">
        <v>8555</v>
      </c>
      <c r="C481" t="s">
        <v>1054</v>
      </c>
      <c r="D481" t="s">
        <v>8557</v>
      </c>
    </row>
    <row r="482" spans="1:4" x14ac:dyDescent="0.25">
      <c r="A482" t="s">
        <v>3053</v>
      </c>
      <c r="B482" t="s">
        <v>8556</v>
      </c>
      <c r="C482" t="s">
        <v>1055</v>
      </c>
      <c r="D482" t="s">
        <v>8558</v>
      </c>
    </row>
    <row r="483" spans="1:4" x14ac:dyDescent="0.25">
      <c r="A483" t="s">
        <v>3054</v>
      </c>
      <c r="B483" t="s">
        <v>8557</v>
      </c>
      <c r="C483" t="s">
        <v>1056</v>
      </c>
      <c r="D483" t="s">
        <v>8559</v>
      </c>
    </row>
    <row r="484" spans="1:4" x14ac:dyDescent="0.25">
      <c r="A484" t="s">
        <v>3055</v>
      </c>
      <c r="B484" t="s">
        <v>8558</v>
      </c>
      <c r="C484" t="s">
        <v>1057</v>
      </c>
      <c r="D484" t="s">
        <v>8560</v>
      </c>
    </row>
    <row r="485" spans="1:4" x14ac:dyDescent="0.25">
      <c r="A485" t="s">
        <v>3056</v>
      </c>
      <c r="B485" t="s">
        <v>8559</v>
      </c>
      <c r="C485" t="s">
        <v>1058</v>
      </c>
      <c r="D485" t="s">
        <v>8561</v>
      </c>
    </row>
    <row r="486" spans="1:4" x14ac:dyDescent="0.25">
      <c r="A486" t="s">
        <v>3057</v>
      </c>
      <c r="B486" t="s">
        <v>8560</v>
      </c>
      <c r="C486" t="s">
        <v>1059</v>
      </c>
      <c r="D486" t="s">
        <v>8562</v>
      </c>
    </row>
    <row r="487" spans="1:4" x14ac:dyDescent="0.25">
      <c r="A487" t="s">
        <v>3058</v>
      </c>
      <c r="B487" t="s">
        <v>8561</v>
      </c>
      <c r="C487" t="s">
        <v>1060</v>
      </c>
      <c r="D487" t="s">
        <v>8563</v>
      </c>
    </row>
    <row r="488" spans="1:4" x14ac:dyDescent="0.25">
      <c r="A488" t="s">
        <v>3059</v>
      </c>
      <c r="B488" t="s">
        <v>8562</v>
      </c>
      <c r="C488" t="s">
        <v>1061</v>
      </c>
      <c r="D488" t="s">
        <v>8564</v>
      </c>
    </row>
    <row r="489" spans="1:4" x14ac:dyDescent="0.25">
      <c r="A489" t="s">
        <v>3060</v>
      </c>
      <c r="B489" t="s">
        <v>8563</v>
      </c>
      <c r="C489" t="s">
        <v>1062</v>
      </c>
      <c r="D489" t="s">
        <v>8565</v>
      </c>
    </row>
    <row r="490" spans="1:4" x14ac:dyDescent="0.25">
      <c r="A490" t="s">
        <v>3061</v>
      </c>
      <c r="B490" t="s">
        <v>8564</v>
      </c>
      <c r="C490" t="s">
        <v>1063</v>
      </c>
      <c r="D490" t="s">
        <v>8566</v>
      </c>
    </row>
    <row r="491" spans="1:4" x14ac:dyDescent="0.25">
      <c r="A491" t="s">
        <v>3062</v>
      </c>
      <c r="B491" t="s">
        <v>8565</v>
      </c>
      <c r="C491" t="s">
        <v>1064</v>
      </c>
      <c r="D491" t="s">
        <v>8567</v>
      </c>
    </row>
    <row r="492" spans="1:4" x14ac:dyDescent="0.25">
      <c r="A492" t="s">
        <v>3063</v>
      </c>
      <c r="B492" t="s">
        <v>8566</v>
      </c>
      <c r="C492" t="s">
        <v>1065</v>
      </c>
      <c r="D492" t="s">
        <v>8568</v>
      </c>
    </row>
    <row r="493" spans="1:4" x14ac:dyDescent="0.25">
      <c r="A493" t="s">
        <v>3064</v>
      </c>
      <c r="B493" t="s">
        <v>8567</v>
      </c>
      <c r="C493" t="s">
        <v>1066</v>
      </c>
      <c r="D493" t="s">
        <v>8569</v>
      </c>
    </row>
    <row r="494" spans="1:4" x14ac:dyDescent="0.25">
      <c r="A494" t="s">
        <v>3065</v>
      </c>
      <c r="B494" t="s">
        <v>8568</v>
      </c>
      <c r="C494" t="s">
        <v>1067</v>
      </c>
      <c r="D494" t="s">
        <v>8570</v>
      </c>
    </row>
    <row r="495" spans="1:4" x14ac:dyDescent="0.25">
      <c r="A495" t="s">
        <v>3066</v>
      </c>
      <c r="B495" t="s">
        <v>8569</v>
      </c>
      <c r="C495" t="s">
        <v>1068</v>
      </c>
      <c r="D495" t="s">
        <v>8571</v>
      </c>
    </row>
    <row r="496" spans="1:4" x14ac:dyDescent="0.25">
      <c r="A496" t="s">
        <v>3067</v>
      </c>
      <c r="B496" t="s">
        <v>8570</v>
      </c>
      <c r="C496" t="s">
        <v>1069</v>
      </c>
      <c r="D496" t="s">
        <v>8572</v>
      </c>
    </row>
    <row r="497" spans="1:4" x14ac:dyDescent="0.25">
      <c r="A497" t="s">
        <v>3068</v>
      </c>
      <c r="B497" t="s">
        <v>8571</v>
      </c>
      <c r="C497" t="s">
        <v>1070</v>
      </c>
      <c r="D497" t="s">
        <v>8573</v>
      </c>
    </row>
    <row r="498" spans="1:4" x14ac:dyDescent="0.25">
      <c r="A498" t="s">
        <v>3069</v>
      </c>
      <c r="B498" t="s">
        <v>8572</v>
      </c>
      <c r="C498" t="s">
        <v>1071</v>
      </c>
      <c r="D498" t="s">
        <v>8574</v>
      </c>
    </row>
    <row r="499" spans="1:4" x14ac:dyDescent="0.25">
      <c r="A499" t="s">
        <v>3070</v>
      </c>
      <c r="B499" t="s">
        <v>8573</v>
      </c>
      <c r="C499" t="s">
        <v>1072</v>
      </c>
      <c r="D499" t="s">
        <v>8575</v>
      </c>
    </row>
    <row r="500" spans="1:4" x14ac:dyDescent="0.25">
      <c r="A500" t="s">
        <v>3071</v>
      </c>
      <c r="B500" t="s">
        <v>8574</v>
      </c>
      <c r="C500" t="s">
        <v>1073</v>
      </c>
      <c r="D500" t="s">
        <v>8576</v>
      </c>
    </row>
    <row r="501" spans="1:4" x14ac:dyDescent="0.25">
      <c r="A501" t="s">
        <v>3072</v>
      </c>
      <c r="B501" t="s">
        <v>8575</v>
      </c>
      <c r="C501" t="s">
        <v>1074</v>
      </c>
      <c r="D501" t="s">
        <v>8577</v>
      </c>
    </row>
    <row r="502" spans="1:4" x14ac:dyDescent="0.25">
      <c r="A502" t="s">
        <v>3073</v>
      </c>
      <c r="B502" t="s">
        <v>8576</v>
      </c>
      <c r="C502" t="s">
        <v>1075</v>
      </c>
      <c r="D502" t="s">
        <v>8578</v>
      </c>
    </row>
    <row r="503" spans="1:4" x14ac:dyDescent="0.25">
      <c r="A503" t="s">
        <v>3074</v>
      </c>
      <c r="B503" t="s">
        <v>8577</v>
      </c>
      <c r="C503" t="s">
        <v>1076</v>
      </c>
      <c r="D503" t="s">
        <v>8579</v>
      </c>
    </row>
    <row r="504" spans="1:4" x14ac:dyDescent="0.25">
      <c r="A504" t="s">
        <v>3075</v>
      </c>
      <c r="B504" t="s">
        <v>8578</v>
      </c>
      <c r="C504" t="s">
        <v>1077</v>
      </c>
      <c r="D504" t="s">
        <v>8580</v>
      </c>
    </row>
    <row r="505" spans="1:4" x14ac:dyDescent="0.25">
      <c r="A505" t="s">
        <v>3076</v>
      </c>
      <c r="B505" t="s">
        <v>8579</v>
      </c>
      <c r="C505" t="s">
        <v>1078</v>
      </c>
      <c r="D505" t="s">
        <v>8581</v>
      </c>
    </row>
    <row r="506" spans="1:4" x14ac:dyDescent="0.25">
      <c r="A506" t="s">
        <v>3077</v>
      </c>
      <c r="B506" t="s">
        <v>8580</v>
      </c>
      <c r="C506" t="s">
        <v>1079</v>
      </c>
      <c r="D506" t="s">
        <v>8582</v>
      </c>
    </row>
    <row r="507" spans="1:4" x14ac:dyDescent="0.25">
      <c r="A507" t="s">
        <v>3078</v>
      </c>
      <c r="B507" t="s">
        <v>8581</v>
      </c>
      <c r="C507" t="s">
        <v>1080</v>
      </c>
      <c r="D507" t="s">
        <v>8583</v>
      </c>
    </row>
    <row r="508" spans="1:4" x14ac:dyDescent="0.25">
      <c r="A508" t="s">
        <v>3079</v>
      </c>
      <c r="B508" t="s">
        <v>8582</v>
      </c>
      <c r="C508" t="s">
        <v>1081</v>
      </c>
      <c r="D508" t="s">
        <v>8584</v>
      </c>
    </row>
    <row r="509" spans="1:4" x14ac:dyDescent="0.25">
      <c r="A509" t="s">
        <v>3080</v>
      </c>
      <c r="B509" t="s">
        <v>8583</v>
      </c>
      <c r="C509" t="s">
        <v>1082</v>
      </c>
      <c r="D509" t="s">
        <v>8585</v>
      </c>
    </row>
    <row r="510" spans="1:4" x14ac:dyDescent="0.25">
      <c r="A510" t="s">
        <v>3081</v>
      </c>
      <c r="B510" t="s">
        <v>8584</v>
      </c>
      <c r="C510" t="s">
        <v>1083</v>
      </c>
      <c r="D510" t="s">
        <v>8586</v>
      </c>
    </row>
    <row r="511" spans="1:4" x14ac:dyDescent="0.25">
      <c r="A511" t="s">
        <v>3082</v>
      </c>
      <c r="B511" t="s">
        <v>8585</v>
      </c>
      <c r="C511" t="s">
        <v>1084</v>
      </c>
      <c r="D511" t="s">
        <v>8587</v>
      </c>
    </row>
    <row r="512" spans="1:4" x14ac:dyDescent="0.25">
      <c r="A512" t="s">
        <v>3083</v>
      </c>
      <c r="B512" t="s">
        <v>8586</v>
      </c>
      <c r="C512" t="s">
        <v>1085</v>
      </c>
      <c r="D512" t="s">
        <v>8588</v>
      </c>
    </row>
    <row r="513" spans="1:4" x14ac:dyDescent="0.25">
      <c r="A513" t="s">
        <v>3084</v>
      </c>
      <c r="B513" t="s">
        <v>8587</v>
      </c>
      <c r="C513" t="s">
        <v>1086</v>
      </c>
      <c r="D513" t="s">
        <v>8589</v>
      </c>
    </row>
    <row r="514" spans="1:4" x14ac:dyDescent="0.25">
      <c r="A514" t="s">
        <v>3085</v>
      </c>
      <c r="B514" t="s">
        <v>8588</v>
      </c>
      <c r="C514" t="s">
        <v>1087</v>
      </c>
      <c r="D514" t="s">
        <v>8590</v>
      </c>
    </row>
    <row r="515" spans="1:4" x14ac:dyDescent="0.25">
      <c r="A515" t="s">
        <v>3086</v>
      </c>
      <c r="B515" t="s">
        <v>8589</v>
      </c>
      <c r="C515" t="s">
        <v>1088</v>
      </c>
      <c r="D515" t="s">
        <v>8591</v>
      </c>
    </row>
    <row r="516" spans="1:4" x14ac:dyDescent="0.25">
      <c r="A516" t="s">
        <v>3087</v>
      </c>
      <c r="B516" t="s">
        <v>8590</v>
      </c>
      <c r="C516" t="s">
        <v>1089</v>
      </c>
      <c r="D516" t="s">
        <v>8592</v>
      </c>
    </row>
    <row r="517" spans="1:4" x14ac:dyDescent="0.25">
      <c r="A517" t="s">
        <v>3088</v>
      </c>
      <c r="B517" t="s">
        <v>8591</v>
      </c>
      <c r="C517" t="s">
        <v>1090</v>
      </c>
      <c r="D517" t="s">
        <v>8593</v>
      </c>
    </row>
    <row r="518" spans="1:4" x14ac:dyDescent="0.25">
      <c r="A518" t="s">
        <v>3089</v>
      </c>
      <c r="B518" t="s">
        <v>8592</v>
      </c>
      <c r="C518" t="s">
        <v>1091</v>
      </c>
      <c r="D518" t="s">
        <v>8594</v>
      </c>
    </row>
    <row r="519" spans="1:4" x14ac:dyDescent="0.25">
      <c r="A519" t="s">
        <v>3090</v>
      </c>
      <c r="B519" t="s">
        <v>8593</v>
      </c>
      <c r="C519" t="s">
        <v>1092</v>
      </c>
      <c r="D519" t="s">
        <v>8595</v>
      </c>
    </row>
    <row r="520" spans="1:4" x14ac:dyDescent="0.25">
      <c r="A520" t="s">
        <v>3091</v>
      </c>
      <c r="B520" t="s">
        <v>8594</v>
      </c>
      <c r="C520" t="s">
        <v>1093</v>
      </c>
      <c r="D520" t="s">
        <v>8596</v>
      </c>
    </row>
    <row r="521" spans="1:4" x14ac:dyDescent="0.25">
      <c r="A521" t="s">
        <v>3092</v>
      </c>
      <c r="B521" t="s">
        <v>8595</v>
      </c>
      <c r="C521" t="s">
        <v>1094</v>
      </c>
      <c r="D521" t="s">
        <v>8597</v>
      </c>
    </row>
    <row r="522" spans="1:4" x14ac:dyDescent="0.25">
      <c r="A522" t="s">
        <v>3093</v>
      </c>
      <c r="B522" t="s">
        <v>8596</v>
      </c>
      <c r="C522" t="s">
        <v>1095</v>
      </c>
      <c r="D522" t="s">
        <v>8598</v>
      </c>
    </row>
    <row r="523" spans="1:4" x14ac:dyDescent="0.25">
      <c r="A523" t="s">
        <v>3094</v>
      </c>
      <c r="B523" t="s">
        <v>8597</v>
      </c>
      <c r="C523" t="s">
        <v>1096</v>
      </c>
      <c r="D523" t="s">
        <v>8599</v>
      </c>
    </row>
    <row r="524" spans="1:4" x14ac:dyDescent="0.25">
      <c r="A524" t="s">
        <v>3095</v>
      </c>
      <c r="B524" t="s">
        <v>8598</v>
      </c>
      <c r="C524" t="s">
        <v>1097</v>
      </c>
      <c r="D524" t="s">
        <v>8600</v>
      </c>
    </row>
    <row r="525" spans="1:4" x14ac:dyDescent="0.25">
      <c r="A525" t="s">
        <v>3096</v>
      </c>
      <c r="B525" t="s">
        <v>8599</v>
      </c>
      <c r="C525" t="s">
        <v>1098</v>
      </c>
      <c r="D525" t="s">
        <v>8601</v>
      </c>
    </row>
    <row r="526" spans="1:4" x14ac:dyDescent="0.25">
      <c r="A526" t="s">
        <v>3097</v>
      </c>
      <c r="B526" t="s">
        <v>8600</v>
      </c>
      <c r="C526" t="s">
        <v>1099</v>
      </c>
      <c r="D526" t="s">
        <v>8602</v>
      </c>
    </row>
    <row r="527" spans="1:4" x14ac:dyDescent="0.25">
      <c r="A527" t="s">
        <v>3098</v>
      </c>
      <c r="B527" t="s">
        <v>8601</v>
      </c>
      <c r="C527" t="s">
        <v>1100</v>
      </c>
      <c r="D527" t="s">
        <v>8603</v>
      </c>
    </row>
    <row r="528" spans="1:4" x14ac:dyDescent="0.25">
      <c r="A528" t="s">
        <v>3099</v>
      </c>
      <c r="B528" t="s">
        <v>8602</v>
      </c>
      <c r="C528" t="s">
        <v>1101</v>
      </c>
      <c r="D528" t="s">
        <v>8604</v>
      </c>
    </row>
    <row r="529" spans="1:4" x14ac:dyDescent="0.25">
      <c r="A529" t="s">
        <v>3100</v>
      </c>
      <c r="B529" t="s">
        <v>8603</v>
      </c>
      <c r="C529" t="s">
        <v>1102</v>
      </c>
      <c r="D529" t="s">
        <v>8605</v>
      </c>
    </row>
    <row r="530" spans="1:4" x14ac:dyDescent="0.25">
      <c r="A530" t="s">
        <v>3101</v>
      </c>
      <c r="B530" t="s">
        <v>8604</v>
      </c>
      <c r="C530" t="s">
        <v>1103</v>
      </c>
      <c r="D530" t="s">
        <v>8606</v>
      </c>
    </row>
    <row r="531" spans="1:4" x14ac:dyDescent="0.25">
      <c r="A531" t="s">
        <v>3102</v>
      </c>
      <c r="B531" t="s">
        <v>8605</v>
      </c>
      <c r="C531" t="s">
        <v>1104</v>
      </c>
      <c r="D531" t="s">
        <v>8607</v>
      </c>
    </row>
    <row r="532" spans="1:4" x14ac:dyDescent="0.25">
      <c r="A532" t="s">
        <v>3103</v>
      </c>
      <c r="B532" t="s">
        <v>8606</v>
      </c>
      <c r="C532" t="s">
        <v>1105</v>
      </c>
      <c r="D532" t="s">
        <v>8608</v>
      </c>
    </row>
    <row r="533" spans="1:4" x14ac:dyDescent="0.25">
      <c r="A533" t="s">
        <v>3104</v>
      </c>
      <c r="B533" t="s">
        <v>8607</v>
      </c>
      <c r="C533" t="s">
        <v>1106</v>
      </c>
      <c r="D533" t="s">
        <v>8609</v>
      </c>
    </row>
    <row r="534" spans="1:4" x14ac:dyDescent="0.25">
      <c r="A534" t="s">
        <v>3105</v>
      </c>
      <c r="B534" t="s">
        <v>8608</v>
      </c>
      <c r="C534" t="s">
        <v>1107</v>
      </c>
      <c r="D534" t="s">
        <v>8610</v>
      </c>
    </row>
    <row r="535" spans="1:4" x14ac:dyDescent="0.25">
      <c r="A535" t="s">
        <v>3106</v>
      </c>
      <c r="B535" t="s">
        <v>8609</v>
      </c>
      <c r="C535" t="s">
        <v>1108</v>
      </c>
      <c r="D535" t="s">
        <v>8611</v>
      </c>
    </row>
    <row r="536" spans="1:4" x14ac:dyDescent="0.25">
      <c r="A536" t="s">
        <v>3107</v>
      </c>
      <c r="B536" t="s">
        <v>8610</v>
      </c>
      <c r="C536" t="s">
        <v>1109</v>
      </c>
      <c r="D536" t="s">
        <v>8612</v>
      </c>
    </row>
    <row r="537" spans="1:4" x14ac:dyDescent="0.25">
      <c r="A537" t="s">
        <v>3108</v>
      </c>
      <c r="B537" t="s">
        <v>8611</v>
      </c>
      <c r="C537" t="s">
        <v>1110</v>
      </c>
      <c r="D537" t="s">
        <v>8613</v>
      </c>
    </row>
    <row r="538" spans="1:4" x14ac:dyDescent="0.25">
      <c r="A538" t="s">
        <v>3109</v>
      </c>
      <c r="B538" t="s">
        <v>8612</v>
      </c>
      <c r="C538" t="s">
        <v>1111</v>
      </c>
      <c r="D538" t="s">
        <v>8614</v>
      </c>
    </row>
    <row r="539" spans="1:4" x14ac:dyDescent="0.25">
      <c r="A539" t="s">
        <v>3110</v>
      </c>
      <c r="B539" t="s">
        <v>8613</v>
      </c>
      <c r="C539" t="s">
        <v>1112</v>
      </c>
      <c r="D539" t="s">
        <v>8615</v>
      </c>
    </row>
    <row r="540" spans="1:4" x14ac:dyDescent="0.25">
      <c r="A540" t="s">
        <v>3111</v>
      </c>
      <c r="B540" t="s">
        <v>8614</v>
      </c>
      <c r="C540" t="s">
        <v>1113</v>
      </c>
      <c r="D540" t="s">
        <v>8616</v>
      </c>
    </row>
    <row r="541" spans="1:4" x14ac:dyDescent="0.25">
      <c r="A541" t="s">
        <v>3112</v>
      </c>
      <c r="B541" t="s">
        <v>8615</v>
      </c>
      <c r="C541" t="s">
        <v>1114</v>
      </c>
      <c r="D541" t="s">
        <v>8617</v>
      </c>
    </row>
    <row r="542" spans="1:4" x14ac:dyDescent="0.25">
      <c r="A542" t="s">
        <v>3113</v>
      </c>
      <c r="B542" t="s">
        <v>8616</v>
      </c>
      <c r="C542" t="s">
        <v>1115</v>
      </c>
      <c r="D542" t="s">
        <v>8618</v>
      </c>
    </row>
    <row r="543" spans="1:4" x14ac:dyDescent="0.25">
      <c r="A543" t="s">
        <v>3114</v>
      </c>
      <c r="B543" t="s">
        <v>8617</v>
      </c>
      <c r="C543" t="s">
        <v>1116</v>
      </c>
      <c r="D543" t="s">
        <v>8619</v>
      </c>
    </row>
    <row r="544" spans="1:4" x14ac:dyDescent="0.25">
      <c r="A544" t="s">
        <v>3115</v>
      </c>
      <c r="B544" t="s">
        <v>8618</v>
      </c>
      <c r="C544" t="s">
        <v>1117</v>
      </c>
      <c r="D544" t="s">
        <v>8620</v>
      </c>
    </row>
    <row r="545" spans="1:4" x14ac:dyDescent="0.25">
      <c r="A545" t="s">
        <v>3116</v>
      </c>
      <c r="B545" t="s">
        <v>8619</v>
      </c>
      <c r="C545" t="s">
        <v>1118</v>
      </c>
      <c r="D545" t="s">
        <v>8621</v>
      </c>
    </row>
    <row r="546" spans="1:4" x14ac:dyDescent="0.25">
      <c r="A546" t="s">
        <v>3117</v>
      </c>
      <c r="B546" t="s">
        <v>8620</v>
      </c>
      <c r="C546" t="s">
        <v>1119</v>
      </c>
      <c r="D546" t="s">
        <v>8622</v>
      </c>
    </row>
    <row r="547" spans="1:4" x14ac:dyDescent="0.25">
      <c r="A547" t="s">
        <v>3118</v>
      </c>
      <c r="B547" t="s">
        <v>8621</v>
      </c>
      <c r="C547" t="s">
        <v>1120</v>
      </c>
      <c r="D547" t="s">
        <v>8623</v>
      </c>
    </row>
    <row r="548" spans="1:4" x14ac:dyDescent="0.25">
      <c r="A548" t="s">
        <v>3119</v>
      </c>
      <c r="B548" t="s">
        <v>8622</v>
      </c>
      <c r="C548" t="s">
        <v>1121</v>
      </c>
      <c r="D548" t="s">
        <v>8624</v>
      </c>
    </row>
    <row r="549" spans="1:4" x14ac:dyDescent="0.25">
      <c r="A549" t="s">
        <v>3120</v>
      </c>
      <c r="B549" t="s">
        <v>8623</v>
      </c>
      <c r="C549" t="s">
        <v>1122</v>
      </c>
      <c r="D549" t="s">
        <v>8625</v>
      </c>
    </row>
    <row r="550" spans="1:4" x14ac:dyDescent="0.25">
      <c r="A550" t="s">
        <v>3121</v>
      </c>
      <c r="B550" t="s">
        <v>8624</v>
      </c>
      <c r="C550" t="s">
        <v>1123</v>
      </c>
      <c r="D550" t="s">
        <v>8626</v>
      </c>
    </row>
    <row r="551" spans="1:4" x14ac:dyDescent="0.25">
      <c r="A551" t="s">
        <v>3122</v>
      </c>
      <c r="B551" t="s">
        <v>8625</v>
      </c>
      <c r="C551" t="s">
        <v>1124</v>
      </c>
      <c r="D551" t="s">
        <v>8627</v>
      </c>
    </row>
    <row r="552" spans="1:4" x14ac:dyDescent="0.25">
      <c r="A552" t="s">
        <v>3123</v>
      </c>
      <c r="B552" t="s">
        <v>8626</v>
      </c>
      <c r="C552" t="s">
        <v>1125</v>
      </c>
      <c r="D552" t="s">
        <v>8628</v>
      </c>
    </row>
    <row r="553" spans="1:4" x14ac:dyDescent="0.25">
      <c r="A553" t="s">
        <v>3124</v>
      </c>
      <c r="B553" t="s">
        <v>8627</v>
      </c>
      <c r="C553" t="s">
        <v>1126</v>
      </c>
      <c r="D553" t="s">
        <v>8629</v>
      </c>
    </row>
    <row r="554" spans="1:4" x14ac:dyDescent="0.25">
      <c r="A554" t="s">
        <v>3125</v>
      </c>
      <c r="B554" t="s">
        <v>8628</v>
      </c>
      <c r="C554" t="s">
        <v>1127</v>
      </c>
      <c r="D554" t="s">
        <v>8630</v>
      </c>
    </row>
    <row r="555" spans="1:4" x14ac:dyDescent="0.25">
      <c r="A555" t="s">
        <v>3126</v>
      </c>
      <c r="B555" t="s">
        <v>8629</v>
      </c>
      <c r="C555" t="s">
        <v>1128</v>
      </c>
      <c r="D555" t="s">
        <v>8631</v>
      </c>
    </row>
    <row r="556" spans="1:4" x14ac:dyDescent="0.25">
      <c r="A556" t="s">
        <v>3127</v>
      </c>
      <c r="B556" t="s">
        <v>8630</v>
      </c>
      <c r="C556" t="s">
        <v>1129</v>
      </c>
      <c r="D556" t="s">
        <v>8632</v>
      </c>
    </row>
    <row r="557" spans="1:4" x14ac:dyDescent="0.25">
      <c r="A557" t="s">
        <v>3128</v>
      </c>
      <c r="B557" t="s">
        <v>8631</v>
      </c>
      <c r="C557" t="s">
        <v>1130</v>
      </c>
      <c r="D557" t="s">
        <v>8633</v>
      </c>
    </row>
    <row r="558" spans="1:4" x14ac:dyDescent="0.25">
      <c r="A558" t="s">
        <v>3129</v>
      </c>
      <c r="B558" t="s">
        <v>8632</v>
      </c>
      <c r="C558" t="s">
        <v>1131</v>
      </c>
      <c r="D558" t="s">
        <v>8634</v>
      </c>
    </row>
    <row r="559" spans="1:4" x14ac:dyDescent="0.25">
      <c r="A559" t="s">
        <v>3130</v>
      </c>
      <c r="B559" t="s">
        <v>8633</v>
      </c>
      <c r="C559" t="s">
        <v>1132</v>
      </c>
      <c r="D559" t="s">
        <v>8635</v>
      </c>
    </row>
    <row r="560" spans="1:4" x14ac:dyDescent="0.25">
      <c r="A560" t="s">
        <v>3131</v>
      </c>
      <c r="B560" t="s">
        <v>8634</v>
      </c>
      <c r="C560" t="s">
        <v>1133</v>
      </c>
      <c r="D560" t="s">
        <v>8636</v>
      </c>
    </row>
    <row r="561" spans="1:4" x14ac:dyDescent="0.25">
      <c r="A561" t="s">
        <v>3132</v>
      </c>
      <c r="B561" t="s">
        <v>8635</v>
      </c>
      <c r="C561" t="s">
        <v>1134</v>
      </c>
      <c r="D561" t="s">
        <v>8637</v>
      </c>
    </row>
    <row r="562" spans="1:4" x14ac:dyDescent="0.25">
      <c r="A562" t="s">
        <v>3133</v>
      </c>
      <c r="B562" t="s">
        <v>8636</v>
      </c>
      <c r="C562" t="s">
        <v>1135</v>
      </c>
      <c r="D562" t="s">
        <v>8638</v>
      </c>
    </row>
    <row r="563" spans="1:4" x14ac:dyDescent="0.25">
      <c r="A563" t="s">
        <v>3134</v>
      </c>
      <c r="B563" t="s">
        <v>8637</v>
      </c>
      <c r="C563" t="s">
        <v>1136</v>
      </c>
      <c r="D563" t="s">
        <v>8639</v>
      </c>
    </row>
    <row r="564" spans="1:4" x14ac:dyDescent="0.25">
      <c r="A564" t="s">
        <v>3135</v>
      </c>
      <c r="B564" t="s">
        <v>8638</v>
      </c>
      <c r="C564" t="s">
        <v>1137</v>
      </c>
      <c r="D564" t="s">
        <v>8640</v>
      </c>
    </row>
    <row r="565" spans="1:4" x14ac:dyDescent="0.25">
      <c r="A565" t="s">
        <v>3136</v>
      </c>
      <c r="B565" t="s">
        <v>8639</v>
      </c>
      <c r="C565" t="s">
        <v>1138</v>
      </c>
      <c r="D565" t="s">
        <v>8641</v>
      </c>
    </row>
    <row r="566" spans="1:4" x14ac:dyDescent="0.25">
      <c r="A566" t="s">
        <v>3137</v>
      </c>
      <c r="B566" t="s">
        <v>8640</v>
      </c>
      <c r="C566" t="s">
        <v>1139</v>
      </c>
      <c r="D566" t="s">
        <v>8642</v>
      </c>
    </row>
    <row r="567" spans="1:4" x14ac:dyDescent="0.25">
      <c r="A567" t="s">
        <v>3138</v>
      </c>
      <c r="B567" t="s">
        <v>8641</v>
      </c>
      <c r="C567" t="s">
        <v>1140</v>
      </c>
      <c r="D567" t="s">
        <v>8643</v>
      </c>
    </row>
    <row r="568" spans="1:4" x14ac:dyDescent="0.25">
      <c r="A568" t="s">
        <v>3139</v>
      </c>
      <c r="B568" t="s">
        <v>8642</v>
      </c>
      <c r="C568" t="s">
        <v>1141</v>
      </c>
      <c r="D568" t="s">
        <v>8644</v>
      </c>
    </row>
    <row r="569" spans="1:4" x14ac:dyDescent="0.25">
      <c r="A569" t="s">
        <v>3140</v>
      </c>
      <c r="B569" t="s">
        <v>8643</v>
      </c>
      <c r="C569" t="s">
        <v>1142</v>
      </c>
      <c r="D569" t="s">
        <v>8645</v>
      </c>
    </row>
    <row r="570" spans="1:4" x14ac:dyDescent="0.25">
      <c r="A570" t="s">
        <v>3141</v>
      </c>
      <c r="B570" t="s">
        <v>8644</v>
      </c>
      <c r="C570" t="s">
        <v>1143</v>
      </c>
      <c r="D570" t="s">
        <v>8646</v>
      </c>
    </row>
    <row r="571" spans="1:4" x14ac:dyDescent="0.25">
      <c r="A571" t="s">
        <v>3142</v>
      </c>
      <c r="B571" t="s">
        <v>8645</v>
      </c>
      <c r="C571" t="s">
        <v>1144</v>
      </c>
      <c r="D571" t="s">
        <v>8647</v>
      </c>
    </row>
    <row r="572" spans="1:4" x14ac:dyDescent="0.25">
      <c r="A572" t="s">
        <v>3143</v>
      </c>
      <c r="B572" t="s">
        <v>8646</v>
      </c>
      <c r="C572" t="s">
        <v>1145</v>
      </c>
      <c r="D572" t="s">
        <v>8648</v>
      </c>
    </row>
    <row r="573" spans="1:4" x14ac:dyDescent="0.25">
      <c r="A573" t="s">
        <v>3144</v>
      </c>
      <c r="B573" t="s">
        <v>8647</v>
      </c>
      <c r="C573" t="s">
        <v>1146</v>
      </c>
      <c r="D573" t="s">
        <v>8649</v>
      </c>
    </row>
    <row r="574" spans="1:4" x14ac:dyDescent="0.25">
      <c r="A574" t="s">
        <v>3145</v>
      </c>
      <c r="B574" t="s">
        <v>8648</v>
      </c>
      <c r="C574" t="s">
        <v>1147</v>
      </c>
      <c r="D574" t="s">
        <v>8650</v>
      </c>
    </row>
    <row r="575" spans="1:4" x14ac:dyDescent="0.25">
      <c r="A575" t="s">
        <v>3146</v>
      </c>
      <c r="B575" t="s">
        <v>8649</v>
      </c>
      <c r="C575" t="s">
        <v>1148</v>
      </c>
      <c r="D575" t="s">
        <v>8651</v>
      </c>
    </row>
    <row r="576" spans="1:4" x14ac:dyDescent="0.25">
      <c r="A576" t="s">
        <v>3147</v>
      </c>
      <c r="B576" t="s">
        <v>8650</v>
      </c>
      <c r="C576" t="s">
        <v>1149</v>
      </c>
      <c r="D576" t="s">
        <v>8652</v>
      </c>
    </row>
    <row r="577" spans="1:4" x14ac:dyDescent="0.25">
      <c r="A577" t="s">
        <v>3148</v>
      </c>
      <c r="B577" t="s">
        <v>8651</v>
      </c>
      <c r="C577" t="s">
        <v>1150</v>
      </c>
      <c r="D577" t="s">
        <v>8653</v>
      </c>
    </row>
    <row r="578" spans="1:4" x14ac:dyDescent="0.25">
      <c r="A578" t="s">
        <v>3149</v>
      </c>
      <c r="B578" t="s">
        <v>8652</v>
      </c>
      <c r="C578" t="s">
        <v>1151</v>
      </c>
      <c r="D578" t="s">
        <v>8654</v>
      </c>
    </row>
    <row r="579" spans="1:4" x14ac:dyDescent="0.25">
      <c r="A579" t="s">
        <v>3150</v>
      </c>
      <c r="B579" t="s">
        <v>8653</v>
      </c>
      <c r="C579" t="s">
        <v>1152</v>
      </c>
      <c r="D579" t="s">
        <v>8655</v>
      </c>
    </row>
    <row r="580" spans="1:4" x14ac:dyDescent="0.25">
      <c r="A580" t="s">
        <v>3151</v>
      </c>
      <c r="B580" t="s">
        <v>8654</v>
      </c>
      <c r="C580" t="s">
        <v>1153</v>
      </c>
      <c r="D580" t="s">
        <v>8656</v>
      </c>
    </row>
    <row r="581" spans="1:4" x14ac:dyDescent="0.25">
      <c r="A581" t="s">
        <v>3152</v>
      </c>
      <c r="B581" t="s">
        <v>8655</v>
      </c>
      <c r="C581" t="s">
        <v>1154</v>
      </c>
      <c r="D581" t="s">
        <v>8657</v>
      </c>
    </row>
    <row r="582" spans="1:4" x14ac:dyDescent="0.25">
      <c r="A582" t="s">
        <v>3153</v>
      </c>
      <c r="B582" t="s">
        <v>8656</v>
      </c>
      <c r="C582" t="s">
        <v>1155</v>
      </c>
      <c r="D582" t="s">
        <v>8658</v>
      </c>
    </row>
    <row r="583" spans="1:4" x14ac:dyDescent="0.25">
      <c r="A583" t="s">
        <v>3154</v>
      </c>
      <c r="B583" t="s">
        <v>8657</v>
      </c>
      <c r="C583" t="s">
        <v>1156</v>
      </c>
      <c r="D583" t="s">
        <v>8659</v>
      </c>
    </row>
    <row r="584" spans="1:4" x14ac:dyDescent="0.25">
      <c r="A584" t="s">
        <v>3155</v>
      </c>
      <c r="B584" t="s">
        <v>8658</v>
      </c>
      <c r="C584" t="s">
        <v>1157</v>
      </c>
      <c r="D584" t="s">
        <v>8660</v>
      </c>
    </row>
    <row r="585" spans="1:4" x14ac:dyDescent="0.25">
      <c r="A585" t="s">
        <v>3156</v>
      </c>
      <c r="B585" t="s">
        <v>8659</v>
      </c>
      <c r="C585" t="s">
        <v>1158</v>
      </c>
      <c r="D585" t="s">
        <v>8661</v>
      </c>
    </row>
    <row r="586" spans="1:4" x14ac:dyDescent="0.25">
      <c r="A586" t="s">
        <v>3157</v>
      </c>
      <c r="B586" t="s">
        <v>8660</v>
      </c>
      <c r="C586" t="s">
        <v>1159</v>
      </c>
      <c r="D586" t="s">
        <v>8662</v>
      </c>
    </row>
    <row r="587" spans="1:4" x14ac:dyDescent="0.25">
      <c r="A587" t="s">
        <v>3158</v>
      </c>
      <c r="B587" t="s">
        <v>8661</v>
      </c>
      <c r="C587" t="s">
        <v>1160</v>
      </c>
      <c r="D587" t="s">
        <v>8663</v>
      </c>
    </row>
    <row r="588" spans="1:4" x14ac:dyDescent="0.25">
      <c r="A588" t="s">
        <v>3159</v>
      </c>
      <c r="B588" t="s">
        <v>8662</v>
      </c>
      <c r="C588" t="s">
        <v>1161</v>
      </c>
      <c r="D588" t="s">
        <v>8664</v>
      </c>
    </row>
    <row r="589" spans="1:4" x14ac:dyDescent="0.25">
      <c r="A589" t="s">
        <v>3160</v>
      </c>
      <c r="B589" t="s">
        <v>8663</v>
      </c>
      <c r="C589" t="s">
        <v>1162</v>
      </c>
      <c r="D589" t="s">
        <v>8665</v>
      </c>
    </row>
    <row r="590" spans="1:4" x14ac:dyDescent="0.25">
      <c r="A590" t="s">
        <v>3161</v>
      </c>
      <c r="B590" t="s">
        <v>8664</v>
      </c>
      <c r="C590" t="s">
        <v>1163</v>
      </c>
      <c r="D590" t="s">
        <v>8666</v>
      </c>
    </row>
    <row r="591" spans="1:4" x14ac:dyDescent="0.25">
      <c r="A591" t="s">
        <v>3162</v>
      </c>
      <c r="B591" t="s">
        <v>8665</v>
      </c>
      <c r="C591" t="s">
        <v>1164</v>
      </c>
      <c r="D591" t="s">
        <v>8667</v>
      </c>
    </row>
    <row r="592" spans="1:4" x14ac:dyDescent="0.25">
      <c r="A592" t="s">
        <v>3163</v>
      </c>
      <c r="B592" t="s">
        <v>8666</v>
      </c>
      <c r="C592" t="s">
        <v>1165</v>
      </c>
      <c r="D592" t="s">
        <v>8668</v>
      </c>
    </row>
    <row r="593" spans="1:4" x14ac:dyDescent="0.25">
      <c r="A593" t="s">
        <v>3164</v>
      </c>
      <c r="B593" t="s">
        <v>8667</v>
      </c>
      <c r="C593" t="s">
        <v>1166</v>
      </c>
      <c r="D593" t="s">
        <v>8669</v>
      </c>
    </row>
    <row r="594" spans="1:4" x14ac:dyDescent="0.25">
      <c r="A594" t="s">
        <v>3165</v>
      </c>
      <c r="B594" t="s">
        <v>8668</v>
      </c>
      <c r="C594" t="s">
        <v>1167</v>
      </c>
      <c r="D594" t="s">
        <v>8670</v>
      </c>
    </row>
    <row r="595" spans="1:4" x14ac:dyDescent="0.25">
      <c r="A595" t="s">
        <v>3166</v>
      </c>
      <c r="B595" t="s">
        <v>8669</v>
      </c>
      <c r="C595" t="s">
        <v>1168</v>
      </c>
      <c r="D595" t="s">
        <v>8671</v>
      </c>
    </row>
    <row r="596" spans="1:4" x14ac:dyDescent="0.25">
      <c r="A596" t="s">
        <v>3167</v>
      </c>
      <c r="B596" t="s">
        <v>8670</v>
      </c>
      <c r="C596" t="s">
        <v>1169</v>
      </c>
      <c r="D596" t="s">
        <v>8672</v>
      </c>
    </row>
    <row r="597" spans="1:4" x14ac:dyDescent="0.25">
      <c r="A597" t="s">
        <v>3168</v>
      </c>
      <c r="B597" t="s">
        <v>8671</v>
      </c>
      <c r="C597" t="s">
        <v>1170</v>
      </c>
      <c r="D597" t="s">
        <v>8673</v>
      </c>
    </row>
    <row r="598" spans="1:4" x14ac:dyDescent="0.25">
      <c r="A598" t="s">
        <v>3169</v>
      </c>
      <c r="B598" t="s">
        <v>8672</v>
      </c>
      <c r="C598" t="s">
        <v>1171</v>
      </c>
      <c r="D598" t="s">
        <v>8674</v>
      </c>
    </row>
    <row r="599" spans="1:4" x14ac:dyDescent="0.25">
      <c r="A599" t="s">
        <v>3170</v>
      </c>
      <c r="B599" t="s">
        <v>8673</v>
      </c>
      <c r="C599" t="s">
        <v>1172</v>
      </c>
      <c r="D599" t="s">
        <v>8675</v>
      </c>
    </row>
    <row r="600" spans="1:4" x14ac:dyDescent="0.25">
      <c r="A600" t="s">
        <v>3171</v>
      </c>
      <c r="B600" t="s">
        <v>8674</v>
      </c>
      <c r="C600" t="s">
        <v>1173</v>
      </c>
      <c r="D600" t="s">
        <v>8676</v>
      </c>
    </row>
    <row r="601" spans="1:4" x14ac:dyDescent="0.25">
      <c r="A601" t="s">
        <v>3172</v>
      </c>
      <c r="B601" t="s">
        <v>8675</v>
      </c>
      <c r="C601" t="s">
        <v>1174</v>
      </c>
      <c r="D601" t="s">
        <v>8677</v>
      </c>
    </row>
    <row r="602" spans="1:4" x14ac:dyDescent="0.25">
      <c r="A602" t="s">
        <v>3173</v>
      </c>
      <c r="B602" t="s">
        <v>8676</v>
      </c>
      <c r="C602" t="s">
        <v>1175</v>
      </c>
      <c r="D602" t="s">
        <v>8678</v>
      </c>
    </row>
    <row r="603" spans="1:4" x14ac:dyDescent="0.25">
      <c r="A603" t="s">
        <v>3174</v>
      </c>
      <c r="B603" t="s">
        <v>8677</v>
      </c>
      <c r="C603" t="s">
        <v>1176</v>
      </c>
      <c r="D603" t="s">
        <v>8679</v>
      </c>
    </row>
    <row r="604" spans="1:4" x14ac:dyDescent="0.25">
      <c r="A604" t="s">
        <v>3175</v>
      </c>
      <c r="B604" t="s">
        <v>8678</v>
      </c>
      <c r="C604" t="s">
        <v>1177</v>
      </c>
      <c r="D604" t="s">
        <v>8680</v>
      </c>
    </row>
    <row r="605" spans="1:4" x14ac:dyDescent="0.25">
      <c r="A605" t="s">
        <v>3176</v>
      </c>
      <c r="B605" t="s">
        <v>8679</v>
      </c>
      <c r="C605" t="s">
        <v>1178</v>
      </c>
      <c r="D605" t="s">
        <v>8681</v>
      </c>
    </row>
    <row r="606" spans="1:4" x14ac:dyDescent="0.25">
      <c r="A606" t="s">
        <v>3177</v>
      </c>
      <c r="B606" t="s">
        <v>8680</v>
      </c>
      <c r="C606" t="s">
        <v>1179</v>
      </c>
      <c r="D606" t="s">
        <v>8682</v>
      </c>
    </row>
    <row r="607" spans="1:4" x14ac:dyDescent="0.25">
      <c r="A607" t="s">
        <v>3178</v>
      </c>
      <c r="B607" t="s">
        <v>8681</v>
      </c>
      <c r="C607" t="s">
        <v>1180</v>
      </c>
      <c r="D607" t="s">
        <v>8683</v>
      </c>
    </row>
    <row r="608" spans="1:4" x14ac:dyDescent="0.25">
      <c r="A608" t="s">
        <v>3179</v>
      </c>
      <c r="B608" t="s">
        <v>8682</v>
      </c>
      <c r="C608" t="s">
        <v>1181</v>
      </c>
      <c r="D608" t="s">
        <v>8684</v>
      </c>
    </row>
    <row r="609" spans="1:4" x14ac:dyDescent="0.25">
      <c r="A609" t="s">
        <v>3180</v>
      </c>
      <c r="B609" t="s">
        <v>8683</v>
      </c>
      <c r="C609" t="s">
        <v>1182</v>
      </c>
      <c r="D609" t="s">
        <v>8685</v>
      </c>
    </row>
    <row r="610" spans="1:4" x14ac:dyDescent="0.25">
      <c r="A610" t="s">
        <v>3181</v>
      </c>
      <c r="B610" t="s">
        <v>8684</v>
      </c>
      <c r="C610" t="s">
        <v>1183</v>
      </c>
      <c r="D610" t="s">
        <v>8686</v>
      </c>
    </row>
    <row r="611" spans="1:4" x14ac:dyDescent="0.25">
      <c r="A611" t="s">
        <v>3182</v>
      </c>
      <c r="B611" t="s">
        <v>8685</v>
      </c>
      <c r="C611" t="s">
        <v>1184</v>
      </c>
      <c r="D611" t="s">
        <v>8687</v>
      </c>
    </row>
    <row r="612" spans="1:4" x14ac:dyDescent="0.25">
      <c r="A612" t="s">
        <v>3183</v>
      </c>
      <c r="B612" t="s">
        <v>8686</v>
      </c>
      <c r="C612" t="s">
        <v>1185</v>
      </c>
      <c r="D612" t="s">
        <v>8688</v>
      </c>
    </row>
    <row r="613" spans="1:4" x14ac:dyDescent="0.25">
      <c r="A613" t="s">
        <v>3184</v>
      </c>
      <c r="B613" t="s">
        <v>8687</v>
      </c>
      <c r="C613" t="s">
        <v>1186</v>
      </c>
      <c r="D613" t="s">
        <v>8689</v>
      </c>
    </row>
    <row r="614" spans="1:4" x14ac:dyDescent="0.25">
      <c r="A614" t="s">
        <v>3185</v>
      </c>
      <c r="B614" t="s">
        <v>8688</v>
      </c>
      <c r="C614" t="s">
        <v>1187</v>
      </c>
      <c r="D614" t="s">
        <v>8690</v>
      </c>
    </row>
    <row r="615" spans="1:4" x14ac:dyDescent="0.25">
      <c r="A615" t="s">
        <v>3186</v>
      </c>
      <c r="B615" t="s">
        <v>8689</v>
      </c>
      <c r="C615" t="s">
        <v>1188</v>
      </c>
      <c r="D615" t="s">
        <v>8691</v>
      </c>
    </row>
    <row r="616" spans="1:4" x14ac:dyDescent="0.25">
      <c r="A616" t="s">
        <v>3187</v>
      </c>
      <c r="B616" t="s">
        <v>8690</v>
      </c>
      <c r="C616" t="s">
        <v>1189</v>
      </c>
      <c r="D616" t="s">
        <v>8692</v>
      </c>
    </row>
    <row r="617" spans="1:4" x14ac:dyDescent="0.25">
      <c r="A617" t="s">
        <v>3188</v>
      </c>
      <c r="B617" t="s">
        <v>8691</v>
      </c>
      <c r="C617" t="s">
        <v>1190</v>
      </c>
      <c r="D617" t="s">
        <v>8693</v>
      </c>
    </row>
    <row r="618" spans="1:4" x14ac:dyDescent="0.25">
      <c r="A618" t="s">
        <v>3189</v>
      </c>
      <c r="B618" t="s">
        <v>8692</v>
      </c>
      <c r="C618" t="s">
        <v>1191</v>
      </c>
      <c r="D618" t="s">
        <v>8694</v>
      </c>
    </row>
    <row r="619" spans="1:4" x14ac:dyDescent="0.25">
      <c r="A619" t="s">
        <v>3190</v>
      </c>
      <c r="B619" t="s">
        <v>8693</v>
      </c>
      <c r="C619" t="s">
        <v>1192</v>
      </c>
      <c r="D619" t="s">
        <v>8695</v>
      </c>
    </row>
    <row r="620" spans="1:4" x14ac:dyDescent="0.25">
      <c r="A620" t="s">
        <v>3191</v>
      </c>
      <c r="B620" t="s">
        <v>8694</v>
      </c>
      <c r="C620" t="s">
        <v>1193</v>
      </c>
      <c r="D620" t="s">
        <v>8696</v>
      </c>
    </row>
    <row r="621" spans="1:4" x14ac:dyDescent="0.25">
      <c r="A621" t="s">
        <v>3192</v>
      </c>
      <c r="B621" t="s">
        <v>8695</v>
      </c>
      <c r="C621" t="s">
        <v>1194</v>
      </c>
      <c r="D621" t="s">
        <v>8697</v>
      </c>
    </row>
    <row r="622" spans="1:4" x14ac:dyDescent="0.25">
      <c r="A622" t="s">
        <v>3193</v>
      </c>
      <c r="B622" t="s">
        <v>8696</v>
      </c>
      <c r="C622" t="s">
        <v>1195</v>
      </c>
      <c r="D622" t="s">
        <v>8698</v>
      </c>
    </row>
    <row r="623" spans="1:4" x14ac:dyDescent="0.25">
      <c r="A623" t="s">
        <v>3194</v>
      </c>
      <c r="B623" t="s">
        <v>8697</v>
      </c>
      <c r="C623" t="s">
        <v>1196</v>
      </c>
      <c r="D623" t="s">
        <v>8699</v>
      </c>
    </row>
    <row r="624" spans="1:4" x14ac:dyDescent="0.25">
      <c r="A624" t="s">
        <v>3195</v>
      </c>
      <c r="B624" t="s">
        <v>8698</v>
      </c>
      <c r="C624" t="s">
        <v>1197</v>
      </c>
      <c r="D624" t="s">
        <v>8700</v>
      </c>
    </row>
    <row r="625" spans="1:4" x14ac:dyDescent="0.25">
      <c r="A625" t="s">
        <v>3196</v>
      </c>
      <c r="B625" t="s">
        <v>8699</v>
      </c>
      <c r="C625" t="s">
        <v>1198</v>
      </c>
      <c r="D625" t="s">
        <v>8701</v>
      </c>
    </row>
    <row r="626" spans="1:4" x14ac:dyDescent="0.25">
      <c r="A626" t="s">
        <v>3197</v>
      </c>
      <c r="B626" t="s">
        <v>8700</v>
      </c>
      <c r="C626" t="s">
        <v>1199</v>
      </c>
      <c r="D626" t="s">
        <v>8702</v>
      </c>
    </row>
    <row r="627" spans="1:4" x14ac:dyDescent="0.25">
      <c r="A627" t="s">
        <v>3198</v>
      </c>
      <c r="B627" t="s">
        <v>8701</v>
      </c>
      <c r="C627" t="s">
        <v>1200</v>
      </c>
      <c r="D627" t="s">
        <v>8703</v>
      </c>
    </row>
    <row r="628" spans="1:4" x14ac:dyDescent="0.25">
      <c r="A628" t="s">
        <v>3199</v>
      </c>
      <c r="B628" t="s">
        <v>8702</v>
      </c>
      <c r="C628" t="s">
        <v>1201</v>
      </c>
      <c r="D628" t="s">
        <v>8704</v>
      </c>
    </row>
    <row r="629" spans="1:4" x14ac:dyDescent="0.25">
      <c r="A629" t="s">
        <v>3200</v>
      </c>
      <c r="B629" t="s">
        <v>8703</v>
      </c>
      <c r="C629" t="s">
        <v>1202</v>
      </c>
      <c r="D629" t="s">
        <v>8705</v>
      </c>
    </row>
    <row r="630" spans="1:4" x14ac:dyDescent="0.25">
      <c r="A630" t="s">
        <v>3201</v>
      </c>
      <c r="B630" t="s">
        <v>8704</v>
      </c>
      <c r="C630" t="s">
        <v>1203</v>
      </c>
      <c r="D630" t="s">
        <v>8706</v>
      </c>
    </row>
    <row r="631" spans="1:4" x14ac:dyDescent="0.25">
      <c r="A631" t="s">
        <v>3202</v>
      </c>
      <c r="B631" t="s">
        <v>8705</v>
      </c>
      <c r="C631" t="s">
        <v>1204</v>
      </c>
      <c r="D631" t="s">
        <v>8707</v>
      </c>
    </row>
    <row r="632" spans="1:4" x14ac:dyDescent="0.25">
      <c r="A632" t="s">
        <v>3203</v>
      </c>
      <c r="B632" t="s">
        <v>8706</v>
      </c>
      <c r="C632" t="s">
        <v>1205</v>
      </c>
      <c r="D632" t="s">
        <v>8708</v>
      </c>
    </row>
    <row r="633" spans="1:4" x14ac:dyDescent="0.25">
      <c r="A633" t="s">
        <v>3204</v>
      </c>
      <c r="B633" t="s">
        <v>8707</v>
      </c>
      <c r="C633" t="s">
        <v>1206</v>
      </c>
      <c r="D633" t="s">
        <v>8709</v>
      </c>
    </row>
    <row r="634" spans="1:4" x14ac:dyDescent="0.25">
      <c r="A634" t="s">
        <v>3205</v>
      </c>
      <c r="B634" t="s">
        <v>8708</v>
      </c>
      <c r="C634" t="s">
        <v>1207</v>
      </c>
      <c r="D634" t="s">
        <v>8710</v>
      </c>
    </row>
    <row r="635" spans="1:4" x14ac:dyDescent="0.25">
      <c r="A635" t="s">
        <v>3206</v>
      </c>
      <c r="B635" t="s">
        <v>8709</v>
      </c>
      <c r="C635" t="s">
        <v>1208</v>
      </c>
      <c r="D635" t="s">
        <v>8711</v>
      </c>
    </row>
    <row r="636" spans="1:4" x14ac:dyDescent="0.25">
      <c r="A636" t="s">
        <v>3207</v>
      </c>
      <c r="B636" t="s">
        <v>8710</v>
      </c>
      <c r="C636" t="s">
        <v>1209</v>
      </c>
      <c r="D636" t="s">
        <v>8712</v>
      </c>
    </row>
    <row r="637" spans="1:4" x14ac:dyDescent="0.25">
      <c r="A637" t="s">
        <v>3208</v>
      </c>
      <c r="B637" t="s">
        <v>8711</v>
      </c>
      <c r="C637" t="s">
        <v>1210</v>
      </c>
      <c r="D637" t="s">
        <v>8713</v>
      </c>
    </row>
    <row r="638" spans="1:4" x14ac:dyDescent="0.25">
      <c r="A638" t="s">
        <v>3209</v>
      </c>
      <c r="B638" t="s">
        <v>8712</v>
      </c>
      <c r="C638" t="s">
        <v>1211</v>
      </c>
      <c r="D638" t="s">
        <v>8714</v>
      </c>
    </row>
    <row r="639" spans="1:4" x14ac:dyDescent="0.25">
      <c r="A639" t="s">
        <v>3210</v>
      </c>
      <c r="B639" t="s">
        <v>8713</v>
      </c>
      <c r="C639" t="s">
        <v>1212</v>
      </c>
      <c r="D639" t="s">
        <v>8715</v>
      </c>
    </row>
    <row r="640" spans="1:4" x14ac:dyDescent="0.25">
      <c r="A640" t="s">
        <v>3211</v>
      </c>
      <c r="B640" t="s">
        <v>8714</v>
      </c>
      <c r="C640" t="s">
        <v>1213</v>
      </c>
      <c r="D640" t="s">
        <v>8716</v>
      </c>
    </row>
    <row r="641" spans="1:4" x14ac:dyDescent="0.25">
      <c r="A641" t="s">
        <v>3212</v>
      </c>
      <c r="B641" t="s">
        <v>8715</v>
      </c>
      <c r="C641" t="s">
        <v>1214</v>
      </c>
      <c r="D641" t="s">
        <v>8717</v>
      </c>
    </row>
    <row r="642" spans="1:4" x14ac:dyDescent="0.25">
      <c r="A642" t="s">
        <v>3213</v>
      </c>
      <c r="B642" t="s">
        <v>8716</v>
      </c>
      <c r="C642" t="s">
        <v>1215</v>
      </c>
      <c r="D642" t="s">
        <v>8718</v>
      </c>
    </row>
    <row r="643" spans="1:4" x14ac:dyDescent="0.25">
      <c r="A643" t="s">
        <v>3214</v>
      </c>
      <c r="B643" t="s">
        <v>8717</v>
      </c>
      <c r="C643" t="s">
        <v>1216</v>
      </c>
      <c r="D643" t="s">
        <v>8719</v>
      </c>
    </row>
    <row r="644" spans="1:4" x14ac:dyDescent="0.25">
      <c r="A644" t="s">
        <v>3215</v>
      </c>
      <c r="B644" t="s">
        <v>8718</v>
      </c>
      <c r="C644" t="s">
        <v>1217</v>
      </c>
      <c r="D644" t="s">
        <v>8720</v>
      </c>
    </row>
    <row r="645" spans="1:4" x14ac:dyDescent="0.25">
      <c r="A645" t="s">
        <v>3216</v>
      </c>
      <c r="B645" t="s">
        <v>8719</v>
      </c>
      <c r="C645" t="s">
        <v>1218</v>
      </c>
      <c r="D645" t="s">
        <v>8721</v>
      </c>
    </row>
    <row r="646" spans="1:4" x14ac:dyDescent="0.25">
      <c r="A646" t="s">
        <v>3217</v>
      </c>
      <c r="B646" t="s">
        <v>8720</v>
      </c>
      <c r="C646" t="s">
        <v>1219</v>
      </c>
      <c r="D646" t="s">
        <v>8722</v>
      </c>
    </row>
    <row r="647" spans="1:4" x14ac:dyDescent="0.25">
      <c r="A647" t="s">
        <v>3218</v>
      </c>
      <c r="B647" t="s">
        <v>8721</v>
      </c>
      <c r="C647" t="s">
        <v>1220</v>
      </c>
      <c r="D647" t="s">
        <v>8723</v>
      </c>
    </row>
    <row r="648" spans="1:4" x14ac:dyDescent="0.25">
      <c r="A648" t="s">
        <v>3219</v>
      </c>
      <c r="B648" t="s">
        <v>8722</v>
      </c>
      <c r="C648" t="s">
        <v>1221</v>
      </c>
      <c r="D648" t="s">
        <v>8724</v>
      </c>
    </row>
    <row r="649" spans="1:4" x14ac:dyDescent="0.25">
      <c r="A649" t="s">
        <v>3220</v>
      </c>
      <c r="B649" t="s">
        <v>8723</v>
      </c>
      <c r="C649" t="s">
        <v>1222</v>
      </c>
      <c r="D649" t="s">
        <v>8725</v>
      </c>
    </row>
    <row r="650" spans="1:4" x14ac:dyDescent="0.25">
      <c r="A650" t="s">
        <v>3221</v>
      </c>
      <c r="B650" t="s">
        <v>8724</v>
      </c>
      <c r="C650" t="s">
        <v>1223</v>
      </c>
      <c r="D650" t="s">
        <v>8726</v>
      </c>
    </row>
    <row r="651" spans="1:4" x14ac:dyDescent="0.25">
      <c r="A651" t="s">
        <v>3222</v>
      </c>
      <c r="B651" t="s">
        <v>8725</v>
      </c>
      <c r="C651" t="s">
        <v>1224</v>
      </c>
      <c r="D651" t="s">
        <v>8727</v>
      </c>
    </row>
    <row r="652" spans="1:4" x14ac:dyDescent="0.25">
      <c r="A652" t="s">
        <v>3223</v>
      </c>
      <c r="B652" t="s">
        <v>8726</v>
      </c>
      <c r="C652" t="s">
        <v>1225</v>
      </c>
      <c r="D652" t="s">
        <v>8728</v>
      </c>
    </row>
    <row r="653" spans="1:4" x14ac:dyDescent="0.25">
      <c r="A653" t="s">
        <v>3224</v>
      </c>
      <c r="B653" t="s">
        <v>8727</v>
      </c>
      <c r="C653" t="s">
        <v>1226</v>
      </c>
      <c r="D653" t="s">
        <v>8729</v>
      </c>
    </row>
    <row r="654" spans="1:4" x14ac:dyDescent="0.25">
      <c r="A654" t="s">
        <v>3225</v>
      </c>
      <c r="B654" t="s">
        <v>8728</v>
      </c>
      <c r="C654" t="s">
        <v>1227</v>
      </c>
      <c r="D654" t="s">
        <v>8730</v>
      </c>
    </row>
    <row r="655" spans="1:4" x14ac:dyDescent="0.25">
      <c r="A655" t="s">
        <v>3226</v>
      </c>
      <c r="B655" t="s">
        <v>8729</v>
      </c>
      <c r="C655" t="s">
        <v>1228</v>
      </c>
      <c r="D655" t="s">
        <v>8731</v>
      </c>
    </row>
    <row r="656" spans="1:4" x14ac:dyDescent="0.25">
      <c r="A656" t="s">
        <v>3227</v>
      </c>
      <c r="B656" t="s">
        <v>8730</v>
      </c>
      <c r="C656" t="s">
        <v>1229</v>
      </c>
      <c r="D656" t="s">
        <v>8732</v>
      </c>
    </row>
    <row r="657" spans="1:4" x14ac:dyDescent="0.25">
      <c r="A657" t="s">
        <v>3228</v>
      </c>
      <c r="B657" t="s">
        <v>8731</v>
      </c>
      <c r="C657" t="s">
        <v>1230</v>
      </c>
      <c r="D657" t="s">
        <v>8733</v>
      </c>
    </row>
    <row r="658" spans="1:4" x14ac:dyDescent="0.25">
      <c r="A658" t="s">
        <v>3229</v>
      </c>
      <c r="B658" t="s">
        <v>8732</v>
      </c>
      <c r="C658" t="s">
        <v>1231</v>
      </c>
      <c r="D658" t="s">
        <v>8734</v>
      </c>
    </row>
    <row r="659" spans="1:4" x14ac:dyDescent="0.25">
      <c r="A659" t="s">
        <v>3230</v>
      </c>
      <c r="B659" t="s">
        <v>8733</v>
      </c>
      <c r="C659" t="s">
        <v>1232</v>
      </c>
      <c r="D659" t="s">
        <v>8735</v>
      </c>
    </row>
    <row r="660" spans="1:4" x14ac:dyDescent="0.25">
      <c r="A660" t="s">
        <v>3231</v>
      </c>
      <c r="B660" t="s">
        <v>8734</v>
      </c>
      <c r="C660" t="s">
        <v>1233</v>
      </c>
      <c r="D660" t="s">
        <v>8736</v>
      </c>
    </row>
    <row r="661" spans="1:4" x14ac:dyDescent="0.25">
      <c r="A661" t="s">
        <v>3232</v>
      </c>
      <c r="B661" t="s">
        <v>8735</v>
      </c>
      <c r="C661" t="s">
        <v>1234</v>
      </c>
      <c r="D661" t="s">
        <v>8737</v>
      </c>
    </row>
    <row r="662" spans="1:4" x14ac:dyDescent="0.25">
      <c r="A662" t="s">
        <v>3233</v>
      </c>
      <c r="B662" t="s">
        <v>8736</v>
      </c>
      <c r="C662" t="s">
        <v>1235</v>
      </c>
      <c r="D662" t="s">
        <v>8738</v>
      </c>
    </row>
    <row r="663" spans="1:4" x14ac:dyDescent="0.25">
      <c r="A663" t="s">
        <v>3234</v>
      </c>
      <c r="B663" t="s">
        <v>8737</v>
      </c>
      <c r="C663" t="s">
        <v>1236</v>
      </c>
      <c r="D663" t="s">
        <v>8739</v>
      </c>
    </row>
    <row r="664" spans="1:4" x14ac:dyDescent="0.25">
      <c r="A664" t="s">
        <v>3235</v>
      </c>
      <c r="B664" t="s">
        <v>8738</v>
      </c>
      <c r="C664" t="s">
        <v>1237</v>
      </c>
      <c r="D664" t="s">
        <v>8740</v>
      </c>
    </row>
    <row r="665" spans="1:4" x14ac:dyDescent="0.25">
      <c r="A665" t="s">
        <v>3236</v>
      </c>
      <c r="B665" t="s">
        <v>8739</v>
      </c>
      <c r="C665" t="s">
        <v>1238</v>
      </c>
      <c r="D665" t="s">
        <v>8741</v>
      </c>
    </row>
    <row r="666" spans="1:4" x14ac:dyDescent="0.25">
      <c r="A666" t="s">
        <v>3237</v>
      </c>
      <c r="B666" t="s">
        <v>8740</v>
      </c>
      <c r="C666" t="s">
        <v>1239</v>
      </c>
      <c r="D666" t="s">
        <v>8742</v>
      </c>
    </row>
    <row r="667" spans="1:4" x14ac:dyDescent="0.25">
      <c r="A667" t="s">
        <v>3238</v>
      </c>
      <c r="B667" t="s">
        <v>8741</v>
      </c>
      <c r="C667" t="s">
        <v>1240</v>
      </c>
      <c r="D667" t="s">
        <v>8743</v>
      </c>
    </row>
    <row r="668" spans="1:4" x14ac:dyDescent="0.25">
      <c r="A668" t="s">
        <v>3239</v>
      </c>
      <c r="B668" t="s">
        <v>8742</v>
      </c>
      <c r="C668" t="s">
        <v>1241</v>
      </c>
      <c r="D668" t="s">
        <v>8744</v>
      </c>
    </row>
    <row r="669" spans="1:4" x14ac:dyDescent="0.25">
      <c r="A669" t="s">
        <v>3240</v>
      </c>
      <c r="B669" t="s">
        <v>8743</v>
      </c>
      <c r="C669" t="s">
        <v>1242</v>
      </c>
      <c r="D669" t="s">
        <v>8745</v>
      </c>
    </row>
    <row r="670" spans="1:4" x14ac:dyDescent="0.25">
      <c r="A670" t="s">
        <v>3241</v>
      </c>
      <c r="B670" t="s">
        <v>8744</v>
      </c>
      <c r="C670" t="s">
        <v>1243</v>
      </c>
      <c r="D670" t="s">
        <v>8746</v>
      </c>
    </row>
    <row r="671" spans="1:4" x14ac:dyDescent="0.25">
      <c r="A671" t="s">
        <v>3242</v>
      </c>
      <c r="B671" t="s">
        <v>8745</v>
      </c>
      <c r="C671" t="s">
        <v>1244</v>
      </c>
      <c r="D671" t="s">
        <v>8747</v>
      </c>
    </row>
    <row r="672" spans="1:4" x14ac:dyDescent="0.25">
      <c r="A672" t="s">
        <v>3243</v>
      </c>
      <c r="B672" t="s">
        <v>8746</v>
      </c>
      <c r="C672" t="s">
        <v>1245</v>
      </c>
      <c r="D672" t="s">
        <v>8748</v>
      </c>
    </row>
    <row r="673" spans="1:4" x14ac:dyDescent="0.25">
      <c r="A673" t="s">
        <v>3244</v>
      </c>
      <c r="B673" t="s">
        <v>8747</v>
      </c>
      <c r="C673" t="s">
        <v>1246</v>
      </c>
      <c r="D673" t="s">
        <v>8749</v>
      </c>
    </row>
    <row r="674" spans="1:4" x14ac:dyDescent="0.25">
      <c r="A674" t="s">
        <v>3245</v>
      </c>
      <c r="B674" t="s">
        <v>8748</v>
      </c>
      <c r="C674" t="s">
        <v>1247</v>
      </c>
      <c r="D674" t="s">
        <v>8750</v>
      </c>
    </row>
    <row r="675" spans="1:4" x14ac:dyDescent="0.25">
      <c r="A675" t="s">
        <v>3246</v>
      </c>
      <c r="B675" t="s">
        <v>8749</v>
      </c>
      <c r="C675" t="s">
        <v>1248</v>
      </c>
      <c r="D675" t="s">
        <v>8751</v>
      </c>
    </row>
    <row r="676" spans="1:4" x14ac:dyDescent="0.25">
      <c r="A676" t="s">
        <v>3247</v>
      </c>
      <c r="B676" t="s">
        <v>8750</v>
      </c>
      <c r="C676" t="s">
        <v>1249</v>
      </c>
      <c r="D676" t="s">
        <v>8752</v>
      </c>
    </row>
    <row r="677" spans="1:4" x14ac:dyDescent="0.25">
      <c r="A677" t="s">
        <v>3248</v>
      </c>
      <c r="B677" t="s">
        <v>8751</v>
      </c>
      <c r="C677" t="s">
        <v>1250</v>
      </c>
      <c r="D677" t="s">
        <v>8753</v>
      </c>
    </row>
    <row r="678" spans="1:4" x14ac:dyDescent="0.25">
      <c r="A678" t="s">
        <v>3249</v>
      </c>
      <c r="B678" t="s">
        <v>8752</v>
      </c>
      <c r="C678" t="s">
        <v>1251</v>
      </c>
      <c r="D678" t="s">
        <v>8754</v>
      </c>
    </row>
    <row r="679" spans="1:4" x14ac:dyDescent="0.25">
      <c r="A679" t="s">
        <v>3250</v>
      </c>
      <c r="B679" t="s">
        <v>8753</v>
      </c>
      <c r="C679" t="s">
        <v>1252</v>
      </c>
      <c r="D679" t="s">
        <v>8755</v>
      </c>
    </row>
    <row r="680" spans="1:4" x14ac:dyDescent="0.25">
      <c r="A680" t="s">
        <v>3251</v>
      </c>
      <c r="B680" t="s">
        <v>8754</v>
      </c>
      <c r="C680" t="s">
        <v>1253</v>
      </c>
      <c r="D680" t="s">
        <v>8756</v>
      </c>
    </row>
    <row r="681" spans="1:4" x14ac:dyDescent="0.25">
      <c r="A681" t="s">
        <v>3252</v>
      </c>
      <c r="B681" t="s">
        <v>8755</v>
      </c>
      <c r="C681" t="s">
        <v>1254</v>
      </c>
      <c r="D681" t="s">
        <v>8757</v>
      </c>
    </row>
    <row r="682" spans="1:4" x14ac:dyDescent="0.25">
      <c r="A682" t="s">
        <v>3253</v>
      </c>
      <c r="B682" t="s">
        <v>8756</v>
      </c>
      <c r="C682" t="s">
        <v>1255</v>
      </c>
      <c r="D682" t="s">
        <v>8758</v>
      </c>
    </row>
    <row r="683" spans="1:4" x14ac:dyDescent="0.25">
      <c r="A683" t="s">
        <v>3254</v>
      </c>
      <c r="B683" t="s">
        <v>8757</v>
      </c>
      <c r="C683" t="s">
        <v>1256</v>
      </c>
      <c r="D683" t="s">
        <v>8759</v>
      </c>
    </row>
    <row r="684" spans="1:4" x14ac:dyDescent="0.25">
      <c r="A684" t="s">
        <v>3255</v>
      </c>
      <c r="B684" t="s">
        <v>8758</v>
      </c>
      <c r="C684" t="s">
        <v>1257</v>
      </c>
      <c r="D684" t="s">
        <v>8760</v>
      </c>
    </row>
    <row r="685" spans="1:4" x14ac:dyDescent="0.25">
      <c r="A685" t="s">
        <v>3256</v>
      </c>
      <c r="B685" t="s">
        <v>8759</v>
      </c>
      <c r="C685" t="s">
        <v>1258</v>
      </c>
      <c r="D685" t="s">
        <v>8761</v>
      </c>
    </row>
    <row r="686" spans="1:4" x14ac:dyDescent="0.25">
      <c r="A686" t="s">
        <v>3257</v>
      </c>
      <c r="B686" t="s">
        <v>8760</v>
      </c>
      <c r="C686" t="s">
        <v>1259</v>
      </c>
      <c r="D686" t="s">
        <v>8762</v>
      </c>
    </row>
    <row r="687" spans="1:4" x14ac:dyDescent="0.25">
      <c r="A687" t="s">
        <v>3258</v>
      </c>
      <c r="B687" t="s">
        <v>8761</v>
      </c>
      <c r="C687" t="s">
        <v>1260</v>
      </c>
      <c r="D687" t="s">
        <v>8763</v>
      </c>
    </row>
    <row r="688" spans="1:4" x14ac:dyDescent="0.25">
      <c r="A688" t="s">
        <v>3259</v>
      </c>
      <c r="B688" t="s">
        <v>8762</v>
      </c>
      <c r="C688" t="s">
        <v>1261</v>
      </c>
      <c r="D688" t="s">
        <v>8764</v>
      </c>
    </row>
    <row r="689" spans="1:4" x14ac:dyDescent="0.25">
      <c r="A689" t="s">
        <v>3260</v>
      </c>
      <c r="B689" t="s">
        <v>8763</v>
      </c>
      <c r="C689" t="s">
        <v>1262</v>
      </c>
      <c r="D689" t="s">
        <v>8765</v>
      </c>
    </row>
    <row r="690" spans="1:4" x14ac:dyDescent="0.25">
      <c r="A690" t="s">
        <v>3261</v>
      </c>
      <c r="B690" t="s">
        <v>8764</v>
      </c>
      <c r="C690" t="s">
        <v>1263</v>
      </c>
      <c r="D690" t="s">
        <v>8766</v>
      </c>
    </row>
    <row r="691" spans="1:4" x14ac:dyDescent="0.25">
      <c r="A691" t="s">
        <v>3262</v>
      </c>
      <c r="B691" t="s">
        <v>8765</v>
      </c>
      <c r="C691" t="s">
        <v>1264</v>
      </c>
      <c r="D691" t="s">
        <v>8767</v>
      </c>
    </row>
    <row r="692" spans="1:4" x14ac:dyDescent="0.25">
      <c r="A692" t="s">
        <v>3263</v>
      </c>
      <c r="B692" t="s">
        <v>8766</v>
      </c>
      <c r="C692" t="s">
        <v>1265</v>
      </c>
      <c r="D692" t="s">
        <v>8768</v>
      </c>
    </row>
    <row r="693" spans="1:4" x14ac:dyDescent="0.25">
      <c r="A693" t="s">
        <v>3264</v>
      </c>
      <c r="B693" t="s">
        <v>8767</v>
      </c>
      <c r="C693" t="s">
        <v>1266</v>
      </c>
      <c r="D693" t="s">
        <v>8769</v>
      </c>
    </row>
    <row r="694" spans="1:4" x14ac:dyDescent="0.25">
      <c r="A694" t="s">
        <v>3265</v>
      </c>
      <c r="B694" t="s">
        <v>8768</v>
      </c>
      <c r="C694" t="s">
        <v>1267</v>
      </c>
      <c r="D694" t="s">
        <v>8770</v>
      </c>
    </row>
    <row r="695" spans="1:4" x14ac:dyDescent="0.25">
      <c r="A695" t="s">
        <v>3266</v>
      </c>
      <c r="B695" t="s">
        <v>8769</v>
      </c>
      <c r="C695" t="s">
        <v>1268</v>
      </c>
      <c r="D695" t="s">
        <v>8771</v>
      </c>
    </row>
    <row r="696" spans="1:4" x14ac:dyDescent="0.25">
      <c r="A696" t="s">
        <v>3267</v>
      </c>
      <c r="B696" t="s">
        <v>8770</v>
      </c>
      <c r="C696" t="s">
        <v>1269</v>
      </c>
      <c r="D696" t="s">
        <v>8772</v>
      </c>
    </row>
    <row r="697" spans="1:4" x14ac:dyDescent="0.25">
      <c r="A697" t="s">
        <v>3268</v>
      </c>
      <c r="B697" t="s">
        <v>8771</v>
      </c>
      <c r="C697" t="s">
        <v>1270</v>
      </c>
      <c r="D697" t="s">
        <v>8773</v>
      </c>
    </row>
    <row r="698" spans="1:4" x14ac:dyDescent="0.25">
      <c r="A698" t="s">
        <v>3269</v>
      </c>
      <c r="B698" t="s">
        <v>8772</v>
      </c>
      <c r="C698" t="s">
        <v>1271</v>
      </c>
      <c r="D698" t="s">
        <v>8774</v>
      </c>
    </row>
    <row r="699" spans="1:4" x14ac:dyDescent="0.25">
      <c r="A699" t="s">
        <v>3270</v>
      </c>
      <c r="B699" t="s">
        <v>8773</v>
      </c>
      <c r="C699" t="s">
        <v>1272</v>
      </c>
      <c r="D699" t="s">
        <v>8775</v>
      </c>
    </row>
    <row r="700" spans="1:4" x14ac:dyDescent="0.25">
      <c r="A700" t="s">
        <v>3271</v>
      </c>
      <c r="B700" t="s">
        <v>8774</v>
      </c>
      <c r="C700" t="s">
        <v>1273</v>
      </c>
      <c r="D700" t="s">
        <v>8776</v>
      </c>
    </row>
    <row r="701" spans="1:4" x14ac:dyDescent="0.25">
      <c r="A701" t="s">
        <v>3272</v>
      </c>
      <c r="B701" t="s">
        <v>8775</v>
      </c>
      <c r="C701" t="s">
        <v>1274</v>
      </c>
      <c r="D701" t="s">
        <v>8777</v>
      </c>
    </row>
    <row r="702" spans="1:4" x14ac:dyDescent="0.25">
      <c r="A702" t="s">
        <v>3273</v>
      </c>
      <c r="B702" t="s">
        <v>8776</v>
      </c>
      <c r="C702" t="s">
        <v>1275</v>
      </c>
      <c r="D702" t="s">
        <v>8778</v>
      </c>
    </row>
    <row r="703" spans="1:4" x14ac:dyDescent="0.25">
      <c r="A703" t="s">
        <v>3274</v>
      </c>
      <c r="B703" t="s">
        <v>8777</v>
      </c>
      <c r="C703" t="s">
        <v>1276</v>
      </c>
      <c r="D703" t="s">
        <v>8779</v>
      </c>
    </row>
    <row r="704" spans="1:4" x14ac:dyDescent="0.25">
      <c r="A704" t="s">
        <v>3275</v>
      </c>
      <c r="B704" t="s">
        <v>8778</v>
      </c>
      <c r="C704" t="s">
        <v>1277</v>
      </c>
      <c r="D704" t="s">
        <v>8780</v>
      </c>
    </row>
    <row r="705" spans="1:4" x14ac:dyDescent="0.25">
      <c r="A705" t="s">
        <v>3276</v>
      </c>
      <c r="B705" t="s">
        <v>8779</v>
      </c>
      <c r="C705" t="s">
        <v>1278</v>
      </c>
      <c r="D705" t="s">
        <v>8781</v>
      </c>
    </row>
    <row r="706" spans="1:4" x14ac:dyDescent="0.25">
      <c r="A706" t="s">
        <v>3277</v>
      </c>
      <c r="B706" t="s">
        <v>8780</v>
      </c>
      <c r="C706" t="s">
        <v>1279</v>
      </c>
      <c r="D706" t="s">
        <v>8782</v>
      </c>
    </row>
    <row r="707" spans="1:4" x14ac:dyDescent="0.25">
      <c r="A707" t="s">
        <v>3278</v>
      </c>
      <c r="B707" t="s">
        <v>8781</v>
      </c>
      <c r="C707" t="s">
        <v>1280</v>
      </c>
      <c r="D707" t="s">
        <v>8783</v>
      </c>
    </row>
    <row r="708" spans="1:4" x14ac:dyDescent="0.25">
      <c r="A708" t="s">
        <v>3279</v>
      </c>
      <c r="B708" t="s">
        <v>8782</v>
      </c>
      <c r="C708" t="s">
        <v>1281</v>
      </c>
      <c r="D708" t="s">
        <v>8784</v>
      </c>
    </row>
    <row r="709" spans="1:4" x14ac:dyDescent="0.25">
      <c r="A709" t="s">
        <v>3280</v>
      </c>
      <c r="B709" t="s">
        <v>8783</v>
      </c>
      <c r="C709" t="s">
        <v>1282</v>
      </c>
      <c r="D709" t="s">
        <v>8785</v>
      </c>
    </row>
    <row r="710" spans="1:4" x14ac:dyDescent="0.25">
      <c r="A710" t="s">
        <v>3281</v>
      </c>
      <c r="B710" t="s">
        <v>8784</v>
      </c>
      <c r="C710" t="s">
        <v>1283</v>
      </c>
      <c r="D710" t="s">
        <v>8786</v>
      </c>
    </row>
    <row r="711" spans="1:4" x14ac:dyDescent="0.25">
      <c r="A711" t="s">
        <v>3282</v>
      </c>
      <c r="B711" t="s">
        <v>8785</v>
      </c>
      <c r="C711" t="s">
        <v>1284</v>
      </c>
      <c r="D711" t="s">
        <v>8787</v>
      </c>
    </row>
    <row r="712" spans="1:4" x14ac:dyDescent="0.25">
      <c r="A712" t="s">
        <v>3283</v>
      </c>
      <c r="B712" t="s">
        <v>8786</v>
      </c>
      <c r="C712" t="s">
        <v>1285</v>
      </c>
      <c r="D712" t="s">
        <v>8788</v>
      </c>
    </row>
    <row r="713" spans="1:4" x14ac:dyDescent="0.25">
      <c r="A713" t="s">
        <v>3284</v>
      </c>
      <c r="B713" t="s">
        <v>8787</v>
      </c>
      <c r="C713" t="s">
        <v>1286</v>
      </c>
      <c r="D713" t="s">
        <v>8789</v>
      </c>
    </row>
    <row r="714" spans="1:4" x14ac:dyDescent="0.25">
      <c r="A714" t="s">
        <v>3285</v>
      </c>
      <c r="B714" t="s">
        <v>8788</v>
      </c>
      <c r="C714" t="s">
        <v>1287</v>
      </c>
      <c r="D714" t="s">
        <v>8790</v>
      </c>
    </row>
    <row r="715" spans="1:4" x14ac:dyDescent="0.25">
      <c r="A715" t="s">
        <v>3286</v>
      </c>
      <c r="B715" t="s">
        <v>8789</v>
      </c>
      <c r="C715" t="s">
        <v>1288</v>
      </c>
      <c r="D715" t="s">
        <v>8791</v>
      </c>
    </row>
    <row r="716" spans="1:4" x14ac:dyDescent="0.25">
      <c r="A716" t="s">
        <v>3287</v>
      </c>
      <c r="B716" t="s">
        <v>8790</v>
      </c>
      <c r="C716" t="s">
        <v>1289</v>
      </c>
      <c r="D716" t="s">
        <v>8792</v>
      </c>
    </row>
    <row r="717" spans="1:4" x14ac:dyDescent="0.25">
      <c r="A717" t="s">
        <v>3288</v>
      </c>
      <c r="B717" t="s">
        <v>8791</v>
      </c>
      <c r="C717" t="s">
        <v>1290</v>
      </c>
      <c r="D717" t="s">
        <v>8793</v>
      </c>
    </row>
    <row r="718" spans="1:4" x14ac:dyDescent="0.25">
      <c r="A718" t="s">
        <v>3289</v>
      </c>
      <c r="B718" t="s">
        <v>8792</v>
      </c>
      <c r="C718" t="s">
        <v>1291</v>
      </c>
      <c r="D718" t="s">
        <v>8794</v>
      </c>
    </row>
    <row r="719" spans="1:4" x14ac:dyDescent="0.25">
      <c r="A719" t="s">
        <v>3290</v>
      </c>
      <c r="B719" t="s">
        <v>8793</v>
      </c>
      <c r="C719" t="s">
        <v>1292</v>
      </c>
      <c r="D719" t="s">
        <v>8795</v>
      </c>
    </row>
    <row r="720" spans="1:4" x14ac:dyDescent="0.25">
      <c r="A720" t="s">
        <v>3291</v>
      </c>
      <c r="B720" t="s">
        <v>8794</v>
      </c>
      <c r="C720" t="s">
        <v>1293</v>
      </c>
      <c r="D720" t="s">
        <v>8796</v>
      </c>
    </row>
    <row r="721" spans="1:4" x14ac:dyDescent="0.25">
      <c r="A721" t="s">
        <v>3292</v>
      </c>
      <c r="B721" t="s">
        <v>8795</v>
      </c>
      <c r="C721" t="s">
        <v>1294</v>
      </c>
      <c r="D721" t="s">
        <v>8797</v>
      </c>
    </row>
    <row r="722" spans="1:4" x14ac:dyDescent="0.25">
      <c r="A722" t="s">
        <v>3293</v>
      </c>
      <c r="B722" t="s">
        <v>8796</v>
      </c>
      <c r="C722" t="s">
        <v>1295</v>
      </c>
      <c r="D722" t="s">
        <v>8798</v>
      </c>
    </row>
    <row r="723" spans="1:4" x14ac:dyDescent="0.25">
      <c r="A723" t="s">
        <v>3294</v>
      </c>
      <c r="B723" t="s">
        <v>8797</v>
      </c>
      <c r="C723" t="s">
        <v>1296</v>
      </c>
      <c r="D723" t="s">
        <v>8799</v>
      </c>
    </row>
    <row r="724" spans="1:4" x14ac:dyDescent="0.25">
      <c r="A724" t="s">
        <v>3295</v>
      </c>
      <c r="B724" t="s">
        <v>8798</v>
      </c>
      <c r="C724" t="s">
        <v>1297</v>
      </c>
      <c r="D724" t="s">
        <v>8800</v>
      </c>
    </row>
    <row r="725" spans="1:4" x14ac:dyDescent="0.25">
      <c r="A725" t="s">
        <v>3296</v>
      </c>
      <c r="B725" t="s">
        <v>8799</v>
      </c>
      <c r="C725" t="s">
        <v>1298</v>
      </c>
      <c r="D725" t="s">
        <v>8801</v>
      </c>
    </row>
    <row r="726" spans="1:4" x14ac:dyDescent="0.25">
      <c r="A726" t="s">
        <v>3297</v>
      </c>
      <c r="B726" t="s">
        <v>8800</v>
      </c>
      <c r="C726" t="s">
        <v>1299</v>
      </c>
      <c r="D726" t="s">
        <v>8802</v>
      </c>
    </row>
    <row r="727" spans="1:4" x14ac:dyDescent="0.25">
      <c r="A727" t="s">
        <v>3298</v>
      </c>
      <c r="B727" t="s">
        <v>8801</v>
      </c>
      <c r="C727" t="s">
        <v>1300</v>
      </c>
      <c r="D727" t="s">
        <v>8803</v>
      </c>
    </row>
    <row r="728" spans="1:4" x14ac:dyDescent="0.25">
      <c r="A728" t="s">
        <v>3299</v>
      </c>
      <c r="B728" t="s">
        <v>8802</v>
      </c>
      <c r="C728" t="s">
        <v>1301</v>
      </c>
      <c r="D728" t="s">
        <v>8804</v>
      </c>
    </row>
    <row r="729" spans="1:4" x14ac:dyDescent="0.25">
      <c r="A729" t="s">
        <v>3300</v>
      </c>
      <c r="B729" t="s">
        <v>8803</v>
      </c>
      <c r="C729" t="s">
        <v>1302</v>
      </c>
      <c r="D729" t="s">
        <v>8805</v>
      </c>
    </row>
    <row r="730" spans="1:4" x14ac:dyDescent="0.25">
      <c r="A730" t="s">
        <v>3301</v>
      </c>
      <c r="B730" t="s">
        <v>8804</v>
      </c>
      <c r="C730" t="s">
        <v>1303</v>
      </c>
      <c r="D730" t="s">
        <v>8806</v>
      </c>
    </row>
    <row r="731" spans="1:4" x14ac:dyDescent="0.25">
      <c r="A731" t="s">
        <v>3302</v>
      </c>
      <c r="B731" t="s">
        <v>8805</v>
      </c>
      <c r="C731" t="s">
        <v>1304</v>
      </c>
      <c r="D731" t="s">
        <v>8807</v>
      </c>
    </row>
    <row r="732" spans="1:4" x14ac:dyDescent="0.25">
      <c r="A732" t="s">
        <v>3303</v>
      </c>
      <c r="B732" t="s">
        <v>8806</v>
      </c>
      <c r="C732" t="s">
        <v>1305</v>
      </c>
      <c r="D732" t="s">
        <v>8808</v>
      </c>
    </row>
    <row r="733" spans="1:4" x14ac:dyDescent="0.25">
      <c r="A733" t="s">
        <v>3304</v>
      </c>
      <c r="B733" t="s">
        <v>8807</v>
      </c>
      <c r="C733" t="s">
        <v>1306</v>
      </c>
      <c r="D733" t="s">
        <v>8809</v>
      </c>
    </row>
    <row r="734" spans="1:4" x14ac:dyDescent="0.25">
      <c r="A734" t="s">
        <v>3305</v>
      </c>
      <c r="B734" t="s">
        <v>8808</v>
      </c>
      <c r="C734" t="s">
        <v>1307</v>
      </c>
      <c r="D734" t="s">
        <v>8810</v>
      </c>
    </row>
    <row r="735" spans="1:4" x14ac:dyDescent="0.25">
      <c r="A735" t="s">
        <v>3306</v>
      </c>
      <c r="B735" t="s">
        <v>8809</v>
      </c>
      <c r="C735" t="s">
        <v>1308</v>
      </c>
      <c r="D735" t="s">
        <v>8811</v>
      </c>
    </row>
    <row r="736" spans="1:4" x14ac:dyDescent="0.25">
      <c r="A736" t="s">
        <v>3307</v>
      </c>
      <c r="B736" t="s">
        <v>8810</v>
      </c>
      <c r="C736" t="s">
        <v>1309</v>
      </c>
      <c r="D736" t="s">
        <v>8812</v>
      </c>
    </row>
    <row r="737" spans="1:4" x14ac:dyDescent="0.25">
      <c r="A737" t="s">
        <v>3308</v>
      </c>
      <c r="B737" t="s">
        <v>8811</v>
      </c>
      <c r="C737" t="s">
        <v>1310</v>
      </c>
      <c r="D737" t="s">
        <v>8813</v>
      </c>
    </row>
    <row r="738" spans="1:4" x14ac:dyDescent="0.25">
      <c r="A738" t="s">
        <v>3309</v>
      </c>
      <c r="B738" t="s">
        <v>8812</v>
      </c>
      <c r="C738" t="s">
        <v>1311</v>
      </c>
      <c r="D738" t="s">
        <v>8814</v>
      </c>
    </row>
    <row r="739" spans="1:4" x14ac:dyDescent="0.25">
      <c r="A739" t="s">
        <v>3310</v>
      </c>
      <c r="B739" t="s">
        <v>8813</v>
      </c>
      <c r="C739" t="s">
        <v>1312</v>
      </c>
      <c r="D739" t="s">
        <v>8815</v>
      </c>
    </row>
    <row r="740" spans="1:4" x14ac:dyDescent="0.25">
      <c r="A740" t="s">
        <v>3311</v>
      </c>
      <c r="B740" t="s">
        <v>8814</v>
      </c>
      <c r="C740" t="s">
        <v>1313</v>
      </c>
      <c r="D740" t="s">
        <v>8816</v>
      </c>
    </row>
    <row r="741" spans="1:4" x14ac:dyDescent="0.25">
      <c r="A741" t="s">
        <v>3312</v>
      </c>
      <c r="B741" t="s">
        <v>8815</v>
      </c>
      <c r="C741" t="s">
        <v>1314</v>
      </c>
      <c r="D741" t="s">
        <v>8817</v>
      </c>
    </row>
    <row r="742" spans="1:4" x14ac:dyDescent="0.25">
      <c r="A742" t="s">
        <v>3313</v>
      </c>
      <c r="B742" t="s">
        <v>8816</v>
      </c>
      <c r="C742" t="s">
        <v>1315</v>
      </c>
      <c r="D742" t="s">
        <v>8818</v>
      </c>
    </row>
    <row r="743" spans="1:4" x14ac:dyDescent="0.25">
      <c r="A743" t="s">
        <v>3314</v>
      </c>
      <c r="B743" t="s">
        <v>8817</v>
      </c>
      <c r="C743" t="s">
        <v>1316</v>
      </c>
      <c r="D743" t="s">
        <v>8819</v>
      </c>
    </row>
    <row r="744" spans="1:4" x14ac:dyDescent="0.25">
      <c r="A744" t="s">
        <v>3315</v>
      </c>
      <c r="B744" t="s">
        <v>8818</v>
      </c>
      <c r="C744" t="s">
        <v>1317</v>
      </c>
      <c r="D744" t="s">
        <v>8820</v>
      </c>
    </row>
    <row r="745" spans="1:4" x14ac:dyDescent="0.25">
      <c r="A745" t="s">
        <v>3316</v>
      </c>
      <c r="B745" t="s">
        <v>8819</v>
      </c>
      <c r="C745" t="s">
        <v>1318</v>
      </c>
      <c r="D745" t="s">
        <v>8821</v>
      </c>
    </row>
    <row r="746" spans="1:4" x14ac:dyDescent="0.25">
      <c r="A746" t="s">
        <v>3317</v>
      </c>
      <c r="B746" t="s">
        <v>8820</v>
      </c>
      <c r="C746" t="s">
        <v>1319</v>
      </c>
      <c r="D746" t="s">
        <v>8822</v>
      </c>
    </row>
    <row r="747" spans="1:4" x14ac:dyDescent="0.25">
      <c r="A747" t="s">
        <v>3318</v>
      </c>
      <c r="B747" t="s">
        <v>8821</v>
      </c>
      <c r="C747" t="s">
        <v>1320</v>
      </c>
      <c r="D747" t="s">
        <v>8823</v>
      </c>
    </row>
    <row r="748" spans="1:4" x14ac:dyDescent="0.25">
      <c r="A748" t="s">
        <v>3319</v>
      </c>
      <c r="B748" t="s">
        <v>8822</v>
      </c>
      <c r="C748" t="s">
        <v>1321</v>
      </c>
      <c r="D748" t="s">
        <v>8824</v>
      </c>
    </row>
    <row r="749" spans="1:4" x14ac:dyDescent="0.25">
      <c r="A749" t="s">
        <v>3320</v>
      </c>
      <c r="B749" t="s">
        <v>8823</v>
      </c>
      <c r="C749" t="s">
        <v>1322</v>
      </c>
      <c r="D749" t="s">
        <v>8825</v>
      </c>
    </row>
    <row r="750" spans="1:4" x14ac:dyDescent="0.25">
      <c r="A750" t="s">
        <v>3321</v>
      </c>
      <c r="B750" t="s">
        <v>8824</v>
      </c>
      <c r="C750" t="s">
        <v>1323</v>
      </c>
      <c r="D750" t="s">
        <v>8826</v>
      </c>
    </row>
    <row r="751" spans="1:4" x14ac:dyDescent="0.25">
      <c r="A751" t="s">
        <v>3322</v>
      </c>
      <c r="B751" t="s">
        <v>8825</v>
      </c>
      <c r="C751" t="s">
        <v>1324</v>
      </c>
      <c r="D751" t="s">
        <v>8827</v>
      </c>
    </row>
    <row r="752" spans="1:4" x14ac:dyDescent="0.25">
      <c r="A752" t="s">
        <v>3323</v>
      </c>
      <c r="B752" t="s">
        <v>8826</v>
      </c>
      <c r="C752" t="s">
        <v>1325</v>
      </c>
      <c r="D752" t="s">
        <v>8828</v>
      </c>
    </row>
    <row r="753" spans="1:4" x14ac:dyDescent="0.25">
      <c r="A753" t="s">
        <v>3324</v>
      </c>
      <c r="B753" t="s">
        <v>8827</v>
      </c>
      <c r="C753" t="s">
        <v>1326</v>
      </c>
      <c r="D753" t="s">
        <v>8829</v>
      </c>
    </row>
    <row r="754" spans="1:4" x14ac:dyDescent="0.25">
      <c r="A754" t="s">
        <v>3325</v>
      </c>
      <c r="B754" t="s">
        <v>8828</v>
      </c>
      <c r="C754" t="s">
        <v>1327</v>
      </c>
      <c r="D754" t="s">
        <v>8830</v>
      </c>
    </row>
    <row r="755" spans="1:4" x14ac:dyDescent="0.25">
      <c r="A755" t="s">
        <v>3326</v>
      </c>
      <c r="B755" t="s">
        <v>8829</v>
      </c>
      <c r="C755" t="s">
        <v>1328</v>
      </c>
      <c r="D755" t="s">
        <v>8831</v>
      </c>
    </row>
    <row r="756" spans="1:4" x14ac:dyDescent="0.25">
      <c r="A756" t="s">
        <v>3327</v>
      </c>
      <c r="B756" t="s">
        <v>8830</v>
      </c>
      <c r="C756" t="s">
        <v>1329</v>
      </c>
      <c r="D756" t="s">
        <v>8832</v>
      </c>
    </row>
    <row r="757" spans="1:4" x14ac:dyDescent="0.25">
      <c r="A757" t="s">
        <v>3328</v>
      </c>
      <c r="B757" t="s">
        <v>8831</v>
      </c>
      <c r="C757" t="s">
        <v>1330</v>
      </c>
      <c r="D757" t="s">
        <v>8833</v>
      </c>
    </row>
    <row r="758" spans="1:4" x14ac:dyDescent="0.25">
      <c r="A758" t="s">
        <v>3329</v>
      </c>
      <c r="B758" t="s">
        <v>8832</v>
      </c>
      <c r="C758" t="s">
        <v>1331</v>
      </c>
      <c r="D758" t="s">
        <v>8834</v>
      </c>
    </row>
    <row r="759" spans="1:4" x14ac:dyDescent="0.25">
      <c r="A759" t="s">
        <v>3330</v>
      </c>
      <c r="B759" t="s">
        <v>8833</v>
      </c>
      <c r="C759" t="s">
        <v>1332</v>
      </c>
      <c r="D759" t="s">
        <v>8835</v>
      </c>
    </row>
    <row r="760" spans="1:4" x14ac:dyDescent="0.25">
      <c r="A760" t="s">
        <v>3331</v>
      </c>
      <c r="B760" t="s">
        <v>8834</v>
      </c>
      <c r="C760" t="s">
        <v>1333</v>
      </c>
      <c r="D760" t="s">
        <v>8836</v>
      </c>
    </row>
    <row r="761" spans="1:4" x14ac:dyDescent="0.25">
      <c r="A761" t="s">
        <v>3332</v>
      </c>
      <c r="B761" t="s">
        <v>8835</v>
      </c>
      <c r="C761" t="s">
        <v>1334</v>
      </c>
      <c r="D761" t="s">
        <v>8837</v>
      </c>
    </row>
    <row r="762" spans="1:4" x14ac:dyDescent="0.25">
      <c r="A762" t="s">
        <v>3333</v>
      </c>
      <c r="B762" t="s">
        <v>8836</v>
      </c>
      <c r="C762" t="s">
        <v>1335</v>
      </c>
      <c r="D762" t="s">
        <v>8838</v>
      </c>
    </row>
    <row r="763" spans="1:4" x14ac:dyDescent="0.25">
      <c r="A763" t="s">
        <v>3334</v>
      </c>
      <c r="B763" t="s">
        <v>8837</v>
      </c>
      <c r="C763" t="s">
        <v>1336</v>
      </c>
      <c r="D763" t="s">
        <v>8839</v>
      </c>
    </row>
    <row r="764" spans="1:4" x14ac:dyDescent="0.25">
      <c r="A764" t="s">
        <v>3335</v>
      </c>
      <c r="B764" t="s">
        <v>8838</v>
      </c>
      <c r="C764" t="s">
        <v>1337</v>
      </c>
      <c r="D764" t="s">
        <v>8840</v>
      </c>
    </row>
    <row r="765" spans="1:4" x14ac:dyDescent="0.25">
      <c r="A765" t="s">
        <v>3336</v>
      </c>
      <c r="B765" t="s">
        <v>8839</v>
      </c>
      <c r="C765" t="s">
        <v>1338</v>
      </c>
      <c r="D765" t="s">
        <v>8841</v>
      </c>
    </row>
    <row r="766" spans="1:4" x14ac:dyDescent="0.25">
      <c r="A766" t="s">
        <v>3337</v>
      </c>
      <c r="B766" t="s">
        <v>8840</v>
      </c>
      <c r="C766" t="s">
        <v>1339</v>
      </c>
      <c r="D766" t="s">
        <v>8842</v>
      </c>
    </row>
    <row r="767" spans="1:4" x14ac:dyDescent="0.25">
      <c r="A767" t="s">
        <v>3338</v>
      </c>
      <c r="B767" t="s">
        <v>8841</v>
      </c>
      <c r="C767" t="s">
        <v>1340</v>
      </c>
      <c r="D767" t="s">
        <v>8843</v>
      </c>
    </row>
    <row r="768" spans="1:4" x14ac:dyDescent="0.25">
      <c r="A768" t="s">
        <v>3339</v>
      </c>
      <c r="B768" t="s">
        <v>8842</v>
      </c>
      <c r="C768" t="s">
        <v>1341</v>
      </c>
      <c r="D768" t="s">
        <v>8844</v>
      </c>
    </row>
    <row r="769" spans="1:4" x14ac:dyDescent="0.25">
      <c r="A769" t="s">
        <v>3340</v>
      </c>
      <c r="B769" t="s">
        <v>8843</v>
      </c>
      <c r="C769" t="s">
        <v>1342</v>
      </c>
      <c r="D769" t="s">
        <v>8845</v>
      </c>
    </row>
    <row r="770" spans="1:4" x14ac:dyDescent="0.25">
      <c r="A770" t="s">
        <v>3341</v>
      </c>
      <c r="B770" t="s">
        <v>8844</v>
      </c>
      <c r="C770" t="s">
        <v>1343</v>
      </c>
      <c r="D770" t="s">
        <v>8846</v>
      </c>
    </row>
    <row r="771" spans="1:4" x14ac:dyDescent="0.25">
      <c r="A771" t="s">
        <v>3342</v>
      </c>
      <c r="B771" t="s">
        <v>8845</v>
      </c>
      <c r="C771" t="s">
        <v>1344</v>
      </c>
      <c r="D771" t="s">
        <v>8847</v>
      </c>
    </row>
    <row r="772" spans="1:4" x14ac:dyDescent="0.25">
      <c r="A772" t="s">
        <v>3343</v>
      </c>
      <c r="B772" t="s">
        <v>8846</v>
      </c>
      <c r="C772" t="s">
        <v>1345</v>
      </c>
      <c r="D772" t="s">
        <v>8848</v>
      </c>
    </row>
    <row r="773" spans="1:4" x14ac:dyDescent="0.25">
      <c r="A773" t="s">
        <v>3344</v>
      </c>
      <c r="B773" t="s">
        <v>8847</v>
      </c>
      <c r="C773" t="s">
        <v>1346</v>
      </c>
      <c r="D773" t="s">
        <v>8849</v>
      </c>
    </row>
    <row r="774" spans="1:4" x14ac:dyDescent="0.25">
      <c r="A774" t="s">
        <v>3345</v>
      </c>
      <c r="B774" t="s">
        <v>8848</v>
      </c>
      <c r="C774" t="s">
        <v>1347</v>
      </c>
      <c r="D774" t="s">
        <v>8850</v>
      </c>
    </row>
    <row r="775" spans="1:4" x14ac:dyDescent="0.25">
      <c r="A775" t="s">
        <v>3346</v>
      </c>
      <c r="B775" t="s">
        <v>8849</v>
      </c>
      <c r="C775" t="s">
        <v>1348</v>
      </c>
      <c r="D775" t="s">
        <v>8851</v>
      </c>
    </row>
    <row r="776" spans="1:4" x14ac:dyDescent="0.25">
      <c r="A776" t="s">
        <v>3347</v>
      </c>
      <c r="B776" t="s">
        <v>8850</v>
      </c>
      <c r="C776" t="s">
        <v>1349</v>
      </c>
      <c r="D776" t="s">
        <v>8852</v>
      </c>
    </row>
    <row r="777" spans="1:4" x14ac:dyDescent="0.25">
      <c r="A777" t="s">
        <v>3348</v>
      </c>
      <c r="B777" t="s">
        <v>8851</v>
      </c>
      <c r="C777" t="s">
        <v>1350</v>
      </c>
      <c r="D777" t="s">
        <v>8853</v>
      </c>
    </row>
    <row r="778" spans="1:4" x14ac:dyDescent="0.25">
      <c r="A778" t="s">
        <v>3349</v>
      </c>
      <c r="B778" t="s">
        <v>8852</v>
      </c>
      <c r="C778" t="s">
        <v>1351</v>
      </c>
      <c r="D778" t="s">
        <v>8854</v>
      </c>
    </row>
    <row r="779" spans="1:4" x14ac:dyDescent="0.25">
      <c r="A779" t="s">
        <v>3350</v>
      </c>
      <c r="B779" t="s">
        <v>8853</v>
      </c>
      <c r="C779" t="s">
        <v>1352</v>
      </c>
      <c r="D779" t="s">
        <v>8855</v>
      </c>
    </row>
    <row r="780" spans="1:4" x14ac:dyDescent="0.25">
      <c r="A780" t="s">
        <v>3351</v>
      </c>
      <c r="B780" t="s">
        <v>8854</v>
      </c>
      <c r="C780" t="s">
        <v>1353</v>
      </c>
      <c r="D780" t="s">
        <v>8856</v>
      </c>
    </row>
    <row r="781" spans="1:4" x14ac:dyDescent="0.25">
      <c r="A781" t="s">
        <v>3352</v>
      </c>
      <c r="B781" t="s">
        <v>8855</v>
      </c>
      <c r="C781" t="s">
        <v>1354</v>
      </c>
      <c r="D781" t="s">
        <v>8857</v>
      </c>
    </row>
    <row r="782" spans="1:4" x14ac:dyDescent="0.25">
      <c r="A782" t="s">
        <v>3353</v>
      </c>
      <c r="B782" t="s">
        <v>8856</v>
      </c>
      <c r="C782" t="s">
        <v>1355</v>
      </c>
      <c r="D782" t="s">
        <v>8858</v>
      </c>
    </row>
    <row r="783" spans="1:4" x14ac:dyDescent="0.25">
      <c r="A783" t="s">
        <v>3354</v>
      </c>
      <c r="B783" t="s">
        <v>8857</v>
      </c>
      <c r="C783" t="s">
        <v>1356</v>
      </c>
      <c r="D783" t="s">
        <v>8859</v>
      </c>
    </row>
    <row r="784" spans="1:4" x14ac:dyDescent="0.25">
      <c r="A784" t="s">
        <v>3355</v>
      </c>
      <c r="B784" t="s">
        <v>8858</v>
      </c>
      <c r="C784" t="s">
        <v>1357</v>
      </c>
      <c r="D784" t="s">
        <v>8860</v>
      </c>
    </row>
    <row r="785" spans="1:4" x14ac:dyDescent="0.25">
      <c r="A785" t="s">
        <v>3356</v>
      </c>
      <c r="B785" t="s">
        <v>8859</v>
      </c>
      <c r="C785" t="s">
        <v>1358</v>
      </c>
      <c r="D785" t="s">
        <v>8861</v>
      </c>
    </row>
    <row r="786" spans="1:4" x14ac:dyDescent="0.25">
      <c r="A786" t="s">
        <v>3357</v>
      </c>
      <c r="B786" t="s">
        <v>8860</v>
      </c>
      <c r="C786" t="s">
        <v>1359</v>
      </c>
      <c r="D786" t="s">
        <v>8862</v>
      </c>
    </row>
    <row r="787" spans="1:4" x14ac:dyDescent="0.25">
      <c r="A787" t="s">
        <v>3358</v>
      </c>
      <c r="B787" t="s">
        <v>8861</v>
      </c>
      <c r="C787" t="s">
        <v>1360</v>
      </c>
      <c r="D787" t="s">
        <v>8863</v>
      </c>
    </row>
    <row r="788" spans="1:4" x14ac:dyDescent="0.25">
      <c r="A788" t="s">
        <v>3359</v>
      </c>
      <c r="B788" t="s">
        <v>8862</v>
      </c>
      <c r="C788" t="s">
        <v>1361</v>
      </c>
      <c r="D788" t="s">
        <v>8864</v>
      </c>
    </row>
    <row r="789" spans="1:4" x14ac:dyDescent="0.25">
      <c r="A789" t="s">
        <v>3360</v>
      </c>
      <c r="B789" t="s">
        <v>8863</v>
      </c>
      <c r="C789" t="s">
        <v>1362</v>
      </c>
      <c r="D789" t="s">
        <v>8865</v>
      </c>
    </row>
    <row r="790" spans="1:4" x14ac:dyDescent="0.25">
      <c r="A790" t="s">
        <v>3361</v>
      </c>
      <c r="B790" t="s">
        <v>8864</v>
      </c>
      <c r="C790" t="s">
        <v>1363</v>
      </c>
      <c r="D790" t="s">
        <v>8866</v>
      </c>
    </row>
    <row r="791" spans="1:4" x14ac:dyDescent="0.25">
      <c r="A791" t="s">
        <v>3362</v>
      </c>
      <c r="B791" t="s">
        <v>8865</v>
      </c>
      <c r="C791" t="s">
        <v>1364</v>
      </c>
      <c r="D791" t="s">
        <v>8867</v>
      </c>
    </row>
    <row r="792" spans="1:4" x14ac:dyDescent="0.25">
      <c r="A792" t="s">
        <v>3363</v>
      </c>
      <c r="B792" t="s">
        <v>8866</v>
      </c>
      <c r="C792" t="s">
        <v>1365</v>
      </c>
      <c r="D792" t="s">
        <v>8868</v>
      </c>
    </row>
    <row r="793" spans="1:4" x14ac:dyDescent="0.25">
      <c r="A793" t="s">
        <v>3364</v>
      </c>
      <c r="B793" t="s">
        <v>8867</v>
      </c>
      <c r="C793" t="s">
        <v>1366</v>
      </c>
      <c r="D793" t="s">
        <v>8869</v>
      </c>
    </row>
    <row r="794" spans="1:4" x14ac:dyDescent="0.25">
      <c r="A794" t="s">
        <v>3365</v>
      </c>
      <c r="B794" t="s">
        <v>8868</v>
      </c>
      <c r="C794" t="s">
        <v>1367</v>
      </c>
      <c r="D794" t="s">
        <v>8870</v>
      </c>
    </row>
    <row r="795" spans="1:4" x14ac:dyDescent="0.25">
      <c r="A795" t="s">
        <v>3366</v>
      </c>
      <c r="B795" t="s">
        <v>8869</v>
      </c>
      <c r="C795" t="s">
        <v>1368</v>
      </c>
      <c r="D795" t="s">
        <v>8871</v>
      </c>
    </row>
    <row r="796" spans="1:4" x14ac:dyDescent="0.25">
      <c r="A796" t="s">
        <v>3367</v>
      </c>
      <c r="B796" t="s">
        <v>8870</v>
      </c>
      <c r="C796" t="s">
        <v>1369</v>
      </c>
      <c r="D796" t="s">
        <v>8872</v>
      </c>
    </row>
    <row r="797" spans="1:4" x14ac:dyDescent="0.25">
      <c r="A797" t="s">
        <v>3368</v>
      </c>
      <c r="B797" t="s">
        <v>8871</v>
      </c>
      <c r="C797" t="s">
        <v>1370</v>
      </c>
      <c r="D797" t="s">
        <v>8873</v>
      </c>
    </row>
    <row r="798" spans="1:4" x14ac:dyDescent="0.25">
      <c r="A798" t="s">
        <v>3369</v>
      </c>
      <c r="B798" t="s">
        <v>8872</v>
      </c>
      <c r="C798" t="s">
        <v>1371</v>
      </c>
      <c r="D798" t="s">
        <v>8874</v>
      </c>
    </row>
    <row r="799" spans="1:4" x14ac:dyDescent="0.25">
      <c r="A799" t="s">
        <v>3370</v>
      </c>
      <c r="B799" t="s">
        <v>8873</v>
      </c>
      <c r="C799" t="s">
        <v>1372</v>
      </c>
      <c r="D799" t="s">
        <v>8875</v>
      </c>
    </row>
    <row r="800" spans="1:4" x14ac:dyDescent="0.25">
      <c r="A800" t="s">
        <v>3371</v>
      </c>
      <c r="B800" t="s">
        <v>8874</v>
      </c>
      <c r="C800" t="s">
        <v>1373</v>
      </c>
      <c r="D800" t="s">
        <v>8876</v>
      </c>
    </row>
    <row r="801" spans="1:4" x14ac:dyDescent="0.25">
      <c r="A801" t="s">
        <v>3372</v>
      </c>
      <c r="B801" t="s">
        <v>8875</v>
      </c>
      <c r="C801" t="s">
        <v>1374</v>
      </c>
      <c r="D801" t="s">
        <v>8877</v>
      </c>
    </row>
    <row r="802" spans="1:4" x14ac:dyDescent="0.25">
      <c r="A802" t="s">
        <v>3373</v>
      </c>
      <c r="B802" t="s">
        <v>8876</v>
      </c>
      <c r="C802" t="s">
        <v>1375</v>
      </c>
      <c r="D802" t="s">
        <v>8878</v>
      </c>
    </row>
    <row r="803" spans="1:4" x14ac:dyDescent="0.25">
      <c r="A803" t="s">
        <v>3374</v>
      </c>
      <c r="B803" t="s">
        <v>8877</v>
      </c>
      <c r="C803" t="s">
        <v>1376</v>
      </c>
      <c r="D803" t="s">
        <v>8879</v>
      </c>
    </row>
    <row r="804" spans="1:4" x14ac:dyDescent="0.25">
      <c r="A804" t="s">
        <v>3375</v>
      </c>
      <c r="B804" t="s">
        <v>8878</v>
      </c>
      <c r="C804" t="s">
        <v>1377</v>
      </c>
      <c r="D804" t="s">
        <v>8880</v>
      </c>
    </row>
    <row r="805" spans="1:4" x14ac:dyDescent="0.25">
      <c r="A805" t="s">
        <v>3376</v>
      </c>
      <c r="B805" t="s">
        <v>8879</v>
      </c>
      <c r="C805" t="s">
        <v>1378</v>
      </c>
      <c r="D805" t="s">
        <v>8881</v>
      </c>
    </row>
    <row r="806" spans="1:4" x14ac:dyDescent="0.25">
      <c r="A806" t="s">
        <v>3377</v>
      </c>
      <c r="B806" t="s">
        <v>8880</v>
      </c>
      <c r="C806" t="s">
        <v>1379</v>
      </c>
      <c r="D806" t="s">
        <v>8882</v>
      </c>
    </row>
    <row r="807" spans="1:4" x14ac:dyDescent="0.25">
      <c r="A807" t="s">
        <v>3378</v>
      </c>
      <c r="B807" t="s">
        <v>8881</v>
      </c>
      <c r="C807" t="s">
        <v>1380</v>
      </c>
      <c r="D807" t="s">
        <v>8883</v>
      </c>
    </row>
    <row r="808" spans="1:4" x14ac:dyDescent="0.25">
      <c r="A808" t="s">
        <v>3379</v>
      </c>
      <c r="B808" t="s">
        <v>8882</v>
      </c>
      <c r="C808" t="s">
        <v>1381</v>
      </c>
      <c r="D808" t="s">
        <v>8884</v>
      </c>
    </row>
    <row r="809" spans="1:4" x14ac:dyDescent="0.25">
      <c r="A809" t="s">
        <v>3380</v>
      </c>
      <c r="B809" t="s">
        <v>8883</v>
      </c>
      <c r="C809" t="s">
        <v>1382</v>
      </c>
      <c r="D809" t="s">
        <v>8885</v>
      </c>
    </row>
    <row r="810" spans="1:4" x14ac:dyDescent="0.25">
      <c r="A810" t="s">
        <v>3381</v>
      </c>
      <c r="B810" t="s">
        <v>8884</v>
      </c>
      <c r="C810" t="s">
        <v>1383</v>
      </c>
      <c r="D810" t="s">
        <v>8886</v>
      </c>
    </row>
    <row r="811" spans="1:4" x14ac:dyDescent="0.25">
      <c r="A811" t="s">
        <v>3382</v>
      </c>
      <c r="B811" t="s">
        <v>8885</v>
      </c>
      <c r="C811" t="s">
        <v>1384</v>
      </c>
      <c r="D811" t="s">
        <v>8887</v>
      </c>
    </row>
    <row r="812" spans="1:4" x14ac:dyDescent="0.25">
      <c r="A812" t="s">
        <v>3383</v>
      </c>
      <c r="B812" t="s">
        <v>8886</v>
      </c>
      <c r="C812" t="s">
        <v>1385</v>
      </c>
      <c r="D812" t="s">
        <v>8888</v>
      </c>
    </row>
    <row r="813" spans="1:4" x14ac:dyDescent="0.25">
      <c r="A813" t="s">
        <v>3384</v>
      </c>
      <c r="B813" t="s">
        <v>8887</v>
      </c>
      <c r="C813" t="s">
        <v>1386</v>
      </c>
      <c r="D813" t="s">
        <v>8889</v>
      </c>
    </row>
    <row r="814" spans="1:4" x14ac:dyDescent="0.25">
      <c r="A814" t="s">
        <v>3385</v>
      </c>
      <c r="B814" t="s">
        <v>8888</v>
      </c>
      <c r="C814" t="s">
        <v>1387</v>
      </c>
      <c r="D814" t="s">
        <v>8890</v>
      </c>
    </row>
    <row r="815" spans="1:4" x14ac:dyDescent="0.25">
      <c r="A815" t="s">
        <v>3386</v>
      </c>
      <c r="B815" t="s">
        <v>8889</v>
      </c>
      <c r="C815" t="s">
        <v>1388</v>
      </c>
      <c r="D815" t="s">
        <v>8891</v>
      </c>
    </row>
    <row r="816" spans="1:4" x14ac:dyDescent="0.25">
      <c r="A816" t="s">
        <v>3387</v>
      </c>
      <c r="B816" t="s">
        <v>8890</v>
      </c>
      <c r="C816" t="s">
        <v>1389</v>
      </c>
      <c r="D816" t="s">
        <v>8892</v>
      </c>
    </row>
    <row r="817" spans="1:4" x14ac:dyDescent="0.25">
      <c r="A817" t="s">
        <v>3388</v>
      </c>
      <c r="B817" t="s">
        <v>8891</v>
      </c>
      <c r="C817" t="s">
        <v>1390</v>
      </c>
      <c r="D817" t="s">
        <v>8893</v>
      </c>
    </row>
    <row r="818" spans="1:4" x14ac:dyDescent="0.25">
      <c r="A818" t="s">
        <v>3389</v>
      </c>
      <c r="B818" t="s">
        <v>8892</v>
      </c>
      <c r="C818" t="s">
        <v>1391</v>
      </c>
      <c r="D818" t="s">
        <v>8894</v>
      </c>
    </row>
    <row r="819" spans="1:4" x14ac:dyDescent="0.25">
      <c r="A819" t="s">
        <v>3390</v>
      </c>
      <c r="B819" t="s">
        <v>8893</v>
      </c>
      <c r="C819" t="s">
        <v>1392</v>
      </c>
      <c r="D819" t="s">
        <v>8895</v>
      </c>
    </row>
    <row r="820" spans="1:4" x14ac:dyDescent="0.25">
      <c r="A820" t="s">
        <v>3391</v>
      </c>
      <c r="B820" t="s">
        <v>8894</v>
      </c>
      <c r="C820" t="s">
        <v>1393</v>
      </c>
      <c r="D820" t="s">
        <v>8896</v>
      </c>
    </row>
    <row r="821" spans="1:4" x14ac:dyDescent="0.25">
      <c r="A821" t="s">
        <v>3392</v>
      </c>
      <c r="B821" t="s">
        <v>8895</v>
      </c>
      <c r="C821" t="s">
        <v>1394</v>
      </c>
      <c r="D821" t="s">
        <v>8897</v>
      </c>
    </row>
    <row r="822" spans="1:4" x14ac:dyDescent="0.25">
      <c r="A822" t="s">
        <v>3393</v>
      </c>
      <c r="B822" t="s">
        <v>8896</v>
      </c>
      <c r="C822" t="s">
        <v>1395</v>
      </c>
      <c r="D822" t="s">
        <v>8898</v>
      </c>
    </row>
    <row r="823" spans="1:4" x14ac:dyDescent="0.25">
      <c r="A823" t="s">
        <v>3394</v>
      </c>
      <c r="B823" t="s">
        <v>8897</v>
      </c>
      <c r="C823" t="s">
        <v>1396</v>
      </c>
      <c r="D823" t="s">
        <v>8899</v>
      </c>
    </row>
    <row r="824" spans="1:4" x14ac:dyDescent="0.25">
      <c r="A824" t="s">
        <v>3395</v>
      </c>
      <c r="B824" t="s">
        <v>8898</v>
      </c>
      <c r="C824" t="s">
        <v>1397</v>
      </c>
      <c r="D824" t="s">
        <v>8900</v>
      </c>
    </row>
    <row r="825" spans="1:4" x14ac:dyDescent="0.25">
      <c r="A825" t="s">
        <v>3396</v>
      </c>
      <c r="B825" t="s">
        <v>8899</v>
      </c>
      <c r="C825" t="s">
        <v>1398</v>
      </c>
      <c r="D825" t="s">
        <v>8901</v>
      </c>
    </row>
    <row r="826" spans="1:4" x14ac:dyDescent="0.25">
      <c r="A826" t="s">
        <v>3397</v>
      </c>
      <c r="B826" t="s">
        <v>8900</v>
      </c>
      <c r="C826" t="s">
        <v>1399</v>
      </c>
      <c r="D826" t="s">
        <v>8902</v>
      </c>
    </row>
    <row r="827" spans="1:4" x14ac:dyDescent="0.25">
      <c r="A827" t="s">
        <v>3398</v>
      </c>
      <c r="B827" t="s">
        <v>8901</v>
      </c>
      <c r="C827" t="s">
        <v>1400</v>
      </c>
      <c r="D827" t="s">
        <v>8903</v>
      </c>
    </row>
    <row r="828" spans="1:4" x14ac:dyDescent="0.25">
      <c r="A828" t="s">
        <v>3399</v>
      </c>
      <c r="B828" t="s">
        <v>8902</v>
      </c>
      <c r="C828" t="s">
        <v>1401</v>
      </c>
      <c r="D828" t="s">
        <v>8904</v>
      </c>
    </row>
    <row r="829" spans="1:4" x14ac:dyDescent="0.25">
      <c r="A829" t="s">
        <v>3400</v>
      </c>
      <c r="B829" t="s">
        <v>8903</v>
      </c>
      <c r="C829" t="s">
        <v>1402</v>
      </c>
      <c r="D829" t="s">
        <v>8905</v>
      </c>
    </row>
    <row r="830" spans="1:4" x14ac:dyDescent="0.25">
      <c r="A830" t="s">
        <v>3401</v>
      </c>
      <c r="B830" t="s">
        <v>8904</v>
      </c>
      <c r="C830" t="s">
        <v>1403</v>
      </c>
      <c r="D830" t="s">
        <v>8906</v>
      </c>
    </row>
    <row r="831" spans="1:4" x14ac:dyDescent="0.25">
      <c r="A831" t="s">
        <v>3402</v>
      </c>
      <c r="B831" t="s">
        <v>8905</v>
      </c>
      <c r="C831" t="s">
        <v>1404</v>
      </c>
      <c r="D831" t="s">
        <v>8907</v>
      </c>
    </row>
    <row r="832" spans="1:4" x14ac:dyDescent="0.25">
      <c r="A832" t="s">
        <v>3403</v>
      </c>
      <c r="B832" t="s">
        <v>8906</v>
      </c>
      <c r="C832" t="s">
        <v>1405</v>
      </c>
      <c r="D832" t="s">
        <v>8908</v>
      </c>
    </row>
    <row r="833" spans="1:4" x14ac:dyDescent="0.25">
      <c r="A833" t="s">
        <v>3404</v>
      </c>
      <c r="B833" t="s">
        <v>8907</v>
      </c>
      <c r="C833" t="s">
        <v>1406</v>
      </c>
      <c r="D833" t="s">
        <v>8909</v>
      </c>
    </row>
    <row r="834" spans="1:4" x14ac:dyDescent="0.25">
      <c r="A834" t="s">
        <v>3405</v>
      </c>
      <c r="B834" t="s">
        <v>8908</v>
      </c>
      <c r="C834" t="s">
        <v>1407</v>
      </c>
      <c r="D834" t="s">
        <v>8910</v>
      </c>
    </row>
    <row r="835" spans="1:4" x14ac:dyDescent="0.25">
      <c r="A835" t="s">
        <v>3406</v>
      </c>
      <c r="B835" t="s">
        <v>8909</v>
      </c>
      <c r="C835" t="s">
        <v>1408</v>
      </c>
      <c r="D835" t="s">
        <v>8911</v>
      </c>
    </row>
    <row r="836" spans="1:4" x14ac:dyDescent="0.25">
      <c r="A836" t="s">
        <v>3407</v>
      </c>
      <c r="B836" t="s">
        <v>8910</v>
      </c>
      <c r="C836" t="s">
        <v>1409</v>
      </c>
      <c r="D836" t="s">
        <v>8912</v>
      </c>
    </row>
    <row r="837" spans="1:4" x14ac:dyDescent="0.25">
      <c r="A837" t="s">
        <v>3408</v>
      </c>
      <c r="B837" t="s">
        <v>8911</v>
      </c>
      <c r="C837" t="s">
        <v>1410</v>
      </c>
      <c r="D837" t="s">
        <v>8913</v>
      </c>
    </row>
    <row r="838" spans="1:4" x14ac:dyDescent="0.25">
      <c r="A838" t="s">
        <v>3409</v>
      </c>
      <c r="B838" t="s">
        <v>8912</v>
      </c>
      <c r="C838" t="s">
        <v>1411</v>
      </c>
      <c r="D838" t="s">
        <v>8914</v>
      </c>
    </row>
    <row r="839" spans="1:4" x14ac:dyDescent="0.25">
      <c r="A839" t="s">
        <v>3410</v>
      </c>
      <c r="B839" t="s">
        <v>8913</v>
      </c>
      <c r="C839" t="s">
        <v>1412</v>
      </c>
      <c r="D839" t="s">
        <v>8915</v>
      </c>
    </row>
    <row r="840" spans="1:4" x14ac:dyDescent="0.25">
      <c r="A840" t="s">
        <v>3411</v>
      </c>
      <c r="B840" t="s">
        <v>8914</v>
      </c>
      <c r="C840" t="s">
        <v>1413</v>
      </c>
      <c r="D840" t="s">
        <v>8916</v>
      </c>
    </row>
    <row r="841" spans="1:4" x14ac:dyDescent="0.25">
      <c r="A841" t="s">
        <v>3412</v>
      </c>
      <c r="B841" t="s">
        <v>8915</v>
      </c>
      <c r="C841" t="s">
        <v>1414</v>
      </c>
      <c r="D841" t="s">
        <v>8917</v>
      </c>
    </row>
    <row r="842" spans="1:4" x14ac:dyDescent="0.25">
      <c r="A842" t="s">
        <v>3413</v>
      </c>
      <c r="B842" t="s">
        <v>8916</v>
      </c>
      <c r="C842" t="s">
        <v>1415</v>
      </c>
      <c r="D842" t="s">
        <v>8918</v>
      </c>
    </row>
    <row r="843" spans="1:4" x14ac:dyDescent="0.25">
      <c r="A843" t="s">
        <v>3414</v>
      </c>
      <c r="B843" t="s">
        <v>8917</v>
      </c>
      <c r="C843" t="s">
        <v>1416</v>
      </c>
      <c r="D843" t="s">
        <v>8919</v>
      </c>
    </row>
    <row r="844" spans="1:4" x14ac:dyDescent="0.25">
      <c r="A844" t="s">
        <v>3415</v>
      </c>
      <c r="B844" t="s">
        <v>8918</v>
      </c>
      <c r="C844" t="s">
        <v>1417</v>
      </c>
      <c r="D844" t="s">
        <v>8920</v>
      </c>
    </row>
    <row r="845" spans="1:4" x14ac:dyDescent="0.25">
      <c r="A845" t="s">
        <v>3416</v>
      </c>
      <c r="B845" t="s">
        <v>8919</v>
      </c>
      <c r="C845" t="s">
        <v>1418</v>
      </c>
      <c r="D845" t="s">
        <v>8921</v>
      </c>
    </row>
    <row r="846" spans="1:4" x14ac:dyDescent="0.25">
      <c r="A846" t="s">
        <v>3417</v>
      </c>
      <c r="B846" t="s">
        <v>8920</v>
      </c>
      <c r="C846" t="s">
        <v>1419</v>
      </c>
      <c r="D846" t="s">
        <v>8922</v>
      </c>
    </row>
    <row r="847" spans="1:4" x14ac:dyDescent="0.25">
      <c r="A847" t="s">
        <v>3418</v>
      </c>
      <c r="B847" t="s">
        <v>8921</v>
      </c>
      <c r="C847" t="s">
        <v>1420</v>
      </c>
      <c r="D847" t="s">
        <v>8923</v>
      </c>
    </row>
    <row r="848" spans="1:4" x14ac:dyDescent="0.25">
      <c r="A848" t="s">
        <v>3419</v>
      </c>
      <c r="B848" t="s">
        <v>8922</v>
      </c>
      <c r="C848" t="s">
        <v>1421</v>
      </c>
      <c r="D848" t="s">
        <v>8924</v>
      </c>
    </row>
    <row r="849" spans="1:4" x14ac:dyDescent="0.25">
      <c r="A849" t="s">
        <v>3420</v>
      </c>
      <c r="B849" t="s">
        <v>8923</v>
      </c>
      <c r="C849" t="s">
        <v>1422</v>
      </c>
      <c r="D849" t="s">
        <v>8925</v>
      </c>
    </row>
    <row r="850" spans="1:4" x14ac:dyDescent="0.25">
      <c r="A850" t="s">
        <v>3421</v>
      </c>
      <c r="B850" t="s">
        <v>8924</v>
      </c>
      <c r="C850" t="s">
        <v>1423</v>
      </c>
      <c r="D850" t="s">
        <v>8926</v>
      </c>
    </row>
    <row r="851" spans="1:4" x14ac:dyDescent="0.25">
      <c r="A851" t="s">
        <v>3422</v>
      </c>
      <c r="B851" t="s">
        <v>8925</v>
      </c>
      <c r="C851" t="s">
        <v>1424</v>
      </c>
      <c r="D851" t="s">
        <v>8927</v>
      </c>
    </row>
    <row r="852" spans="1:4" x14ac:dyDescent="0.25">
      <c r="A852" t="s">
        <v>3423</v>
      </c>
      <c r="B852" t="s">
        <v>8926</v>
      </c>
      <c r="C852" t="s">
        <v>1425</v>
      </c>
      <c r="D852" t="s">
        <v>8928</v>
      </c>
    </row>
    <row r="853" spans="1:4" x14ac:dyDescent="0.25">
      <c r="A853" t="s">
        <v>3424</v>
      </c>
      <c r="B853" t="s">
        <v>8927</v>
      </c>
      <c r="C853" t="s">
        <v>1426</v>
      </c>
      <c r="D853" t="s">
        <v>8929</v>
      </c>
    </row>
    <row r="854" spans="1:4" x14ac:dyDescent="0.25">
      <c r="A854" t="s">
        <v>3425</v>
      </c>
      <c r="B854" t="s">
        <v>8928</v>
      </c>
      <c r="C854" t="s">
        <v>1427</v>
      </c>
      <c r="D854" t="s">
        <v>8930</v>
      </c>
    </row>
    <row r="855" spans="1:4" x14ac:dyDescent="0.25">
      <c r="A855" t="s">
        <v>3426</v>
      </c>
      <c r="B855" t="s">
        <v>8929</v>
      </c>
      <c r="C855" t="s">
        <v>1428</v>
      </c>
      <c r="D855" t="s">
        <v>8931</v>
      </c>
    </row>
    <row r="856" spans="1:4" x14ac:dyDescent="0.25">
      <c r="A856" t="s">
        <v>3427</v>
      </c>
      <c r="B856" t="s">
        <v>8930</v>
      </c>
      <c r="C856" t="s">
        <v>1429</v>
      </c>
      <c r="D856" t="s">
        <v>8932</v>
      </c>
    </row>
    <row r="857" spans="1:4" x14ac:dyDescent="0.25">
      <c r="A857" t="s">
        <v>3428</v>
      </c>
      <c r="B857" t="s">
        <v>8931</v>
      </c>
      <c r="C857" t="s">
        <v>1430</v>
      </c>
      <c r="D857" t="s">
        <v>8933</v>
      </c>
    </row>
    <row r="858" spans="1:4" x14ac:dyDescent="0.25">
      <c r="A858" t="s">
        <v>3429</v>
      </c>
      <c r="B858" t="s">
        <v>8932</v>
      </c>
      <c r="C858" t="s">
        <v>1431</v>
      </c>
      <c r="D858" t="s">
        <v>8934</v>
      </c>
    </row>
    <row r="859" spans="1:4" x14ac:dyDescent="0.25">
      <c r="A859" t="s">
        <v>3430</v>
      </c>
      <c r="B859" t="s">
        <v>8933</v>
      </c>
      <c r="C859" t="s">
        <v>1432</v>
      </c>
      <c r="D859" t="s">
        <v>8935</v>
      </c>
    </row>
    <row r="860" spans="1:4" x14ac:dyDescent="0.25">
      <c r="A860" t="s">
        <v>3431</v>
      </c>
      <c r="B860" t="s">
        <v>8934</v>
      </c>
      <c r="C860" t="s">
        <v>1433</v>
      </c>
      <c r="D860" t="s">
        <v>8936</v>
      </c>
    </row>
    <row r="861" spans="1:4" x14ac:dyDescent="0.25">
      <c r="A861" t="s">
        <v>3432</v>
      </c>
      <c r="B861" t="s">
        <v>8935</v>
      </c>
      <c r="C861" t="s">
        <v>1434</v>
      </c>
      <c r="D861" t="s">
        <v>8937</v>
      </c>
    </row>
    <row r="862" spans="1:4" x14ac:dyDescent="0.25">
      <c r="A862" t="s">
        <v>3433</v>
      </c>
      <c r="B862" t="s">
        <v>8936</v>
      </c>
      <c r="C862" t="s">
        <v>1435</v>
      </c>
      <c r="D862" t="s">
        <v>8938</v>
      </c>
    </row>
    <row r="863" spans="1:4" x14ac:dyDescent="0.25">
      <c r="A863" t="s">
        <v>3434</v>
      </c>
      <c r="B863" t="s">
        <v>8937</v>
      </c>
      <c r="C863" t="s">
        <v>1436</v>
      </c>
      <c r="D863" t="s">
        <v>8939</v>
      </c>
    </row>
    <row r="864" spans="1:4" x14ac:dyDescent="0.25">
      <c r="A864" t="s">
        <v>3435</v>
      </c>
      <c r="B864" t="s">
        <v>8938</v>
      </c>
      <c r="C864" t="s">
        <v>1437</v>
      </c>
      <c r="D864" t="s">
        <v>8940</v>
      </c>
    </row>
    <row r="865" spans="1:4" x14ac:dyDescent="0.25">
      <c r="A865" t="s">
        <v>3436</v>
      </c>
      <c r="B865" t="s">
        <v>8939</v>
      </c>
      <c r="C865" t="s">
        <v>1438</v>
      </c>
      <c r="D865" t="s">
        <v>8941</v>
      </c>
    </row>
    <row r="866" spans="1:4" x14ac:dyDescent="0.25">
      <c r="A866" t="s">
        <v>3437</v>
      </c>
      <c r="B866" t="s">
        <v>8940</v>
      </c>
      <c r="C866" t="s">
        <v>1439</v>
      </c>
      <c r="D866" t="s">
        <v>8942</v>
      </c>
    </row>
    <row r="867" spans="1:4" x14ac:dyDescent="0.25">
      <c r="A867" t="s">
        <v>3438</v>
      </c>
      <c r="B867" t="s">
        <v>8941</v>
      </c>
      <c r="C867" t="s">
        <v>1440</v>
      </c>
      <c r="D867" t="s">
        <v>8943</v>
      </c>
    </row>
    <row r="868" spans="1:4" x14ac:dyDescent="0.25">
      <c r="A868" t="s">
        <v>3439</v>
      </c>
      <c r="B868" t="s">
        <v>8942</v>
      </c>
      <c r="C868" t="s">
        <v>1441</v>
      </c>
      <c r="D868" t="s">
        <v>8944</v>
      </c>
    </row>
    <row r="869" spans="1:4" x14ac:dyDescent="0.25">
      <c r="A869" t="s">
        <v>3440</v>
      </c>
      <c r="B869" t="s">
        <v>8943</v>
      </c>
      <c r="C869" t="s">
        <v>1442</v>
      </c>
      <c r="D869" t="s">
        <v>8945</v>
      </c>
    </row>
    <row r="870" spans="1:4" x14ac:dyDescent="0.25">
      <c r="A870" t="s">
        <v>3441</v>
      </c>
      <c r="B870" t="s">
        <v>8944</v>
      </c>
      <c r="C870" t="s">
        <v>1443</v>
      </c>
      <c r="D870" t="s">
        <v>8946</v>
      </c>
    </row>
    <row r="871" spans="1:4" x14ac:dyDescent="0.25">
      <c r="A871" t="s">
        <v>3442</v>
      </c>
      <c r="B871" t="s">
        <v>8945</v>
      </c>
      <c r="C871" t="s">
        <v>1444</v>
      </c>
      <c r="D871" t="s">
        <v>8947</v>
      </c>
    </row>
    <row r="872" spans="1:4" x14ac:dyDescent="0.25">
      <c r="A872" t="s">
        <v>3443</v>
      </c>
      <c r="B872" t="s">
        <v>8946</v>
      </c>
      <c r="C872" t="s">
        <v>1445</v>
      </c>
      <c r="D872" t="s">
        <v>8948</v>
      </c>
    </row>
    <row r="873" spans="1:4" x14ac:dyDescent="0.25">
      <c r="A873" t="s">
        <v>3444</v>
      </c>
      <c r="B873" t="s">
        <v>8947</v>
      </c>
      <c r="C873" t="s">
        <v>1446</v>
      </c>
      <c r="D873" t="s">
        <v>8949</v>
      </c>
    </row>
    <row r="874" spans="1:4" x14ac:dyDescent="0.25">
      <c r="A874" t="s">
        <v>3445</v>
      </c>
      <c r="B874" t="s">
        <v>8948</v>
      </c>
      <c r="C874" t="s">
        <v>1447</v>
      </c>
      <c r="D874" t="s">
        <v>8950</v>
      </c>
    </row>
    <row r="875" spans="1:4" x14ac:dyDescent="0.25">
      <c r="A875" t="s">
        <v>3446</v>
      </c>
      <c r="B875" t="s">
        <v>8949</v>
      </c>
      <c r="C875" t="s">
        <v>1448</v>
      </c>
      <c r="D875" t="s">
        <v>8951</v>
      </c>
    </row>
    <row r="876" spans="1:4" x14ac:dyDescent="0.25">
      <c r="A876" t="s">
        <v>3447</v>
      </c>
      <c r="B876" t="s">
        <v>8950</v>
      </c>
      <c r="C876" t="s">
        <v>1449</v>
      </c>
      <c r="D876" t="s">
        <v>8952</v>
      </c>
    </row>
    <row r="877" spans="1:4" x14ac:dyDescent="0.25">
      <c r="A877" t="s">
        <v>3448</v>
      </c>
      <c r="B877" t="s">
        <v>8951</v>
      </c>
      <c r="C877" t="s">
        <v>1450</v>
      </c>
      <c r="D877" t="s">
        <v>8953</v>
      </c>
    </row>
    <row r="878" spans="1:4" x14ac:dyDescent="0.25">
      <c r="A878" t="s">
        <v>3449</v>
      </c>
      <c r="B878" t="s">
        <v>8952</v>
      </c>
      <c r="C878" t="s">
        <v>1451</v>
      </c>
      <c r="D878" t="s">
        <v>8954</v>
      </c>
    </row>
    <row r="879" spans="1:4" x14ac:dyDescent="0.25">
      <c r="A879" t="s">
        <v>3450</v>
      </c>
      <c r="B879" t="s">
        <v>8953</v>
      </c>
      <c r="C879" t="s">
        <v>1452</v>
      </c>
      <c r="D879" t="s">
        <v>8955</v>
      </c>
    </row>
    <row r="880" spans="1:4" x14ac:dyDescent="0.25">
      <c r="A880" t="s">
        <v>3451</v>
      </c>
      <c r="B880" t="s">
        <v>8954</v>
      </c>
      <c r="C880" t="s">
        <v>1453</v>
      </c>
      <c r="D880" t="s">
        <v>8956</v>
      </c>
    </row>
    <row r="881" spans="1:4" x14ac:dyDescent="0.25">
      <c r="A881" t="s">
        <v>3452</v>
      </c>
      <c r="B881" t="s">
        <v>8955</v>
      </c>
      <c r="C881" t="s">
        <v>1454</v>
      </c>
      <c r="D881" t="s">
        <v>8957</v>
      </c>
    </row>
    <row r="882" spans="1:4" x14ac:dyDescent="0.25">
      <c r="A882" t="s">
        <v>3453</v>
      </c>
      <c r="B882" t="s">
        <v>8956</v>
      </c>
      <c r="C882" t="s">
        <v>1455</v>
      </c>
      <c r="D882" t="s">
        <v>8958</v>
      </c>
    </row>
    <row r="883" spans="1:4" x14ac:dyDescent="0.25">
      <c r="A883" t="s">
        <v>3454</v>
      </c>
      <c r="B883" t="s">
        <v>8957</v>
      </c>
      <c r="C883" t="s">
        <v>1456</v>
      </c>
      <c r="D883" t="s">
        <v>8959</v>
      </c>
    </row>
    <row r="884" spans="1:4" x14ac:dyDescent="0.25">
      <c r="A884" t="s">
        <v>3455</v>
      </c>
      <c r="B884" t="s">
        <v>8958</v>
      </c>
      <c r="C884" t="s">
        <v>1457</v>
      </c>
      <c r="D884" t="s">
        <v>8960</v>
      </c>
    </row>
    <row r="885" spans="1:4" x14ac:dyDescent="0.25">
      <c r="A885" t="s">
        <v>3456</v>
      </c>
      <c r="B885" t="s">
        <v>8959</v>
      </c>
      <c r="C885" t="s">
        <v>1458</v>
      </c>
      <c r="D885" t="s">
        <v>8961</v>
      </c>
    </row>
    <row r="886" spans="1:4" x14ac:dyDescent="0.25">
      <c r="A886" t="s">
        <v>3457</v>
      </c>
      <c r="B886" t="s">
        <v>8960</v>
      </c>
      <c r="C886" t="s">
        <v>1459</v>
      </c>
      <c r="D886" t="s">
        <v>8962</v>
      </c>
    </row>
    <row r="887" spans="1:4" x14ac:dyDescent="0.25">
      <c r="A887" t="s">
        <v>3458</v>
      </c>
      <c r="B887" t="s">
        <v>8961</v>
      </c>
      <c r="C887" t="s">
        <v>1460</v>
      </c>
      <c r="D887" t="s">
        <v>8963</v>
      </c>
    </row>
    <row r="888" spans="1:4" x14ac:dyDescent="0.25">
      <c r="A888" t="s">
        <v>3459</v>
      </c>
      <c r="B888" t="s">
        <v>8962</v>
      </c>
      <c r="C888" t="s">
        <v>1461</v>
      </c>
      <c r="D888" t="s">
        <v>8964</v>
      </c>
    </row>
    <row r="889" spans="1:4" x14ac:dyDescent="0.25">
      <c r="A889" t="s">
        <v>3460</v>
      </c>
      <c r="B889" t="s">
        <v>8963</v>
      </c>
      <c r="C889" t="s">
        <v>1462</v>
      </c>
      <c r="D889" t="s">
        <v>8965</v>
      </c>
    </row>
    <row r="890" spans="1:4" x14ac:dyDescent="0.25">
      <c r="A890" t="s">
        <v>3461</v>
      </c>
      <c r="B890" t="s">
        <v>8964</v>
      </c>
      <c r="C890" t="s">
        <v>1463</v>
      </c>
      <c r="D890" t="s">
        <v>8966</v>
      </c>
    </row>
    <row r="891" spans="1:4" x14ac:dyDescent="0.25">
      <c r="A891" t="s">
        <v>3462</v>
      </c>
      <c r="B891" t="s">
        <v>8965</v>
      </c>
      <c r="C891" t="s">
        <v>1464</v>
      </c>
      <c r="D891" t="s">
        <v>8967</v>
      </c>
    </row>
    <row r="892" spans="1:4" x14ac:dyDescent="0.25">
      <c r="A892" t="s">
        <v>3463</v>
      </c>
      <c r="B892" t="s">
        <v>8966</v>
      </c>
      <c r="C892" t="s">
        <v>1465</v>
      </c>
      <c r="D892" t="s">
        <v>8968</v>
      </c>
    </row>
    <row r="893" spans="1:4" x14ac:dyDescent="0.25">
      <c r="A893" t="s">
        <v>3464</v>
      </c>
      <c r="B893" t="s">
        <v>8967</v>
      </c>
      <c r="C893" t="s">
        <v>1466</v>
      </c>
      <c r="D893" t="s">
        <v>8969</v>
      </c>
    </row>
    <row r="894" spans="1:4" x14ac:dyDescent="0.25">
      <c r="A894" t="s">
        <v>3465</v>
      </c>
      <c r="B894" t="s">
        <v>8968</v>
      </c>
      <c r="C894" t="s">
        <v>1467</v>
      </c>
      <c r="D894" t="s">
        <v>8970</v>
      </c>
    </row>
    <row r="895" spans="1:4" x14ac:dyDescent="0.25">
      <c r="A895" t="s">
        <v>3466</v>
      </c>
      <c r="B895" t="s">
        <v>8969</v>
      </c>
      <c r="C895" t="s">
        <v>1468</v>
      </c>
      <c r="D895" t="s">
        <v>8971</v>
      </c>
    </row>
    <row r="896" spans="1:4" x14ac:dyDescent="0.25">
      <c r="A896" t="s">
        <v>3467</v>
      </c>
      <c r="B896" t="s">
        <v>8970</v>
      </c>
      <c r="C896" t="s">
        <v>1469</v>
      </c>
      <c r="D896" t="s">
        <v>8972</v>
      </c>
    </row>
    <row r="897" spans="1:4" x14ac:dyDescent="0.25">
      <c r="A897" t="s">
        <v>3468</v>
      </c>
      <c r="B897" t="s">
        <v>8971</v>
      </c>
      <c r="C897" t="s">
        <v>1470</v>
      </c>
      <c r="D897" t="s">
        <v>8973</v>
      </c>
    </row>
    <row r="898" spans="1:4" x14ac:dyDescent="0.25">
      <c r="A898" t="s">
        <v>3469</v>
      </c>
      <c r="B898" t="s">
        <v>8972</v>
      </c>
      <c r="C898" t="s">
        <v>1471</v>
      </c>
      <c r="D898" t="s">
        <v>8974</v>
      </c>
    </row>
    <row r="899" spans="1:4" x14ac:dyDescent="0.25">
      <c r="A899" t="s">
        <v>3470</v>
      </c>
      <c r="B899" t="s">
        <v>8973</v>
      </c>
      <c r="C899" t="s">
        <v>1472</v>
      </c>
      <c r="D899" t="s">
        <v>8975</v>
      </c>
    </row>
    <row r="900" spans="1:4" x14ac:dyDescent="0.25">
      <c r="A900" t="s">
        <v>3471</v>
      </c>
      <c r="B900" t="s">
        <v>8974</v>
      </c>
      <c r="C900" t="s">
        <v>1473</v>
      </c>
      <c r="D900" t="s">
        <v>8976</v>
      </c>
    </row>
    <row r="901" spans="1:4" x14ac:dyDescent="0.25">
      <c r="A901" t="s">
        <v>3472</v>
      </c>
      <c r="B901" t="s">
        <v>8975</v>
      </c>
      <c r="C901" t="s">
        <v>1474</v>
      </c>
      <c r="D901" t="s">
        <v>8977</v>
      </c>
    </row>
    <row r="902" spans="1:4" x14ac:dyDescent="0.25">
      <c r="A902" t="s">
        <v>3473</v>
      </c>
      <c r="B902" t="s">
        <v>8976</v>
      </c>
      <c r="C902" t="s">
        <v>1475</v>
      </c>
      <c r="D902" t="s">
        <v>8978</v>
      </c>
    </row>
    <row r="903" spans="1:4" x14ac:dyDescent="0.25">
      <c r="A903" t="s">
        <v>3474</v>
      </c>
      <c r="B903" t="s">
        <v>8977</v>
      </c>
      <c r="C903" t="s">
        <v>1476</v>
      </c>
      <c r="D903" t="s">
        <v>8979</v>
      </c>
    </row>
    <row r="904" spans="1:4" x14ac:dyDescent="0.25">
      <c r="A904" t="s">
        <v>3475</v>
      </c>
      <c r="B904" t="s">
        <v>8978</v>
      </c>
      <c r="C904" t="s">
        <v>1477</v>
      </c>
      <c r="D904" t="s">
        <v>8980</v>
      </c>
    </row>
    <row r="905" spans="1:4" x14ac:dyDescent="0.25">
      <c r="A905" t="s">
        <v>3476</v>
      </c>
      <c r="B905" t="s">
        <v>8979</v>
      </c>
      <c r="C905" t="s">
        <v>1478</v>
      </c>
      <c r="D905" t="s">
        <v>8981</v>
      </c>
    </row>
    <row r="906" spans="1:4" x14ac:dyDescent="0.25">
      <c r="A906" t="s">
        <v>3477</v>
      </c>
      <c r="B906" t="s">
        <v>8980</v>
      </c>
      <c r="C906" t="s">
        <v>1479</v>
      </c>
      <c r="D906" t="s">
        <v>8982</v>
      </c>
    </row>
    <row r="907" spans="1:4" x14ac:dyDescent="0.25">
      <c r="A907" t="s">
        <v>3478</v>
      </c>
      <c r="B907" t="s">
        <v>8981</v>
      </c>
      <c r="C907" t="s">
        <v>1480</v>
      </c>
      <c r="D907" t="s">
        <v>8983</v>
      </c>
    </row>
    <row r="908" spans="1:4" x14ac:dyDescent="0.25">
      <c r="A908" t="s">
        <v>3479</v>
      </c>
      <c r="B908" t="s">
        <v>8982</v>
      </c>
      <c r="C908" t="s">
        <v>1481</v>
      </c>
      <c r="D908" t="s">
        <v>8984</v>
      </c>
    </row>
    <row r="909" spans="1:4" x14ac:dyDescent="0.25">
      <c r="A909" t="s">
        <v>3480</v>
      </c>
      <c r="B909" t="s">
        <v>8983</v>
      </c>
      <c r="C909" t="s">
        <v>1482</v>
      </c>
      <c r="D909" t="s">
        <v>8985</v>
      </c>
    </row>
    <row r="910" spans="1:4" x14ac:dyDescent="0.25">
      <c r="A910" t="s">
        <v>3481</v>
      </c>
      <c r="B910" t="s">
        <v>8984</v>
      </c>
      <c r="C910" t="s">
        <v>1483</v>
      </c>
      <c r="D910" t="s">
        <v>8986</v>
      </c>
    </row>
    <row r="911" spans="1:4" x14ac:dyDescent="0.25">
      <c r="A911" t="s">
        <v>3482</v>
      </c>
      <c r="B911" t="s">
        <v>8985</v>
      </c>
      <c r="C911" t="s">
        <v>1484</v>
      </c>
      <c r="D911" t="s">
        <v>8987</v>
      </c>
    </row>
    <row r="912" spans="1:4" x14ac:dyDescent="0.25">
      <c r="A912" t="s">
        <v>3483</v>
      </c>
      <c r="B912" t="s">
        <v>8986</v>
      </c>
      <c r="C912" t="s">
        <v>1485</v>
      </c>
      <c r="D912" t="s">
        <v>8988</v>
      </c>
    </row>
    <row r="913" spans="1:4" x14ac:dyDescent="0.25">
      <c r="A913" t="s">
        <v>3484</v>
      </c>
      <c r="B913" t="s">
        <v>8987</v>
      </c>
      <c r="C913" t="s">
        <v>1486</v>
      </c>
      <c r="D913" t="s">
        <v>8989</v>
      </c>
    </row>
    <row r="914" spans="1:4" x14ac:dyDescent="0.25">
      <c r="A914" t="s">
        <v>3485</v>
      </c>
      <c r="B914" t="s">
        <v>8988</v>
      </c>
      <c r="C914" t="s">
        <v>1487</v>
      </c>
      <c r="D914" t="s">
        <v>8990</v>
      </c>
    </row>
    <row r="915" spans="1:4" x14ac:dyDescent="0.25">
      <c r="A915" t="s">
        <v>3486</v>
      </c>
      <c r="B915" t="s">
        <v>8989</v>
      </c>
      <c r="C915" t="s">
        <v>1488</v>
      </c>
      <c r="D915" t="s">
        <v>8991</v>
      </c>
    </row>
    <row r="916" spans="1:4" x14ac:dyDescent="0.25">
      <c r="A916" t="s">
        <v>3487</v>
      </c>
      <c r="B916" t="s">
        <v>8990</v>
      </c>
      <c r="C916" t="s">
        <v>1489</v>
      </c>
      <c r="D916" t="s">
        <v>8992</v>
      </c>
    </row>
    <row r="917" spans="1:4" x14ac:dyDescent="0.25">
      <c r="A917" t="s">
        <v>3488</v>
      </c>
      <c r="B917" t="s">
        <v>8991</v>
      </c>
      <c r="C917" t="s">
        <v>1490</v>
      </c>
      <c r="D917" t="s">
        <v>8993</v>
      </c>
    </row>
    <row r="918" spans="1:4" x14ac:dyDescent="0.25">
      <c r="A918" t="s">
        <v>3489</v>
      </c>
      <c r="B918" t="s">
        <v>8992</v>
      </c>
      <c r="C918" t="s">
        <v>1491</v>
      </c>
      <c r="D918" t="s">
        <v>8994</v>
      </c>
    </row>
    <row r="919" spans="1:4" x14ac:dyDescent="0.25">
      <c r="A919" t="s">
        <v>3490</v>
      </c>
      <c r="B919" t="s">
        <v>8993</v>
      </c>
      <c r="C919" t="s">
        <v>1492</v>
      </c>
      <c r="D919" t="s">
        <v>8995</v>
      </c>
    </row>
    <row r="920" spans="1:4" x14ac:dyDescent="0.25">
      <c r="A920" t="s">
        <v>3491</v>
      </c>
      <c r="B920" t="s">
        <v>8994</v>
      </c>
      <c r="C920" t="s">
        <v>1493</v>
      </c>
      <c r="D920" t="s">
        <v>8996</v>
      </c>
    </row>
    <row r="921" spans="1:4" x14ac:dyDescent="0.25">
      <c r="A921" t="s">
        <v>3492</v>
      </c>
      <c r="B921" t="s">
        <v>8995</v>
      </c>
      <c r="C921" t="s">
        <v>1494</v>
      </c>
      <c r="D921" t="s">
        <v>8997</v>
      </c>
    </row>
    <row r="922" spans="1:4" x14ac:dyDescent="0.25">
      <c r="A922" t="s">
        <v>3493</v>
      </c>
      <c r="B922" t="s">
        <v>8996</v>
      </c>
      <c r="C922" t="s">
        <v>1495</v>
      </c>
      <c r="D922" t="s">
        <v>8998</v>
      </c>
    </row>
    <row r="923" spans="1:4" x14ac:dyDescent="0.25">
      <c r="A923" t="s">
        <v>3494</v>
      </c>
      <c r="B923" t="s">
        <v>8997</v>
      </c>
      <c r="C923" t="s">
        <v>1496</v>
      </c>
      <c r="D923" t="s">
        <v>8999</v>
      </c>
    </row>
    <row r="924" spans="1:4" x14ac:dyDescent="0.25">
      <c r="A924" t="s">
        <v>3495</v>
      </c>
      <c r="B924" t="s">
        <v>8998</v>
      </c>
      <c r="C924" t="s">
        <v>1497</v>
      </c>
      <c r="D924" t="s">
        <v>9000</v>
      </c>
    </row>
    <row r="925" spans="1:4" x14ac:dyDescent="0.25">
      <c r="A925" t="s">
        <v>3496</v>
      </c>
      <c r="B925" t="s">
        <v>8999</v>
      </c>
      <c r="C925" t="s">
        <v>1498</v>
      </c>
      <c r="D925" t="s">
        <v>9001</v>
      </c>
    </row>
    <row r="926" spans="1:4" x14ac:dyDescent="0.25">
      <c r="A926" t="s">
        <v>3497</v>
      </c>
      <c r="B926" t="s">
        <v>9000</v>
      </c>
      <c r="C926" t="s">
        <v>1499</v>
      </c>
      <c r="D926" t="s">
        <v>9002</v>
      </c>
    </row>
    <row r="927" spans="1:4" x14ac:dyDescent="0.25">
      <c r="A927" t="s">
        <v>3498</v>
      </c>
      <c r="B927" t="s">
        <v>9001</v>
      </c>
      <c r="C927" t="s">
        <v>1500</v>
      </c>
      <c r="D927" t="s">
        <v>9003</v>
      </c>
    </row>
    <row r="928" spans="1:4" x14ac:dyDescent="0.25">
      <c r="A928" t="s">
        <v>3499</v>
      </c>
      <c r="B928" t="s">
        <v>9002</v>
      </c>
      <c r="C928" t="s">
        <v>1501</v>
      </c>
      <c r="D928" t="s">
        <v>9004</v>
      </c>
    </row>
    <row r="929" spans="1:4" x14ac:dyDescent="0.25">
      <c r="A929" t="s">
        <v>3500</v>
      </c>
      <c r="B929" t="s">
        <v>9003</v>
      </c>
      <c r="C929" t="s">
        <v>1502</v>
      </c>
      <c r="D929" t="s">
        <v>9005</v>
      </c>
    </row>
    <row r="930" spans="1:4" x14ac:dyDescent="0.25">
      <c r="A930" t="s">
        <v>3501</v>
      </c>
      <c r="B930" t="s">
        <v>9004</v>
      </c>
      <c r="C930" t="s">
        <v>1503</v>
      </c>
      <c r="D930" t="s">
        <v>9006</v>
      </c>
    </row>
    <row r="931" spans="1:4" x14ac:dyDescent="0.25">
      <c r="A931" t="s">
        <v>3502</v>
      </c>
      <c r="B931" t="s">
        <v>9005</v>
      </c>
      <c r="C931" t="s">
        <v>1504</v>
      </c>
      <c r="D931" t="s">
        <v>9007</v>
      </c>
    </row>
    <row r="932" spans="1:4" x14ac:dyDescent="0.25">
      <c r="A932" t="s">
        <v>3503</v>
      </c>
      <c r="B932" t="s">
        <v>9006</v>
      </c>
      <c r="C932" t="s">
        <v>1505</v>
      </c>
      <c r="D932" t="s">
        <v>9008</v>
      </c>
    </row>
    <row r="933" spans="1:4" x14ac:dyDescent="0.25">
      <c r="A933" t="s">
        <v>3504</v>
      </c>
      <c r="B933" t="s">
        <v>9007</v>
      </c>
      <c r="C933" t="s">
        <v>1506</v>
      </c>
      <c r="D933" t="s">
        <v>9009</v>
      </c>
    </row>
    <row r="934" spans="1:4" x14ac:dyDescent="0.25">
      <c r="A934" t="s">
        <v>3505</v>
      </c>
      <c r="B934" t="s">
        <v>9008</v>
      </c>
      <c r="C934" t="s">
        <v>1507</v>
      </c>
      <c r="D934" t="s">
        <v>9010</v>
      </c>
    </row>
    <row r="935" spans="1:4" x14ac:dyDescent="0.25">
      <c r="A935" t="s">
        <v>3506</v>
      </c>
      <c r="B935" t="s">
        <v>9009</v>
      </c>
      <c r="C935" t="s">
        <v>1508</v>
      </c>
      <c r="D935" t="s">
        <v>9011</v>
      </c>
    </row>
    <row r="936" spans="1:4" x14ac:dyDescent="0.25">
      <c r="A936" t="s">
        <v>3507</v>
      </c>
      <c r="B936" t="s">
        <v>9010</v>
      </c>
      <c r="C936" t="s">
        <v>1509</v>
      </c>
      <c r="D936" t="s">
        <v>9012</v>
      </c>
    </row>
    <row r="937" spans="1:4" x14ac:dyDescent="0.25">
      <c r="A937" t="s">
        <v>3508</v>
      </c>
      <c r="B937" t="s">
        <v>9011</v>
      </c>
      <c r="C937" t="s">
        <v>1510</v>
      </c>
      <c r="D937" t="s">
        <v>9013</v>
      </c>
    </row>
    <row r="938" spans="1:4" x14ac:dyDescent="0.25">
      <c r="A938" t="s">
        <v>3509</v>
      </c>
      <c r="B938" t="s">
        <v>9012</v>
      </c>
      <c r="C938" t="s">
        <v>1511</v>
      </c>
      <c r="D938" t="s">
        <v>9014</v>
      </c>
    </row>
    <row r="939" spans="1:4" x14ac:dyDescent="0.25">
      <c r="A939" t="s">
        <v>3510</v>
      </c>
      <c r="B939" t="s">
        <v>9013</v>
      </c>
      <c r="C939" t="s">
        <v>1512</v>
      </c>
      <c r="D939" t="s">
        <v>9015</v>
      </c>
    </row>
    <row r="940" spans="1:4" x14ac:dyDescent="0.25">
      <c r="A940" t="s">
        <v>3511</v>
      </c>
      <c r="B940" t="s">
        <v>9014</v>
      </c>
      <c r="C940" t="s">
        <v>1513</v>
      </c>
      <c r="D940" t="s">
        <v>9016</v>
      </c>
    </row>
    <row r="941" spans="1:4" x14ac:dyDescent="0.25">
      <c r="A941" t="s">
        <v>3512</v>
      </c>
      <c r="B941" t="s">
        <v>9015</v>
      </c>
      <c r="C941" t="s">
        <v>1514</v>
      </c>
      <c r="D941" t="s">
        <v>9017</v>
      </c>
    </row>
    <row r="942" spans="1:4" x14ac:dyDescent="0.25">
      <c r="A942" t="s">
        <v>3513</v>
      </c>
      <c r="B942" t="s">
        <v>9016</v>
      </c>
      <c r="C942" t="s">
        <v>1515</v>
      </c>
      <c r="D942" t="s">
        <v>9018</v>
      </c>
    </row>
    <row r="943" spans="1:4" x14ac:dyDescent="0.25">
      <c r="A943" t="s">
        <v>3514</v>
      </c>
      <c r="B943" t="s">
        <v>9017</v>
      </c>
      <c r="C943" t="s">
        <v>1516</v>
      </c>
      <c r="D943" t="s">
        <v>9019</v>
      </c>
    </row>
    <row r="944" spans="1:4" x14ac:dyDescent="0.25">
      <c r="A944" t="s">
        <v>3515</v>
      </c>
      <c r="B944" t="s">
        <v>9018</v>
      </c>
      <c r="C944" t="s">
        <v>1517</v>
      </c>
      <c r="D944" t="s">
        <v>9020</v>
      </c>
    </row>
    <row r="945" spans="1:4" x14ac:dyDescent="0.25">
      <c r="A945" t="s">
        <v>3516</v>
      </c>
      <c r="B945" t="s">
        <v>9019</v>
      </c>
      <c r="C945" t="s">
        <v>1518</v>
      </c>
      <c r="D945" t="s">
        <v>9021</v>
      </c>
    </row>
    <row r="946" spans="1:4" x14ac:dyDescent="0.25">
      <c r="A946" t="s">
        <v>3517</v>
      </c>
      <c r="B946" t="s">
        <v>9020</v>
      </c>
      <c r="C946" t="s">
        <v>1519</v>
      </c>
      <c r="D946" t="s">
        <v>9022</v>
      </c>
    </row>
    <row r="947" spans="1:4" x14ac:dyDescent="0.25">
      <c r="A947" t="s">
        <v>3518</v>
      </c>
      <c r="B947" t="s">
        <v>9021</v>
      </c>
      <c r="C947" t="s">
        <v>1520</v>
      </c>
      <c r="D947" t="s">
        <v>9023</v>
      </c>
    </row>
    <row r="948" spans="1:4" x14ac:dyDescent="0.25">
      <c r="A948" t="s">
        <v>3519</v>
      </c>
      <c r="B948" t="s">
        <v>9022</v>
      </c>
      <c r="C948" t="s">
        <v>1521</v>
      </c>
      <c r="D948" t="s">
        <v>9024</v>
      </c>
    </row>
    <row r="949" spans="1:4" x14ac:dyDescent="0.25">
      <c r="A949" t="s">
        <v>3520</v>
      </c>
      <c r="B949" t="s">
        <v>9023</v>
      </c>
      <c r="C949" t="s">
        <v>1522</v>
      </c>
      <c r="D949" t="s">
        <v>9025</v>
      </c>
    </row>
    <row r="950" spans="1:4" x14ac:dyDescent="0.25">
      <c r="A950" t="s">
        <v>3521</v>
      </c>
      <c r="B950" t="s">
        <v>9024</v>
      </c>
      <c r="C950" t="s">
        <v>1523</v>
      </c>
      <c r="D950" t="s">
        <v>9026</v>
      </c>
    </row>
    <row r="951" spans="1:4" x14ac:dyDescent="0.25">
      <c r="A951" t="s">
        <v>3522</v>
      </c>
      <c r="B951" t="s">
        <v>9025</v>
      </c>
      <c r="C951" t="s">
        <v>1524</v>
      </c>
      <c r="D951" t="s">
        <v>9027</v>
      </c>
    </row>
    <row r="952" spans="1:4" x14ac:dyDescent="0.25">
      <c r="A952" t="s">
        <v>3523</v>
      </c>
      <c r="B952" t="s">
        <v>9026</v>
      </c>
      <c r="C952" t="s">
        <v>1525</v>
      </c>
      <c r="D952" t="s">
        <v>9028</v>
      </c>
    </row>
    <row r="953" spans="1:4" x14ac:dyDescent="0.25">
      <c r="A953" t="s">
        <v>3524</v>
      </c>
      <c r="B953" t="s">
        <v>9027</v>
      </c>
      <c r="C953" t="s">
        <v>1526</v>
      </c>
      <c r="D953" t="s">
        <v>9029</v>
      </c>
    </row>
    <row r="954" spans="1:4" x14ac:dyDescent="0.25">
      <c r="A954" t="s">
        <v>3525</v>
      </c>
      <c r="B954" t="s">
        <v>9028</v>
      </c>
      <c r="C954" t="s">
        <v>1527</v>
      </c>
      <c r="D954" t="s">
        <v>9030</v>
      </c>
    </row>
    <row r="955" spans="1:4" x14ac:dyDescent="0.25">
      <c r="A955" t="s">
        <v>3526</v>
      </c>
      <c r="B955" t="s">
        <v>9029</v>
      </c>
      <c r="C955" t="s">
        <v>1528</v>
      </c>
      <c r="D955" t="s">
        <v>9031</v>
      </c>
    </row>
    <row r="956" spans="1:4" x14ac:dyDescent="0.25">
      <c r="A956" t="s">
        <v>3527</v>
      </c>
      <c r="B956" t="s">
        <v>9030</v>
      </c>
      <c r="C956" t="s">
        <v>1529</v>
      </c>
      <c r="D956" t="s">
        <v>9032</v>
      </c>
    </row>
    <row r="957" spans="1:4" x14ac:dyDescent="0.25">
      <c r="A957" t="s">
        <v>3528</v>
      </c>
      <c r="B957" t="s">
        <v>9031</v>
      </c>
      <c r="C957" t="s">
        <v>1530</v>
      </c>
      <c r="D957" t="s">
        <v>9033</v>
      </c>
    </row>
    <row r="958" spans="1:4" x14ac:dyDescent="0.25">
      <c r="A958" t="s">
        <v>3529</v>
      </c>
      <c r="B958" t="s">
        <v>9032</v>
      </c>
      <c r="C958" t="s">
        <v>1531</v>
      </c>
      <c r="D958" t="s">
        <v>9034</v>
      </c>
    </row>
    <row r="959" spans="1:4" x14ac:dyDescent="0.25">
      <c r="A959" t="s">
        <v>3530</v>
      </c>
      <c r="B959" t="s">
        <v>9033</v>
      </c>
      <c r="C959" t="s">
        <v>1532</v>
      </c>
      <c r="D959" t="s">
        <v>9035</v>
      </c>
    </row>
    <row r="960" spans="1:4" x14ac:dyDescent="0.25">
      <c r="A960" t="s">
        <v>3531</v>
      </c>
      <c r="B960" t="s">
        <v>9034</v>
      </c>
      <c r="C960" t="s">
        <v>1533</v>
      </c>
      <c r="D960" t="s">
        <v>9036</v>
      </c>
    </row>
    <row r="961" spans="1:4" x14ac:dyDescent="0.25">
      <c r="A961" t="s">
        <v>3532</v>
      </c>
      <c r="B961" t="s">
        <v>9035</v>
      </c>
      <c r="C961" t="s">
        <v>1534</v>
      </c>
      <c r="D961" t="s">
        <v>9037</v>
      </c>
    </row>
    <row r="962" spans="1:4" x14ac:dyDescent="0.25">
      <c r="A962" t="s">
        <v>3533</v>
      </c>
      <c r="B962" t="s">
        <v>9036</v>
      </c>
      <c r="C962" t="s">
        <v>1535</v>
      </c>
      <c r="D962" t="s">
        <v>9038</v>
      </c>
    </row>
    <row r="963" spans="1:4" x14ac:dyDescent="0.25">
      <c r="A963" t="s">
        <v>3534</v>
      </c>
      <c r="B963" t="s">
        <v>9037</v>
      </c>
      <c r="C963" t="s">
        <v>1536</v>
      </c>
      <c r="D963" t="s">
        <v>9039</v>
      </c>
    </row>
    <row r="964" spans="1:4" x14ac:dyDescent="0.25">
      <c r="A964" t="s">
        <v>3535</v>
      </c>
      <c r="B964" t="s">
        <v>9038</v>
      </c>
      <c r="C964" t="s">
        <v>1537</v>
      </c>
      <c r="D964" t="s">
        <v>9040</v>
      </c>
    </row>
    <row r="965" spans="1:4" x14ac:dyDescent="0.25">
      <c r="A965" t="s">
        <v>3536</v>
      </c>
      <c r="B965" t="s">
        <v>9039</v>
      </c>
      <c r="C965" t="s">
        <v>1538</v>
      </c>
      <c r="D965" t="s">
        <v>9041</v>
      </c>
    </row>
    <row r="966" spans="1:4" x14ac:dyDescent="0.25">
      <c r="A966" t="s">
        <v>3537</v>
      </c>
      <c r="B966" t="s">
        <v>9040</v>
      </c>
      <c r="C966" t="s">
        <v>1539</v>
      </c>
      <c r="D966" t="s">
        <v>9042</v>
      </c>
    </row>
    <row r="967" spans="1:4" x14ac:dyDescent="0.25">
      <c r="A967" t="s">
        <v>3538</v>
      </c>
      <c r="B967" t="s">
        <v>9041</v>
      </c>
      <c r="C967" t="s">
        <v>1540</v>
      </c>
      <c r="D967" t="s">
        <v>9043</v>
      </c>
    </row>
    <row r="968" spans="1:4" x14ac:dyDescent="0.25">
      <c r="A968" t="s">
        <v>3539</v>
      </c>
      <c r="B968" t="s">
        <v>9042</v>
      </c>
      <c r="C968" t="s">
        <v>1541</v>
      </c>
      <c r="D968" t="s">
        <v>9044</v>
      </c>
    </row>
    <row r="969" spans="1:4" x14ac:dyDescent="0.25">
      <c r="A969" t="s">
        <v>3540</v>
      </c>
      <c r="B969" t="s">
        <v>9043</v>
      </c>
      <c r="C969" t="s">
        <v>1542</v>
      </c>
      <c r="D969" t="s">
        <v>9045</v>
      </c>
    </row>
    <row r="970" spans="1:4" x14ac:dyDescent="0.25">
      <c r="A970" t="s">
        <v>3541</v>
      </c>
      <c r="B970" t="s">
        <v>9044</v>
      </c>
      <c r="C970" t="s">
        <v>1543</v>
      </c>
      <c r="D970" t="s">
        <v>9046</v>
      </c>
    </row>
    <row r="971" spans="1:4" x14ac:dyDescent="0.25">
      <c r="A971" t="s">
        <v>3542</v>
      </c>
      <c r="B971" t="s">
        <v>9045</v>
      </c>
      <c r="C971" t="s">
        <v>1544</v>
      </c>
      <c r="D971" t="s">
        <v>9047</v>
      </c>
    </row>
    <row r="972" spans="1:4" x14ac:dyDescent="0.25">
      <c r="A972" t="s">
        <v>3543</v>
      </c>
      <c r="B972" t="s">
        <v>9046</v>
      </c>
      <c r="C972" t="s">
        <v>1545</v>
      </c>
      <c r="D972" t="s">
        <v>9048</v>
      </c>
    </row>
    <row r="973" spans="1:4" x14ac:dyDescent="0.25">
      <c r="A973" t="s">
        <v>3544</v>
      </c>
      <c r="B973" t="s">
        <v>9047</v>
      </c>
      <c r="C973" t="s">
        <v>1546</v>
      </c>
      <c r="D973" t="s">
        <v>9049</v>
      </c>
    </row>
    <row r="974" spans="1:4" x14ac:dyDescent="0.25">
      <c r="A974" t="s">
        <v>3545</v>
      </c>
      <c r="B974" t="s">
        <v>9048</v>
      </c>
      <c r="C974" t="s">
        <v>1547</v>
      </c>
      <c r="D974" t="s">
        <v>9050</v>
      </c>
    </row>
    <row r="975" spans="1:4" x14ac:dyDescent="0.25">
      <c r="A975" t="s">
        <v>3546</v>
      </c>
      <c r="B975" t="s">
        <v>9049</v>
      </c>
      <c r="C975" t="s">
        <v>1548</v>
      </c>
      <c r="D975" t="s">
        <v>9051</v>
      </c>
    </row>
    <row r="976" spans="1:4" x14ac:dyDescent="0.25">
      <c r="A976" t="s">
        <v>3547</v>
      </c>
      <c r="B976" t="s">
        <v>9050</v>
      </c>
      <c r="C976" t="s">
        <v>1549</v>
      </c>
      <c r="D976" t="s">
        <v>9052</v>
      </c>
    </row>
    <row r="977" spans="1:4" x14ac:dyDescent="0.25">
      <c r="A977" t="s">
        <v>3548</v>
      </c>
      <c r="B977" t="s">
        <v>9051</v>
      </c>
      <c r="C977" t="s">
        <v>1550</v>
      </c>
      <c r="D977" t="s">
        <v>9053</v>
      </c>
    </row>
    <row r="978" spans="1:4" x14ac:dyDescent="0.25">
      <c r="A978" t="s">
        <v>3549</v>
      </c>
      <c r="B978" t="s">
        <v>9052</v>
      </c>
      <c r="C978" t="s">
        <v>1551</v>
      </c>
      <c r="D978" t="s">
        <v>9054</v>
      </c>
    </row>
    <row r="979" spans="1:4" x14ac:dyDescent="0.25">
      <c r="A979" t="s">
        <v>3550</v>
      </c>
      <c r="B979" t="s">
        <v>9053</v>
      </c>
      <c r="C979" t="s">
        <v>1552</v>
      </c>
      <c r="D979" t="s">
        <v>9055</v>
      </c>
    </row>
    <row r="980" spans="1:4" x14ac:dyDescent="0.25">
      <c r="A980" t="s">
        <v>3551</v>
      </c>
      <c r="B980" t="s">
        <v>9054</v>
      </c>
      <c r="C980" t="s">
        <v>1553</v>
      </c>
      <c r="D980" t="s">
        <v>9056</v>
      </c>
    </row>
    <row r="981" spans="1:4" x14ac:dyDescent="0.25">
      <c r="A981" t="s">
        <v>3552</v>
      </c>
      <c r="B981" t="s">
        <v>9055</v>
      </c>
      <c r="C981" t="s">
        <v>1554</v>
      </c>
      <c r="D981" t="s">
        <v>9057</v>
      </c>
    </row>
    <row r="982" spans="1:4" x14ac:dyDescent="0.25">
      <c r="A982" t="s">
        <v>3553</v>
      </c>
      <c r="B982" t="s">
        <v>9056</v>
      </c>
      <c r="C982" t="s">
        <v>1555</v>
      </c>
      <c r="D982" t="s">
        <v>9058</v>
      </c>
    </row>
    <row r="983" spans="1:4" x14ac:dyDescent="0.25">
      <c r="A983" t="s">
        <v>3554</v>
      </c>
      <c r="B983" t="s">
        <v>9057</v>
      </c>
      <c r="C983" t="s">
        <v>1556</v>
      </c>
      <c r="D983" t="s">
        <v>9059</v>
      </c>
    </row>
    <row r="984" spans="1:4" x14ac:dyDescent="0.25">
      <c r="A984" t="s">
        <v>3555</v>
      </c>
      <c r="B984" t="s">
        <v>9058</v>
      </c>
      <c r="C984" t="s">
        <v>1557</v>
      </c>
      <c r="D984" t="s">
        <v>9060</v>
      </c>
    </row>
    <row r="985" spans="1:4" x14ac:dyDescent="0.25">
      <c r="A985" t="s">
        <v>3556</v>
      </c>
      <c r="B985" t="s">
        <v>9059</v>
      </c>
      <c r="C985" t="s">
        <v>1558</v>
      </c>
      <c r="D985" t="s">
        <v>9061</v>
      </c>
    </row>
    <row r="986" spans="1:4" x14ac:dyDescent="0.25">
      <c r="A986" t="s">
        <v>3557</v>
      </c>
      <c r="B986" t="s">
        <v>9060</v>
      </c>
      <c r="C986" t="s">
        <v>1559</v>
      </c>
      <c r="D986" t="s">
        <v>9062</v>
      </c>
    </row>
    <row r="987" spans="1:4" x14ac:dyDescent="0.25">
      <c r="A987" t="s">
        <v>3558</v>
      </c>
      <c r="B987" t="s">
        <v>9061</v>
      </c>
      <c r="C987" t="s">
        <v>1560</v>
      </c>
      <c r="D987" t="s">
        <v>9063</v>
      </c>
    </row>
    <row r="988" spans="1:4" x14ac:dyDescent="0.25">
      <c r="A988" t="s">
        <v>3559</v>
      </c>
      <c r="B988" t="s">
        <v>9062</v>
      </c>
      <c r="C988" t="s">
        <v>1561</v>
      </c>
      <c r="D988" t="s">
        <v>9064</v>
      </c>
    </row>
    <row r="989" spans="1:4" x14ac:dyDescent="0.25">
      <c r="A989" t="s">
        <v>3560</v>
      </c>
      <c r="B989" t="s">
        <v>9063</v>
      </c>
      <c r="C989" t="s">
        <v>1562</v>
      </c>
      <c r="D989" t="s">
        <v>9065</v>
      </c>
    </row>
    <row r="990" spans="1:4" x14ac:dyDescent="0.25">
      <c r="A990" t="s">
        <v>3561</v>
      </c>
      <c r="B990" t="s">
        <v>9064</v>
      </c>
      <c r="C990" t="s">
        <v>1563</v>
      </c>
      <c r="D990" t="s">
        <v>9066</v>
      </c>
    </row>
    <row r="991" spans="1:4" x14ac:dyDescent="0.25">
      <c r="A991" t="s">
        <v>3562</v>
      </c>
      <c r="B991" t="s">
        <v>9065</v>
      </c>
      <c r="C991" t="s">
        <v>1564</v>
      </c>
      <c r="D991" t="s">
        <v>9067</v>
      </c>
    </row>
    <row r="992" spans="1:4" x14ac:dyDescent="0.25">
      <c r="A992" t="s">
        <v>3563</v>
      </c>
      <c r="B992" t="s">
        <v>9066</v>
      </c>
      <c r="C992" t="s">
        <v>1565</v>
      </c>
      <c r="D992" t="s">
        <v>9068</v>
      </c>
    </row>
    <row r="993" spans="1:4" x14ac:dyDescent="0.25">
      <c r="A993" t="s">
        <v>3564</v>
      </c>
      <c r="B993" t="s">
        <v>9067</v>
      </c>
      <c r="C993" t="s">
        <v>1566</v>
      </c>
      <c r="D993" t="s">
        <v>9069</v>
      </c>
    </row>
    <row r="994" spans="1:4" x14ac:dyDescent="0.25">
      <c r="A994" t="s">
        <v>3565</v>
      </c>
      <c r="B994" t="s">
        <v>9068</v>
      </c>
      <c r="C994" t="s">
        <v>1567</v>
      </c>
      <c r="D994" t="s">
        <v>9070</v>
      </c>
    </row>
    <row r="995" spans="1:4" x14ac:dyDescent="0.25">
      <c r="A995" t="s">
        <v>3566</v>
      </c>
      <c r="B995" t="s">
        <v>9069</v>
      </c>
      <c r="C995" t="s">
        <v>1568</v>
      </c>
      <c r="D995" t="s">
        <v>9071</v>
      </c>
    </row>
    <row r="996" spans="1:4" x14ac:dyDescent="0.25">
      <c r="A996" t="s">
        <v>3567</v>
      </c>
      <c r="B996" t="s">
        <v>9070</v>
      </c>
      <c r="C996" t="s">
        <v>1569</v>
      </c>
      <c r="D996" t="s">
        <v>9072</v>
      </c>
    </row>
    <row r="997" spans="1:4" x14ac:dyDescent="0.25">
      <c r="A997" t="s">
        <v>3568</v>
      </c>
      <c r="B997" t="s">
        <v>9071</v>
      </c>
      <c r="C997" t="s">
        <v>1570</v>
      </c>
      <c r="D997" t="s">
        <v>9073</v>
      </c>
    </row>
    <row r="998" spans="1:4" x14ac:dyDescent="0.25">
      <c r="A998" t="s">
        <v>3569</v>
      </c>
      <c r="B998" t="s">
        <v>9072</v>
      </c>
      <c r="C998" t="s">
        <v>1571</v>
      </c>
      <c r="D998" t="s">
        <v>9074</v>
      </c>
    </row>
    <row r="999" spans="1:4" x14ac:dyDescent="0.25">
      <c r="A999" t="s">
        <v>3570</v>
      </c>
      <c r="B999" t="s">
        <v>9073</v>
      </c>
      <c r="C999" t="s">
        <v>1572</v>
      </c>
      <c r="D999" t="s">
        <v>9075</v>
      </c>
    </row>
    <row r="1000" spans="1:4" x14ac:dyDescent="0.25">
      <c r="A1000" t="s">
        <v>3571</v>
      </c>
      <c r="B1000" t="s">
        <v>9074</v>
      </c>
      <c r="C1000" t="s">
        <v>1573</v>
      </c>
      <c r="D1000" t="s">
        <v>9076</v>
      </c>
    </row>
    <row r="1001" spans="1:4" x14ac:dyDescent="0.25">
      <c r="A1001" t="s">
        <v>3572</v>
      </c>
      <c r="B1001" t="s">
        <v>9075</v>
      </c>
      <c r="C1001" t="s">
        <v>1574</v>
      </c>
      <c r="D1001" t="s">
        <v>9077</v>
      </c>
    </row>
    <row r="1002" spans="1:4" x14ac:dyDescent="0.25">
      <c r="A1002" t="s">
        <v>3573</v>
      </c>
      <c r="B1002" t="s">
        <v>9076</v>
      </c>
      <c r="C1002" t="s">
        <v>1575</v>
      </c>
      <c r="D1002" t="s">
        <v>9078</v>
      </c>
    </row>
    <row r="1003" spans="1:4" x14ac:dyDescent="0.25">
      <c r="A1003" t="s">
        <v>3574</v>
      </c>
      <c r="B1003" t="s">
        <v>9077</v>
      </c>
      <c r="C1003" t="s">
        <v>1576</v>
      </c>
      <c r="D1003" t="s">
        <v>9079</v>
      </c>
    </row>
    <row r="1004" spans="1:4" x14ac:dyDescent="0.25">
      <c r="A1004" t="s">
        <v>3575</v>
      </c>
      <c r="B1004" t="s">
        <v>9078</v>
      </c>
      <c r="C1004" t="s">
        <v>1577</v>
      </c>
      <c r="D1004" t="s">
        <v>9080</v>
      </c>
    </row>
    <row r="1005" spans="1:4" x14ac:dyDescent="0.25">
      <c r="A1005" t="s">
        <v>3576</v>
      </c>
      <c r="B1005" t="s">
        <v>9079</v>
      </c>
      <c r="C1005" t="s">
        <v>1578</v>
      </c>
      <c r="D1005" t="s">
        <v>9081</v>
      </c>
    </row>
    <row r="1006" spans="1:4" x14ac:dyDescent="0.25">
      <c r="A1006" t="s">
        <v>3577</v>
      </c>
      <c r="B1006" t="s">
        <v>9080</v>
      </c>
      <c r="C1006" t="s">
        <v>1579</v>
      </c>
      <c r="D1006" t="s">
        <v>9082</v>
      </c>
    </row>
    <row r="1007" spans="1:4" x14ac:dyDescent="0.25">
      <c r="A1007" t="s">
        <v>3578</v>
      </c>
      <c r="B1007" t="s">
        <v>9081</v>
      </c>
      <c r="C1007" t="s">
        <v>1580</v>
      </c>
      <c r="D1007" t="s">
        <v>9083</v>
      </c>
    </row>
    <row r="1008" spans="1:4" x14ac:dyDescent="0.25">
      <c r="A1008" t="s">
        <v>3579</v>
      </c>
      <c r="B1008" t="s">
        <v>9082</v>
      </c>
      <c r="C1008" t="s">
        <v>1581</v>
      </c>
      <c r="D1008" t="s">
        <v>9084</v>
      </c>
    </row>
    <row r="1009" spans="1:4" x14ac:dyDescent="0.25">
      <c r="A1009" t="s">
        <v>3580</v>
      </c>
      <c r="B1009" t="s">
        <v>9083</v>
      </c>
      <c r="C1009" t="s">
        <v>1582</v>
      </c>
      <c r="D1009" t="s">
        <v>9086</v>
      </c>
    </row>
    <row r="1010" spans="1:4" x14ac:dyDescent="0.25">
      <c r="A1010" t="s">
        <v>3581</v>
      </c>
      <c r="B1010" t="s">
        <v>9084</v>
      </c>
      <c r="C1010" t="s">
        <v>1583</v>
      </c>
      <c r="D1010" t="s">
        <v>9087</v>
      </c>
    </row>
    <row r="1011" spans="1:4" x14ac:dyDescent="0.25">
      <c r="A1011" t="s">
        <v>3582</v>
      </c>
      <c r="C1011" t="s">
        <v>1584</v>
      </c>
      <c r="D1011" t="s">
        <v>9088</v>
      </c>
    </row>
    <row r="1012" spans="1:4" x14ac:dyDescent="0.25">
      <c r="A1012" t="s">
        <v>3583</v>
      </c>
      <c r="C1012" t="s">
        <v>1585</v>
      </c>
      <c r="D1012" t="s">
        <v>9089</v>
      </c>
    </row>
    <row r="1013" spans="1:4" x14ac:dyDescent="0.25">
      <c r="A1013" t="s">
        <v>3584</v>
      </c>
      <c r="C1013" t="s">
        <v>1586</v>
      </c>
      <c r="D1013" t="s">
        <v>9090</v>
      </c>
    </row>
    <row r="1014" spans="1:4" x14ac:dyDescent="0.25">
      <c r="A1014" t="s">
        <v>3585</v>
      </c>
      <c r="C1014" t="s">
        <v>1587</v>
      </c>
      <c r="D1014" t="s">
        <v>9091</v>
      </c>
    </row>
    <row r="1015" spans="1:4" x14ac:dyDescent="0.25">
      <c r="A1015" t="s">
        <v>3586</v>
      </c>
      <c r="C1015" t="s">
        <v>1588</v>
      </c>
      <c r="D1015" t="s">
        <v>9092</v>
      </c>
    </row>
    <row r="1016" spans="1:4" x14ac:dyDescent="0.25">
      <c r="A1016" t="s">
        <v>3587</v>
      </c>
      <c r="C1016" t="s">
        <v>1589</v>
      </c>
      <c r="D1016" t="s">
        <v>9093</v>
      </c>
    </row>
    <row r="1017" spans="1:4" x14ac:dyDescent="0.25">
      <c r="A1017" t="s">
        <v>3588</v>
      </c>
      <c r="C1017" t="s">
        <v>1590</v>
      </c>
      <c r="D1017" t="s">
        <v>9094</v>
      </c>
    </row>
    <row r="1018" spans="1:4" x14ac:dyDescent="0.25">
      <c r="A1018" t="s">
        <v>3589</v>
      </c>
      <c r="C1018" t="s">
        <v>1591</v>
      </c>
      <c r="D1018" t="s">
        <v>9095</v>
      </c>
    </row>
    <row r="1019" spans="1:4" x14ac:dyDescent="0.25">
      <c r="A1019" t="s">
        <v>3590</v>
      </c>
      <c r="C1019" t="s">
        <v>1592</v>
      </c>
      <c r="D1019" t="s">
        <v>9096</v>
      </c>
    </row>
    <row r="1020" spans="1:4" x14ac:dyDescent="0.25">
      <c r="A1020" t="s">
        <v>3591</v>
      </c>
      <c r="C1020" t="s">
        <v>1593</v>
      </c>
      <c r="D1020" t="s">
        <v>9097</v>
      </c>
    </row>
    <row r="1021" spans="1:4" x14ac:dyDescent="0.25">
      <c r="A1021" t="s">
        <v>3592</v>
      </c>
      <c r="C1021" t="s">
        <v>1594</v>
      </c>
      <c r="D1021" t="s">
        <v>9098</v>
      </c>
    </row>
    <row r="1022" spans="1:4" x14ac:dyDescent="0.25">
      <c r="A1022" t="s">
        <v>3593</v>
      </c>
      <c r="C1022" t="s">
        <v>1595</v>
      </c>
      <c r="D1022" t="s">
        <v>9099</v>
      </c>
    </row>
    <row r="1023" spans="1:4" x14ac:dyDescent="0.25">
      <c r="A1023" t="s">
        <v>3594</v>
      </c>
      <c r="C1023" t="s">
        <v>1596</v>
      </c>
      <c r="D1023" t="s">
        <v>9100</v>
      </c>
    </row>
    <row r="1024" spans="1:4" x14ac:dyDescent="0.25">
      <c r="A1024" t="s">
        <v>3595</v>
      </c>
      <c r="C1024" t="s">
        <v>1597</v>
      </c>
      <c r="D1024" t="s">
        <v>9101</v>
      </c>
    </row>
    <row r="1025" spans="1:4" x14ac:dyDescent="0.25">
      <c r="A1025" t="s">
        <v>3596</v>
      </c>
      <c r="C1025" t="s">
        <v>1598</v>
      </c>
      <c r="D1025" t="s">
        <v>9102</v>
      </c>
    </row>
    <row r="1026" spans="1:4" x14ac:dyDescent="0.25">
      <c r="A1026" t="s">
        <v>3597</v>
      </c>
      <c r="C1026" t="s">
        <v>1599</v>
      </c>
      <c r="D1026" t="s">
        <v>9103</v>
      </c>
    </row>
    <row r="1027" spans="1:4" x14ac:dyDescent="0.25">
      <c r="A1027" t="s">
        <v>3598</v>
      </c>
      <c r="C1027" t="s">
        <v>1600</v>
      </c>
      <c r="D1027" t="s">
        <v>9104</v>
      </c>
    </row>
    <row r="1028" spans="1:4" x14ac:dyDescent="0.25">
      <c r="A1028" t="s">
        <v>3599</v>
      </c>
      <c r="C1028" t="s">
        <v>1601</v>
      </c>
      <c r="D1028" t="s">
        <v>9105</v>
      </c>
    </row>
    <row r="1029" spans="1:4" x14ac:dyDescent="0.25">
      <c r="A1029" t="s">
        <v>3600</v>
      </c>
      <c r="C1029" t="s">
        <v>1602</v>
      </c>
      <c r="D1029" t="s">
        <v>9106</v>
      </c>
    </row>
    <row r="1030" spans="1:4" x14ac:dyDescent="0.25">
      <c r="A1030" t="s">
        <v>3601</v>
      </c>
      <c r="C1030" t="s">
        <v>1603</v>
      </c>
      <c r="D1030" t="s">
        <v>9107</v>
      </c>
    </row>
    <row r="1031" spans="1:4" x14ac:dyDescent="0.25">
      <c r="A1031" t="s">
        <v>3602</v>
      </c>
      <c r="C1031" t="s">
        <v>1604</v>
      </c>
      <c r="D1031" t="s">
        <v>9108</v>
      </c>
    </row>
    <row r="1032" spans="1:4" x14ac:dyDescent="0.25">
      <c r="A1032" t="s">
        <v>3603</v>
      </c>
      <c r="C1032" t="s">
        <v>1605</v>
      </c>
      <c r="D1032" t="s">
        <v>9109</v>
      </c>
    </row>
    <row r="1033" spans="1:4" x14ac:dyDescent="0.25">
      <c r="A1033" t="s">
        <v>3604</v>
      </c>
      <c r="C1033" t="s">
        <v>1606</v>
      </c>
      <c r="D1033" t="s">
        <v>9110</v>
      </c>
    </row>
    <row r="1034" spans="1:4" x14ac:dyDescent="0.25">
      <c r="A1034" t="s">
        <v>3605</v>
      </c>
      <c r="C1034" t="s">
        <v>1607</v>
      </c>
      <c r="D1034" t="s">
        <v>9111</v>
      </c>
    </row>
    <row r="1035" spans="1:4" x14ac:dyDescent="0.25">
      <c r="A1035" t="s">
        <v>3606</v>
      </c>
      <c r="C1035" t="s">
        <v>1608</v>
      </c>
      <c r="D1035" t="s">
        <v>9112</v>
      </c>
    </row>
    <row r="1036" spans="1:4" x14ac:dyDescent="0.25">
      <c r="A1036" t="s">
        <v>3607</v>
      </c>
      <c r="C1036" t="s">
        <v>1609</v>
      </c>
      <c r="D1036" t="s">
        <v>9113</v>
      </c>
    </row>
    <row r="1037" spans="1:4" x14ac:dyDescent="0.25">
      <c r="A1037" t="s">
        <v>3608</v>
      </c>
      <c r="C1037" t="s">
        <v>1610</v>
      </c>
      <c r="D1037" t="s">
        <v>9114</v>
      </c>
    </row>
    <row r="1038" spans="1:4" x14ac:dyDescent="0.25">
      <c r="A1038" t="s">
        <v>3609</v>
      </c>
      <c r="C1038" t="s">
        <v>1611</v>
      </c>
      <c r="D1038" t="s">
        <v>9115</v>
      </c>
    </row>
    <row r="1039" spans="1:4" x14ac:dyDescent="0.25">
      <c r="A1039" t="s">
        <v>3610</v>
      </c>
      <c r="C1039" t="s">
        <v>1612</v>
      </c>
      <c r="D1039" t="s">
        <v>9116</v>
      </c>
    </row>
    <row r="1040" spans="1:4" x14ac:dyDescent="0.25">
      <c r="A1040" t="s">
        <v>3611</v>
      </c>
      <c r="C1040" t="s">
        <v>1613</v>
      </c>
      <c r="D1040" t="s">
        <v>9117</v>
      </c>
    </row>
    <row r="1041" spans="1:4" x14ac:dyDescent="0.25">
      <c r="A1041" t="s">
        <v>3612</v>
      </c>
      <c r="C1041" t="s">
        <v>1614</v>
      </c>
      <c r="D1041" t="s">
        <v>9118</v>
      </c>
    </row>
    <row r="1042" spans="1:4" x14ac:dyDescent="0.25">
      <c r="A1042" t="s">
        <v>3613</v>
      </c>
      <c r="C1042" t="s">
        <v>1615</v>
      </c>
      <c r="D1042" t="s">
        <v>9119</v>
      </c>
    </row>
    <row r="1043" spans="1:4" x14ac:dyDescent="0.25">
      <c r="A1043" t="s">
        <v>3614</v>
      </c>
      <c r="C1043" t="s">
        <v>1616</v>
      </c>
      <c r="D1043" t="s">
        <v>9120</v>
      </c>
    </row>
    <row r="1044" spans="1:4" x14ac:dyDescent="0.25">
      <c r="A1044" t="s">
        <v>3615</v>
      </c>
      <c r="C1044" t="s">
        <v>1617</v>
      </c>
      <c r="D1044" t="s">
        <v>9121</v>
      </c>
    </row>
    <row r="1045" spans="1:4" x14ac:dyDescent="0.25">
      <c r="A1045" t="s">
        <v>3616</v>
      </c>
      <c r="C1045" t="s">
        <v>1618</v>
      </c>
      <c r="D1045" t="s">
        <v>9122</v>
      </c>
    </row>
    <row r="1046" spans="1:4" x14ac:dyDescent="0.25">
      <c r="A1046" t="s">
        <v>3617</v>
      </c>
      <c r="C1046" t="s">
        <v>1619</v>
      </c>
      <c r="D1046" t="s">
        <v>9123</v>
      </c>
    </row>
    <row r="1047" spans="1:4" x14ac:dyDescent="0.25">
      <c r="A1047" t="s">
        <v>3618</v>
      </c>
      <c r="C1047" t="s">
        <v>1620</v>
      </c>
      <c r="D1047" t="s">
        <v>9124</v>
      </c>
    </row>
    <row r="1048" spans="1:4" x14ac:dyDescent="0.25">
      <c r="A1048" t="s">
        <v>3619</v>
      </c>
      <c r="C1048" t="s">
        <v>1621</v>
      </c>
      <c r="D1048" t="s">
        <v>9125</v>
      </c>
    </row>
    <row r="1049" spans="1:4" x14ac:dyDescent="0.25">
      <c r="A1049" t="s">
        <v>3620</v>
      </c>
      <c r="C1049" t="s">
        <v>1622</v>
      </c>
      <c r="D1049" t="s">
        <v>9126</v>
      </c>
    </row>
    <row r="1050" spans="1:4" x14ac:dyDescent="0.25">
      <c r="A1050" t="s">
        <v>3621</v>
      </c>
      <c r="C1050" t="s">
        <v>1623</v>
      </c>
      <c r="D1050" t="s">
        <v>9127</v>
      </c>
    </row>
    <row r="1051" spans="1:4" x14ac:dyDescent="0.25">
      <c r="A1051" t="s">
        <v>3622</v>
      </c>
      <c r="C1051" t="s">
        <v>1624</v>
      </c>
      <c r="D1051" t="s">
        <v>9128</v>
      </c>
    </row>
    <row r="1052" spans="1:4" x14ac:dyDescent="0.25">
      <c r="A1052" t="s">
        <v>3623</v>
      </c>
      <c r="C1052" t="s">
        <v>1625</v>
      </c>
      <c r="D1052" t="s">
        <v>9129</v>
      </c>
    </row>
    <row r="1053" spans="1:4" x14ac:dyDescent="0.25">
      <c r="A1053" t="s">
        <v>3624</v>
      </c>
      <c r="C1053" t="s">
        <v>1626</v>
      </c>
      <c r="D1053" t="s">
        <v>9130</v>
      </c>
    </row>
    <row r="1054" spans="1:4" x14ac:dyDescent="0.25">
      <c r="A1054" t="s">
        <v>3625</v>
      </c>
      <c r="C1054" t="s">
        <v>1627</v>
      </c>
      <c r="D1054" t="s">
        <v>9131</v>
      </c>
    </row>
    <row r="1055" spans="1:4" x14ac:dyDescent="0.25">
      <c r="A1055" t="s">
        <v>3626</v>
      </c>
      <c r="C1055" t="s">
        <v>1628</v>
      </c>
      <c r="D1055" t="s">
        <v>9132</v>
      </c>
    </row>
    <row r="1056" spans="1:4" x14ac:dyDescent="0.25">
      <c r="A1056" t="s">
        <v>3627</v>
      </c>
      <c r="C1056" t="s">
        <v>1629</v>
      </c>
      <c r="D1056" t="s">
        <v>9133</v>
      </c>
    </row>
    <row r="1057" spans="1:4" x14ac:dyDescent="0.25">
      <c r="A1057" t="s">
        <v>3628</v>
      </c>
      <c r="C1057" t="s">
        <v>1630</v>
      </c>
      <c r="D1057" t="s">
        <v>9134</v>
      </c>
    </row>
    <row r="1058" spans="1:4" x14ac:dyDescent="0.25">
      <c r="A1058" t="s">
        <v>3629</v>
      </c>
      <c r="C1058" t="s">
        <v>1631</v>
      </c>
      <c r="D1058" t="s">
        <v>9135</v>
      </c>
    </row>
    <row r="1059" spans="1:4" x14ac:dyDescent="0.25">
      <c r="A1059" t="s">
        <v>3630</v>
      </c>
      <c r="C1059" t="s">
        <v>1632</v>
      </c>
      <c r="D1059" t="s">
        <v>9136</v>
      </c>
    </row>
    <row r="1060" spans="1:4" x14ac:dyDescent="0.25">
      <c r="A1060" t="s">
        <v>3631</v>
      </c>
      <c r="C1060" t="s">
        <v>1633</v>
      </c>
      <c r="D1060" t="s">
        <v>9137</v>
      </c>
    </row>
    <row r="1061" spans="1:4" x14ac:dyDescent="0.25">
      <c r="A1061" t="s">
        <v>3632</v>
      </c>
      <c r="C1061" t="s">
        <v>1634</v>
      </c>
      <c r="D1061" t="s">
        <v>9138</v>
      </c>
    </row>
    <row r="1062" spans="1:4" x14ac:dyDescent="0.25">
      <c r="A1062" t="s">
        <v>3633</v>
      </c>
      <c r="C1062" t="s">
        <v>1635</v>
      </c>
      <c r="D1062" t="s">
        <v>9139</v>
      </c>
    </row>
    <row r="1063" spans="1:4" x14ac:dyDescent="0.25">
      <c r="A1063" t="s">
        <v>3634</v>
      </c>
      <c r="C1063" t="s">
        <v>1636</v>
      </c>
      <c r="D1063" t="s">
        <v>9140</v>
      </c>
    </row>
    <row r="1064" spans="1:4" x14ac:dyDescent="0.25">
      <c r="A1064" t="s">
        <v>3635</v>
      </c>
      <c r="C1064" t="s">
        <v>1637</v>
      </c>
      <c r="D1064" t="s">
        <v>9141</v>
      </c>
    </row>
    <row r="1065" spans="1:4" x14ac:dyDescent="0.25">
      <c r="A1065" t="s">
        <v>3636</v>
      </c>
      <c r="C1065" t="s">
        <v>1638</v>
      </c>
      <c r="D1065" t="s">
        <v>9142</v>
      </c>
    </row>
    <row r="1066" spans="1:4" x14ac:dyDescent="0.25">
      <c r="A1066" t="s">
        <v>3637</v>
      </c>
      <c r="C1066" t="s">
        <v>1639</v>
      </c>
      <c r="D1066" t="s">
        <v>9143</v>
      </c>
    </row>
    <row r="1067" spans="1:4" x14ac:dyDescent="0.25">
      <c r="A1067" t="s">
        <v>3638</v>
      </c>
      <c r="C1067" t="s">
        <v>1640</v>
      </c>
      <c r="D1067" t="s">
        <v>9144</v>
      </c>
    </row>
    <row r="1068" spans="1:4" x14ac:dyDescent="0.25">
      <c r="A1068" t="s">
        <v>3639</v>
      </c>
      <c r="C1068" t="s">
        <v>1641</v>
      </c>
      <c r="D1068" t="s">
        <v>9145</v>
      </c>
    </row>
    <row r="1069" spans="1:4" x14ac:dyDescent="0.25">
      <c r="A1069" t="s">
        <v>3640</v>
      </c>
      <c r="C1069" t="s">
        <v>1642</v>
      </c>
      <c r="D1069" t="s">
        <v>9146</v>
      </c>
    </row>
    <row r="1070" spans="1:4" x14ac:dyDescent="0.25">
      <c r="A1070" t="s">
        <v>3641</v>
      </c>
      <c r="C1070" t="s">
        <v>1643</v>
      </c>
      <c r="D1070" t="s">
        <v>9147</v>
      </c>
    </row>
    <row r="1071" spans="1:4" x14ac:dyDescent="0.25">
      <c r="A1071" t="s">
        <v>3642</v>
      </c>
      <c r="C1071" t="s">
        <v>1644</v>
      </c>
      <c r="D1071" t="s">
        <v>9148</v>
      </c>
    </row>
    <row r="1072" spans="1:4" x14ac:dyDescent="0.25">
      <c r="A1072" t="s">
        <v>3643</v>
      </c>
      <c r="C1072" t="s">
        <v>1645</v>
      </c>
      <c r="D1072" t="s">
        <v>9149</v>
      </c>
    </row>
    <row r="1073" spans="1:4" x14ac:dyDescent="0.25">
      <c r="A1073" t="s">
        <v>3644</v>
      </c>
      <c r="C1073" t="s">
        <v>1646</v>
      </c>
      <c r="D1073" t="s">
        <v>9150</v>
      </c>
    </row>
    <row r="1074" spans="1:4" x14ac:dyDescent="0.25">
      <c r="A1074" t="s">
        <v>3645</v>
      </c>
      <c r="C1074" t="s">
        <v>1647</v>
      </c>
      <c r="D1074" t="s">
        <v>9151</v>
      </c>
    </row>
    <row r="1075" spans="1:4" x14ac:dyDescent="0.25">
      <c r="A1075" t="s">
        <v>3646</v>
      </c>
      <c r="C1075" t="s">
        <v>1648</v>
      </c>
      <c r="D1075" t="s">
        <v>9152</v>
      </c>
    </row>
    <row r="1076" spans="1:4" x14ac:dyDescent="0.25">
      <c r="A1076" t="s">
        <v>3647</v>
      </c>
      <c r="C1076" t="s">
        <v>1649</v>
      </c>
      <c r="D1076" t="s">
        <v>9153</v>
      </c>
    </row>
    <row r="1077" spans="1:4" x14ac:dyDescent="0.25">
      <c r="A1077" t="s">
        <v>3648</v>
      </c>
      <c r="C1077" t="s">
        <v>1650</v>
      </c>
      <c r="D1077" t="s">
        <v>9154</v>
      </c>
    </row>
    <row r="1078" spans="1:4" x14ac:dyDescent="0.25">
      <c r="A1078" t="s">
        <v>3649</v>
      </c>
      <c r="C1078" t="s">
        <v>1651</v>
      </c>
      <c r="D1078" t="s">
        <v>9155</v>
      </c>
    </row>
    <row r="1079" spans="1:4" x14ac:dyDescent="0.25">
      <c r="A1079" t="s">
        <v>3650</v>
      </c>
      <c r="C1079" t="s">
        <v>1652</v>
      </c>
      <c r="D1079" t="s">
        <v>9156</v>
      </c>
    </row>
    <row r="1080" spans="1:4" x14ac:dyDescent="0.25">
      <c r="A1080" t="s">
        <v>3651</v>
      </c>
      <c r="C1080" t="s">
        <v>1653</v>
      </c>
      <c r="D1080" t="s">
        <v>9157</v>
      </c>
    </row>
    <row r="1081" spans="1:4" x14ac:dyDescent="0.25">
      <c r="A1081" t="s">
        <v>3652</v>
      </c>
      <c r="C1081" t="s">
        <v>1654</v>
      </c>
      <c r="D1081" t="s">
        <v>9158</v>
      </c>
    </row>
    <row r="1082" spans="1:4" x14ac:dyDescent="0.25">
      <c r="A1082" t="s">
        <v>3653</v>
      </c>
      <c r="C1082" t="s">
        <v>1655</v>
      </c>
      <c r="D1082" t="s">
        <v>9159</v>
      </c>
    </row>
    <row r="1083" spans="1:4" x14ac:dyDescent="0.25">
      <c r="A1083" t="s">
        <v>3654</v>
      </c>
      <c r="C1083" t="s">
        <v>1656</v>
      </c>
      <c r="D1083" t="s">
        <v>9160</v>
      </c>
    </row>
    <row r="1084" spans="1:4" x14ac:dyDescent="0.25">
      <c r="A1084" t="s">
        <v>3655</v>
      </c>
      <c r="C1084" t="s">
        <v>1657</v>
      </c>
      <c r="D1084" t="s">
        <v>9161</v>
      </c>
    </row>
    <row r="1085" spans="1:4" x14ac:dyDescent="0.25">
      <c r="A1085" t="s">
        <v>3656</v>
      </c>
      <c r="C1085" t="s">
        <v>1658</v>
      </c>
      <c r="D1085" t="s">
        <v>9162</v>
      </c>
    </row>
    <row r="1086" spans="1:4" x14ac:dyDescent="0.25">
      <c r="A1086" t="s">
        <v>3657</v>
      </c>
      <c r="C1086" t="s">
        <v>1659</v>
      </c>
      <c r="D1086" t="s">
        <v>9163</v>
      </c>
    </row>
    <row r="1087" spans="1:4" x14ac:dyDescent="0.25">
      <c r="A1087" t="s">
        <v>3658</v>
      </c>
      <c r="C1087" t="s">
        <v>1660</v>
      </c>
      <c r="D1087" t="s">
        <v>9164</v>
      </c>
    </row>
    <row r="1088" spans="1:4" x14ac:dyDescent="0.25">
      <c r="A1088" t="s">
        <v>3659</v>
      </c>
      <c r="C1088" t="s">
        <v>1661</v>
      </c>
      <c r="D1088" t="s">
        <v>9165</v>
      </c>
    </row>
    <row r="1089" spans="1:4" x14ac:dyDescent="0.25">
      <c r="A1089" t="s">
        <v>3660</v>
      </c>
      <c r="C1089" t="s">
        <v>1662</v>
      </c>
      <c r="D1089" t="s">
        <v>9166</v>
      </c>
    </row>
    <row r="1090" spans="1:4" x14ac:dyDescent="0.25">
      <c r="A1090" t="s">
        <v>3661</v>
      </c>
      <c r="C1090" t="s">
        <v>1663</v>
      </c>
      <c r="D1090" t="s">
        <v>9167</v>
      </c>
    </row>
    <row r="1091" spans="1:4" x14ac:dyDescent="0.25">
      <c r="A1091" t="s">
        <v>3662</v>
      </c>
      <c r="C1091" t="s">
        <v>1664</v>
      </c>
      <c r="D1091" t="s">
        <v>9168</v>
      </c>
    </row>
    <row r="1092" spans="1:4" x14ac:dyDescent="0.25">
      <c r="A1092" t="s">
        <v>3663</v>
      </c>
      <c r="C1092" t="s">
        <v>1665</v>
      </c>
      <c r="D1092" t="s">
        <v>9169</v>
      </c>
    </row>
    <row r="1093" spans="1:4" x14ac:dyDescent="0.25">
      <c r="A1093" t="s">
        <v>3664</v>
      </c>
      <c r="C1093" t="s">
        <v>1666</v>
      </c>
      <c r="D1093" t="s">
        <v>9170</v>
      </c>
    </row>
    <row r="1094" spans="1:4" x14ac:dyDescent="0.25">
      <c r="A1094" t="s">
        <v>3665</v>
      </c>
      <c r="C1094" t="s">
        <v>1667</v>
      </c>
      <c r="D1094" t="s">
        <v>9171</v>
      </c>
    </row>
    <row r="1095" spans="1:4" x14ac:dyDescent="0.25">
      <c r="A1095" t="s">
        <v>3666</v>
      </c>
      <c r="C1095" t="s">
        <v>1668</v>
      </c>
      <c r="D1095" t="s">
        <v>9172</v>
      </c>
    </row>
    <row r="1096" spans="1:4" x14ac:dyDescent="0.25">
      <c r="A1096" t="s">
        <v>3667</v>
      </c>
      <c r="C1096" t="s">
        <v>1669</v>
      </c>
      <c r="D1096" t="s">
        <v>9173</v>
      </c>
    </row>
    <row r="1097" spans="1:4" x14ac:dyDescent="0.25">
      <c r="A1097" t="s">
        <v>3668</v>
      </c>
      <c r="C1097" t="s">
        <v>1670</v>
      </c>
      <c r="D1097" t="s">
        <v>9174</v>
      </c>
    </row>
    <row r="1098" spans="1:4" x14ac:dyDescent="0.25">
      <c r="A1098" t="s">
        <v>3669</v>
      </c>
      <c r="C1098" t="s">
        <v>1671</v>
      </c>
      <c r="D1098" t="s">
        <v>9175</v>
      </c>
    </row>
    <row r="1099" spans="1:4" x14ac:dyDescent="0.25">
      <c r="A1099" t="s">
        <v>3670</v>
      </c>
      <c r="C1099" t="s">
        <v>1672</v>
      </c>
      <c r="D1099" t="s">
        <v>9176</v>
      </c>
    </row>
    <row r="1100" spans="1:4" x14ac:dyDescent="0.25">
      <c r="A1100" t="s">
        <v>3671</v>
      </c>
      <c r="C1100" t="s">
        <v>1673</v>
      </c>
      <c r="D1100" t="s">
        <v>9177</v>
      </c>
    </row>
    <row r="1101" spans="1:4" x14ac:dyDescent="0.25">
      <c r="A1101" t="s">
        <v>3672</v>
      </c>
      <c r="C1101" t="s">
        <v>1674</v>
      </c>
      <c r="D1101" t="s">
        <v>9178</v>
      </c>
    </row>
    <row r="1102" spans="1:4" x14ac:dyDescent="0.25">
      <c r="A1102" t="s">
        <v>3673</v>
      </c>
      <c r="C1102" t="s">
        <v>1675</v>
      </c>
      <c r="D1102" t="s">
        <v>9179</v>
      </c>
    </row>
    <row r="1103" spans="1:4" x14ac:dyDescent="0.25">
      <c r="A1103" t="s">
        <v>3674</v>
      </c>
      <c r="C1103" t="s">
        <v>1676</v>
      </c>
      <c r="D1103" t="s">
        <v>9180</v>
      </c>
    </row>
    <row r="1104" spans="1:4" x14ac:dyDescent="0.25">
      <c r="A1104" t="s">
        <v>3675</v>
      </c>
      <c r="C1104" t="s">
        <v>1677</v>
      </c>
      <c r="D1104" t="s">
        <v>9181</v>
      </c>
    </row>
    <row r="1105" spans="1:4" x14ac:dyDescent="0.25">
      <c r="A1105" t="s">
        <v>3676</v>
      </c>
      <c r="C1105" t="s">
        <v>1678</v>
      </c>
      <c r="D1105" t="s">
        <v>9182</v>
      </c>
    </row>
    <row r="1106" spans="1:4" x14ac:dyDescent="0.25">
      <c r="A1106" t="s">
        <v>3677</v>
      </c>
      <c r="C1106" t="s">
        <v>1679</v>
      </c>
      <c r="D1106" t="s">
        <v>9183</v>
      </c>
    </row>
    <row r="1107" spans="1:4" x14ac:dyDescent="0.25">
      <c r="A1107" t="s">
        <v>3678</v>
      </c>
      <c r="C1107" t="s">
        <v>1680</v>
      </c>
      <c r="D1107" t="s">
        <v>9184</v>
      </c>
    </row>
    <row r="1108" spans="1:4" x14ac:dyDescent="0.25">
      <c r="A1108" t="s">
        <v>3679</v>
      </c>
      <c r="C1108" t="s">
        <v>1681</v>
      </c>
      <c r="D1108" t="s">
        <v>9185</v>
      </c>
    </row>
    <row r="1109" spans="1:4" x14ac:dyDescent="0.25">
      <c r="A1109" t="s">
        <v>3680</v>
      </c>
      <c r="C1109" t="s">
        <v>1682</v>
      </c>
      <c r="D1109" t="s">
        <v>9186</v>
      </c>
    </row>
    <row r="1110" spans="1:4" x14ac:dyDescent="0.25">
      <c r="A1110" t="s">
        <v>3681</v>
      </c>
      <c r="C1110" t="s">
        <v>1683</v>
      </c>
      <c r="D1110" t="s">
        <v>9187</v>
      </c>
    </row>
    <row r="1111" spans="1:4" x14ac:dyDescent="0.25">
      <c r="A1111" t="s">
        <v>3682</v>
      </c>
      <c r="C1111" t="s">
        <v>1684</v>
      </c>
      <c r="D1111" t="s">
        <v>9188</v>
      </c>
    </row>
    <row r="1112" spans="1:4" x14ac:dyDescent="0.25">
      <c r="A1112" t="s">
        <v>3683</v>
      </c>
      <c r="C1112" t="s">
        <v>1685</v>
      </c>
      <c r="D1112" t="s">
        <v>9189</v>
      </c>
    </row>
    <row r="1113" spans="1:4" x14ac:dyDescent="0.25">
      <c r="A1113" t="s">
        <v>3684</v>
      </c>
      <c r="C1113" t="s">
        <v>1686</v>
      </c>
      <c r="D1113" t="s">
        <v>9190</v>
      </c>
    </row>
    <row r="1114" spans="1:4" x14ac:dyDescent="0.25">
      <c r="A1114" t="s">
        <v>3685</v>
      </c>
      <c r="C1114" t="s">
        <v>1687</v>
      </c>
      <c r="D1114" t="s">
        <v>9191</v>
      </c>
    </row>
    <row r="1115" spans="1:4" x14ac:dyDescent="0.25">
      <c r="A1115" t="s">
        <v>3686</v>
      </c>
      <c r="C1115" t="s">
        <v>1688</v>
      </c>
      <c r="D1115" t="s">
        <v>9192</v>
      </c>
    </row>
    <row r="1116" spans="1:4" x14ac:dyDescent="0.25">
      <c r="A1116" t="s">
        <v>3687</v>
      </c>
      <c r="C1116" t="s">
        <v>1689</v>
      </c>
      <c r="D1116" t="s">
        <v>9193</v>
      </c>
    </row>
    <row r="1117" spans="1:4" x14ac:dyDescent="0.25">
      <c r="A1117" t="s">
        <v>3688</v>
      </c>
      <c r="C1117" t="s">
        <v>1690</v>
      </c>
      <c r="D1117" t="s">
        <v>9194</v>
      </c>
    </row>
    <row r="1118" spans="1:4" x14ac:dyDescent="0.25">
      <c r="A1118" t="s">
        <v>3689</v>
      </c>
      <c r="C1118" t="s">
        <v>1691</v>
      </c>
      <c r="D1118" t="s">
        <v>9195</v>
      </c>
    </row>
    <row r="1119" spans="1:4" x14ac:dyDescent="0.25">
      <c r="A1119" t="s">
        <v>3690</v>
      </c>
      <c r="C1119" t="s">
        <v>1692</v>
      </c>
      <c r="D1119" t="s">
        <v>9196</v>
      </c>
    </row>
    <row r="1120" spans="1:4" x14ac:dyDescent="0.25">
      <c r="A1120" t="s">
        <v>3691</v>
      </c>
      <c r="C1120" t="s">
        <v>1693</v>
      </c>
      <c r="D1120" t="s">
        <v>9197</v>
      </c>
    </row>
    <row r="1121" spans="1:4" x14ac:dyDescent="0.25">
      <c r="A1121" t="s">
        <v>3692</v>
      </c>
      <c r="C1121" t="s">
        <v>1694</v>
      </c>
      <c r="D1121" t="s">
        <v>9198</v>
      </c>
    </row>
    <row r="1122" spans="1:4" x14ac:dyDescent="0.25">
      <c r="A1122" t="s">
        <v>3693</v>
      </c>
      <c r="C1122" t="s">
        <v>1695</v>
      </c>
      <c r="D1122" t="s">
        <v>9199</v>
      </c>
    </row>
    <row r="1123" spans="1:4" x14ac:dyDescent="0.25">
      <c r="A1123" t="s">
        <v>3694</v>
      </c>
      <c r="C1123" t="s">
        <v>1696</v>
      </c>
      <c r="D1123" t="s">
        <v>9200</v>
      </c>
    </row>
    <row r="1124" spans="1:4" x14ac:dyDescent="0.25">
      <c r="A1124" t="s">
        <v>3695</v>
      </c>
      <c r="C1124" t="s">
        <v>1697</v>
      </c>
      <c r="D1124" t="s">
        <v>9201</v>
      </c>
    </row>
    <row r="1125" spans="1:4" x14ac:dyDescent="0.25">
      <c r="A1125" t="s">
        <v>3696</v>
      </c>
      <c r="C1125" t="s">
        <v>1698</v>
      </c>
      <c r="D1125" t="s">
        <v>9202</v>
      </c>
    </row>
    <row r="1126" spans="1:4" x14ac:dyDescent="0.25">
      <c r="A1126" t="s">
        <v>3697</v>
      </c>
      <c r="C1126" t="s">
        <v>1699</v>
      </c>
      <c r="D1126" t="s">
        <v>9203</v>
      </c>
    </row>
    <row r="1127" spans="1:4" x14ac:dyDescent="0.25">
      <c r="A1127" t="s">
        <v>3698</v>
      </c>
      <c r="C1127" t="s">
        <v>1700</v>
      </c>
      <c r="D1127" t="s">
        <v>9204</v>
      </c>
    </row>
    <row r="1128" spans="1:4" x14ac:dyDescent="0.25">
      <c r="A1128" t="s">
        <v>3699</v>
      </c>
      <c r="C1128" t="s">
        <v>1701</v>
      </c>
      <c r="D1128" t="s">
        <v>9205</v>
      </c>
    </row>
    <row r="1129" spans="1:4" x14ac:dyDescent="0.25">
      <c r="A1129" t="s">
        <v>3700</v>
      </c>
      <c r="C1129" t="s">
        <v>1702</v>
      </c>
      <c r="D1129" t="s">
        <v>9206</v>
      </c>
    </row>
    <row r="1130" spans="1:4" x14ac:dyDescent="0.25">
      <c r="A1130" t="s">
        <v>3701</v>
      </c>
      <c r="C1130" t="s">
        <v>1703</v>
      </c>
      <c r="D1130" t="s">
        <v>9207</v>
      </c>
    </row>
    <row r="1131" spans="1:4" x14ac:dyDescent="0.25">
      <c r="A1131" t="s">
        <v>3702</v>
      </c>
      <c r="C1131" t="s">
        <v>1704</v>
      </c>
      <c r="D1131" t="s">
        <v>9208</v>
      </c>
    </row>
    <row r="1132" spans="1:4" x14ac:dyDescent="0.25">
      <c r="A1132" t="s">
        <v>3703</v>
      </c>
      <c r="C1132" t="s">
        <v>1705</v>
      </c>
      <c r="D1132" t="s">
        <v>9209</v>
      </c>
    </row>
    <row r="1133" spans="1:4" x14ac:dyDescent="0.25">
      <c r="A1133" t="s">
        <v>3704</v>
      </c>
      <c r="C1133" t="s">
        <v>1706</v>
      </c>
      <c r="D1133" t="s">
        <v>9210</v>
      </c>
    </row>
    <row r="1134" spans="1:4" x14ac:dyDescent="0.25">
      <c r="A1134" t="s">
        <v>3705</v>
      </c>
      <c r="C1134" t="s">
        <v>1707</v>
      </c>
      <c r="D1134" t="s">
        <v>9211</v>
      </c>
    </row>
    <row r="1135" spans="1:4" x14ac:dyDescent="0.25">
      <c r="A1135" t="s">
        <v>3706</v>
      </c>
      <c r="C1135" t="s">
        <v>1708</v>
      </c>
      <c r="D1135" t="s">
        <v>9212</v>
      </c>
    </row>
    <row r="1136" spans="1:4" x14ac:dyDescent="0.25">
      <c r="A1136" t="s">
        <v>3707</v>
      </c>
      <c r="C1136" t="s">
        <v>1709</v>
      </c>
      <c r="D1136" t="s">
        <v>9213</v>
      </c>
    </row>
    <row r="1137" spans="1:4" x14ac:dyDescent="0.25">
      <c r="A1137" t="s">
        <v>3708</v>
      </c>
      <c r="C1137" t="s">
        <v>1710</v>
      </c>
      <c r="D1137" t="s">
        <v>9214</v>
      </c>
    </row>
    <row r="1138" spans="1:4" x14ac:dyDescent="0.25">
      <c r="A1138" t="s">
        <v>3709</v>
      </c>
      <c r="C1138" t="s">
        <v>1711</v>
      </c>
      <c r="D1138" t="s">
        <v>9215</v>
      </c>
    </row>
    <row r="1139" spans="1:4" x14ac:dyDescent="0.25">
      <c r="A1139" t="s">
        <v>3710</v>
      </c>
      <c r="C1139" t="s">
        <v>1712</v>
      </c>
      <c r="D1139" t="s">
        <v>9216</v>
      </c>
    </row>
    <row r="1140" spans="1:4" x14ac:dyDescent="0.25">
      <c r="A1140" t="s">
        <v>3711</v>
      </c>
      <c r="C1140" t="s">
        <v>1713</v>
      </c>
      <c r="D1140" t="s">
        <v>9217</v>
      </c>
    </row>
    <row r="1141" spans="1:4" x14ac:dyDescent="0.25">
      <c r="A1141" t="s">
        <v>3712</v>
      </c>
      <c r="C1141" t="s">
        <v>1714</v>
      </c>
      <c r="D1141" t="s">
        <v>9218</v>
      </c>
    </row>
    <row r="1142" spans="1:4" x14ac:dyDescent="0.25">
      <c r="A1142" t="s">
        <v>3713</v>
      </c>
      <c r="C1142" t="s">
        <v>1715</v>
      </c>
      <c r="D1142" t="s">
        <v>9219</v>
      </c>
    </row>
    <row r="1143" spans="1:4" x14ac:dyDescent="0.25">
      <c r="A1143" t="s">
        <v>3714</v>
      </c>
      <c r="C1143" t="s">
        <v>1716</v>
      </c>
      <c r="D1143" t="s">
        <v>9220</v>
      </c>
    </row>
    <row r="1144" spans="1:4" x14ac:dyDescent="0.25">
      <c r="A1144" t="s">
        <v>3715</v>
      </c>
      <c r="C1144" t="s">
        <v>1717</v>
      </c>
      <c r="D1144" t="s">
        <v>9221</v>
      </c>
    </row>
    <row r="1145" spans="1:4" x14ac:dyDescent="0.25">
      <c r="A1145" t="s">
        <v>3716</v>
      </c>
      <c r="C1145" t="s">
        <v>1718</v>
      </c>
      <c r="D1145" t="s">
        <v>9222</v>
      </c>
    </row>
    <row r="1146" spans="1:4" x14ac:dyDescent="0.25">
      <c r="A1146" t="s">
        <v>3717</v>
      </c>
      <c r="C1146" t="s">
        <v>1719</v>
      </c>
      <c r="D1146" t="s">
        <v>9223</v>
      </c>
    </row>
    <row r="1147" spans="1:4" x14ac:dyDescent="0.25">
      <c r="A1147" t="s">
        <v>3718</v>
      </c>
      <c r="C1147" t="s">
        <v>1720</v>
      </c>
      <c r="D1147" t="s">
        <v>9224</v>
      </c>
    </row>
    <row r="1148" spans="1:4" x14ac:dyDescent="0.25">
      <c r="A1148" t="s">
        <v>3719</v>
      </c>
      <c r="C1148" t="s">
        <v>1721</v>
      </c>
      <c r="D1148" t="s">
        <v>9225</v>
      </c>
    </row>
    <row r="1149" spans="1:4" x14ac:dyDescent="0.25">
      <c r="A1149" t="s">
        <v>3720</v>
      </c>
      <c r="C1149" t="s">
        <v>1722</v>
      </c>
      <c r="D1149" t="s">
        <v>9226</v>
      </c>
    </row>
    <row r="1150" spans="1:4" x14ac:dyDescent="0.25">
      <c r="A1150" t="s">
        <v>3721</v>
      </c>
      <c r="C1150" t="s">
        <v>1723</v>
      </c>
      <c r="D1150" t="s">
        <v>9227</v>
      </c>
    </row>
    <row r="1151" spans="1:4" x14ac:dyDescent="0.25">
      <c r="A1151" t="s">
        <v>3722</v>
      </c>
      <c r="C1151" t="s">
        <v>1724</v>
      </c>
      <c r="D1151" t="s">
        <v>9228</v>
      </c>
    </row>
    <row r="1152" spans="1:4" x14ac:dyDescent="0.25">
      <c r="A1152" t="s">
        <v>3723</v>
      </c>
      <c r="C1152" t="s">
        <v>1725</v>
      </c>
      <c r="D1152" t="s">
        <v>9229</v>
      </c>
    </row>
    <row r="1153" spans="1:4" x14ac:dyDescent="0.25">
      <c r="A1153" t="s">
        <v>3724</v>
      </c>
      <c r="C1153" t="s">
        <v>1726</v>
      </c>
      <c r="D1153" t="s">
        <v>9230</v>
      </c>
    </row>
    <row r="1154" spans="1:4" x14ac:dyDescent="0.25">
      <c r="A1154" t="s">
        <v>3725</v>
      </c>
      <c r="C1154" t="s">
        <v>1727</v>
      </c>
      <c r="D1154" t="s">
        <v>9231</v>
      </c>
    </row>
    <row r="1155" spans="1:4" x14ac:dyDescent="0.25">
      <c r="A1155" t="s">
        <v>3726</v>
      </c>
      <c r="C1155" t="s">
        <v>1728</v>
      </c>
      <c r="D1155" t="s">
        <v>9232</v>
      </c>
    </row>
    <row r="1156" spans="1:4" x14ac:dyDescent="0.25">
      <c r="A1156" t="s">
        <v>3727</v>
      </c>
      <c r="C1156" t="s">
        <v>1729</v>
      </c>
      <c r="D1156" t="s">
        <v>9233</v>
      </c>
    </row>
    <row r="1157" spans="1:4" x14ac:dyDescent="0.25">
      <c r="A1157" t="s">
        <v>3728</v>
      </c>
      <c r="C1157" t="s">
        <v>1730</v>
      </c>
      <c r="D1157" t="s">
        <v>9234</v>
      </c>
    </row>
    <row r="1158" spans="1:4" x14ac:dyDescent="0.25">
      <c r="A1158" t="s">
        <v>3729</v>
      </c>
      <c r="C1158" t="s">
        <v>1731</v>
      </c>
      <c r="D1158" t="s">
        <v>9235</v>
      </c>
    </row>
    <row r="1159" spans="1:4" x14ac:dyDescent="0.25">
      <c r="A1159" t="s">
        <v>3730</v>
      </c>
      <c r="C1159" t="s">
        <v>1732</v>
      </c>
      <c r="D1159" t="s">
        <v>9236</v>
      </c>
    </row>
    <row r="1160" spans="1:4" x14ac:dyDescent="0.25">
      <c r="A1160" t="s">
        <v>3731</v>
      </c>
      <c r="C1160" t="s">
        <v>1733</v>
      </c>
      <c r="D1160" t="s">
        <v>9237</v>
      </c>
    </row>
    <row r="1161" spans="1:4" x14ac:dyDescent="0.25">
      <c r="A1161" t="s">
        <v>3732</v>
      </c>
      <c r="C1161" t="s">
        <v>1734</v>
      </c>
      <c r="D1161" t="s">
        <v>9238</v>
      </c>
    </row>
    <row r="1162" spans="1:4" x14ac:dyDescent="0.25">
      <c r="A1162" t="s">
        <v>3733</v>
      </c>
      <c r="C1162" t="s">
        <v>1735</v>
      </c>
      <c r="D1162" t="s">
        <v>9239</v>
      </c>
    </row>
    <row r="1163" spans="1:4" x14ac:dyDescent="0.25">
      <c r="A1163" t="s">
        <v>3734</v>
      </c>
      <c r="C1163" t="s">
        <v>1736</v>
      </c>
      <c r="D1163" t="s">
        <v>9240</v>
      </c>
    </row>
    <row r="1164" spans="1:4" x14ac:dyDescent="0.25">
      <c r="A1164" t="s">
        <v>3735</v>
      </c>
      <c r="C1164" t="s">
        <v>1737</v>
      </c>
      <c r="D1164" t="s">
        <v>9241</v>
      </c>
    </row>
    <row r="1165" spans="1:4" x14ac:dyDescent="0.25">
      <c r="A1165" t="s">
        <v>3736</v>
      </c>
      <c r="C1165" t="s">
        <v>1738</v>
      </c>
      <c r="D1165" t="s">
        <v>9242</v>
      </c>
    </row>
    <row r="1166" spans="1:4" x14ac:dyDescent="0.25">
      <c r="A1166" t="s">
        <v>3737</v>
      </c>
      <c r="C1166" t="s">
        <v>1739</v>
      </c>
      <c r="D1166" t="s">
        <v>9243</v>
      </c>
    </row>
    <row r="1167" spans="1:4" x14ac:dyDescent="0.25">
      <c r="A1167" t="s">
        <v>3738</v>
      </c>
      <c r="C1167" t="s">
        <v>1740</v>
      </c>
      <c r="D1167" t="s">
        <v>9244</v>
      </c>
    </row>
    <row r="1168" spans="1:4" x14ac:dyDescent="0.25">
      <c r="A1168" t="s">
        <v>3739</v>
      </c>
      <c r="C1168" t="s">
        <v>1741</v>
      </c>
      <c r="D1168" t="s">
        <v>9245</v>
      </c>
    </row>
    <row r="1169" spans="1:4" x14ac:dyDescent="0.25">
      <c r="A1169" t="s">
        <v>3740</v>
      </c>
      <c r="C1169" t="s">
        <v>1742</v>
      </c>
      <c r="D1169" t="s">
        <v>9246</v>
      </c>
    </row>
    <row r="1170" spans="1:4" x14ac:dyDescent="0.25">
      <c r="A1170" t="s">
        <v>3741</v>
      </c>
      <c r="C1170" t="s">
        <v>1743</v>
      </c>
      <c r="D1170" t="s">
        <v>9247</v>
      </c>
    </row>
    <row r="1171" spans="1:4" x14ac:dyDescent="0.25">
      <c r="A1171" t="s">
        <v>3742</v>
      </c>
      <c r="C1171" t="s">
        <v>1744</v>
      </c>
      <c r="D1171" t="s">
        <v>9248</v>
      </c>
    </row>
    <row r="1172" spans="1:4" x14ac:dyDescent="0.25">
      <c r="A1172" t="s">
        <v>3743</v>
      </c>
      <c r="C1172" t="s">
        <v>1745</v>
      </c>
      <c r="D1172" t="s">
        <v>9249</v>
      </c>
    </row>
    <row r="1173" spans="1:4" x14ac:dyDescent="0.25">
      <c r="A1173" t="s">
        <v>3744</v>
      </c>
      <c r="C1173" t="s">
        <v>1746</v>
      </c>
      <c r="D1173" t="s">
        <v>9250</v>
      </c>
    </row>
    <row r="1174" spans="1:4" x14ac:dyDescent="0.25">
      <c r="A1174" t="s">
        <v>3745</v>
      </c>
      <c r="C1174" t="s">
        <v>1747</v>
      </c>
      <c r="D1174" t="s">
        <v>9251</v>
      </c>
    </row>
    <row r="1175" spans="1:4" x14ac:dyDescent="0.25">
      <c r="A1175" t="s">
        <v>3746</v>
      </c>
      <c r="C1175" t="s">
        <v>1748</v>
      </c>
      <c r="D1175" t="s">
        <v>9252</v>
      </c>
    </row>
    <row r="1176" spans="1:4" x14ac:dyDescent="0.25">
      <c r="A1176" t="s">
        <v>3747</v>
      </c>
      <c r="C1176" t="s">
        <v>1749</v>
      </c>
      <c r="D1176" t="s">
        <v>9253</v>
      </c>
    </row>
    <row r="1177" spans="1:4" x14ac:dyDescent="0.25">
      <c r="A1177" t="s">
        <v>3748</v>
      </c>
      <c r="C1177" t="s">
        <v>1750</v>
      </c>
      <c r="D1177" t="s">
        <v>9254</v>
      </c>
    </row>
    <row r="1178" spans="1:4" x14ac:dyDescent="0.25">
      <c r="A1178" t="s">
        <v>3749</v>
      </c>
      <c r="C1178" t="s">
        <v>1751</v>
      </c>
      <c r="D1178" t="s">
        <v>9255</v>
      </c>
    </row>
    <row r="1179" spans="1:4" x14ac:dyDescent="0.25">
      <c r="A1179" t="s">
        <v>3750</v>
      </c>
      <c r="C1179" t="s">
        <v>1752</v>
      </c>
      <c r="D1179" t="s">
        <v>9256</v>
      </c>
    </row>
    <row r="1180" spans="1:4" x14ac:dyDescent="0.25">
      <c r="A1180" t="s">
        <v>3751</v>
      </c>
      <c r="C1180" t="s">
        <v>1753</v>
      </c>
      <c r="D1180" t="s">
        <v>9257</v>
      </c>
    </row>
    <row r="1181" spans="1:4" x14ac:dyDescent="0.25">
      <c r="A1181" t="s">
        <v>3752</v>
      </c>
      <c r="C1181" t="s">
        <v>1754</v>
      </c>
      <c r="D1181" t="s">
        <v>9258</v>
      </c>
    </row>
    <row r="1182" spans="1:4" x14ac:dyDescent="0.25">
      <c r="A1182" t="s">
        <v>3753</v>
      </c>
      <c r="C1182" t="s">
        <v>1755</v>
      </c>
      <c r="D1182" t="s">
        <v>9259</v>
      </c>
    </row>
    <row r="1183" spans="1:4" x14ac:dyDescent="0.25">
      <c r="A1183" t="s">
        <v>3754</v>
      </c>
      <c r="C1183" t="s">
        <v>1756</v>
      </c>
      <c r="D1183" t="s">
        <v>9260</v>
      </c>
    </row>
    <row r="1184" spans="1:4" x14ac:dyDescent="0.25">
      <c r="A1184" t="s">
        <v>3755</v>
      </c>
      <c r="C1184" t="s">
        <v>1757</v>
      </c>
      <c r="D1184" t="s">
        <v>9261</v>
      </c>
    </row>
    <row r="1185" spans="1:4" x14ac:dyDescent="0.25">
      <c r="A1185" t="s">
        <v>3756</v>
      </c>
      <c r="C1185" t="s">
        <v>1758</v>
      </c>
      <c r="D1185" t="s">
        <v>9262</v>
      </c>
    </row>
    <row r="1186" spans="1:4" x14ac:dyDescent="0.25">
      <c r="A1186" t="s">
        <v>3757</v>
      </c>
      <c r="C1186" t="s">
        <v>1759</v>
      </c>
      <c r="D1186" t="s">
        <v>9263</v>
      </c>
    </row>
    <row r="1187" spans="1:4" x14ac:dyDescent="0.25">
      <c r="A1187" t="s">
        <v>3758</v>
      </c>
      <c r="C1187" t="s">
        <v>1760</v>
      </c>
      <c r="D1187" t="s">
        <v>9264</v>
      </c>
    </row>
    <row r="1188" spans="1:4" x14ac:dyDescent="0.25">
      <c r="A1188" t="s">
        <v>3759</v>
      </c>
      <c r="C1188" t="s">
        <v>1761</v>
      </c>
      <c r="D1188" t="s">
        <v>9265</v>
      </c>
    </row>
    <row r="1189" spans="1:4" x14ac:dyDescent="0.25">
      <c r="A1189" t="s">
        <v>3760</v>
      </c>
      <c r="C1189" t="s">
        <v>1762</v>
      </c>
      <c r="D1189" t="s">
        <v>9266</v>
      </c>
    </row>
    <row r="1190" spans="1:4" x14ac:dyDescent="0.25">
      <c r="A1190" t="s">
        <v>3761</v>
      </c>
      <c r="C1190" t="s">
        <v>1763</v>
      </c>
      <c r="D1190" t="s">
        <v>9267</v>
      </c>
    </row>
    <row r="1191" spans="1:4" x14ac:dyDescent="0.25">
      <c r="A1191" t="s">
        <v>3762</v>
      </c>
      <c r="C1191" t="s">
        <v>1764</v>
      </c>
      <c r="D1191" t="s">
        <v>9268</v>
      </c>
    </row>
    <row r="1192" spans="1:4" x14ac:dyDescent="0.25">
      <c r="A1192" t="s">
        <v>3763</v>
      </c>
      <c r="C1192" t="s">
        <v>1765</v>
      </c>
      <c r="D1192" t="s">
        <v>9269</v>
      </c>
    </row>
    <row r="1193" spans="1:4" x14ac:dyDescent="0.25">
      <c r="A1193" t="s">
        <v>3764</v>
      </c>
      <c r="C1193" t="s">
        <v>1766</v>
      </c>
      <c r="D1193" t="s">
        <v>9270</v>
      </c>
    </row>
    <row r="1194" spans="1:4" x14ac:dyDescent="0.25">
      <c r="A1194" t="s">
        <v>3765</v>
      </c>
      <c r="C1194" t="s">
        <v>1767</v>
      </c>
      <c r="D1194" t="s">
        <v>9271</v>
      </c>
    </row>
    <row r="1195" spans="1:4" x14ac:dyDescent="0.25">
      <c r="A1195" t="s">
        <v>3766</v>
      </c>
      <c r="C1195" t="s">
        <v>1768</v>
      </c>
      <c r="D1195" t="s">
        <v>9272</v>
      </c>
    </row>
    <row r="1196" spans="1:4" x14ac:dyDescent="0.25">
      <c r="A1196" t="s">
        <v>3767</v>
      </c>
      <c r="C1196" t="s">
        <v>1769</v>
      </c>
      <c r="D1196" t="s">
        <v>9273</v>
      </c>
    </row>
    <row r="1197" spans="1:4" x14ac:dyDescent="0.25">
      <c r="A1197" t="s">
        <v>3768</v>
      </c>
      <c r="C1197" t="s">
        <v>1770</v>
      </c>
      <c r="D1197" t="s">
        <v>9274</v>
      </c>
    </row>
    <row r="1198" spans="1:4" x14ac:dyDescent="0.25">
      <c r="A1198" t="s">
        <v>3769</v>
      </c>
      <c r="C1198" t="s">
        <v>1771</v>
      </c>
      <c r="D1198" t="s">
        <v>9275</v>
      </c>
    </row>
    <row r="1199" spans="1:4" x14ac:dyDescent="0.25">
      <c r="A1199" t="s">
        <v>3770</v>
      </c>
      <c r="C1199" t="s">
        <v>1772</v>
      </c>
      <c r="D1199" t="s">
        <v>9276</v>
      </c>
    </row>
    <row r="1200" spans="1:4" x14ac:dyDescent="0.25">
      <c r="A1200" t="s">
        <v>3771</v>
      </c>
      <c r="C1200" t="s">
        <v>1773</v>
      </c>
      <c r="D1200" t="s">
        <v>9277</v>
      </c>
    </row>
    <row r="1201" spans="1:4" x14ac:dyDescent="0.25">
      <c r="A1201" t="s">
        <v>3772</v>
      </c>
      <c r="C1201" t="s">
        <v>1774</v>
      </c>
      <c r="D1201" t="s">
        <v>9278</v>
      </c>
    </row>
    <row r="1202" spans="1:4" x14ac:dyDescent="0.25">
      <c r="A1202" t="s">
        <v>3773</v>
      </c>
      <c r="C1202" t="s">
        <v>1775</v>
      </c>
      <c r="D1202" t="s">
        <v>9279</v>
      </c>
    </row>
    <row r="1203" spans="1:4" x14ac:dyDescent="0.25">
      <c r="A1203" t="s">
        <v>3774</v>
      </c>
      <c r="C1203" t="s">
        <v>1776</v>
      </c>
      <c r="D1203" t="s">
        <v>9280</v>
      </c>
    </row>
    <row r="1204" spans="1:4" x14ac:dyDescent="0.25">
      <c r="A1204" t="s">
        <v>3775</v>
      </c>
      <c r="C1204" t="s">
        <v>1777</v>
      </c>
      <c r="D1204" t="s">
        <v>9281</v>
      </c>
    </row>
    <row r="1205" spans="1:4" x14ac:dyDescent="0.25">
      <c r="A1205" t="s">
        <v>3776</v>
      </c>
      <c r="C1205" t="s">
        <v>1778</v>
      </c>
      <c r="D1205" t="s">
        <v>9282</v>
      </c>
    </row>
    <row r="1206" spans="1:4" x14ac:dyDescent="0.25">
      <c r="A1206" t="s">
        <v>3777</v>
      </c>
      <c r="C1206" t="s">
        <v>1779</v>
      </c>
      <c r="D1206" t="s">
        <v>9283</v>
      </c>
    </row>
    <row r="1207" spans="1:4" x14ac:dyDescent="0.25">
      <c r="A1207" t="s">
        <v>3778</v>
      </c>
      <c r="C1207" t="s">
        <v>1780</v>
      </c>
      <c r="D1207" t="s">
        <v>9284</v>
      </c>
    </row>
    <row r="1208" spans="1:4" x14ac:dyDescent="0.25">
      <c r="A1208" t="s">
        <v>3779</v>
      </c>
      <c r="C1208" t="s">
        <v>1781</v>
      </c>
      <c r="D1208" t="s">
        <v>9285</v>
      </c>
    </row>
    <row r="1209" spans="1:4" x14ac:dyDescent="0.25">
      <c r="A1209" t="s">
        <v>3780</v>
      </c>
      <c r="C1209" t="s">
        <v>1782</v>
      </c>
      <c r="D1209" t="s">
        <v>9286</v>
      </c>
    </row>
    <row r="1210" spans="1:4" x14ac:dyDescent="0.25">
      <c r="A1210" t="s">
        <v>3781</v>
      </c>
      <c r="C1210" t="s">
        <v>1783</v>
      </c>
      <c r="D1210" t="s">
        <v>9287</v>
      </c>
    </row>
    <row r="1211" spans="1:4" x14ac:dyDescent="0.25">
      <c r="A1211" t="s">
        <v>3782</v>
      </c>
      <c r="C1211" t="s">
        <v>1784</v>
      </c>
      <c r="D1211" t="s">
        <v>9288</v>
      </c>
    </row>
    <row r="1212" spans="1:4" x14ac:dyDescent="0.25">
      <c r="A1212" t="s">
        <v>3783</v>
      </c>
      <c r="C1212" t="s">
        <v>1785</v>
      </c>
      <c r="D1212" t="s">
        <v>9289</v>
      </c>
    </row>
    <row r="1213" spans="1:4" x14ac:dyDescent="0.25">
      <c r="A1213" t="s">
        <v>3784</v>
      </c>
      <c r="C1213" t="s">
        <v>1786</v>
      </c>
      <c r="D1213" t="s">
        <v>9290</v>
      </c>
    </row>
    <row r="1214" spans="1:4" x14ac:dyDescent="0.25">
      <c r="A1214" t="s">
        <v>3785</v>
      </c>
      <c r="C1214" t="s">
        <v>1787</v>
      </c>
      <c r="D1214" t="s">
        <v>9291</v>
      </c>
    </row>
    <row r="1215" spans="1:4" x14ac:dyDescent="0.25">
      <c r="A1215" t="s">
        <v>3786</v>
      </c>
      <c r="C1215" t="s">
        <v>1788</v>
      </c>
      <c r="D1215" t="s">
        <v>9292</v>
      </c>
    </row>
    <row r="1216" spans="1:4" x14ac:dyDescent="0.25">
      <c r="A1216" t="s">
        <v>3787</v>
      </c>
      <c r="C1216" t="s">
        <v>1789</v>
      </c>
      <c r="D1216" t="s">
        <v>9293</v>
      </c>
    </row>
    <row r="1217" spans="1:4" x14ac:dyDescent="0.25">
      <c r="A1217" t="s">
        <v>3788</v>
      </c>
      <c r="C1217" t="s">
        <v>1790</v>
      </c>
      <c r="D1217" t="s">
        <v>9294</v>
      </c>
    </row>
    <row r="1218" spans="1:4" x14ac:dyDescent="0.25">
      <c r="A1218" t="s">
        <v>3789</v>
      </c>
      <c r="C1218" t="s">
        <v>1791</v>
      </c>
      <c r="D1218" t="s">
        <v>9295</v>
      </c>
    </row>
    <row r="1219" spans="1:4" x14ac:dyDescent="0.25">
      <c r="A1219" t="s">
        <v>3790</v>
      </c>
      <c r="C1219" t="s">
        <v>1792</v>
      </c>
      <c r="D1219" t="s">
        <v>9296</v>
      </c>
    </row>
    <row r="1220" spans="1:4" x14ac:dyDescent="0.25">
      <c r="A1220" t="s">
        <v>3791</v>
      </c>
      <c r="C1220" t="s">
        <v>1793</v>
      </c>
      <c r="D1220" t="s">
        <v>9297</v>
      </c>
    </row>
    <row r="1221" spans="1:4" x14ac:dyDescent="0.25">
      <c r="A1221" t="s">
        <v>3792</v>
      </c>
      <c r="C1221" t="s">
        <v>1794</v>
      </c>
      <c r="D1221" t="s">
        <v>9298</v>
      </c>
    </row>
    <row r="1222" spans="1:4" x14ac:dyDescent="0.25">
      <c r="A1222" t="s">
        <v>3793</v>
      </c>
      <c r="C1222" t="s">
        <v>1795</v>
      </c>
      <c r="D1222" t="s">
        <v>9299</v>
      </c>
    </row>
    <row r="1223" spans="1:4" x14ac:dyDescent="0.25">
      <c r="A1223" t="s">
        <v>3794</v>
      </c>
      <c r="C1223" t="s">
        <v>1796</v>
      </c>
      <c r="D1223" t="s">
        <v>9300</v>
      </c>
    </row>
    <row r="1224" spans="1:4" x14ac:dyDescent="0.25">
      <c r="A1224" t="s">
        <v>3795</v>
      </c>
      <c r="C1224" t="s">
        <v>1797</v>
      </c>
      <c r="D1224" t="s">
        <v>9301</v>
      </c>
    </row>
    <row r="1225" spans="1:4" x14ac:dyDescent="0.25">
      <c r="A1225" t="s">
        <v>3796</v>
      </c>
      <c r="C1225" t="s">
        <v>1798</v>
      </c>
      <c r="D1225" t="s">
        <v>9302</v>
      </c>
    </row>
    <row r="1226" spans="1:4" x14ac:dyDescent="0.25">
      <c r="A1226" t="s">
        <v>3797</v>
      </c>
      <c r="C1226" t="s">
        <v>1799</v>
      </c>
      <c r="D1226" t="s">
        <v>9303</v>
      </c>
    </row>
    <row r="1227" spans="1:4" x14ac:dyDescent="0.25">
      <c r="A1227" t="s">
        <v>3798</v>
      </c>
      <c r="C1227" t="s">
        <v>1800</v>
      </c>
      <c r="D1227" t="s">
        <v>9304</v>
      </c>
    </row>
    <row r="1228" spans="1:4" x14ac:dyDescent="0.25">
      <c r="A1228" t="s">
        <v>3799</v>
      </c>
      <c r="C1228" t="s">
        <v>1801</v>
      </c>
      <c r="D1228" t="s">
        <v>9305</v>
      </c>
    </row>
    <row r="1229" spans="1:4" x14ac:dyDescent="0.25">
      <c r="A1229" t="s">
        <v>3800</v>
      </c>
      <c r="C1229" t="s">
        <v>1802</v>
      </c>
      <c r="D1229" t="s">
        <v>9306</v>
      </c>
    </row>
    <row r="1230" spans="1:4" x14ac:dyDescent="0.25">
      <c r="A1230" t="s">
        <v>3801</v>
      </c>
      <c r="C1230" t="s">
        <v>1803</v>
      </c>
      <c r="D1230" t="s">
        <v>9307</v>
      </c>
    </row>
    <row r="1231" spans="1:4" x14ac:dyDescent="0.25">
      <c r="A1231" t="s">
        <v>3802</v>
      </c>
      <c r="C1231" t="s">
        <v>1804</v>
      </c>
      <c r="D1231" t="s">
        <v>9308</v>
      </c>
    </row>
    <row r="1232" spans="1:4" x14ac:dyDescent="0.25">
      <c r="A1232" t="s">
        <v>3803</v>
      </c>
      <c r="C1232" t="s">
        <v>1805</v>
      </c>
      <c r="D1232" t="s">
        <v>9309</v>
      </c>
    </row>
    <row r="1233" spans="1:4" x14ac:dyDescent="0.25">
      <c r="A1233" t="s">
        <v>3804</v>
      </c>
      <c r="C1233" t="s">
        <v>1806</v>
      </c>
      <c r="D1233" t="s">
        <v>9310</v>
      </c>
    </row>
    <row r="1234" spans="1:4" x14ac:dyDescent="0.25">
      <c r="A1234" t="s">
        <v>3805</v>
      </c>
      <c r="C1234" t="s">
        <v>1807</v>
      </c>
      <c r="D1234" t="s">
        <v>9311</v>
      </c>
    </row>
    <row r="1235" spans="1:4" x14ac:dyDescent="0.25">
      <c r="A1235" t="s">
        <v>3806</v>
      </c>
      <c r="C1235" t="s">
        <v>1808</v>
      </c>
      <c r="D1235" t="s">
        <v>9312</v>
      </c>
    </row>
    <row r="1236" spans="1:4" x14ac:dyDescent="0.25">
      <c r="A1236" t="s">
        <v>3807</v>
      </c>
      <c r="C1236" t="s">
        <v>1809</v>
      </c>
      <c r="D1236" t="s">
        <v>9313</v>
      </c>
    </row>
    <row r="1237" spans="1:4" x14ac:dyDescent="0.25">
      <c r="A1237" t="s">
        <v>3808</v>
      </c>
      <c r="C1237" t="s">
        <v>1810</v>
      </c>
      <c r="D1237" t="s">
        <v>9314</v>
      </c>
    </row>
    <row r="1238" spans="1:4" x14ac:dyDescent="0.25">
      <c r="A1238" t="s">
        <v>3809</v>
      </c>
      <c r="C1238" t="s">
        <v>1811</v>
      </c>
      <c r="D1238" t="s">
        <v>9315</v>
      </c>
    </row>
    <row r="1239" spans="1:4" x14ac:dyDescent="0.25">
      <c r="A1239" t="s">
        <v>3810</v>
      </c>
      <c r="C1239" t="s">
        <v>1812</v>
      </c>
      <c r="D1239" t="s">
        <v>9316</v>
      </c>
    </row>
    <row r="1240" spans="1:4" x14ac:dyDescent="0.25">
      <c r="A1240" t="s">
        <v>3811</v>
      </c>
      <c r="C1240" t="s">
        <v>1813</v>
      </c>
      <c r="D1240" t="s">
        <v>9317</v>
      </c>
    </row>
    <row r="1241" spans="1:4" x14ac:dyDescent="0.25">
      <c r="A1241" t="s">
        <v>3812</v>
      </c>
      <c r="C1241" t="s">
        <v>1814</v>
      </c>
      <c r="D1241" t="s">
        <v>9318</v>
      </c>
    </row>
    <row r="1242" spans="1:4" x14ac:dyDescent="0.25">
      <c r="A1242" t="s">
        <v>3813</v>
      </c>
      <c r="C1242" t="s">
        <v>1815</v>
      </c>
      <c r="D1242" t="s">
        <v>9319</v>
      </c>
    </row>
    <row r="1243" spans="1:4" x14ac:dyDescent="0.25">
      <c r="A1243" t="s">
        <v>3814</v>
      </c>
      <c r="C1243" t="s">
        <v>1816</v>
      </c>
      <c r="D1243" t="s">
        <v>9320</v>
      </c>
    </row>
    <row r="1244" spans="1:4" x14ac:dyDescent="0.25">
      <c r="A1244" t="s">
        <v>3815</v>
      </c>
      <c r="C1244" t="s">
        <v>1817</v>
      </c>
      <c r="D1244" t="s">
        <v>9321</v>
      </c>
    </row>
    <row r="1245" spans="1:4" x14ac:dyDescent="0.25">
      <c r="A1245" t="s">
        <v>3816</v>
      </c>
      <c r="C1245" t="s">
        <v>1818</v>
      </c>
      <c r="D1245" t="s">
        <v>9322</v>
      </c>
    </row>
    <row r="1246" spans="1:4" x14ac:dyDescent="0.25">
      <c r="A1246" t="s">
        <v>3817</v>
      </c>
      <c r="C1246" t="s">
        <v>1819</v>
      </c>
      <c r="D1246" t="s">
        <v>9323</v>
      </c>
    </row>
    <row r="1247" spans="1:4" x14ac:dyDescent="0.25">
      <c r="A1247" t="s">
        <v>3818</v>
      </c>
      <c r="C1247" t="s">
        <v>1820</v>
      </c>
      <c r="D1247" t="s">
        <v>9324</v>
      </c>
    </row>
    <row r="1248" spans="1:4" x14ac:dyDescent="0.25">
      <c r="A1248" t="s">
        <v>3819</v>
      </c>
      <c r="C1248" t="s">
        <v>1821</v>
      </c>
      <c r="D1248" t="s">
        <v>9325</v>
      </c>
    </row>
    <row r="1249" spans="1:4" x14ac:dyDescent="0.25">
      <c r="A1249" t="s">
        <v>3820</v>
      </c>
      <c r="C1249" t="s">
        <v>1822</v>
      </c>
      <c r="D1249" t="s">
        <v>9326</v>
      </c>
    </row>
    <row r="1250" spans="1:4" x14ac:dyDescent="0.25">
      <c r="A1250" t="s">
        <v>3821</v>
      </c>
      <c r="C1250" t="s">
        <v>1823</v>
      </c>
      <c r="D1250" t="s">
        <v>9327</v>
      </c>
    </row>
    <row r="1251" spans="1:4" x14ac:dyDescent="0.25">
      <c r="A1251" t="s">
        <v>3822</v>
      </c>
      <c r="C1251" t="s">
        <v>1824</v>
      </c>
      <c r="D1251" t="s">
        <v>9328</v>
      </c>
    </row>
    <row r="1252" spans="1:4" x14ac:dyDescent="0.25">
      <c r="A1252" t="s">
        <v>3823</v>
      </c>
      <c r="C1252" t="s">
        <v>1825</v>
      </c>
      <c r="D1252" t="s">
        <v>9329</v>
      </c>
    </row>
    <row r="1253" spans="1:4" x14ac:dyDescent="0.25">
      <c r="A1253" t="s">
        <v>3824</v>
      </c>
      <c r="C1253" t="s">
        <v>1826</v>
      </c>
      <c r="D1253" t="s">
        <v>9330</v>
      </c>
    </row>
    <row r="1254" spans="1:4" x14ac:dyDescent="0.25">
      <c r="A1254" t="s">
        <v>3825</v>
      </c>
      <c r="C1254" t="s">
        <v>1827</v>
      </c>
      <c r="D1254" t="s">
        <v>9331</v>
      </c>
    </row>
    <row r="1255" spans="1:4" x14ac:dyDescent="0.25">
      <c r="A1255" t="s">
        <v>3826</v>
      </c>
      <c r="C1255" t="s">
        <v>1828</v>
      </c>
      <c r="D1255" t="s">
        <v>9332</v>
      </c>
    </row>
    <row r="1256" spans="1:4" x14ac:dyDescent="0.25">
      <c r="A1256" t="s">
        <v>3827</v>
      </c>
      <c r="C1256" t="s">
        <v>1829</v>
      </c>
      <c r="D1256" t="s">
        <v>9333</v>
      </c>
    </row>
    <row r="1257" spans="1:4" x14ac:dyDescent="0.25">
      <c r="A1257" t="s">
        <v>3828</v>
      </c>
      <c r="C1257" t="s">
        <v>1830</v>
      </c>
      <c r="D1257" t="s">
        <v>9334</v>
      </c>
    </row>
    <row r="1258" spans="1:4" x14ac:dyDescent="0.25">
      <c r="A1258" t="s">
        <v>3829</v>
      </c>
      <c r="C1258" t="s">
        <v>1831</v>
      </c>
      <c r="D1258" t="s">
        <v>9335</v>
      </c>
    </row>
    <row r="1259" spans="1:4" x14ac:dyDescent="0.25">
      <c r="A1259" t="s">
        <v>3830</v>
      </c>
      <c r="C1259" t="s">
        <v>1832</v>
      </c>
      <c r="D1259" t="s">
        <v>9336</v>
      </c>
    </row>
    <row r="1260" spans="1:4" x14ac:dyDescent="0.25">
      <c r="A1260" t="s">
        <v>3831</v>
      </c>
      <c r="C1260" t="s">
        <v>1833</v>
      </c>
      <c r="D1260" t="s">
        <v>9337</v>
      </c>
    </row>
    <row r="1261" spans="1:4" x14ac:dyDescent="0.25">
      <c r="A1261" t="s">
        <v>3832</v>
      </c>
      <c r="C1261" t="s">
        <v>1834</v>
      </c>
      <c r="D1261" t="s">
        <v>9338</v>
      </c>
    </row>
    <row r="1262" spans="1:4" x14ac:dyDescent="0.25">
      <c r="A1262" t="s">
        <v>3833</v>
      </c>
      <c r="C1262" t="s">
        <v>1835</v>
      </c>
      <c r="D1262" t="s">
        <v>9339</v>
      </c>
    </row>
    <row r="1263" spans="1:4" x14ac:dyDescent="0.25">
      <c r="A1263" t="s">
        <v>3834</v>
      </c>
      <c r="C1263" t="s">
        <v>1836</v>
      </c>
      <c r="D1263" t="s">
        <v>9340</v>
      </c>
    </row>
    <row r="1264" spans="1:4" x14ac:dyDescent="0.25">
      <c r="A1264" t="s">
        <v>3835</v>
      </c>
      <c r="C1264" t="s">
        <v>1837</v>
      </c>
      <c r="D1264" t="s">
        <v>9341</v>
      </c>
    </row>
    <row r="1265" spans="1:4" x14ac:dyDescent="0.25">
      <c r="A1265" t="s">
        <v>3836</v>
      </c>
      <c r="C1265" t="s">
        <v>1838</v>
      </c>
      <c r="D1265" t="s">
        <v>9342</v>
      </c>
    </row>
    <row r="1266" spans="1:4" x14ac:dyDescent="0.25">
      <c r="A1266" t="s">
        <v>3837</v>
      </c>
      <c r="C1266" t="s">
        <v>1839</v>
      </c>
      <c r="D1266" t="s">
        <v>9343</v>
      </c>
    </row>
    <row r="1267" spans="1:4" x14ac:dyDescent="0.25">
      <c r="A1267" t="s">
        <v>3838</v>
      </c>
      <c r="C1267" t="s">
        <v>1840</v>
      </c>
      <c r="D1267" t="s">
        <v>9344</v>
      </c>
    </row>
    <row r="1268" spans="1:4" x14ac:dyDescent="0.25">
      <c r="A1268" t="s">
        <v>3839</v>
      </c>
      <c r="C1268" t="s">
        <v>1841</v>
      </c>
      <c r="D1268" t="s">
        <v>9345</v>
      </c>
    </row>
    <row r="1269" spans="1:4" x14ac:dyDescent="0.25">
      <c r="A1269" t="s">
        <v>3840</v>
      </c>
      <c r="C1269" t="s">
        <v>1842</v>
      </c>
      <c r="D1269" t="s">
        <v>9346</v>
      </c>
    </row>
    <row r="1270" spans="1:4" x14ac:dyDescent="0.25">
      <c r="A1270" t="s">
        <v>3841</v>
      </c>
      <c r="C1270" t="s">
        <v>1843</v>
      </c>
      <c r="D1270" t="s">
        <v>9347</v>
      </c>
    </row>
    <row r="1271" spans="1:4" x14ac:dyDescent="0.25">
      <c r="A1271" t="s">
        <v>3842</v>
      </c>
      <c r="C1271" t="s">
        <v>1844</v>
      </c>
      <c r="D1271" t="s">
        <v>9348</v>
      </c>
    </row>
    <row r="1272" spans="1:4" x14ac:dyDescent="0.25">
      <c r="A1272" t="s">
        <v>3843</v>
      </c>
      <c r="C1272" t="s">
        <v>1845</v>
      </c>
      <c r="D1272" t="s">
        <v>9349</v>
      </c>
    </row>
    <row r="1273" spans="1:4" x14ac:dyDescent="0.25">
      <c r="A1273" t="s">
        <v>3844</v>
      </c>
      <c r="C1273" t="s">
        <v>1846</v>
      </c>
      <c r="D1273" t="s">
        <v>9350</v>
      </c>
    </row>
    <row r="1274" spans="1:4" x14ac:dyDescent="0.25">
      <c r="A1274" t="s">
        <v>3845</v>
      </c>
      <c r="C1274" t="s">
        <v>1847</v>
      </c>
      <c r="D1274" t="s">
        <v>9351</v>
      </c>
    </row>
    <row r="1275" spans="1:4" x14ac:dyDescent="0.25">
      <c r="A1275" t="s">
        <v>3846</v>
      </c>
      <c r="C1275" t="s">
        <v>1848</v>
      </c>
      <c r="D1275" t="s">
        <v>9352</v>
      </c>
    </row>
    <row r="1276" spans="1:4" x14ac:dyDescent="0.25">
      <c r="A1276" t="s">
        <v>3847</v>
      </c>
      <c r="C1276" t="s">
        <v>1849</v>
      </c>
      <c r="D1276" t="s">
        <v>9353</v>
      </c>
    </row>
    <row r="1277" spans="1:4" x14ac:dyDescent="0.25">
      <c r="A1277" t="s">
        <v>3848</v>
      </c>
      <c r="C1277" t="s">
        <v>1850</v>
      </c>
      <c r="D1277" t="s">
        <v>9354</v>
      </c>
    </row>
    <row r="1278" spans="1:4" x14ac:dyDescent="0.25">
      <c r="A1278" t="s">
        <v>3849</v>
      </c>
      <c r="C1278" t="s">
        <v>1851</v>
      </c>
      <c r="D1278" t="s">
        <v>9355</v>
      </c>
    </row>
    <row r="1279" spans="1:4" x14ac:dyDescent="0.25">
      <c r="A1279" t="s">
        <v>3850</v>
      </c>
      <c r="C1279" t="s">
        <v>1852</v>
      </c>
      <c r="D1279" t="s">
        <v>9356</v>
      </c>
    </row>
    <row r="1280" spans="1:4" x14ac:dyDescent="0.25">
      <c r="A1280" t="s">
        <v>3851</v>
      </c>
      <c r="C1280" t="s">
        <v>1853</v>
      </c>
      <c r="D1280" t="s">
        <v>9357</v>
      </c>
    </row>
    <row r="1281" spans="1:4" x14ac:dyDescent="0.25">
      <c r="A1281" t="s">
        <v>3852</v>
      </c>
      <c r="C1281" t="s">
        <v>1854</v>
      </c>
      <c r="D1281" t="s">
        <v>9358</v>
      </c>
    </row>
    <row r="1282" spans="1:4" x14ac:dyDescent="0.25">
      <c r="A1282" t="s">
        <v>3853</v>
      </c>
      <c r="C1282" t="s">
        <v>1855</v>
      </c>
      <c r="D1282" t="s">
        <v>9359</v>
      </c>
    </row>
    <row r="1283" spans="1:4" x14ac:dyDescent="0.25">
      <c r="A1283" t="s">
        <v>3854</v>
      </c>
      <c r="C1283" t="s">
        <v>1856</v>
      </c>
      <c r="D1283" t="s">
        <v>9360</v>
      </c>
    </row>
    <row r="1284" spans="1:4" x14ac:dyDescent="0.25">
      <c r="A1284" t="s">
        <v>3855</v>
      </c>
      <c r="C1284" t="s">
        <v>1857</v>
      </c>
      <c r="D1284" t="s">
        <v>9361</v>
      </c>
    </row>
    <row r="1285" spans="1:4" x14ac:dyDescent="0.25">
      <c r="A1285" t="s">
        <v>3856</v>
      </c>
      <c r="C1285" t="s">
        <v>1858</v>
      </c>
      <c r="D1285" t="s">
        <v>9362</v>
      </c>
    </row>
    <row r="1286" spans="1:4" x14ac:dyDescent="0.25">
      <c r="A1286" t="s">
        <v>3857</v>
      </c>
      <c r="C1286" t="s">
        <v>1859</v>
      </c>
      <c r="D1286" t="s">
        <v>9363</v>
      </c>
    </row>
    <row r="1287" spans="1:4" x14ac:dyDescent="0.25">
      <c r="A1287" t="s">
        <v>3858</v>
      </c>
      <c r="C1287" t="s">
        <v>1860</v>
      </c>
      <c r="D1287" t="s">
        <v>9364</v>
      </c>
    </row>
    <row r="1288" spans="1:4" x14ac:dyDescent="0.25">
      <c r="A1288" t="s">
        <v>3859</v>
      </c>
      <c r="C1288" t="s">
        <v>1861</v>
      </c>
      <c r="D1288" t="s">
        <v>9365</v>
      </c>
    </row>
    <row r="1289" spans="1:4" x14ac:dyDescent="0.25">
      <c r="A1289" t="s">
        <v>3860</v>
      </c>
      <c r="C1289" t="s">
        <v>1862</v>
      </c>
      <c r="D1289" t="s">
        <v>9366</v>
      </c>
    </row>
    <row r="1290" spans="1:4" x14ac:dyDescent="0.25">
      <c r="A1290" t="s">
        <v>3861</v>
      </c>
      <c r="C1290" t="s">
        <v>1863</v>
      </c>
      <c r="D1290" t="s">
        <v>9367</v>
      </c>
    </row>
    <row r="1291" spans="1:4" x14ac:dyDescent="0.25">
      <c r="A1291" t="s">
        <v>3862</v>
      </c>
      <c r="C1291" t="s">
        <v>1864</v>
      </c>
      <c r="D1291" t="s">
        <v>9368</v>
      </c>
    </row>
    <row r="1292" spans="1:4" x14ac:dyDescent="0.25">
      <c r="A1292" t="s">
        <v>3863</v>
      </c>
      <c r="C1292" t="s">
        <v>1865</v>
      </c>
      <c r="D1292" t="s">
        <v>9369</v>
      </c>
    </row>
    <row r="1293" spans="1:4" x14ac:dyDescent="0.25">
      <c r="A1293" t="s">
        <v>3864</v>
      </c>
      <c r="C1293" t="s">
        <v>1866</v>
      </c>
      <c r="D1293" t="s">
        <v>9370</v>
      </c>
    </row>
    <row r="1294" spans="1:4" x14ac:dyDescent="0.25">
      <c r="A1294" t="s">
        <v>3865</v>
      </c>
      <c r="C1294" t="s">
        <v>1867</v>
      </c>
      <c r="D1294" t="s">
        <v>9371</v>
      </c>
    </row>
    <row r="1295" spans="1:4" x14ac:dyDescent="0.25">
      <c r="A1295" t="s">
        <v>3866</v>
      </c>
      <c r="C1295" t="s">
        <v>1868</v>
      </c>
      <c r="D1295" t="s">
        <v>9372</v>
      </c>
    </row>
    <row r="1296" spans="1:4" x14ac:dyDescent="0.25">
      <c r="A1296" t="s">
        <v>3867</v>
      </c>
      <c r="C1296" t="s">
        <v>1869</v>
      </c>
      <c r="D1296" t="s">
        <v>9373</v>
      </c>
    </row>
    <row r="1297" spans="1:4" x14ac:dyDescent="0.25">
      <c r="A1297" t="s">
        <v>3868</v>
      </c>
      <c r="C1297" t="s">
        <v>1870</v>
      </c>
      <c r="D1297" t="s">
        <v>9374</v>
      </c>
    </row>
    <row r="1298" spans="1:4" x14ac:dyDescent="0.25">
      <c r="A1298" t="s">
        <v>3869</v>
      </c>
      <c r="C1298" t="s">
        <v>1871</v>
      </c>
      <c r="D1298" t="s">
        <v>9375</v>
      </c>
    </row>
    <row r="1299" spans="1:4" x14ac:dyDescent="0.25">
      <c r="A1299" t="s">
        <v>3870</v>
      </c>
      <c r="C1299" t="s">
        <v>1872</v>
      </c>
      <c r="D1299" t="s">
        <v>9376</v>
      </c>
    </row>
    <row r="1300" spans="1:4" x14ac:dyDescent="0.25">
      <c r="A1300" t="s">
        <v>3871</v>
      </c>
      <c r="C1300" t="s">
        <v>1873</v>
      </c>
      <c r="D1300" t="s">
        <v>9377</v>
      </c>
    </row>
    <row r="1301" spans="1:4" x14ac:dyDescent="0.25">
      <c r="A1301" t="s">
        <v>3872</v>
      </c>
      <c r="C1301" t="s">
        <v>1874</v>
      </c>
      <c r="D1301" t="s">
        <v>9378</v>
      </c>
    </row>
    <row r="1302" spans="1:4" x14ac:dyDescent="0.25">
      <c r="A1302" t="s">
        <v>3873</v>
      </c>
      <c r="C1302" t="s">
        <v>1875</v>
      </c>
      <c r="D1302" t="s">
        <v>9379</v>
      </c>
    </row>
    <row r="1303" spans="1:4" x14ac:dyDescent="0.25">
      <c r="A1303" t="s">
        <v>3874</v>
      </c>
      <c r="C1303" t="s">
        <v>1876</v>
      </c>
      <c r="D1303" t="s">
        <v>9380</v>
      </c>
    </row>
    <row r="1304" spans="1:4" x14ac:dyDescent="0.25">
      <c r="A1304" t="s">
        <v>3875</v>
      </c>
      <c r="C1304" t="s">
        <v>1877</v>
      </c>
      <c r="D1304" t="s">
        <v>9381</v>
      </c>
    </row>
    <row r="1305" spans="1:4" x14ac:dyDescent="0.25">
      <c r="A1305" t="s">
        <v>3876</v>
      </c>
      <c r="C1305" t="s">
        <v>1878</v>
      </c>
      <c r="D1305" t="s">
        <v>9382</v>
      </c>
    </row>
    <row r="1306" spans="1:4" x14ac:dyDescent="0.25">
      <c r="A1306" t="s">
        <v>3877</v>
      </c>
      <c r="C1306" t="s">
        <v>1879</v>
      </c>
      <c r="D1306" t="s">
        <v>9383</v>
      </c>
    </row>
    <row r="1307" spans="1:4" x14ac:dyDescent="0.25">
      <c r="A1307" t="s">
        <v>3878</v>
      </c>
      <c r="C1307" t="s">
        <v>1880</v>
      </c>
      <c r="D1307" t="s">
        <v>9384</v>
      </c>
    </row>
    <row r="1308" spans="1:4" x14ac:dyDescent="0.25">
      <c r="A1308" t="s">
        <v>3879</v>
      </c>
      <c r="C1308" t="s">
        <v>1881</v>
      </c>
      <c r="D1308" t="s">
        <v>9385</v>
      </c>
    </row>
    <row r="1309" spans="1:4" x14ac:dyDescent="0.25">
      <c r="A1309" t="s">
        <v>3880</v>
      </c>
      <c r="C1309" t="s">
        <v>1882</v>
      </c>
      <c r="D1309" t="s">
        <v>9386</v>
      </c>
    </row>
    <row r="1310" spans="1:4" x14ac:dyDescent="0.25">
      <c r="A1310" t="s">
        <v>3881</v>
      </c>
      <c r="C1310" t="s">
        <v>1883</v>
      </c>
      <c r="D1310" t="s">
        <v>9387</v>
      </c>
    </row>
    <row r="1311" spans="1:4" x14ac:dyDescent="0.25">
      <c r="A1311" t="s">
        <v>3882</v>
      </c>
      <c r="C1311" t="s">
        <v>1884</v>
      </c>
      <c r="D1311" t="s">
        <v>9388</v>
      </c>
    </row>
    <row r="1312" spans="1:4" x14ac:dyDescent="0.25">
      <c r="A1312" t="s">
        <v>3883</v>
      </c>
      <c r="C1312" t="s">
        <v>1885</v>
      </c>
      <c r="D1312" t="s">
        <v>9389</v>
      </c>
    </row>
    <row r="1313" spans="1:4" x14ac:dyDescent="0.25">
      <c r="A1313" t="s">
        <v>3884</v>
      </c>
      <c r="C1313" t="s">
        <v>1886</v>
      </c>
      <c r="D1313" t="s">
        <v>9390</v>
      </c>
    </row>
    <row r="1314" spans="1:4" x14ac:dyDescent="0.25">
      <c r="A1314" t="s">
        <v>3885</v>
      </c>
      <c r="C1314" t="s">
        <v>1887</v>
      </c>
      <c r="D1314" t="s">
        <v>9391</v>
      </c>
    </row>
    <row r="1315" spans="1:4" x14ac:dyDescent="0.25">
      <c r="A1315" t="s">
        <v>3886</v>
      </c>
      <c r="C1315" t="s">
        <v>1888</v>
      </c>
      <c r="D1315" t="s">
        <v>9392</v>
      </c>
    </row>
    <row r="1316" spans="1:4" x14ac:dyDescent="0.25">
      <c r="A1316" t="s">
        <v>3887</v>
      </c>
      <c r="C1316" t="s">
        <v>1889</v>
      </c>
      <c r="D1316" t="s">
        <v>9393</v>
      </c>
    </row>
    <row r="1317" spans="1:4" x14ac:dyDescent="0.25">
      <c r="A1317" t="s">
        <v>3888</v>
      </c>
      <c r="C1317" t="s">
        <v>1890</v>
      </c>
      <c r="D1317" t="s">
        <v>9394</v>
      </c>
    </row>
    <row r="1318" spans="1:4" x14ac:dyDescent="0.25">
      <c r="A1318" t="s">
        <v>3889</v>
      </c>
      <c r="C1318" t="s">
        <v>1891</v>
      </c>
      <c r="D1318" t="s">
        <v>9395</v>
      </c>
    </row>
    <row r="1319" spans="1:4" x14ac:dyDescent="0.25">
      <c r="A1319" t="s">
        <v>3890</v>
      </c>
      <c r="C1319" t="s">
        <v>1892</v>
      </c>
      <c r="D1319" t="s">
        <v>9396</v>
      </c>
    </row>
    <row r="1320" spans="1:4" x14ac:dyDescent="0.25">
      <c r="A1320" t="s">
        <v>3891</v>
      </c>
      <c r="C1320" t="s">
        <v>1893</v>
      </c>
      <c r="D1320" t="s">
        <v>9397</v>
      </c>
    </row>
    <row r="1321" spans="1:4" x14ac:dyDescent="0.25">
      <c r="A1321" t="s">
        <v>3892</v>
      </c>
      <c r="C1321" t="s">
        <v>1894</v>
      </c>
      <c r="D1321" t="s">
        <v>9398</v>
      </c>
    </row>
    <row r="1322" spans="1:4" x14ac:dyDescent="0.25">
      <c r="A1322" t="s">
        <v>3893</v>
      </c>
      <c r="C1322" t="s">
        <v>1895</v>
      </c>
      <c r="D1322" t="s">
        <v>9399</v>
      </c>
    </row>
    <row r="1323" spans="1:4" x14ac:dyDescent="0.25">
      <c r="A1323" t="s">
        <v>3894</v>
      </c>
      <c r="C1323" t="s">
        <v>1896</v>
      </c>
      <c r="D1323" t="s">
        <v>9400</v>
      </c>
    </row>
    <row r="1324" spans="1:4" x14ac:dyDescent="0.25">
      <c r="A1324" t="s">
        <v>3895</v>
      </c>
      <c r="C1324" t="s">
        <v>1897</v>
      </c>
      <c r="D1324" t="s">
        <v>9401</v>
      </c>
    </row>
    <row r="1325" spans="1:4" x14ac:dyDescent="0.25">
      <c r="A1325" t="s">
        <v>3896</v>
      </c>
      <c r="C1325" t="s">
        <v>1898</v>
      </c>
      <c r="D1325" t="s">
        <v>9402</v>
      </c>
    </row>
    <row r="1326" spans="1:4" x14ac:dyDescent="0.25">
      <c r="A1326" t="s">
        <v>3897</v>
      </c>
      <c r="C1326" t="s">
        <v>1899</v>
      </c>
      <c r="D1326" t="s">
        <v>9403</v>
      </c>
    </row>
    <row r="1327" spans="1:4" x14ac:dyDescent="0.25">
      <c r="A1327" t="s">
        <v>3898</v>
      </c>
      <c r="C1327" t="s">
        <v>1900</v>
      </c>
      <c r="D1327" t="s">
        <v>9404</v>
      </c>
    </row>
    <row r="1328" spans="1:4" x14ac:dyDescent="0.25">
      <c r="A1328" t="s">
        <v>3899</v>
      </c>
      <c r="C1328" t="s">
        <v>1901</v>
      </c>
      <c r="D1328" t="s">
        <v>9405</v>
      </c>
    </row>
    <row r="1329" spans="1:4" x14ac:dyDescent="0.25">
      <c r="A1329" t="s">
        <v>3900</v>
      </c>
      <c r="C1329" t="s">
        <v>1902</v>
      </c>
      <c r="D1329" t="s">
        <v>9406</v>
      </c>
    </row>
    <row r="1330" spans="1:4" x14ac:dyDescent="0.25">
      <c r="A1330" t="s">
        <v>3901</v>
      </c>
      <c r="C1330" t="s">
        <v>1903</v>
      </c>
      <c r="D1330" t="s">
        <v>9407</v>
      </c>
    </row>
    <row r="1331" spans="1:4" x14ac:dyDescent="0.25">
      <c r="A1331" t="s">
        <v>3902</v>
      </c>
      <c r="C1331" t="s">
        <v>1904</v>
      </c>
      <c r="D1331" t="s">
        <v>9408</v>
      </c>
    </row>
    <row r="1332" spans="1:4" x14ac:dyDescent="0.25">
      <c r="A1332" t="s">
        <v>3903</v>
      </c>
      <c r="C1332" t="s">
        <v>1905</v>
      </c>
      <c r="D1332" t="s">
        <v>9409</v>
      </c>
    </row>
    <row r="1333" spans="1:4" x14ac:dyDescent="0.25">
      <c r="A1333" t="s">
        <v>3904</v>
      </c>
      <c r="C1333" t="s">
        <v>1906</v>
      </c>
      <c r="D1333" t="s">
        <v>9410</v>
      </c>
    </row>
    <row r="1334" spans="1:4" x14ac:dyDescent="0.25">
      <c r="A1334" t="s">
        <v>3905</v>
      </c>
      <c r="C1334" t="s">
        <v>1907</v>
      </c>
      <c r="D1334" t="s">
        <v>9411</v>
      </c>
    </row>
    <row r="1335" spans="1:4" x14ac:dyDescent="0.25">
      <c r="A1335" t="s">
        <v>3906</v>
      </c>
      <c r="C1335" t="s">
        <v>1908</v>
      </c>
      <c r="D1335" t="s">
        <v>9412</v>
      </c>
    </row>
    <row r="1336" spans="1:4" x14ac:dyDescent="0.25">
      <c r="A1336" t="s">
        <v>3907</v>
      </c>
      <c r="C1336" t="s">
        <v>1909</v>
      </c>
      <c r="D1336" t="s">
        <v>9413</v>
      </c>
    </row>
    <row r="1337" spans="1:4" x14ac:dyDescent="0.25">
      <c r="A1337" t="s">
        <v>3908</v>
      </c>
      <c r="C1337" t="s">
        <v>1910</v>
      </c>
      <c r="D1337" t="s">
        <v>9414</v>
      </c>
    </row>
    <row r="1338" spans="1:4" x14ac:dyDescent="0.25">
      <c r="A1338" t="s">
        <v>3909</v>
      </c>
      <c r="C1338" t="s">
        <v>1911</v>
      </c>
      <c r="D1338" t="s">
        <v>9415</v>
      </c>
    </row>
    <row r="1339" spans="1:4" x14ac:dyDescent="0.25">
      <c r="A1339" t="s">
        <v>3910</v>
      </c>
      <c r="C1339" t="s">
        <v>1912</v>
      </c>
      <c r="D1339" t="s">
        <v>9416</v>
      </c>
    </row>
    <row r="1340" spans="1:4" x14ac:dyDescent="0.25">
      <c r="A1340" t="s">
        <v>3911</v>
      </c>
      <c r="C1340" t="s">
        <v>1913</v>
      </c>
      <c r="D1340" t="s">
        <v>9417</v>
      </c>
    </row>
    <row r="1341" spans="1:4" x14ac:dyDescent="0.25">
      <c r="A1341" t="s">
        <v>3912</v>
      </c>
      <c r="C1341" t="s">
        <v>1914</v>
      </c>
      <c r="D1341" t="s">
        <v>9418</v>
      </c>
    </row>
    <row r="1342" spans="1:4" x14ac:dyDescent="0.25">
      <c r="A1342" t="s">
        <v>3913</v>
      </c>
      <c r="C1342" t="s">
        <v>1915</v>
      </c>
      <c r="D1342" t="s">
        <v>9419</v>
      </c>
    </row>
    <row r="1343" spans="1:4" x14ac:dyDescent="0.25">
      <c r="A1343" t="s">
        <v>3914</v>
      </c>
      <c r="C1343" t="s">
        <v>1916</v>
      </c>
      <c r="D1343" t="s">
        <v>9420</v>
      </c>
    </row>
    <row r="1344" spans="1:4" x14ac:dyDescent="0.25">
      <c r="A1344" t="s">
        <v>3915</v>
      </c>
      <c r="C1344" t="s">
        <v>1917</v>
      </c>
      <c r="D1344" t="s">
        <v>9421</v>
      </c>
    </row>
    <row r="1345" spans="1:4" x14ac:dyDescent="0.25">
      <c r="A1345" t="s">
        <v>3916</v>
      </c>
      <c r="C1345" t="s">
        <v>1918</v>
      </c>
      <c r="D1345" t="s">
        <v>9422</v>
      </c>
    </row>
    <row r="1346" spans="1:4" x14ac:dyDescent="0.25">
      <c r="A1346" t="s">
        <v>3917</v>
      </c>
      <c r="C1346" t="s">
        <v>1919</v>
      </c>
      <c r="D1346" t="s">
        <v>9423</v>
      </c>
    </row>
    <row r="1347" spans="1:4" x14ac:dyDescent="0.25">
      <c r="A1347" t="s">
        <v>3918</v>
      </c>
      <c r="C1347" t="s">
        <v>1920</v>
      </c>
      <c r="D1347" t="s">
        <v>9424</v>
      </c>
    </row>
    <row r="1348" spans="1:4" x14ac:dyDescent="0.25">
      <c r="A1348" t="s">
        <v>3919</v>
      </c>
      <c r="C1348" t="s">
        <v>1921</v>
      </c>
      <c r="D1348" t="s">
        <v>9425</v>
      </c>
    </row>
    <row r="1349" spans="1:4" x14ac:dyDescent="0.25">
      <c r="A1349" t="s">
        <v>3920</v>
      </c>
      <c r="C1349" t="s">
        <v>1922</v>
      </c>
      <c r="D1349" t="s">
        <v>9426</v>
      </c>
    </row>
    <row r="1350" spans="1:4" x14ac:dyDescent="0.25">
      <c r="A1350" t="s">
        <v>3921</v>
      </c>
      <c r="C1350" t="s">
        <v>1923</v>
      </c>
      <c r="D1350" t="s">
        <v>9427</v>
      </c>
    </row>
    <row r="1351" spans="1:4" x14ac:dyDescent="0.25">
      <c r="A1351" t="s">
        <v>3922</v>
      </c>
      <c r="C1351" t="s">
        <v>1924</v>
      </c>
      <c r="D1351" t="s">
        <v>9428</v>
      </c>
    </row>
    <row r="1352" spans="1:4" x14ac:dyDescent="0.25">
      <c r="A1352" t="s">
        <v>3923</v>
      </c>
      <c r="C1352" t="s">
        <v>1925</v>
      </c>
      <c r="D1352" t="s">
        <v>9429</v>
      </c>
    </row>
    <row r="1353" spans="1:4" x14ac:dyDescent="0.25">
      <c r="A1353" t="s">
        <v>3924</v>
      </c>
      <c r="C1353" t="s">
        <v>1926</v>
      </c>
      <c r="D1353" t="s">
        <v>9430</v>
      </c>
    </row>
    <row r="1354" spans="1:4" x14ac:dyDescent="0.25">
      <c r="A1354" t="s">
        <v>3925</v>
      </c>
      <c r="C1354" t="s">
        <v>1927</v>
      </c>
      <c r="D1354" t="s">
        <v>9431</v>
      </c>
    </row>
    <row r="1355" spans="1:4" x14ac:dyDescent="0.25">
      <c r="A1355" t="s">
        <v>3926</v>
      </c>
      <c r="C1355" t="s">
        <v>1928</v>
      </c>
      <c r="D1355" t="s">
        <v>9432</v>
      </c>
    </row>
    <row r="1356" spans="1:4" x14ac:dyDescent="0.25">
      <c r="A1356" t="s">
        <v>3927</v>
      </c>
      <c r="C1356" t="s">
        <v>1929</v>
      </c>
      <c r="D1356" t="s">
        <v>9433</v>
      </c>
    </row>
    <row r="1357" spans="1:4" x14ac:dyDescent="0.25">
      <c r="A1357" t="s">
        <v>3928</v>
      </c>
      <c r="C1357" t="s">
        <v>1930</v>
      </c>
      <c r="D1357" t="s">
        <v>9434</v>
      </c>
    </row>
    <row r="1358" spans="1:4" x14ac:dyDescent="0.25">
      <c r="A1358" t="s">
        <v>3929</v>
      </c>
      <c r="C1358" t="s">
        <v>1931</v>
      </c>
      <c r="D1358" t="s">
        <v>9435</v>
      </c>
    </row>
    <row r="1359" spans="1:4" x14ac:dyDescent="0.25">
      <c r="A1359" t="s">
        <v>3930</v>
      </c>
      <c r="C1359" t="s">
        <v>1932</v>
      </c>
      <c r="D1359" t="s">
        <v>9436</v>
      </c>
    </row>
    <row r="1360" spans="1:4" x14ac:dyDescent="0.25">
      <c r="A1360" t="s">
        <v>3931</v>
      </c>
      <c r="C1360" t="s">
        <v>1933</v>
      </c>
      <c r="D1360" t="s">
        <v>9437</v>
      </c>
    </row>
    <row r="1361" spans="1:4" x14ac:dyDescent="0.25">
      <c r="A1361" t="s">
        <v>3932</v>
      </c>
      <c r="C1361" t="s">
        <v>1934</v>
      </c>
      <c r="D1361" t="s">
        <v>9438</v>
      </c>
    </row>
    <row r="1362" spans="1:4" x14ac:dyDescent="0.25">
      <c r="A1362" t="s">
        <v>3933</v>
      </c>
      <c r="C1362" t="s">
        <v>1935</v>
      </c>
      <c r="D1362" t="s">
        <v>9439</v>
      </c>
    </row>
    <row r="1363" spans="1:4" x14ac:dyDescent="0.25">
      <c r="A1363" t="s">
        <v>3934</v>
      </c>
      <c r="C1363" t="s">
        <v>1936</v>
      </c>
      <c r="D1363" t="s">
        <v>9440</v>
      </c>
    </row>
    <row r="1364" spans="1:4" x14ac:dyDescent="0.25">
      <c r="A1364" t="s">
        <v>3935</v>
      </c>
      <c r="C1364" t="s">
        <v>1937</v>
      </c>
      <c r="D1364" t="s">
        <v>9441</v>
      </c>
    </row>
    <row r="1365" spans="1:4" x14ac:dyDescent="0.25">
      <c r="A1365" t="s">
        <v>3936</v>
      </c>
      <c r="C1365" t="s">
        <v>1938</v>
      </c>
      <c r="D1365" t="s">
        <v>9442</v>
      </c>
    </row>
    <row r="1366" spans="1:4" x14ac:dyDescent="0.25">
      <c r="A1366" t="s">
        <v>3937</v>
      </c>
      <c r="C1366" t="s">
        <v>1939</v>
      </c>
      <c r="D1366" t="s">
        <v>9443</v>
      </c>
    </row>
    <row r="1367" spans="1:4" x14ac:dyDescent="0.25">
      <c r="A1367" t="s">
        <v>3938</v>
      </c>
      <c r="C1367" t="s">
        <v>1940</v>
      </c>
      <c r="D1367" t="s">
        <v>9444</v>
      </c>
    </row>
    <row r="1368" spans="1:4" x14ac:dyDescent="0.25">
      <c r="A1368" t="s">
        <v>3939</v>
      </c>
      <c r="C1368" t="s">
        <v>1941</v>
      </c>
      <c r="D1368" t="s">
        <v>9445</v>
      </c>
    </row>
    <row r="1369" spans="1:4" x14ac:dyDescent="0.25">
      <c r="A1369" t="s">
        <v>3940</v>
      </c>
      <c r="C1369" t="s">
        <v>1942</v>
      </c>
      <c r="D1369" t="s">
        <v>9446</v>
      </c>
    </row>
    <row r="1370" spans="1:4" x14ac:dyDescent="0.25">
      <c r="A1370" t="s">
        <v>3941</v>
      </c>
      <c r="C1370" t="s">
        <v>1943</v>
      </c>
      <c r="D1370" t="s">
        <v>9447</v>
      </c>
    </row>
    <row r="1371" spans="1:4" x14ac:dyDescent="0.25">
      <c r="A1371" t="s">
        <v>3942</v>
      </c>
      <c r="C1371" t="s">
        <v>1944</v>
      </c>
      <c r="D1371" t="s">
        <v>9448</v>
      </c>
    </row>
    <row r="1372" spans="1:4" x14ac:dyDescent="0.25">
      <c r="A1372" t="s">
        <v>3943</v>
      </c>
      <c r="C1372" t="s">
        <v>1945</v>
      </c>
      <c r="D1372" t="s">
        <v>9449</v>
      </c>
    </row>
    <row r="1373" spans="1:4" x14ac:dyDescent="0.25">
      <c r="A1373" t="s">
        <v>3944</v>
      </c>
      <c r="C1373" t="s">
        <v>1946</v>
      </c>
      <c r="D1373" t="s">
        <v>9450</v>
      </c>
    </row>
    <row r="1374" spans="1:4" x14ac:dyDescent="0.25">
      <c r="A1374" t="s">
        <v>3945</v>
      </c>
      <c r="C1374" t="s">
        <v>1947</v>
      </c>
      <c r="D1374" t="s">
        <v>9451</v>
      </c>
    </row>
    <row r="1375" spans="1:4" x14ac:dyDescent="0.25">
      <c r="A1375" t="s">
        <v>3946</v>
      </c>
      <c r="C1375" t="s">
        <v>1948</v>
      </c>
      <c r="D1375" t="s">
        <v>9452</v>
      </c>
    </row>
    <row r="1376" spans="1:4" x14ac:dyDescent="0.25">
      <c r="A1376" t="s">
        <v>3947</v>
      </c>
      <c r="C1376" t="s">
        <v>1949</v>
      </c>
      <c r="D1376" t="s">
        <v>9453</v>
      </c>
    </row>
    <row r="1377" spans="1:4" x14ac:dyDescent="0.25">
      <c r="A1377" t="s">
        <v>3948</v>
      </c>
      <c r="C1377" t="s">
        <v>1950</v>
      </c>
      <c r="D1377" t="s">
        <v>9454</v>
      </c>
    </row>
    <row r="1378" spans="1:4" x14ac:dyDescent="0.25">
      <c r="A1378" t="s">
        <v>3949</v>
      </c>
      <c r="C1378" t="s">
        <v>1951</v>
      </c>
      <c r="D1378" t="s">
        <v>9455</v>
      </c>
    </row>
    <row r="1379" spans="1:4" x14ac:dyDescent="0.25">
      <c r="A1379" t="s">
        <v>3950</v>
      </c>
      <c r="C1379" t="s">
        <v>1952</v>
      </c>
      <c r="D1379" t="s">
        <v>9456</v>
      </c>
    </row>
    <row r="1380" spans="1:4" x14ac:dyDescent="0.25">
      <c r="A1380" t="s">
        <v>3951</v>
      </c>
      <c r="C1380" t="s">
        <v>1953</v>
      </c>
      <c r="D1380" t="s">
        <v>9457</v>
      </c>
    </row>
    <row r="1381" spans="1:4" x14ac:dyDescent="0.25">
      <c r="A1381" t="s">
        <v>3952</v>
      </c>
      <c r="C1381" t="s">
        <v>1954</v>
      </c>
      <c r="D1381" t="s">
        <v>9458</v>
      </c>
    </row>
    <row r="1382" spans="1:4" x14ac:dyDescent="0.25">
      <c r="A1382" t="s">
        <v>3953</v>
      </c>
      <c r="C1382" t="s">
        <v>1955</v>
      </c>
      <c r="D1382" t="s">
        <v>9459</v>
      </c>
    </row>
    <row r="1383" spans="1:4" x14ac:dyDescent="0.25">
      <c r="A1383" t="s">
        <v>3954</v>
      </c>
      <c r="C1383" t="s">
        <v>1956</v>
      </c>
      <c r="D1383" t="s">
        <v>9460</v>
      </c>
    </row>
    <row r="1384" spans="1:4" x14ac:dyDescent="0.25">
      <c r="A1384" t="s">
        <v>3955</v>
      </c>
      <c r="C1384" t="s">
        <v>1957</v>
      </c>
      <c r="D1384" t="s">
        <v>9461</v>
      </c>
    </row>
    <row r="1385" spans="1:4" x14ac:dyDescent="0.25">
      <c r="A1385" t="s">
        <v>3956</v>
      </c>
      <c r="C1385" t="s">
        <v>1958</v>
      </c>
      <c r="D1385" t="s">
        <v>9462</v>
      </c>
    </row>
    <row r="1386" spans="1:4" x14ac:dyDescent="0.25">
      <c r="A1386" t="s">
        <v>3957</v>
      </c>
      <c r="C1386" t="s">
        <v>1959</v>
      </c>
      <c r="D1386" t="s">
        <v>9463</v>
      </c>
    </row>
    <row r="1387" spans="1:4" x14ac:dyDescent="0.25">
      <c r="A1387" t="s">
        <v>3958</v>
      </c>
      <c r="C1387" t="s">
        <v>1960</v>
      </c>
      <c r="D1387" t="s">
        <v>9464</v>
      </c>
    </row>
    <row r="1388" spans="1:4" x14ac:dyDescent="0.25">
      <c r="A1388" t="s">
        <v>3959</v>
      </c>
      <c r="C1388" t="s">
        <v>1961</v>
      </c>
      <c r="D1388" t="s">
        <v>9465</v>
      </c>
    </row>
    <row r="1389" spans="1:4" x14ac:dyDescent="0.25">
      <c r="A1389" t="s">
        <v>3960</v>
      </c>
      <c r="C1389" t="s">
        <v>1962</v>
      </c>
      <c r="D1389" t="s">
        <v>9466</v>
      </c>
    </row>
    <row r="1390" spans="1:4" x14ac:dyDescent="0.25">
      <c r="A1390" t="s">
        <v>3961</v>
      </c>
      <c r="C1390" t="s">
        <v>1963</v>
      </c>
      <c r="D1390" t="s">
        <v>9467</v>
      </c>
    </row>
    <row r="1391" spans="1:4" x14ac:dyDescent="0.25">
      <c r="A1391" t="s">
        <v>3962</v>
      </c>
      <c r="C1391" t="s">
        <v>1964</v>
      </c>
      <c r="D1391" t="s">
        <v>9468</v>
      </c>
    </row>
    <row r="1392" spans="1:4" x14ac:dyDescent="0.25">
      <c r="A1392" t="s">
        <v>3963</v>
      </c>
      <c r="C1392" t="s">
        <v>1965</v>
      </c>
      <c r="D1392" t="s">
        <v>9469</v>
      </c>
    </row>
    <row r="1393" spans="1:4" x14ac:dyDescent="0.25">
      <c r="A1393" t="s">
        <v>3964</v>
      </c>
      <c r="C1393" t="s">
        <v>1966</v>
      </c>
      <c r="D1393" t="s">
        <v>9470</v>
      </c>
    </row>
    <row r="1394" spans="1:4" x14ac:dyDescent="0.25">
      <c r="A1394" t="s">
        <v>3965</v>
      </c>
      <c r="C1394" t="s">
        <v>1967</v>
      </c>
      <c r="D1394" t="s">
        <v>9471</v>
      </c>
    </row>
    <row r="1395" spans="1:4" x14ac:dyDescent="0.25">
      <c r="A1395" t="s">
        <v>3966</v>
      </c>
      <c r="C1395" t="s">
        <v>1968</v>
      </c>
      <c r="D1395" t="s">
        <v>9472</v>
      </c>
    </row>
    <row r="1396" spans="1:4" x14ac:dyDescent="0.25">
      <c r="A1396" t="s">
        <v>3967</v>
      </c>
      <c r="C1396" t="s">
        <v>1969</v>
      </c>
      <c r="D1396" t="s">
        <v>9473</v>
      </c>
    </row>
    <row r="1397" spans="1:4" x14ac:dyDescent="0.25">
      <c r="A1397" t="s">
        <v>3968</v>
      </c>
      <c r="C1397" t="s">
        <v>1970</v>
      </c>
      <c r="D1397" t="s">
        <v>9474</v>
      </c>
    </row>
    <row r="1398" spans="1:4" x14ac:dyDescent="0.25">
      <c r="A1398" t="s">
        <v>3969</v>
      </c>
      <c r="C1398" t="s">
        <v>1971</v>
      </c>
      <c r="D1398" t="s">
        <v>9475</v>
      </c>
    </row>
    <row r="1399" spans="1:4" x14ac:dyDescent="0.25">
      <c r="A1399" t="s">
        <v>3970</v>
      </c>
      <c r="C1399" t="s">
        <v>1972</v>
      </c>
      <c r="D1399" t="s">
        <v>9476</v>
      </c>
    </row>
    <row r="1400" spans="1:4" x14ac:dyDescent="0.25">
      <c r="A1400" t="s">
        <v>3971</v>
      </c>
      <c r="C1400" t="s">
        <v>1973</v>
      </c>
      <c r="D1400" t="s">
        <v>9477</v>
      </c>
    </row>
    <row r="1401" spans="1:4" x14ac:dyDescent="0.25">
      <c r="A1401" t="s">
        <v>3972</v>
      </c>
      <c r="C1401" t="s">
        <v>1974</v>
      </c>
      <c r="D1401" t="s">
        <v>9478</v>
      </c>
    </row>
    <row r="1402" spans="1:4" x14ac:dyDescent="0.25">
      <c r="A1402" t="s">
        <v>3973</v>
      </c>
      <c r="C1402" t="s">
        <v>1975</v>
      </c>
      <c r="D1402" t="s">
        <v>9479</v>
      </c>
    </row>
    <row r="1403" spans="1:4" x14ac:dyDescent="0.25">
      <c r="A1403" t="s">
        <v>3974</v>
      </c>
      <c r="C1403" t="s">
        <v>1976</v>
      </c>
      <c r="D1403" t="s">
        <v>9480</v>
      </c>
    </row>
    <row r="1404" spans="1:4" x14ac:dyDescent="0.25">
      <c r="A1404" t="s">
        <v>3975</v>
      </c>
      <c r="C1404" t="s">
        <v>1977</v>
      </c>
      <c r="D1404" t="s">
        <v>9481</v>
      </c>
    </row>
    <row r="1405" spans="1:4" x14ac:dyDescent="0.25">
      <c r="A1405" t="s">
        <v>3976</v>
      </c>
      <c r="C1405" t="s">
        <v>1978</v>
      </c>
      <c r="D1405" t="s">
        <v>9482</v>
      </c>
    </row>
    <row r="1406" spans="1:4" x14ac:dyDescent="0.25">
      <c r="A1406" t="s">
        <v>3977</v>
      </c>
      <c r="C1406" t="s">
        <v>1979</v>
      </c>
      <c r="D1406" t="s">
        <v>9483</v>
      </c>
    </row>
    <row r="1407" spans="1:4" x14ac:dyDescent="0.25">
      <c r="A1407" t="s">
        <v>3978</v>
      </c>
      <c r="C1407" t="s">
        <v>1980</v>
      </c>
      <c r="D1407" t="s">
        <v>9484</v>
      </c>
    </row>
    <row r="1408" spans="1:4" x14ac:dyDescent="0.25">
      <c r="A1408" t="s">
        <v>3979</v>
      </c>
      <c r="C1408" t="s">
        <v>1981</v>
      </c>
      <c r="D1408" t="s">
        <v>9485</v>
      </c>
    </row>
    <row r="1409" spans="1:4" x14ac:dyDescent="0.25">
      <c r="A1409" t="s">
        <v>3980</v>
      </c>
      <c r="C1409" t="s">
        <v>1982</v>
      </c>
      <c r="D1409" t="s">
        <v>9486</v>
      </c>
    </row>
    <row r="1410" spans="1:4" x14ac:dyDescent="0.25">
      <c r="A1410" t="s">
        <v>3981</v>
      </c>
      <c r="C1410" t="s">
        <v>1983</v>
      </c>
      <c r="D1410" t="s">
        <v>9487</v>
      </c>
    </row>
    <row r="1411" spans="1:4" x14ac:dyDescent="0.25">
      <c r="A1411" t="s">
        <v>3982</v>
      </c>
      <c r="C1411" t="s">
        <v>1984</v>
      </c>
      <c r="D1411" t="s">
        <v>9488</v>
      </c>
    </row>
    <row r="1412" spans="1:4" x14ac:dyDescent="0.25">
      <c r="A1412" t="s">
        <v>3983</v>
      </c>
      <c r="C1412" t="s">
        <v>1985</v>
      </c>
      <c r="D1412" t="s">
        <v>9489</v>
      </c>
    </row>
    <row r="1413" spans="1:4" x14ac:dyDescent="0.25">
      <c r="A1413" t="s">
        <v>3984</v>
      </c>
      <c r="C1413" t="s">
        <v>1986</v>
      </c>
      <c r="D1413" t="s">
        <v>9490</v>
      </c>
    </row>
    <row r="1414" spans="1:4" x14ac:dyDescent="0.25">
      <c r="A1414" t="s">
        <v>3985</v>
      </c>
      <c r="C1414" t="s">
        <v>1987</v>
      </c>
      <c r="D1414" t="s">
        <v>9491</v>
      </c>
    </row>
    <row r="1415" spans="1:4" x14ac:dyDescent="0.25">
      <c r="A1415" t="s">
        <v>3986</v>
      </c>
      <c r="C1415" t="s">
        <v>1988</v>
      </c>
      <c r="D1415" t="s">
        <v>9492</v>
      </c>
    </row>
    <row r="1416" spans="1:4" x14ac:dyDescent="0.25">
      <c r="A1416" t="s">
        <v>3987</v>
      </c>
      <c r="C1416" t="s">
        <v>1989</v>
      </c>
      <c r="D1416" t="s">
        <v>9493</v>
      </c>
    </row>
    <row r="1417" spans="1:4" x14ac:dyDescent="0.25">
      <c r="A1417" t="s">
        <v>3988</v>
      </c>
      <c r="C1417" t="s">
        <v>1990</v>
      </c>
      <c r="D1417" t="s">
        <v>9494</v>
      </c>
    </row>
    <row r="1418" spans="1:4" x14ac:dyDescent="0.25">
      <c r="A1418" t="s">
        <v>3989</v>
      </c>
      <c r="C1418" t="s">
        <v>1991</v>
      </c>
      <c r="D1418" t="s">
        <v>9495</v>
      </c>
    </row>
    <row r="1419" spans="1:4" x14ac:dyDescent="0.25">
      <c r="A1419" t="s">
        <v>3990</v>
      </c>
      <c r="C1419" t="s">
        <v>1992</v>
      </c>
      <c r="D1419" t="s">
        <v>9496</v>
      </c>
    </row>
    <row r="1420" spans="1:4" x14ac:dyDescent="0.25">
      <c r="A1420" t="s">
        <v>3991</v>
      </c>
      <c r="C1420" t="s">
        <v>1993</v>
      </c>
      <c r="D1420" t="s">
        <v>9497</v>
      </c>
    </row>
    <row r="1421" spans="1:4" x14ac:dyDescent="0.25">
      <c r="A1421" t="s">
        <v>3992</v>
      </c>
      <c r="C1421" t="s">
        <v>1994</v>
      </c>
      <c r="D1421" t="s">
        <v>9498</v>
      </c>
    </row>
    <row r="1422" spans="1:4" x14ac:dyDescent="0.25">
      <c r="A1422" t="s">
        <v>3993</v>
      </c>
      <c r="C1422" t="s">
        <v>1995</v>
      </c>
      <c r="D1422" t="s">
        <v>9499</v>
      </c>
    </row>
    <row r="1423" spans="1:4" x14ac:dyDescent="0.25">
      <c r="A1423" t="s">
        <v>3994</v>
      </c>
      <c r="C1423" t="s">
        <v>1996</v>
      </c>
      <c r="D1423" t="s">
        <v>9500</v>
      </c>
    </row>
    <row r="1424" spans="1:4" x14ac:dyDescent="0.25">
      <c r="A1424" t="s">
        <v>3995</v>
      </c>
      <c r="C1424" t="s">
        <v>1997</v>
      </c>
      <c r="D1424" t="s">
        <v>9501</v>
      </c>
    </row>
    <row r="1425" spans="1:4" x14ac:dyDescent="0.25">
      <c r="A1425" t="s">
        <v>3996</v>
      </c>
      <c r="C1425" t="s">
        <v>1998</v>
      </c>
      <c r="D1425" t="s">
        <v>9502</v>
      </c>
    </row>
    <row r="1426" spans="1:4" x14ac:dyDescent="0.25">
      <c r="A1426" t="s">
        <v>3997</v>
      </c>
      <c r="C1426" t="s">
        <v>1999</v>
      </c>
      <c r="D1426" t="s">
        <v>9503</v>
      </c>
    </row>
    <row r="1427" spans="1:4" x14ac:dyDescent="0.25">
      <c r="A1427" t="s">
        <v>3998</v>
      </c>
      <c r="C1427" t="s">
        <v>2000</v>
      </c>
      <c r="D1427" t="s">
        <v>9504</v>
      </c>
    </row>
    <row r="1428" spans="1:4" x14ac:dyDescent="0.25">
      <c r="A1428" t="s">
        <v>3999</v>
      </c>
      <c r="C1428" t="s">
        <v>2001</v>
      </c>
      <c r="D1428" t="s">
        <v>9505</v>
      </c>
    </row>
    <row r="1429" spans="1:4" x14ac:dyDescent="0.25">
      <c r="A1429" t="s">
        <v>4000</v>
      </c>
      <c r="C1429" t="s">
        <v>2002</v>
      </c>
      <c r="D1429" t="s">
        <v>9506</v>
      </c>
    </row>
    <row r="1430" spans="1:4" x14ac:dyDescent="0.25">
      <c r="A1430" t="s">
        <v>4001</v>
      </c>
      <c r="C1430" t="s">
        <v>2003</v>
      </c>
      <c r="D1430" t="s">
        <v>9507</v>
      </c>
    </row>
    <row r="1431" spans="1:4" x14ac:dyDescent="0.25">
      <c r="A1431" t="s">
        <v>4002</v>
      </c>
      <c r="C1431" t="s">
        <v>2004</v>
      </c>
      <c r="D1431" t="s">
        <v>9508</v>
      </c>
    </row>
    <row r="1432" spans="1:4" x14ac:dyDescent="0.25">
      <c r="A1432" t="s">
        <v>4003</v>
      </c>
      <c r="C1432" t="s">
        <v>2005</v>
      </c>
      <c r="D1432" t="s">
        <v>9509</v>
      </c>
    </row>
    <row r="1433" spans="1:4" x14ac:dyDescent="0.25">
      <c r="A1433" t="s">
        <v>4004</v>
      </c>
      <c r="C1433" t="s">
        <v>2006</v>
      </c>
      <c r="D1433" t="s">
        <v>9510</v>
      </c>
    </row>
    <row r="1434" spans="1:4" x14ac:dyDescent="0.25">
      <c r="A1434" t="s">
        <v>4005</v>
      </c>
      <c r="C1434" t="s">
        <v>2007</v>
      </c>
      <c r="D1434" t="s">
        <v>9511</v>
      </c>
    </row>
    <row r="1435" spans="1:4" x14ac:dyDescent="0.25">
      <c r="A1435" t="s">
        <v>4006</v>
      </c>
      <c r="C1435" t="s">
        <v>2008</v>
      </c>
      <c r="D1435" t="s">
        <v>9512</v>
      </c>
    </row>
    <row r="1436" spans="1:4" x14ac:dyDescent="0.25">
      <c r="A1436" t="s">
        <v>4007</v>
      </c>
      <c r="C1436" t="s">
        <v>2009</v>
      </c>
      <c r="D1436" t="s">
        <v>9513</v>
      </c>
    </row>
    <row r="1437" spans="1:4" x14ac:dyDescent="0.25">
      <c r="A1437" t="s">
        <v>4008</v>
      </c>
      <c r="C1437" t="s">
        <v>2010</v>
      </c>
      <c r="D1437" t="s">
        <v>9514</v>
      </c>
    </row>
    <row r="1438" spans="1:4" x14ac:dyDescent="0.25">
      <c r="A1438" t="s">
        <v>4009</v>
      </c>
      <c r="C1438" t="s">
        <v>2011</v>
      </c>
      <c r="D1438" t="s">
        <v>9515</v>
      </c>
    </row>
    <row r="1439" spans="1:4" x14ac:dyDescent="0.25">
      <c r="A1439" t="s">
        <v>4010</v>
      </c>
      <c r="C1439" t="s">
        <v>2012</v>
      </c>
      <c r="D1439" t="s">
        <v>9516</v>
      </c>
    </row>
    <row r="1440" spans="1:4" x14ac:dyDescent="0.25">
      <c r="A1440" t="s">
        <v>4011</v>
      </c>
      <c r="C1440" t="s">
        <v>2013</v>
      </c>
      <c r="D1440" t="s">
        <v>9517</v>
      </c>
    </row>
    <row r="1441" spans="1:4" x14ac:dyDescent="0.25">
      <c r="A1441" t="s">
        <v>4012</v>
      </c>
      <c r="C1441" t="s">
        <v>2014</v>
      </c>
      <c r="D1441" t="s">
        <v>9518</v>
      </c>
    </row>
    <row r="1442" spans="1:4" x14ac:dyDescent="0.25">
      <c r="A1442" t="s">
        <v>4013</v>
      </c>
      <c r="C1442" t="s">
        <v>2015</v>
      </c>
      <c r="D1442" t="s">
        <v>9519</v>
      </c>
    </row>
    <row r="1443" spans="1:4" x14ac:dyDescent="0.25">
      <c r="A1443" t="s">
        <v>4014</v>
      </c>
      <c r="C1443" t="s">
        <v>2016</v>
      </c>
      <c r="D1443" t="s">
        <v>9520</v>
      </c>
    </row>
    <row r="1444" spans="1:4" x14ac:dyDescent="0.25">
      <c r="A1444" t="s">
        <v>4015</v>
      </c>
      <c r="C1444" t="s">
        <v>2017</v>
      </c>
      <c r="D1444" t="s">
        <v>9521</v>
      </c>
    </row>
    <row r="1445" spans="1:4" x14ac:dyDescent="0.25">
      <c r="A1445" t="s">
        <v>4016</v>
      </c>
      <c r="C1445" t="s">
        <v>2018</v>
      </c>
      <c r="D1445" t="s">
        <v>9522</v>
      </c>
    </row>
    <row r="1446" spans="1:4" x14ac:dyDescent="0.25">
      <c r="A1446" t="s">
        <v>4017</v>
      </c>
      <c r="C1446" t="s">
        <v>2019</v>
      </c>
      <c r="D1446" t="s">
        <v>9523</v>
      </c>
    </row>
    <row r="1447" spans="1:4" x14ac:dyDescent="0.25">
      <c r="A1447" t="s">
        <v>4018</v>
      </c>
      <c r="C1447" t="s">
        <v>2020</v>
      </c>
      <c r="D1447" t="s">
        <v>9524</v>
      </c>
    </row>
    <row r="1448" spans="1:4" x14ac:dyDescent="0.25">
      <c r="A1448" t="s">
        <v>4019</v>
      </c>
      <c r="C1448" t="s">
        <v>2021</v>
      </c>
      <c r="D1448" t="s">
        <v>9525</v>
      </c>
    </row>
    <row r="1449" spans="1:4" x14ac:dyDescent="0.25">
      <c r="A1449" t="s">
        <v>4020</v>
      </c>
      <c r="C1449" t="s">
        <v>2022</v>
      </c>
      <c r="D1449" t="s">
        <v>9526</v>
      </c>
    </row>
    <row r="1450" spans="1:4" x14ac:dyDescent="0.25">
      <c r="A1450" t="s">
        <v>4021</v>
      </c>
      <c r="C1450" t="s">
        <v>2023</v>
      </c>
      <c r="D1450" t="s">
        <v>9527</v>
      </c>
    </row>
    <row r="1451" spans="1:4" x14ac:dyDescent="0.25">
      <c r="A1451" t="s">
        <v>4022</v>
      </c>
      <c r="C1451" t="s">
        <v>2024</v>
      </c>
      <c r="D1451" t="s">
        <v>9528</v>
      </c>
    </row>
    <row r="1452" spans="1:4" x14ac:dyDescent="0.25">
      <c r="A1452" t="s">
        <v>4023</v>
      </c>
      <c r="C1452" t="s">
        <v>2025</v>
      </c>
      <c r="D1452" t="s">
        <v>9529</v>
      </c>
    </row>
    <row r="1453" spans="1:4" x14ac:dyDescent="0.25">
      <c r="A1453" t="s">
        <v>4024</v>
      </c>
      <c r="C1453" t="s">
        <v>2026</v>
      </c>
      <c r="D1453" t="s">
        <v>9530</v>
      </c>
    </row>
    <row r="1454" spans="1:4" x14ac:dyDescent="0.25">
      <c r="A1454" t="s">
        <v>4025</v>
      </c>
      <c r="C1454" t="s">
        <v>2027</v>
      </c>
      <c r="D1454" t="s">
        <v>9531</v>
      </c>
    </row>
    <row r="1455" spans="1:4" x14ac:dyDescent="0.25">
      <c r="A1455" t="s">
        <v>4026</v>
      </c>
      <c r="C1455" t="s">
        <v>2028</v>
      </c>
      <c r="D1455" t="s">
        <v>9532</v>
      </c>
    </row>
    <row r="1456" spans="1:4" x14ac:dyDescent="0.25">
      <c r="A1456" t="s">
        <v>4027</v>
      </c>
      <c r="C1456" t="s">
        <v>2029</v>
      </c>
      <c r="D1456" t="s">
        <v>9533</v>
      </c>
    </row>
    <row r="1457" spans="1:4" x14ac:dyDescent="0.25">
      <c r="A1457" t="s">
        <v>4028</v>
      </c>
      <c r="C1457" t="s">
        <v>2030</v>
      </c>
      <c r="D1457" t="s">
        <v>9534</v>
      </c>
    </row>
    <row r="1458" spans="1:4" x14ac:dyDescent="0.25">
      <c r="A1458" t="s">
        <v>4029</v>
      </c>
      <c r="C1458" t="s">
        <v>2031</v>
      </c>
      <c r="D1458" t="s">
        <v>9535</v>
      </c>
    </row>
    <row r="1459" spans="1:4" x14ac:dyDescent="0.25">
      <c r="A1459" t="s">
        <v>4030</v>
      </c>
      <c r="C1459" t="s">
        <v>2032</v>
      </c>
      <c r="D1459" t="s">
        <v>9536</v>
      </c>
    </row>
    <row r="1460" spans="1:4" x14ac:dyDescent="0.25">
      <c r="A1460" t="s">
        <v>4031</v>
      </c>
      <c r="C1460" t="s">
        <v>2033</v>
      </c>
      <c r="D1460" t="s">
        <v>9537</v>
      </c>
    </row>
    <row r="1461" spans="1:4" x14ac:dyDescent="0.25">
      <c r="A1461" t="s">
        <v>4032</v>
      </c>
      <c r="C1461" t="s">
        <v>2034</v>
      </c>
      <c r="D1461" t="s">
        <v>9538</v>
      </c>
    </row>
    <row r="1462" spans="1:4" x14ac:dyDescent="0.25">
      <c r="A1462" t="s">
        <v>4033</v>
      </c>
      <c r="C1462" t="s">
        <v>2035</v>
      </c>
      <c r="D1462" t="s">
        <v>9539</v>
      </c>
    </row>
    <row r="1463" spans="1:4" x14ac:dyDescent="0.25">
      <c r="A1463" t="s">
        <v>4034</v>
      </c>
      <c r="C1463" t="s">
        <v>2036</v>
      </c>
      <c r="D1463" t="s">
        <v>9540</v>
      </c>
    </row>
    <row r="1464" spans="1:4" x14ac:dyDescent="0.25">
      <c r="A1464" t="s">
        <v>4035</v>
      </c>
      <c r="C1464" t="s">
        <v>2037</v>
      </c>
      <c r="D1464" t="s">
        <v>9541</v>
      </c>
    </row>
    <row r="1465" spans="1:4" x14ac:dyDescent="0.25">
      <c r="A1465" t="s">
        <v>4036</v>
      </c>
      <c r="C1465" t="s">
        <v>2038</v>
      </c>
      <c r="D1465" t="s">
        <v>9542</v>
      </c>
    </row>
    <row r="1466" spans="1:4" x14ac:dyDescent="0.25">
      <c r="A1466" t="s">
        <v>4037</v>
      </c>
      <c r="C1466" t="s">
        <v>2039</v>
      </c>
      <c r="D1466" t="s">
        <v>9543</v>
      </c>
    </row>
    <row r="1467" spans="1:4" x14ac:dyDescent="0.25">
      <c r="A1467" t="s">
        <v>4038</v>
      </c>
      <c r="C1467" t="s">
        <v>2040</v>
      </c>
      <c r="D1467" t="s">
        <v>9544</v>
      </c>
    </row>
    <row r="1468" spans="1:4" x14ac:dyDescent="0.25">
      <c r="A1468" t="s">
        <v>4039</v>
      </c>
      <c r="C1468" t="s">
        <v>2041</v>
      </c>
      <c r="D1468" t="s">
        <v>9545</v>
      </c>
    </row>
    <row r="1469" spans="1:4" x14ac:dyDescent="0.25">
      <c r="A1469" t="s">
        <v>4040</v>
      </c>
      <c r="C1469" t="s">
        <v>2042</v>
      </c>
      <c r="D1469" t="s">
        <v>9546</v>
      </c>
    </row>
    <row r="1470" spans="1:4" x14ac:dyDescent="0.25">
      <c r="A1470" t="s">
        <v>4041</v>
      </c>
      <c r="C1470" t="s">
        <v>2043</v>
      </c>
      <c r="D1470" t="s">
        <v>9547</v>
      </c>
    </row>
    <row r="1471" spans="1:4" x14ac:dyDescent="0.25">
      <c r="A1471" t="s">
        <v>4042</v>
      </c>
      <c r="C1471" t="s">
        <v>2044</v>
      </c>
      <c r="D1471" t="s">
        <v>9548</v>
      </c>
    </row>
    <row r="1472" spans="1:4" x14ac:dyDescent="0.25">
      <c r="A1472" t="s">
        <v>4043</v>
      </c>
      <c r="C1472" t="s">
        <v>2045</v>
      </c>
      <c r="D1472" t="s">
        <v>9549</v>
      </c>
    </row>
    <row r="1473" spans="1:4" x14ac:dyDescent="0.25">
      <c r="A1473" t="s">
        <v>4044</v>
      </c>
      <c r="C1473" t="s">
        <v>2046</v>
      </c>
      <c r="D1473" t="s">
        <v>9550</v>
      </c>
    </row>
    <row r="1474" spans="1:4" x14ac:dyDescent="0.25">
      <c r="A1474" t="s">
        <v>4045</v>
      </c>
      <c r="C1474" t="s">
        <v>2047</v>
      </c>
      <c r="D1474" t="s">
        <v>9551</v>
      </c>
    </row>
    <row r="1475" spans="1:4" x14ac:dyDescent="0.25">
      <c r="A1475" t="s">
        <v>4046</v>
      </c>
      <c r="C1475" t="s">
        <v>2048</v>
      </c>
      <c r="D1475" t="s">
        <v>9552</v>
      </c>
    </row>
    <row r="1476" spans="1:4" x14ac:dyDescent="0.25">
      <c r="A1476" t="s">
        <v>4047</v>
      </c>
      <c r="C1476" t="s">
        <v>2049</v>
      </c>
      <c r="D1476" t="s">
        <v>9553</v>
      </c>
    </row>
    <row r="1477" spans="1:4" x14ac:dyDescent="0.25">
      <c r="A1477" t="s">
        <v>4048</v>
      </c>
      <c r="C1477" t="s">
        <v>2050</v>
      </c>
      <c r="D1477" t="s">
        <v>9554</v>
      </c>
    </row>
    <row r="1478" spans="1:4" x14ac:dyDescent="0.25">
      <c r="A1478" t="s">
        <v>4049</v>
      </c>
      <c r="C1478" t="s">
        <v>2051</v>
      </c>
      <c r="D1478" t="s">
        <v>9555</v>
      </c>
    </row>
    <row r="1479" spans="1:4" x14ac:dyDescent="0.25">
      <c r="A1479" t="s">
        <v>4050</v>
      </c>
      <c r="C1479" t="s">
        <v>2052</v>
      </c>
      <c r="D1479" t="s">
        <v>9556</v>
      </c>
    </row>
    <row r="1480" spans="1:4" x14ac:dyDescent="0.25">
      <c r="A1480" t="s">
        <v>4051</v>
      </c>
      <c r="C1480" t="s">
        <v>2053</v>
      </c>
      <c r="D1480" t="s">
        <v>9557</v>
      </c>
    </row>
    <row r="1481" spans="1:4" x14ac:dyDescent="0.25">
      <c r="A1481" t="s">
        <v>4052</v>
      </c>
      <c r="C1481" t="s">
        <v>2054</v>
      </c>
      <c r="D1481" t="s">
        <v>9558</v>
      </c>
    </row>
    <row r="1482" spans="1:4" x14ac:dyDescent="0.25">
      <c r="A1482" t="s">
        <v>4053</v>
      </c>
      <c r="C1482" t="s">
        <v>2055</v>
      </c>
      <c r="D1482" t="s">
        <v>9559</v>
      </c>
    </row>
    <row r="1483" spans="1:4" x14ac:dyDescent="0.25">
      <c r="A1483" t="s">
        <v>4054</v>
      </c>
      <c r="C1483" t="s">
        <v>2056</v>
      </c>
      <c r="D1483" t="s">
        <v>9560</v>
      </c>
    </row>
    <row r="1484" spans="1:4" x14ac:dyDescent="0.25">
      <c r="A1484" t="s">
        <v>4055</v>
      </c>
      <c r="C1484" t="s">
        <v>2057</v>
      </c>
      <c r="D1484" t="s">
        <v>9561</v>
      </c>
    </row>
    <row r="1485" spans="1:4" x14ac:dyDescent="0.25">
      <c r="A1485" t="s">
        <v>4056</v>
      </c>
      <c r="C1485" t="s">
        <v>2058</v>
      </c>
      <c r="D1485" t="s">
        <v>9562</v>
      </c>
    </row>
    <row r="1486" spans="1:4" x14ac:dyDescent="0.25">
      <c r="A1486" t="s">
        <v>4057</v>
      </c>
      <c r="C1486" t="s">
        <v>2059</v>
      </c>
      <c r="D1486" t="s">
        <v>9563</v>
      </c>
    </row>
    <row r="1487" spans="1:4" x14ac:dyDescent="0.25">
      <c r="A1487" t="s">
        <v>4058</v>
      </c>
      <c r="C1487" t="s">
        <v>2060</v>
      </c>
      <c r="D1487" t="s">
        <v>9564</v>
      </c>
    </row>
    <row r="1488" spans="1:4" x14ac:dyDescent="0.25">
      <c r="A1488" t="s">
        <v>4059</v>
      </c>
      <c r="C1488" t="s">
        <v>2061</v>
      </c>
      <c r="D1488" t="s">
        <v>9565</v>
      </c>
    </row>
    <row r="1489" spans="1:4" x14ac:dyDescent="0.25">
      <c r="A1489" t="s">
        <v>4060</v>
      </c>
      <c r="C1489" t="s">
        <v>2062</v>
      </c>
      <c r="D1489" t="s">
        <v>9566</v>
      </c>
    </row>
    <row r="1490" spans="1:4" x14ac:dyDescent="0.25">
      <c r="A1490" t="s">
        <v>4061</v>
      </c>
      <c r="C1490" t="s">
        <v>2063</v>
      </c>
      <c r="D1490" t="s">
        <v>9567</v>
      </c>
    </row>
    <row r="1491" spans="1:4" x14ac:dyDescent="0.25">
      <c r="A1491" t="s">
        <v>4062</v>
      </c>
      <c r="C1491" t="s">
        <v>2064</v>
      </c>
      <c r="D1491" t="s">
        <v>9568</v>
      </c>
    </row>
    <row r="1492" spans="1:4" x14ac:dyDescent="0.25">
      <c r="A1492" t="s">
        <v>4063</v>
      </c>
      <c r="C1492" t="s">
        <v>2065</v>
      </c>
      <c r="D1492" t="s">
        <v>9569</v>
      </c>
    </row>
    <row r="1493" spans="1:4" x14ac:dyDescent="0.25">
      <c r="A1493" t="s">
        <v>4064</v>
      </c>
      <c r="C1493" t="s">
        <v>2066</v>
      </c>
      <c r="D1493" t="s">
        <v>9570</v>
      </c>
    </row>
    <row r="1494" spans="1:4" x14ac:dyDescent="0.25">
      <c r="A1494" t="s">
        <v>4065</v>
      </c>
      <c r="C1494" t="s">
        <v>2067</v>
      </c>
      <c r="D1494" t="s">
        <v>9571</v>
      </c>
    </row>
    <row r="1495" spans="1:4" x14ac:dyDescent="0.25">
      <c r="A1495" t="s">
        <v>4066</v>
      </c>
      <c r="C1495" t="s">
        <v>2068</v>
      </c>
      <c r="D1495" t="s">
        <v>9572</v>
      </c>
    </row>
    <row r="1496" spans="1:4" x14ac:dyDescent="0.25">
      <c r="A1496" t="s">
        <v>4067</v>
      </c>
      <c r="C1496" t="s">
        <v>2069</v>
      </c>
      <c r="D1496" t="s">
        <v>9573</v>
      </c>
    </row>
    <row r="1497" spans="1:4" x14ac:dyDescent="0.25">
      <c r="A1497" t="s">
        <v>4068</v>
      </c>
      <c r="C1497" t="s">
        <v>2070</v>
      </c>
      <c r="D1497" t="s">
        <v>9574</v>
      </c>
    </row>
    <row r="1498" spans="1:4" x14ac:dyDescent="0.25">
      <c r="A1498" t="s">
        <v>4069</v>
      </c>
      <c r="C1498" t="s">
        <v>2071</v>
      </c>
      <c r="D1498" t="s">
        <v>9575</v>
      </c>
    </row>
    <row r="1499" spans="1:4" x14ac:dyDescent="0.25">
      <c r="A1499" t="s">
        <v>4070</v>
      </c>
      <c r="C1499" t="s">
        <v>2072</v>
      </c>
      <c r="D1499" t="s">
        <v>9576</v>
      </c>
    </row>
    <row r="1500" spans="1:4" x14ac:dyDescent="0.25">
      <c r="A1500" t="s">
        <v>4071</v>
      </c>
      <c r="C1500" t="s">
        <v>2073</v>
      </c>
      <c r="D1500" t="s">
        <v>9577</v>
      </c>
    </row>
    <row r="1501" spans="1:4" x14ac:dyDescent="0.25">
      <c r="A1501" t="s">
        <v>4072</v>
      </c>
      <c r="C1501" t="s">
        <v>2074</v>
      </c>
      <c r="D1501" t="s">
        <v>9578</v>
      </c>
    </row>
    <row r="1502" spans="1:4" x14ac:dyDescent="0.25">
      <c r="A1502" t="s">
        <v>4073</v>
      </c>
      <c r="C1502" t="s">
        <v>2075</v>
      </c>
      <c r="D1502" t="s">
        <v>9579</v>
      </c>
    </row>
    <row r="1503" spans="1:4" x14ac:dyDescent="0.25">
      <c r="A1503" t="s">
        <v>4074</v>
      </c>
      <c r="C1503" t="s">
        <v>2076</v>
      </c>
      <c r="D1503" t="s">
        <v>9580</v>
      </c>
    </row>
    <row r="1504" spans="1:4" x14ac:dyDescent="0.25">
      <c r="A1504" t="s">
        <v>4075</v>
      </c>
      <c r="C1504" t="s">
        <v>2077</v>
      </c>
      <c r="D1504" t="s">
        <v>9581</v>
      </c>
    </row>
    <row r="1505" spans="1:4" x14ac:dyDescent="0.25">
      <c r="A1505" t="s">
        <v>4076</v>
      </c>
      <c r="C1505" t="s">
        <v>2078</v>
      </c>
      <c r="D1505" t="s">
        <v>9582</v>
      </c>
    </row>
    <row r="1506" spans="1:4" x14ac:dyDescent="0.25">
      <c r="A1506" t="s">
        <v>4077</v>
      </c>
      <c r="C1506" t="s">
        <v>2079</v>
      </c>
      <c r="D1506" t="s">
        <v>9583</v>
      </c>
    </row>
    <row r="1507" spans="1:4" x14ac:dyDescent="0.25">
      <c r="A1507" t="s">
        <v>4078</v>
      </c>
      <c r="C1507" t="s">
        <v>2080</v>
      </c>
      <c r="D1507" t="s">
        <v>9584</v>
      </c>
    </row>
    <row r="1508" spans="1:4" x14ac:dyDescent="0.25">
      <c r="A1508" t="s">
        <v>4079</v>
      </c>
      <c r="C1508" t="s">
        <v>2081</v>
      </c>
      <c r="D1508" t="s">
        <v>9585</v>
      </c>
    </row>
    <row r="1509" spans="1:4" x14ac:dyDescent="0.25">
      <c r="A1509" t="s">
        <v>4080</v>
      </c>
      <c r="C1509" t="s">
        <v>2082</v>
      </c>
      <c r="D1509" t="s">
        <v>9586</v>
      </c>
    </row>
    <row r="1510" spans="1:4" x14ac:dyDescent="0.25">
      <c r="A1510" t="s">
        <v>4081</v>
      </c>
      <c r="C1510" t="s">
        <v>2083</v>
      </c>
      <c r="D1510" t="s">
        <v>9587</v>
      </c>
    </row>
    <row r="1511" spans="1:4" x14ac:dyDescent="0.25">
      <c r="A1511" t="s">
        <v>4082</v>
      </c>
      <c r="C1511" t="s">
        <v>2084</v>
      </c>
      <c r="D1511" t="s">
        <v>9588</v>
      </c>
    </row>
    <row r="1512" spans="1:4" x14ac:dyDescent="0.25">
      <c r="A1512" t="s">
        <v>4083</v>
      </c>
      <c r="C1512" t="s">
        <v>2085</v>
      </c>
      <c r="D1512" t="s">
        <v>9589</v>
      </c>
    </row>
    <row r="1513" spans="1:4" x14ac:dyDescent="0.25">
      <c r="A1513" t="s">
        <v>4084</v>
      </c>
      <c r="C1513" t="s">
        <v>2086</v>
      </c>
      <c r="D1513" t="s">
        <v>9590</v>
      </c>
    </row>
    <row r="1514" spans="1:4" x14ac:dyDescent="0.25">
      <c r="A1514" t="s">
        <v>4085</v>
      </c>
      <c r="C1514" t="s">
        <v>2087</v>
      </c>
      <c r="D1514" t="s">
        <v>9591</v>
      </c>
    </row>
    <row r="1515" spans="1:4" x14ac:dyDescent="0.25">
      <c r="A1515" t="s">
        <v>4086</v>
      </c>
      <c r="C1515" t="s">
        <v>2088</v>
      </c>
      <c r="D1515" t="s">
        <v>9592</v>
      </c>
    </row>
    <row r="1516" spans="1:4" x14ac:dyDescent="0.25">
      <c r="A1516" t="s">
        <v>4087</v>
      </c>
      <c r="C1516" t="s">
        <v>2089</v>
      </c>
      <c r="D1516" t="s">
        <v>9593</v>
      </c>
    </row>
    <row r="1517" spans="1:4" x14ac:dyDescent="0.25">
      <c r="A1517" t="s">
        <v>4088</v>
      </c>
      <c r="C1517" t="s">
        <v>2090</v>
      </c>
      <c r="D1517" t="s">
        <v>9594</v>
      </c>
    </row>
    <row r="1518" spans="1:4" x14ac:dyDescent="0.25">
      <c r="A1518" t="s">
        <v>4089</v>
      </c>
      <c r="C1518" t="s">
        <v>2091</v>
      </c>
      <c r="D1518" t="s">
        <v>9595</v>
      </c>
    </row>
    <row r="1519" spans="1:4" x14ac:dyDescent="0.25">
      <c r="A1519" t="s">
        <v>4090</v>
      </c>
      <c r="C1519" t="s">
        <v>2092</v>
      </c>
      <c r="D1519" t="s">
        <v>9596</v>
      </c>
    </row>
    <row r="1520" spans="1:4" x14ac:dyDescent="0.25">
      <c r="A1520" t="s">
        <v>4091</v>
      </c>
      <c r="C1520" t="s">
        <v>2093</v>
      </c>
      <c r="D1520" t="s">
        <v>9597</v>
      </c>
    </row>
    <row r="1521" spans="1:4" x14ac:dyDescent="0.25">
      <c r="A1521" t="s">
        <v>4092</v>
      </c>
      <c r="C1521" t="s">
        <v>2094</v>
      </c>
      <c r="D1521" t="s">
        <v>9598</v>
      </c>
    </row>
    <row r="1522" spans="1:4" x14ac:dyDescent="0.25">
      <c r="A1522" t="s">
        <v>4093</v>
      </c>
      <c r="C1522" t="s">
        <v>2095</v>
      </c>
      <c r="D1522" t="s">
        <v>9599</v>
      </c>
    </row>
    <row r="1523" spans="1:4" x14ac:dyDescent="0.25">
      <c r="A1523" t="s">
        <v>4094</v>
      </c>
      <c r="C1523" t="s">
        <v>2096</v>
      </c>
      <c r="D1523" t="s">
        <v>9600</v>
      </c>
    </row>
    <row r="1524" spans="1:4" x14ac:dyDescent="0.25">
      <c r="A1524" t="s">
        <v>4095</v>
      </c>
      <c r="C1524" t="s">
        <v>2097</v>
      </c>
      <c r="D1524" t="s">
        <v>9601</v>
      </c>
    </row>
    <row r="1525" spans="1:4" x14ac:dyDescent="0.25">
      <c r="A1525" t="s">
        <v>4096</v>
      </c>
      <c r="C1525" t="s">
        <v>2098</v>
      </c>
      <c r="D1525" t="s">
        <v>9602</v>
      </c>
    </row>
    <row r="1526" spans="1:4" x14ac:dyDescent="0.25">
      <c r="A1526" t="s">
        <v>4097</v>
      </c>
      <c r="C1526" t="s">
        <v>2099</v>
      </c>
      <c r="D1526" t="s">
        <v>9603</v>
      </c>
    </row>
    <row r="1527" spans="1:4" x14ac:dyDescent="0.25">
      <c r="A1527" t="s">
        <v>4098</v>
      </c>
      <c r="C1527" t="s">
        <v>2100</v>
      </c>
      <c r="D1527" t="s">
        <v>9604</v>
      </c>
    </row>
    <row r="1528" spans="1:4" x14ac:dyDescent="0.25">
      <c r="A1528" t="s">
        <v>4099</v>
      </c>
      <c r="C1528" t="s">
        <v>2101</v>
      </c>
      <c r="D1528" t="s">
        <v>9605</v>
      </c>
    </row>
    <row r="1529" spans="1:4" x14ac:dyDescent="0.25">
      <c r="A1529" t="s">
        <v>4100</v>
      </c>
      <c r="C1529" t="s">
        <v>2102</v>
      </c>
      <c r="D1529" t="s">
        <v>9606</v>
      </c>
    </row>
    <row r="1530" spans="1:4" x14ac:dyDescent="0.25">
      <c r="A1530" t="s">
        <v>4101</v>
      </c>
      <c r="C1530" t="s">
        <v>2103</v>
      </c>
      <c r="D1530" t="s">
        <v>9607</v>
      </c>
    </row>
    <row r="1531" spans="1:4" x14ac:dyDescent="0.25">
      <c r="A1531" t="s">
        <v>4102</v>
      </c>
      <c r="C1531" t="s">
        <v>2104</v>
      </c>
      <c r="D1531" t="s">
        <v>9608</v>
      </c>
    </row>
    <row r="1532" spans="1:4" x14ac:dyDescent="0.25">
      <c r="A1532" t="s">
        <v>4103</v>
      </c>
      <c r="C1532" t="s">
        <v>2105</v>
      </c>
      <c r="D1532" t="s">
        <v>9609</v>
      </c>
    </row>
    <row r="1533" spans="1:4" x14ac:dyDescent="0.25">
      <c r="A1533" t="s">
        <v>4104</v>
      </c>
      <c r="C1533" t="s">
        <v>2106</v>
      </c>
      <c r="D1533" t="s">
        <v>9610</v>
      </c>
    </row>
    <row r="1534" spans="1:4" x14ac:dyDescent="0.25">
      <c r="A1534" t="s">
        <v>4105</v>
      </c>
      <c r="C1534" t="s">
        <v>2107</v>
      </c>
      <c r="D1534" t="s">
        <v>9611</v>
      </c>
    </row>
    <row r="1535" spans="1:4" x14ac:dyDescent="0.25">
      <c r="A1535" t="s">
        <v>4106</v>
      </c>
      <c r="C1535" t="s">
        <v>2108</v>
      </c>
      <c r="D1535" t="s">
        <v>9612</v>
      </c>
    </row>
    <row r="1536" spans="1:4" x14ac:dyDescent="0.25">
      <c r="A1536" t="s">
        <v>4107</v>
      </c>
      <c r="C1536" t="s">
        <v>2109</v>
      </c>
      <c r="D1536" t="s">
        <v>9613</v>
      </c>
    </row>
    <row r="1537" spans="1:4" x14ac:dyDescent="0.25">
      <c r="A1537" t="s">
        <v>4108</v>
      </c>
      <c r="C1537" t="s">
        <v>2110</v>
      </c>
      <c r="D1537" t="s">
        <v>9614</v>
      </c>
    </row>
    <row r="1538" spans="1:4" x14ac:dyDescent="0.25">
      <c r="A1538" t="s">
        <v>4109</v>
      </c>
      <c r="C1538" t="s">
        <v>2111</v>
      </c>
      <c r="D1538" t="s">
        <v>9615</v>
      </c>
    </row>
    <row r="1539" spans="1:4" x14ac:dyDescent="0.25">
      <c r="A1539" t="s">
        <v>4110</v>
      </c>
      <c r="C1539" t="s">
        <v>2112</v>
      </c>
      <c r="D1539" t="s">
        <v>9616</v>
      </c>
    </row>
    <row r="1540" spans="1:4" x14ac:dyDescent="0.25">
      <c r="A1540" t="s">
        <v>4111</v>
      </c>
      <c r="C1540" t="s">
        <v>2113</v>
      </c>
      <c r="D1540" t="s">
        <v>9617</v>
      </c>
    </row>
    <row r="1541" spans="1:4" x14ac:dyDescent="0.25">
      <c r="A1541" t="s">
        <v>4112</v>
      </c>
      <c r="C1541" t="s">
        <v>2114</v>
      </c>
      <c r="D1541" t="s">
        <v>9618</v>
      </c>
    </row>
    <row r="1542" spans="1:4" x14ac:dyDescent="0.25">
      <c r="A1542" t="s">
        <v>4113</v>
      </c>
      <c r="C1542" t="s">
        <v>2115</v>
      </c>
      <c r="D1542" t="s">
        <v>9619</v>
      </c>
    </row>
    <row r="1543" spans="1:4" x14ac:dyDescent="0.25">
      <c r="A1543" t="s">
        <v>4114</v>
      </c>
      <c r="C1543" t="s">
        <v>2116</v>
      </c>
      <c r="D1543" t="s">
        <v>9620</v>
      </c>
    </row>
    <row r="1544" spans="1:4" x14ac:dyDescent="0.25">
      <c r="A1544" t="s">
        <v>4115</v>
      </c>
      <c r="C1544" t="s">
        <v>2117</v>
      </c>
      <c r="D1544" t="s">
        <v>9621</v>
      </c>
    </row>
    <row r="1545" spans="1:4" x14ac:dyDescent="0.25">
      <c r="A1545" t="s">
        <v>4116</v>
      </c>
      <c r="C1545" t="s">
        <v>2118</v>
      </c>
      <c r="D1545" t="s">
        <v>9622</v>
      </c>
    </row>
    <row r="1546" spans="1:4" x14ac:dyDescent="0.25">
      <c r="A1546" t="s">
        <v>4117</v>
      </c>
      <c r="C1546" t="s">
        <v>2119</v>
      </c>
      <c r="D1546" t="s">
        <v>9623</v>
      </c>
    </row>
    <row r="1547" spans="1:4" x14ac:dyDescent="0.25">
      <c r="A1547" t="s">
        <v>4118</v>
      </c>
      <c r="C1547" t="s">
        <v>2120</v>
      </c>
      <c r="D1547" t="s">
        <v>9624</v>
      </c>
    </row>
    <row r="1548" spans="1:4" x14ac:dyDescent="0.25">
      <c r="A1548" t="s">
        <v>4119</v>
      </c>
      <c r="C1548" t="s">
        <v>2121</v>
      </c>
      <c r="D1548" t="s">
        <v>9625</v>
      </c>
    </row>
    <row r="1549" spans="1:4" x14ac:dyDescent="0.25">
      <c r="A1549" t="s">
        <v>4120</v>
      </c>
      <c r="C1549" t="s">
        <v>2122</v>
      </c>
      <c r="D1549" t="s">
        <v>9626</v>
      </c>
    </row>
    <row r="1550" spans="1:4" x14ac:dyDescent="0.25">
      <c r="A1550" t="s">
        <v>4121</v>
      </c>
      <c r="C1550" t="s">
        <v>2123</v>
      </c>
      <c r="D1550" t="s">
        <v>9627</v>
      </c>
    </row>
    <row r="1551" spans="1:4" x14ac:dyDescent="0.25">
      <c r="A1551" t="s">
        <v>4122</v>
      </c>
      <c r="C1551" t="s">
        <v>2124</v>
      </c>
      <c r="D1551" t="s">
        <v>9628</v>
      </c>
    </row>
    <row r="1552" spans="1:4" x14ac:dyDescent="0.25">
      <c r="A1552" t="s">
        <v>4123</v>
      </c>
      <c r="C1552" t="s">
        <v>2125</v>
      </c>
      <c r="D1552" t="s">
        <v>9629</v>
      </c>
    </row>
    <row r="1553" spans="1:4" x14ac:dyDescent="0.25">
      <c r="A1553" t="s">
        <v>4124</v>
      </c>
      <c r="C1553" t="s">
        <v>2126</v>
      </c>
      <c r="D1553" t="s">
        <v>9630</v>
      </c>
    </row>
    <row r="1554" spans="1:4" x14ac:dyDescent="0.25">
      <c r="A1554" t="s">
        <v>4125</v>
      </c>
      <c r="C1554" t="s">
        <v>2127</v>
      </c>
      <c r="D1554" t="s">
        <v>9631</v>
      </c>
    </row>
    <row r="1555" spans="1:4" x14ac:dyDescent="0.25">
      <c r="A1555" t="s">
        <v>4126</v>
      </c>
      <c r="C1555" t="s">
        <v>2128</v>
      </c>
      <c r="D1555" t="s">
        <v>9632</v>
      </c>
    </row>
    <row r="1556" spans="1:4" x14ac:dyDescent="0.25">
      <c r="A1556" t="s">
        <v>4127</v>
      </c>
      <c r="C1556" t="s">
        <v>2129</v>
      </c>
      <c r="D1556" t="s">
        <v>9633</v>
      </c>
    </row>
    <row r="1557" spans="1:4" x14ac:dyDescent="0.25">
      <c r="A1557" t="s">
        <v>4128</v>
      </c>
      <c r="C1557" t="s">
        <v>2130</v>
      </c>
      <c r="D1557" t="s">
        <v>9634</v>
      </c>
    </row>
    <row r="1558" spans="1:4" x14ac:dyDescent="0.25">
      <c r="A1558" t="s">
        <v>4129</v>
      </c>
      <c r="C1558" t="s">
        <v>2131</v>
      </c>
      <c r="D1558" t="s">
        <v>9635</v>
      </c>
    </row>
    <row r="1559" spans="1:4" x14ac:dyDescent="0.25">
      <c r="A1559" t="s">
        <v>4130</v>
      </c>
      <c r="C1559" t="s">
        <v>2132</v>
      </c>
      <c r="D1559" t="s">
        <v>9636</v>
      </c>
    </row>
    <row r="1560" spans="1:4" x14ac:dyDescent="0.25">
      <c r="A1560" t="s">
        <v>4131</v>
      </c>
      <c r="C1560" t="s">
        <v>2133</v>
      </c>
      <c r="D1560" t="s">
        <v>9637</v>
      </c>
    </row>
    <row r="1561" spans="1:4" x14ac:dyDescent="0.25">
      <c r="A1561" t="s">
        <v>4132</v>
      </c>
      <c r="C1561" t="s">
        <v>2134</v>
      </c>
      <c r="D1561" t="s">
        <v>9638</v>
      </c>
    </row>
    <row r="1562" spans="1:4" x14ac:dyDescent="0.25">
      <c r="A1562" t="s">
        <v>4133</v>
      </c>
      <c r="C1562" t="s">
        <v>2135</v>
      </c>
      <c r="D1562" t="s">
        <v>9639</v>
      </c>
    </row>
    <row r="1563" spans="1:4" x14ac:dyDescent="0.25">
      <c r="A1563" t="s">
        <v>4134</v>
      </c>
      <c r="C1563" t="s">
        <v>2136</v>
      </c>
      <c r="D1563" t="s">
        <v>9640</v>
      </c>
    </row>
    <row r="1564" spans="1:4" x14ac:dyDescent="0.25">
      <c r="A1564" t="s">
        <v>4135</v>
      </c>
      <c r="C1564" t="s">
        <v>2137</v>
      </c>
      <c r="D1564" t="s">
        <v>9641</v>
      </c>
    </row>
    <row r="1565" spans="1:4" x14ac:dyDescent="0.25">
      <c r="A1565" t="s">
        <v>4136</v>
      </c>
      <c r="C1565" t="s">
        <v>2138</v>
      </c>
      <c r="D1565" t="s">
        <v>9642</v>
      </c>
    </row>
    <row r="1566" spans="1:4" x14ac:dyDescent="0.25">
      <c r="A1566" t="s">
        <v>4137</v>
      </c>
      <c r="C1566" t="s">
        <v>2139</v>
      </c>
      <c r="D1566" t="s">
        <v>9643</v>
      </c>
    </row>
    <row r="1567" spans="1:4" x14ac:dyDescent="0.25">
      <c r="A1567" t="s">
        <v>4138</v>
      </c>
      <c r="C1567" t="s">
        <v>2140</v>
      </c>
      <c r="D1567" t="s">
        <v>9644</v>
      </c>
    </row>
    <row r="1568" spans="1:4" x14ac:dyDescent="0.25">
      <c r="A1568" t="s">
        <v>4139</v>
      </c>
      <c r="C1568" t="s">
        <v>2141</v>
      </c>
      <c r="D1568" t="s">
        <v>9645</v>
      </c>
    </row>
    <row r="1569" spans="1:4" x14ac:dyDescent="0.25">
      <c r="A1569" t="s">
        <v>4140</v>
      </c>
      <c r="C1569" t="s">
        <v>2142</v>
      </c>
      <c r="D1569" t="s">
        <v>9646</v>
      </c>
    </row>
    <row r="1570" spans="1:4" x14ac:dyDescent="0.25">
      <c r="A1570" t="s">
        <v>4141</v>
      </c>
      <c r="C1570" t="s">
        <v>2143</v>
      </c>
      <c r="D1570" t="s">
        <v>9647</v>
      </c>
    </row>
    <row r="1571" spans="1:4" x14ac:dyDescent="0.25">
      <c r="A1571" t="s">
        <v>4142</v>
      </c>
      <c r="C1571" t="s">
        <v>2144</v>
      </c>
      <c r="D1571" t="s">
        <v>9648</v>
      </c>
    </row>
    <row r="1572" spans="1:4" x14ac:dyDescent="0.25">
      <c r="A1572" t="s">
        <v>4143</v>
      </c>
      <c r="C1572" t="s">
        <v>2145</v>
      </c>
      <c r="D1572" t="s">
        <v>9649</v>
      </c>
    </row>
    <row r="1573" spans="1:4" x14ac:dyDescent="0.25">
      <c r="A1573" t="s">
        <v>4144</v>
      </c>
      <c r="C1573" t="s">
        <v>2146</v>
      </c>
      <c r="D1573" t="s">
        <v>9650</v>
      </c>
    </row>
    <row r="1574" spans="1:4" x14ac:dyDescent="0.25">
      <c r="A1574" t="s">
        <v>4145</v>
      </c>
      <c r="C1574" t="s">
        <v>2147</v>
      </c>
      <c r="D1574" t="s">
        <v>9651</v>
      </c>
    </row>
    <row r="1575" spans="1:4" x14ac:dyDescent="0.25">
      <c r="A1575" t="s">
        <v>4146</v>
      </c>
      <c r="C1575" t="s">
        <v>2148</v>
      </c>
      <c r="D1575" t="s">
        <v>9652</v>
      </c>
    </row>
    <row r="1576" spans="1:4" x14ac:dyDescent="0.25">
      <c r="A1576" t="s">
        <v>4147</v>
      </c>
      <c r="C1576" t="s">
        <v>2149</v>
      </c>
      <c r="D1576" t="s">
        <v>9653</v>
      </c>
    </row>
    <row r="1577" spans="1:4" x14ac:dyDescent="0.25">
      <c r="A1577" t="s">
        <v>4148</v>
      </c>
      <c r="C1577" t="s">
        <v>2150</v>
      </c>
      <c r="D1577" t="s">
        <v>9654</v>
      </c>
    </row>
    <row r="1578" spans="1:4" x14ac:dyDescent="0.25">
      <c r="A1578" t="s">
        <v>4149</v>
      </c>
      <c r="C1578" t="s">
        <v>2151</v>
      </c>
      <c r="D1578" t="s">
        <v>9655</v>
      </c>
    </row>
    <row r="1579" spans="1:4" x14ac:dyDescent="0.25">
      <c r="A1579" t="s">
        <v>4150</v>
      </c>
      <c r="C1579" t="s">
        <v>2152</v>
      </c>
      <c r="D1579" t="s">
        <v>9656</v>
      </c>
    </row>
    <row r="1580" spans="1:4" x14ac:dyDescent="0.25">
      <c r="A1580" t="s">
        <v>4151</v>
      </c>
      <c r="C1580" t="s">
        <v>2153</v>
      </c>
      <c r="D1580" t="s">
        <v>9657</v>
      </c>
    </row>
    <row r="1581" spans="1:4" x14ac:dyDescent="0.25">
      <c r="A1581" t="s">
        <v>4152</v>
      </c>
      <c r="C1581" t="s">
        <v>2154</v>
      </c>
      <c r="D1581" t="s">
        <v>9658</v>
      </c>
    </row>
    <row r="1582" spans="1:4" x14ac:dyDescent="0.25">
      <c r="A1582" t="s">
        <v>4153</v>
      </c>
      <c r="C1582" t="s">
        <v>2155</v>
      </c>
      <c r="D1582" t="s">
        <v>9659</v>
      </c>
    </row>
    <row r="1583" spans="1:4" x14ac:dyDescent="0.25">
      <c r="A1583" t="s">
        <v>4154</v>
      </c>
      <c r="C1583" t="s">
        <v>2156</v>
      </c>
      <c r="D1583" t="s">
        <v>9660</v>
      </c>
    </row>
    <row r="1584" spans="1:4" x14ac:dyDescent="0.25">
      <c r="A1584" t="s">
        <v>4155</v>
      </c>
      <c r="C1584" t="s">
        <v>2157</v>
      </c>
      <c r="D1584" t="s">
        <v>9661</v>
      </c>
    </row>
    <row r="1585" spans="1:4" x14ac:dyDescent="0.25">
      <c r="A1585" t="s">
        <v>4156</v>
      </c>
      <c r="C1585" t="s">
        <v>2158</v>
      </c>
      <c r="D1585" t="s">
        <v>9662</v>
      </c>
    </row>
    <row r="1586" spans="1:4" x14ac:dyDescent="0.25">
      <c r="A1586" t="s">
        <v>4157</v>
      </c>
      <c r="C1586" t="s">
        <v>2159</v>
      </c>
      <c r="D1586" t="s">
        <v>9663</v>
      </c>
    </row>
    <row r="1587" spans="1:4" x14ac:dyDescent="0.25">
      <c r="A1587" t="s">
        <v>4158</v>
      </c>
      <c r="C1587" t="s">
        <v>2160</v>
      </c>
      <c r="D1587" t="s">
        <v>9664</v>
      </c>
    </row>
    <row r="1588" spans="1:4" x14ac:dyDescent="0.25">
      <c r="A1588" t="s">
        <v>4159</v>
      </c>
      <c r="C1588" t="s">
        <v>2161</v>
      </c>
      <c r="D1588" t="s">
        <v>9665</v>
      </c>
    </row>
    <row r="1589" spans="1:4" x14ac:dyDescent="0.25">
      <c r="A1589" t="s">
        <v>4160</v>
      </c>
      <c r="C1589" t="s">
        <v>2162</v>
      </c>
      <c r="D1589" t="s">
        <v>9666</v>
      </c>
    </row>
    <row r="1590" spans="1:4" x14ac:dyDescent="0.25">
      <c r="A1590" t="s">
        <v>4161</v>
      </c>
      <c r="C1590" t="s">
        <v>2163</v>
      </c>
      <c r="D1590" t="s">
        <v>9667</v>
      </c>
    </row>
    <row r="1591" spans="1:4" x14ac:dyDescent="0.25">
      <c r="A1591" t="s">
        <v>4162</v>
      </c>
      <c r="C1591" t="s">
        <v>2164</v>
      </c>
      <c r="D1591" t="s">
        <v>9668</v>
      </c>
    </row>
    <row r="1592" spans="1:4" x14ac:dyDescent="0.25">
      <c r="A1592" t="s">
        <v>4163</v>
      </c>
      <c r="C1592" t="s">
        <v>2165</v>
      </c>
      <c r="D1592" t="s">
        <v>9669</v>
      </c>
    </row>
    <row r="1593" spans="1:4" x14ac:dyDescent="0.25">
      <c r="A1593" t="s">
        <v>4164</v>
      </c>
      <c r="C1593" t="s">
        <v>2166</v>
      </c>
      <c r="D1593" t="s">
        <v>9670</v>
      </c>
    </row>
    <row r="1594" spans="1:4" x14ac:dyDescent="0.25">
      <c r="A1594" t="s">
        <v>4165</v>
      </c>
      <c r="C1594" t="s">
        <v>2167</v>
      </c>
      <c r="D1594" t="s">
        <v>9671</v>
      </c>
    </row>
    <row r="1595" spans="1:4" x14ac:dyDescent="0.25">
      <c r="A1595" t="s">
        <v>4166</v>
      </c>
      <c r="C1595" t="s">
        <v>2168</v>
      </c>
      <c r="D1595" t="s">
        <v>9672</v>
      </c>
    </row>
    <row r="1596" spans="1:4" x14ac:dyDescent="0.25">
      <c r="A1596" t="s">
        <v>4167</v>
      </c>
      <c r="C1596" t="s">
        <v>2169</v>
      </c>
      <c r="D1596" t="s">
        <v>9673</v>
      </c>
    </row>
    <row r="1597" spans="1:4" x14ac:dyDescent="0.25">
      <c r="A1597" t="s">
        <v>4168</v>
      </c>
      <c r="C1597" t="s">
        <v>2170</v>
      </c>
      <c r="D1597" t="s">
        <v>9674</v>
      </c>
    </row>
    <row r="1598" spans="1:4" x14ac:dyDescent="0.25">
      <c r="A1598" t="s">
        <v>4169</v>
      </c>
      <c r="C1598" t="s">
        <v>2171</v>
      </c>
      <c r="D1598" t="s">
        <v>9675</v>
      </c>
    </row>
    <row r="1599" spans="1:4" x14ac:dyDescent="0.25">
      <c r="A1599" t="s">
        <v>4170</v>
      </c>
      <c r="C1599" t="s">
        <v>2172</v>
      </c>
      <c r="D1599" t="s">
        <v>9676</v>
      </c>
    </row>
    <row r="1600" spans="1:4" x14ac:dyDescent="0.25">
      <c r="A1600" t="s">
        <v>4171</v>
      </c>
      <c r="C1600" t="s">
        <v>2173</v>
      </c>
      <c r="D1600" t="s">
        <v>9677</v>
      </c>
    </row>
    <row r="1601" spans="1:4" x14ac:dyDescent="0.25">
      <c r="A1601" t="s">
        <v>4172</v>
      </c>
      <c r="C1601" t="s">
        <v>2174</v>
      </c>
      <c r="D1601" t="s">
        <v>9678</v>
      </c>
    </row>
    <row r="1602" spans="1:4" x14ac:dyDescent="0.25">
      <c r="A1602" t="s">
        <v>4173</v>
      </c>
      <c r="C1602" t="s">
        <v>2175</v>
      </c>
      <c r="D1602" t="s">
        <v>9679</v>
      </c>
    </row>
    <row r="1603" spans="1:4" x14ac:dyDescent="0.25">
      <c r="A1603" t="s">
        <v>4174</v>
      </c>
      <c r="C1603" t="s">
        <v>2176</v>
      </c>
      <c r="D1603" t="s">
        <v>9680</v>
      </c>
    </row>
    <row r="1604" spans="1:4" x14ac:dyDescent="0.25">
      <c r="A1604" t="s">
        <v>4175</v>
      </c>
      <c r="C1604" t="s">
        <v>2177</v>
      </c>
      <c r="D1604" t="s">
        <v>9681</v>
      </c>
    </row>
    <row r="1605" spans="1:4" x14ac:dyDescent="0.25">
      <c r="A1605" t="s">
        <v>4176</v>
      </c>
      <c r="C1605" t="s">
        <v>2178</v>
      </c>
      <c r="D1605" t="s">
        <v>9682</v>
      </c>
    </row>
    <row r="1606" spans="1:4" x14ac:dyDescent="0.25">
      <c r="A1606" t="s">
        <v>4177</v>
      </c>
      <c r="C1606" t="s">
        <v>2179</v>
      </c>
      <c r="D1606" t="s">
        <v>9683</v>
      </c>
    </row>
    <row r="1607" spans="1:4" x14ac:dyDescent="0.25">
      <c r="A1607" t="s">
        <v>4178</v>
      </c>
      <c r="C1607" t="s">
        <v>2180</v>
      </c>
      <c r="D1607" t="s">
        <v>9684</v>
      </c>
    </row>
    <row r="1608" spans="1:4" x14ac:dyDescent="0.25">
      <c r="A1608" t="s">
        <v>4179</v>
      </c>
      <c r="C1608" t="s">
        <v>2181</v>
      </c>
      <c r="D1608" t="s">
        <v>9685</v>
      </c>
    </row>
    <row r="1609" spans="1:4" x14ac:dyDescent="0.25">
      <c r="A1609" t="s">
        <v>4180</v>
      </c>
      <c r="C1609" t="s">
        <v>2182</v>
      </c>
      <c r="D1609" t="s">
        <v>9686</v>
      </c>
    </row>
    <row r="1610" spans="1:4" x14ac:dyDescent="0.25">
      <c r="A1610" t="s">
        <v>4181</v>
      </c>
      <c r="C1610" t="s">
        <v>2183</v>
      </c>
      <c r="D1610" t="s">
        <v>9687</v>
      </c>
    </row>
    <row r="1611" spans="1:4" x14ac:dyDescent="0.25">
      <c r="A1611" t="s">
        <v>4182</v>
      </c>
      <c r="C1611" t="s">
        <v>2184</v>
      </c>
      <c r="D1611" t="s">
        <v>9688</v>
      </c>
    </row>
    <row r="1612" spans="1:4" x14ac:dyDescent="0.25">
      <c r="A1612" t="s">
        <v>4183</v>
      </c>
      <c r="C1612" t="s">
        <v>2185</v>
      </c>
      <c r="D1612" t="s">
        <v>9689</v>
      </c>
    </row>
    <row r="1613" spans="1:4" x14ac:dyDescent="0.25">
      <c r="A1613" t="s">
        <v>4184</v>
      </c>
      <c r="C1613" t="s">
        <v>2186</v>
      </c>
      <c r="D1613" t="s">
        <v>9690</v>
      </c>
    </row>
    <row r="1614" spans="1:4" x14ac:dyDescent="0.25">
      <c r="A1614" t="s">
        <v>4185</v>
      </c>
      <c r="C1614" t="s">
        <v>2187</v>
      </c>
      <c r="D1614" t="s">
        <v>9691</v>
      </c>
    </row>
    <row r="1615" spans="1:4" x14ac:dyDescent="0.25">
      <c r="A1615" t="s">
        <v>4186</v>
      </c>
      <c r="C1615" t="s">
        <v>2188</v>
      </c>
      <c r="D1615" t="s">
        <v>9692</v>
      </c>
    </row>
    <row r="1616" spans="1:4" x14ac:dyDescent="0.25">
      <c r="A1616" t="s">
        <v>4187</v>
      </c>
      <c r="C1616" t="s">
        <v>2189</v>
      </c>
      <c r="D1616" t="s">
        <v>9693</v>
      </c>
    </row>
    <row r="1617" spans="1:4" x14ac:dyDescent="0.25">
      <c r="A1617" t="s">
        <v>4188</v>
      </c>
      <c r="C1617" t="s">
        <v>2190</v>
      </c>
      <c r="D1617" t="s">
        <v>9694</v>
      </c>
    </row>
    <row r="1618" spans="1:4" x14ac:dyDescent="0.25">
      <c r="A1618" t="s">
        <v>4189</v>
      </c>
      <c r="C1618" t="s">
        <v>2191</v>
      </c>
      <c r="D1618" t="s">
        <v>9695</v>
      </c>
    </row>
    <row r="1619" spans="1:4" x14ac:dyDescent="0.25">
      <c r="A1619" t="s">
        <v>4190</v>
      </c>
      <c r="C1619" t="s">
        <v>2192</v>
      </c>
      <c r="D1619" t="s">
        <v>9696</v>
      </c>
    </row>
    <row r="1620" spans="1:4" x14ac:dyDescent="0.25">
      <c r="A1620" t="s">
        <v>4191</v>
      </c>
      <c r="C1620" t="s">
        <v>2193</v>
      </c>
      <c r="D1620" t="s">
        <v>9697</v>
      </c>
    </row>
    <row r="1621" spans="1:4" x14ac:dyDescent="0.25">
      <c r="A1621" t="s">
        <v>4192</v>
      </c>
      <c r="C1621" t="s">
        <v>2194</v>
      </c>
      <c r="D1621" t="s">
        <v>9698</v>
      </c>
    </row>
    <row r="1622" spans="1:4" x14ac:dyDescent="0.25">
      <c r="A1622" t="s">
        <v>4193</v>
      </c>
      <c r="C1622" t="s">
        <v>2195</v>
      </c>
      <c r="D1622" t="s">
        <v>9699</v>
      </c>
    </row>
    <row r="1623" spans="1:4" x14ac:dyDescent="0.25">
      <c r="A1623" t="s">
        <v>4194</v>
      </c>
      <c r="C1623" t="s">
        <v>2196</v>
      </c>
      <c r="D1623" t="s">
        <v>9700</v>
      </c>
    </row>
    <row r="1624" spans="1:4" x14ac:dyDescent="0.25">
      <c r="A1624" t="s">
        <v>4195</v>
      </c>
      <c r="C1624" t="s">
        <v>2197</v>
      </c>
      <c r="D1624" t="s">
        <v>9701</v>
      </c>
    </row>
    <row r="1625" spans="1:4" x14ac:dyDescent="0.25">
      <c r="A1625" t="s">
        <v>4196</v>
      </c>
      <c r="C1625" t="s">
        <v>2198</v>
      </c>
      <c r="D1625" t="s">
        <v>9702</v>
      </c>
    </row>
    <row r="1626" spans="1:4" x14ac:dyDescent="0.25">
      <c r="A1626" t="s">
        <v>4197</v>
      </c>
      <c r="C1626" t="s">
        <v>2199</v>
      </c>
      <c r="D1626" t="s">
        <v>9703</v>
      </c>
    </row>
    <row r="1627" spans="1:4" x14ac:dyDescent="0.25">
      <c r="A1627" t="s">
        <v>4198</v>
      </c>
      <c r="C1627" t="s">
        <v>2200</v>
      </c>
      <c r="D1627" t="s">
        <v>9704</v>
      </c>
    </row>
    <row r="1628" spans="1:4" x14ac:dyDescent="0.25">
      <c r="A1628" t="s">
        <v>4199</v>
      </c>
      <c r="C1628" t="s">
        <v>2201</v>
      </c>
      <c r="D1628" t="s">
        <v>9705</v>
      </c>
    </row>
    <row r="1629" spans="1:4" x14ac:dyDescent="0.25">
      <c r="A1629" t="s">
        <v>4200</v>
      </c>
      <c r="C1629" t="s">
        <v>2202</v>
      </c>
      <c r="D1629" t="s">
        <v>9706</v>
      </c>
    </row>
    <row r="1630" spans="1:4" x14ac:dyDescent="0.25">
      <c r="A1630" t="s">
        <v>4201</v>
      </c>
      <c r="C1630" t="s">
        <v>2203</v>
      </c>
      <c r="D1630" t="s">
        <v>9707</v>
      </c>
    </row>
    <row r="1631" spans="1:4" x14ac:dyDescent="0.25">
      <c r="A1631" t="s">
        <v>4202</v>
      </c>
      <c r="C1631" t="s">
        <v>2204</v>
      </c>
      <c r="D1631" t="s">
        <v>9708</v>
      </c>
    </row>
    <row r="1632" spans="1:4" x14ac:dyDescent="0.25">
      <c r="A1632" t="s">
        <v>4203</v>
      </c>
      <c r="C1632" t="s">
        <v>2205</v>
      </c>
      <c r="D1632" t="s">
        <v>9709</v>
      </c>
    </row>
    <row r="1633" spans="1:4" x14ac:dyDescent="0.25">
      <c r="A1633" t="s">
        <v>4204</v>
      </c>
      <c r="C1633" t="s">
        <v>2206</v>
      </c>
      <c r="D1633" t="s">
        <v>9710</v>
      </c>
    </row>
    <row r="1634" spans="1:4" x14ac:dyDescent="0.25">
      <c r="A1634" t="s">
        <v>4205</v>
      </c>
      <c r="C1634" t="s">
        <v>2207</v>
      </c>
      <c r="D1634" t="s">
        <v>9711</v>
      </c>
    </row>
    <row r="1635" spans="1:4" x14ac:dyDescent="0.25">
      <c r="A1635" t="s">
        <v>4206</v>
      </c>
      <c r="C1635" t="s">
        <v>2208</v>
      </c>
      <c r="D1635" t="s">
        <v>9712</v>
      </c>
    </row>
    <row r="1636" spans="1:4" x14ac:dyDescent="0.25">
      <c r="A1636" t="s">
        <v>4207</v>
      </c>
      <c r="C1636" t="s">
        <v>2209</v>
      </c>
      <c r="D1636" t="s">
        <v>9713</v>
      </c>
    </row>
    <row r="1637" spans="1:4" x14ac:dyDescent="0.25">
      <c r="A1637" t="s">
        <v>4208</v>
      </c>
      <c r="C1637" t="s">
        <v>2210</v>
      </c>
      <c r="D1637" t="s">
        <v>9714</v>
      </c>
    </row>
    <row r="1638" spans="1:4" x14ac:dyDescent="0.25">
      <c r="A1638" t="s">
        <v>4209</v>
      </c>
      <c r="C1638" t="s">
        <v>2211</v>
      </c>
      <c r="D1638" t="s">
        <v>9715</v>
      </c>
    </row>
    <row r="1639" spans="1:4" x14ac:dyDescent="0.25">
      <c r="A1639" t="s">
        <v>4210</v>
      </c>
      <c r="C1639" t="s">
        <v>2212</v>
      </c>
      <c r="D1639" t="s">
        <v>9716</v>
      </c>
    </row>
    <row r="1640" spans="1:4" x14ac:dyDescent="0.25">
      <c r="A1640" t="s">
        <v>4211</v>
      </c>
      <c r="C1640" t="s">
        <v>2213</v>
      </c>
      <c r="D1640" t="s">
        <v>9717</v>
      </c>
    </row>
    <row r="1641" spans="1:4" x14ac:dyDescent="0.25">
      <c r="A1641" t="s">
        <v>4212</v>
      </c>
      <c r="C1641" t="s">
        <v>2214</v>
      </c>
      <c r="D1641" t="s">
        <v>9718</v>
      </c>
    </row>
    <row r="1642" spans="1:4" x14ac:dyDescent="0.25">
      <c r="A1642" t="s">
        <v>4213</v>
      </c>
      <c r="C1642" t="s">
        <v>2215</v>
      </c>
      <c r="D1642" t="s">
        <v>9719</v>
      </c>
    </row>
    <row r="1643" spans="1:4" x14ac:dyDescent="0.25">
      <c r="A1643" t="s">
        <v>4214</v>
      </c>
      <c r="C1643" s="47" t="s">
        <v>2216</v>
      </c>
      <c r="D1643" t="s">
        <v>9720</v>
      </c>
    </row>
    <row r="1644" spans="1:4" x14ac:dyDescent="0.25">
      <c r="A1644" t="s">
        <v>4215</v>
      </c>
      <c r="C1644" s="47" t="s">
        <v>2217</v>
      </c>
      <c r="D1644" t="s">
        <v>9721</v>
      </c>
    </row>
    <row r="1645" spans="1:4" x14ac:dyDescent="0.25">
      <c r="A1645" t="s">
        <v>4216</v>
      </c>
      <c r="C1645" s="47" t="s">
        <v>2218</v>
      </c>
      <c r="D1645" t="s">
        <v>9722</v>
      </c>
    </row>
    <row r="1646" spans="1:4" x14ac:dyDescent="0.25">
      <c r="A1646" t="s">
        <v>4217</v>
      </c>
      <c r="C1646" s="47" t="s">
        <v>2219</v>
      </c>
      <c r="D1646" t="s">
        <v>9723</v>
      </c>
    </row>
    <row r="1647" spans="1:4" x14ac:dyDescent="0.25">
      <c r="A1647" t="s">
        <v>4218</v>
      </c>
      <c r="C1647" s="47" t="s">
        <v>2220</v>
      </c>
      <c r="D1647" t="s">
        <v>9724</v>
      </c>
    </row>
    <row r="1648" spans="1:4" x14ac:dyDescent="0.25">
      <c r="A1648" t="s">
        <v>4219</v>
      </c>
      <c r="C1648" s="47" t="s">
        <v>2221</v>
      </c>
      <c r="D1648" t="s">
        <v>9725</v>
      </c>
    </row>
    <row r="1649" spans="1:4" x14ac:dyDescent="0.25">
      <c r="A1649" t="s">
        <v>4220</v>
      </c>
      <c r="C1649" s="47" t="s">
        <v>2222</v>
      </c>
      <c r="D1649" t="s">
        <v>9726</v>
      </c>
    </row>
    <row r="1650" spans="1:4" x14ac:dyDescent="0.25">
      <c r="A1650" t="s">
        <v>4221</v>
      </c>
      <c r="C1650" s="47" t="s">
        <v>2223</v>
      </c>
      <c r="D1650" t="s">
        <v>9727</v>
      </c>
    </row>
    <row r="1651" spans="1:4" x14ac:dyDescent="0.25">
      <c r="A1651" t="s">
        <v>4222</v>
      </c>
      <c r="C1651" s="47" t="s">
        <v>2224</v>
      </c>
      <c r="D1651" t="s">
        <v>9728</v>
      </c>
    </row>
    <row r="1652" spans="1:4" x14ac:dyDescent="0.25">
      <c r="A1652" t="s">
        <v>4223</v>
      </c>
      <c r="C1652" s="47" t="s">
        <v>2225</v>
      </c>
      <c r="D1652" t="s">
        <v>9729</v>
      </c>
    </row>
    <row r="1653" spans="1:4" x14ac:dyDescent="0.25">
      <c r="A1653" t="s">
        <v>4224</v>
      </c>
      <c r="C1653" t="s">
        <v>2226</v>
      </c>
      <c r="D1653" t="s">
        <v>9730</v>
      </c>
    </row>
    <row r="1654" spans="1:4" x14ac:dyDescent="0.25">
      <c r="A1654" t="s">
        <v>4225</v>
      </c>
      <c r="C1654" t="s">
        <v>2227</v>
      </c>
      <c r="D1654" t="s">
        <v>9731</v>
      </c>
    </row>
    <row r="1655" spans="1:4" x14ac:dyDescent="0.25">
      <c r="A1655" t="s">
        <v>4226</v>
      </c>
      <c r="C1655" t="s">
        <v>2228</v>
      </c>
      <c r="D1655" t="s">
        <v>9732</v>
      </c>
    </row>
    <row r="1656" spans="1:4" x14ac:dyDescent="0.25">
      <c r="A1656" t="s">
        <v>4227</v>
      </c>
      <c r="C1656" t="s">
        <v>2229</v>
      </c>
      <c r="D1656" t="s">
        <v>9733</v>
      </c>
    </row>
    <row r="1657" spans="1:4" x14ac:dyDescent="0.25">
      <c r="A1657" t="s">
        <v>4228</v>
      </c>
      <c r="C1657" t="s">
        <v>2230</v>
      </c>
      <c r="D1657" t="s">
        <v>9734</v>
      </c>
    </row>
    <row r="1658" spans="1:4" x14ac:dyDescent="0.25">
      <c r="A1658" t="s">
        <v>4229</v>
      </c>
      <c r="C1658" t="s">
        <v>2231</v>
      </c>
      <c r="D1658" t="s">
        <v>9735</v>
      </c>
    </row>
    <row r="1659" spans="1:4" x14ac:dyDescent="0.25">
      <c r="A1659" t="s">
        <v>4230</v>
      </c>
      <c r="C1659" t="s">
        <v>2232</v>
      </c>
      <c r="D1659" t="s">
        <v>9736</v>
      </c>
    </row>
    <row r="1660" spans="1:4" x14ac:dyDescent="0.25">
      <c r="A1660" t="s">
        <v>4231</v>
      </c>
      <c r="C1660" t="s">
        <v>2233</v>
      </c>
      <c r="D1660" t="s">
        <v>9737</v>
      </c>
    </row>
    <row r="1661" spans="1:4" x14ac:dyDescent="0.25">
      <c r="A1661" t="s">
        <v>4232</v>
      </c>
      <c r="C1661" t="s">
        <v>2234</v>
      </c>
      <c r="D1661" t="s">
        <v>9738</v>
      </c>
    </row>
    <row r="1662" spans="1:4" x14ac:dyDescent="0.25">
      <c r="A1662" t="s">
        <v>4233</v>
      </c>
      <c r="C1662" t="s">
        <v>2235</v>
      </c>
      <c r="D1662" t="s">
        <v>9739</v>
      </c>
    </row>
    <row r="1663" spans="1:4" x14ac:dyDescent="0.25">
      <c r="A1663" t="s">
        <v>4234</v>
      </c>
      <c r="C1663" t="s">
        <v>2236</v>
      </c>
      <c r="D1663" t="s">
        <v>9740</v>
      </c>
    </row>
    <row r="1664" spans="1:4" x14ac:dyDescent="0.25">
      <c r="A1664" t="s">
        <v>4235</v>
      </c>
      <c r="C1664" t="s">
        <v>2237</v>
      </c>
      <c r="D1664" t="s">
        <v>9741</v>
      </c>
    </row>
    <row r="1665" spans="1:4" x14ac:dyDescent="0.25">
      <c r="A1665" t="s">
        <v>4236</v>
      </c>
      <c r="C1665" t="s">
        <v>2238</v>
      </c>
      <c r="D1665" t="s">
        <v>9742</v>
      </c>
    </row>
    <row r="1666" spans="1:4" x14ac:dyDescent="0.25">
      <c r="A1666" t="s">
        <v>4237</v>
      </c>
      <c r="C1666" t="s">
        <v>2239</v>
      </c>
      <c r="D1666" t="s">
        <v>9743</v>
      </c>
    </row>
    <row r="1667" spans="1:4" x14ac:dyDescent="0.25">
      <c r="A1667" t="s">
        <v>4238</v>
      </c>
      <c r="C1667" t="s">
        <v>2240</v>
      </c>
      <c r="D1667" t="s">
        <v>9744</v>
      </c>
    </row>
    <row r="1668" spans="1:4" x14ac:dyDescent="0.25">
      <c r="A1668" t="s">
        <v>4239</v>
      </c>
      <c r="C1668" t="s">
        <v>2241</v>
      </c>
      <c r="D1668" t="s">
        <v>9745</v>
      </c>
    </row>
    <row r="1669" spans="1:4" x14ac:dyDescent="0.25">
      <c r="A1669" t="s">
        <v>4240</v>
      </c>
      <c r="C1669" t="s">
        <v>2242</v>
      </c>
      <c r="D1669" t="s">
        <v>9746</v>
      </c>
    </row>
    <row r="1670" spans="1:4" x14ac:dyDescent="0.25">
      <c r="A1670" t="s">
        <v>4241</v>
      </c>
      <c r="C1670" t="s">
        <v>2243</v>
      </c>
      <c r="D1670" t="s">
        <v>9747</v>
      </c>
    </row>
    <row r="1671" spans="1:4" x14ac:dyDescent="0.25">
      <c r="A1671" t="s">
        <v>4242</v>
      </c>
      <c r="C1671" t="s">
        <v>2244</v>
      </c>
      <c r="D1671" t="s">
        <v>9748</v>
      </c>
    </row>
    <row r="1672" spans="1:4" x14ac:dyDescent="0.25">
      <c r="A1672" t="s">
        <v>4243</v>
      </c>
      <c r="C1672" t="s">
        <v>2245</v>
      </c>
      <c r="D1672" t="s">
        <v>9749</v>
      </c>
    </row>
    <row r="1673" spans="1:4" x14ac:dyDescent="0.25">
      <c r="A1673" t="s">
        <v>4244</v>
      </c>
      <c r="C1673" t="s">
        <v>2246</v>
      </c>
      <c r="D1673" t="s">
        <v>9750</v>
      </c>
    </row>
    <row r="1674" spans="1:4" x14ac:dyDescent="0.25">
      <c r="A1674" t="s">
        <v>4245</v>
      </c>
      <c r="C1674" t="s">
        <v>2247</v>
      </c>
      <c r="D1674" t="s">
        <v>9751</v>
      </c>
    </row>
    <row r="1675" spans="1:4" x14ac:dyDescent="0.25">
      <c r="A1675" t="s">
        <v>4246</v>
      </c>
      <c r="C1675" t="s">
        <v>2248</v>
      </c>
      <c r="D1675" t="s">
        <v>9752</v>
      </c>
    </row>
    <row r="1676" spans="1:4" x14ac:dyDescent="0.25">
      <c r="A1676" t="s">
        <v>4247</v>
      </c>
      <c r="C1676" t="s">
        <v>2249</v>
      </c>
      <c r="D1676" t="s">
        <v>9753</v>
      </c>
    </row>
    <row r="1677" spans="1:4" x14ac:dyDescent="0.25">
      <c r="A1677" t="s">
        <v>4248</v>
      </c>
      <c r="C1677" t="s">
        <v>2250</v>
      </c>
      <c r="D1677" t="s">
        <v>9754</v>
      </c>
    </row>
    <row r="1678" spans="1:4" x14ac:dyDescent="0.25">
      <c r="A1678" t="s">
        <v>4249</v>
      </c>
      <c r="C1678" t="s">
        <v>2251</v>
      </c>
      <c r="D1678" t="s">
        <v>9755</v>
      </c>
    </row>
    <row r="1679" spans="1:4" x14ac:dyDescent="0.25">
      <c r="A1679" t="s">
        <v>4250</v>
      </c>
      <c r="C1679" t="s">
        <v>2252</v>
      </c>
      <c r="D1679" t="s">
        <v>9756</v>
      </c>
    </row>
    <row r="1680" spans="1:4" x14ac:dyDescent="0.25">
      <c r="A1680" t="s">
        <v>4251</v>
      </c>
      <c r="C1680" t="s">
        <v>2253</v>
      </c>
      <c r="D1680" t="s">
        <v>9757</v>
      </c>
    </row>
    <row r="1681" spans="1:4" x14ac:dyDescent="0.25">
      <c r="A1681" t="s">
        <v>4252</v>
      </c>
      <c r="C1681" t="s">
        <v>2254</v>
      </c>
      <c r="D1681" t="s">
        <v>9758</v>
      </c>
    </row>
    <row r="1682" spans="1:4" x14ac:dyDescent="0.25">
      <c r="A1682" t="s">
        <v>4253</v>
      </c>
      <c r="C1682" t="s">
        <v>2255</v>
      </c>
      <c r="D1682" t="s">
        <v>9759</v>
      </c>
    </row>
    <row r="1683" spans="1:4" x14ac:dyDescent="0.25">
      <c r="A1683" t="s">
        <v>4254</v>
      </c>
      <c r="C1683" t="s">
        <v>2256</v>
      </c>
      <c r="D1683" t="s">
        <v>9760</v>
      </c>
    </row>
    <row r="1684" spans="1:4" x14ac:dyDescent="0.25">
      <c r="A1684" t="s">
        <v>4255</v>
      </c>
      <c r="C1684" t="s">
        <v>2257</v>
      </c>
      <c r="D1684" t="s">
        <v>9761</v>
      </c>
    </row>
    <row r="1685" spans="1:4" x14ac:dyDescent="0.25">
      <c r="A1685" t="s">
        <v>4256</v>
      </c>
      <c r="C1685" t="s">
        <v>2258</v>
      </c>
      <c r="D1685" t="s">
        <v>9762</v>
      </c>
    </row>
    <row r="1686" spans="1:4" x14ac:dyDescent="0.25">
      <c r="A1686" t="s">
        <v>4257</v>
      </c>
      <c r="C1686" t="s">
        <v>2259</v>
      </c>
      <c r="D1686" t="s">
        <v>9763</v>
      </c>
    </row>
    <row r="1687" spans="1:4" x14ac:dyDescent="0.25">
      <c r="A1687" t="s">
        <v>4258</v>
      </c>
      <c r="C1687" t="s">
        <v>2260</v>
      </c>
      <c r="D1687" t="s">
        <v>9764</v>
      </c>
    </row>
    <row r="1688" spans="1:4" x14ac:dyDescent="0.25">
      <c r="A1688" t="s">
        <v>4259</v>
      </c>
      <c r="C1688" t="s">
        <v>2261</v>
      </c>
      <c r="D1688" t="s">
        <v>9765</v>
      </c>
    </row>
    <row r="1689" spans="1:4" x14ac:dyDescent="0.25">
      <c r="A1689" t="s">
        <v>4260</v>
      </c>
      <c r="C1689" t="s">
        <v>2262</v>
      </c>
      <c r="D1689" t="s">
        <v>9766</v>
      </c>
    </row>
    <row r="1690" spans="1:4" x14ac:dyDescent="0.25">
      <c r="A1690" t="s">
        <v>4261</v>
      </c>
      <c r="C1690" t="s">
        <v>2263</v>
      </c>
      <c r="D1690" t="s">
        <v>9767</v>
      </c>
    </row>
    <row r="1691" spans="1:4" x14ac:dyDescent="0.25">
      <c r="A1691" t="s">
        <v>4262</v>
      </c>
      <c r="C1691" t="s">
        <v>2264</v>
      </c>
      <c r="D1691" t="s">
        <v>9768</v>
      </c>
    </row>
    <row r="1692" spans="1:4" x14ac:dyDescent="0.25">
      <c r="A1692" t="s">
        <v>4263</v>
      </c>
      <c r="C1692" t="s">
        <v>2265</v>
      </c>
      <c r="D1692" t="s">
        <v>9769</v>
      </c>
    </row>
    <row r="1693" spans="1:4" x14ac:dyDescent="0.25">
      <c r="A1693" t="s">
        <v>4264</v>
      </c>
      <c r="C1693" t="s">
        <v>2266</v>
      </c>
      <c r="D1693" t="s">
        <v>9770</v>
      </c>
    </row>
    <row r="1694" spans="1:4" x14ac:dyDescent="0.25">
      <c r="A1694" t="s">
        <v>4265</v>
      </c>
      <c r="C1694" t="s">
        <v>2267</v>
      </c>
      <c r="D1694" t="s">
        <v>9771</v>
      </c>
    </row>
    <row r="1695" spans="1:4" x14ac:dyDescent="0.25">
      <c r="A1695" t="s">
        <v>4266</v>
      </c>
      <c r="C1695" t="s">
        <v>2268</v>
      </c>
      <c r="D1695" t="s">
        <v>9772</v>
      </c>
    </row>
    <row r="1696" spans="1:4" x14ac:dyDescent="0.25">
      <c r="A1696" t="s">
        <v>4267</v>
      </c>
      <c r="C1696" t="s">
        <v>2269</v>
      </c>
      <c r="D1696" t="s">
        <v>9773</v>
      </c>
    </row>
    <row r="1697" spans="1:4" x14ac:dyDescent="0.25">
      <c r="A1697" t="s">
        <v>4268</v>
      </c>
      <c r="C1697" t="s">
        <v>2270</v>
      </c>
      <c r="D1697" t="s">
        <v>9774</v>
      </c>
    </row>
    <row r="1698" spans="1:4" x14ac:dyDescent="0.25">
      <c r="A1698" t="s">
        <v>4269</v>
      </c>
      <c r="C1698" t="s">
        <v>2271</v>
      </c>
      <c r="D1698" t="s">
        <v>9775</v>
      </c>
    </row>
    <row r="1699" spans="1:4" x14ac:dyDescent="0.25">
      <c r="A1699" t="s">
        <v>4270</v>
      </c>
      <c r="C1699" t="s">
        <v>2272</v>
      </c>
      <c r="D1699" t="s">
        <v>9776</v>
      </c>
    </row>
    <row r="1700" spans="1:4" x14ac:dyDescent="0.25">
      <c r="A1700" t="s">
        <v>4271</v>
      </c>
      <c r="C1700" t="s">
        <v>2273</v>
      </c>
      <c r="D1700" t="s">
        <v>9777</v>
      </c>
    </row>
    <row r="1701" spans="1:4" x14ac:dyDescent="0.25">
      <c r="A1701" t="s">
        <v>4272</v>
      </c>
      <c r="C1701" t="s">
        <v>2274</v>
      </c>
      <c r="D1701" t="s">
        <v>9778</v>
      </c>
    </row>
    <row r="1702" spans="1:4" x14ac:dyDescent="0.25">
      <c r="A1702" t="s">
        <v>4273</v>
      </c>
      <c r="C1702" t="s">
        <v>2275</v>
      </c>
      <c r="D1702" t="s">
        <v>9779</v>
      </c>
    </row>
    <row r="1703" spans="1:4" x14ac:dyDescent="0.25">
      <c r="A1703" t="s">
        <v>4274</v>
      </c>
      <c r="C1703" t="s">
        <v>2276</v>
      </c>
      <c r="D1703" t="s">
        <v>9780</v>
      </c>
    </row>
    <row r="1704" spans="1:4" x14ac:dyDescent="0.25">
      <c r="A1704" t="s">
        <v>4275</v>
      </c>
      <c r="C1704" t="s">
        <v>2277</v>
      </c>
      <c r="D1704" t="s">
        <v>9781</v>
      </c>
    </row>
    <row r="1705" spans="1:4" x14ac:dyDescent="0.25">
      <c r="A1705" t="s">
        <v>4276</v>
      </c>
      <c r="C1705" t="s">
        <v>2278</v>
      </c>
      <c r="D1705" t="s">
        <v>9782</v>
      </c>
    </row>
    <row r="1706" spans="1:4" x14ac:dyDescent="0.25">
      <c r="A1706" t="s">
        <v>4277</v>
      </c>
      <c r="C1706" t="s">
        <v>2279</v>
      </c>
      <c r="D1706" t="s">
        <v>9783</v>
      </c>
    </row>
    <row r="1707" spans="1:4" x14ac:dyDescent="0.25">
      <c r="A1707" t="s">
        <v>4278</v>
      </c>
      <c r="C1707" t="s">
        <v>2280</v>
      </c>
      <c r="D1707" t="s">
        <v>9784</v>
      </c>
    </row>
    <row r="1708" spans="1:4" x14ac:dyDescent="0.25">
      <c r="A1708" t="s">
        <v>4279</v>
      </c>
      <c r="C1708" t="s">
        <v>2281</v>
      </c>
      <c r="D1708" t="s">
        <v>9785</v>
      </c>
    </row>
    <row r="1709" spans="1:4" x14ac:dyDescent="0.25">
      <c r="A1709" t="s">
        <v>4280</v>
      </c>
      <c r="C1709" t="s">
        <v>2282</v>
      </c>
      <c r="D1709" t="s">
        <v>9786</v>
      </c>
    </row>
    <row r="1710" spans="1:4" x14ac:dyDescent="0.25">
      <c r="A1710" t="s">
        <v>4281</v>
      </c>
      <c r="C1710" t="s">
        <v>2283</v>
      </c>
      <c r="D1710" t="s">
        <v>9787</v>
      </c>
    </row>
    <row r="1711" spans="1:4" x14ac:dyDescent="0.25">
      <c r="A1711" t="s">
        <v>4282</v>
      </c>
      <c r="C1711" t="s">
        <v>2284</v>
      </c>
      <c r="D1711" t="s">
        <v>9788</v>
      </c>
    </row>
    <row r="1712" spans="1:4" x14ac:dyDescent="0.25">
      <c r="A1712" t="s">
        <v>4283</v>
      </c>
      <c r="C1712" t="s">
        <v>2285</v>
      </c>
      <c r="D1712" t="s">
        <v>9789</v>
      </c>
    </row>
    <row r="1713" spans="1:4" x14ac:dyDescent="0.25">
      <c r="A1713" t="s">
        <v>4284</v>
      </c>
      <c r="C1713" t="s">
        <v>2286</v>
      </c>
      <c r="D1713" t="s">
        <v>9790</v>
      </c>
    </row>
    <row r="1714" spans="1:4" x14ac:dyDescent="0.25">
      <c r="A1714" t="s">
        <v>4285</v>
      </c>
      <c r="C1714" t="s">
        <v>2287</v>
      </c>
      <c r="D1714" t="s">
        <v>9791</v>
      </c>
    </row>
    <row r="1715" spans="1:4" x14ac:dyDescent="0.25">
      <c r="A1715" t="s">
        <v>4286</v>
      </c>
      <c r="C1715" t="s">
        <v>2288</v>
      </c>
      <c r="D1715" t="s">
        <v>9792</v>
      </c>
    </row>
    <row r="1716" spans="1:4" x14ac:dyDescent="0.25">
      <c r="A1716" t="s">
        <v>4287</v>
      </c>
      <c r="C1716" t="s">
        <v>2289</v>
      </c>
      <c r="D1716" t="s">
        <v>9793</v>
      </c>
    </row>
    <row r="1717" spans="1:4" x14ac:dyDescent="0.25">
      <c r="A1717" t="s">
        <v>4288</v>
      </c>
      <c r="C1717" t="s">
        <v>2290</v>
      </c>
      <c r="D1717" t="s">
        <v>9794</v>
      </c>
    </row>
    <row r="1718" spans="1:4" x14ac:dyDescent="0.25">
      <c r="A1718" t="s">
        <v>4289</v>
      </c>
      <c r="C1718" t="s">
        <v>2291</v>
      </c>
      <c r="D1718" t="s">
        <v>9795</v>
      </c>
    </row>
    <row r="1719" spans="1:4" x14ac:dyDescent="0.25">
      <c r="A1719" t="s">
        <v>4290</v>
      </c>
      <c r="C1719" t="s">
        <v>2292</v>
      </c>
      <c r="D1719" t="s">
        <v>9796</v>
      </c>
    </row>
    <row r="1720" spans="1:4" x14ac:dyDescent="0.25">
      <c r="A1720" t="s">
        <v>4291</v>
      </c>
      <c r="C1720" t="s">
        <v>2293</v>
      </c>
      <c r="D1720" t="s">
        <v>9797</v>
      </c>
    </row>
    <row r="1721" spans="1:4" x14ac:dyDescent="0.25">
      <c r="A1721" t="s">
        <v>4292</v>
      </c>
      <c r="C1721" t="s">
        <v>2294</v>
      </c>
      <c r="D1721" t="s">
        <v>9798</v>
      </c>
    </row>
    <row r="1722" spans="1:4" x14ac:dyDescent="0.25">
      <c r="A1722" t="s">
        <v>4293</v>
      </c>
      <c r="C1722" t="s">
        <v>2295</v>
      </c>
      <c r="D1722" t="s">
        <v>9799</v>
      </c>
    </row>
    <row r="1723" spans="1:4" x14ac:dyDescent="0.25">
      <c r="A1723" t="s">
        <v>4294</v>
      </c>
      <c r="C1723" t="s">
        <v>2296</v>
      </c>
      <c r="D1723" t="s">
        <v>9800</v>
      </c>
    </row>
    <row r="1724" spans="1:4" x14ac:dyDescent="0.25">
      <c r="A1724" t="s">
        <v>4295</v>
      </c>
      <c r="C1724" t="s">
        <v>2297</v>
      </c>
      <c r="D1724" t="s">
        <v>9801</v>
      </c>
    </row>
    <row r="1725" spans="1:4" x14ac:dyDescent="0.25">
      <c r="A1725" t="s">
        <v>4296</v>
      </c>
      <c r="C1725" t="s">
        <v>2298</v>
      </c>
      <c r="D1725" t="s">
        <v>9802</v>
      </c>
    </row>
    <row r="1726" spans="1:4" x14ac:dyDescent="0.25">
      <c r="A1726" t="s">
        <v>4297</v>
      </c>
      <c r="C1726" t="s">
        <v>2299</v>
      </c>
      <c r="D1726" t="s">
        <v>9803</v>
      </c>
    </row>
    <row r="1727" spans="1:4" x14ac:dyDescent="0.25">
      <c r="A1727" t="s">
        <v>4298</v>
      </c>
      <c r="C1727" t="s">
        <v>2300</v>
      </c>
      <c r="D1727" t="s">
        <v>9804</v>
      </c>
    </row>
    <row r="1728" spans="1:4" x14ac:dyDescent="0.25">
      <c r="A1728" t="s">
        <v>4299</v>
      </c>
      <c r="C1728" t="s">
        <v>2301</v>
      </c>
      <c r="D1728" t="s">
        <v>9805</v>
      </c>
    </row>
    <row r="1729" spans="1:4" x14ac:dyDescent="0.25">
      <c r="A1729" t="s">
        <v>4300</v>
      </c>
      <c r="C1729" t="s">
        <v>2302</v>
      </c>
      <c r="D1729" t="s">
        <v>9806</v>
      </c>
    </row>
    <row r="1730" spans="1:4" x14ac:dyDescent="0.25">
      <c r="A1730" t="s">
        <v>4301</v>
      </c>
      <c r="C1730" t="s">
        <v>2303</v>
      </c>
      <c r="D1730" t="s">
        <v>9807</v>
      </c>
    </row>
    <row r="1731" spans="1:4" x14ac:dyDescent="0.25">
      <c r="A1731" t="s">
        <v>4302</v>
      </c>
      <c r="C1731" t="s">
        <v>2304</v>
      </c>
      <c r="D1731" t="s">
        <v>9808</v>
      </c>
    </row>
    <row r="1732" spans="1:4" x14ac:dyDescent="0.25">
      <c r="A1732" t="s">
        <v>4303</v>
      </c>
      <c r="C1732" t="s">
        <v>2305</v>
      </c>
      <c r="D1732" t="s">
        <v>9809</v>
      </c>
    </row>
    <row r="1733" spans="1:4" x14ac:dyDescent="0.25">
      <c r="A1733" t="s">
        <v>4304</v>
      </c>
      <c r="C1733" t="s">
        <v>2306</v>
      </c>
      <c r="D1733" t="s">
        <v>9810</v>
      </c>
    </row>
    <row r="1734" spans="1:4" x14ac:dyDescent="0.25">
      <c r="A1734" t="s">
        <v>4305</v>
      </c>
      <c r="C1734" t="s">
        <v>2307</v>
      </c>
      <c r="D1734" t="s">
        <v>9811</v>
      </c>
    </row>
    <row r="1735" spans="1:4" x14ac:dyDescent="0.25">
      <c r="A1735" t="s">
        <v>4306</v>
      </c>
      <c r="C1735" t="s">
        <v>2308</v>
      </c>
      <c r="D1735" t="s">
        <v>9812</v>
      </c>
    </row>
    <row r="1736" spans="1:4" x14ac:dyDescent="0.25">
      <c r="A1736" t="s">
        <v>4307</v>
      </c>
      <c r="C1736" t="s">
        <v>2309</v>
      </c>
      <c r="D1736" t="s">
        <v>9813</v>
      </c>
    </row>
    <row r="1737" spans="1:4" x14ac:dyDescent="0.25">
      <c r="A1737" t="s">
        <v>4308</v>
      </c>
      <c r="C1737" t="s">
        <v>2310</v>
      </c>
      <c r="D1737" t="s">
        <v>9814</v>
      </c>
    </row>
    <row r="1738" spans="1:4" x14ac:dyDescent="0.25">
      <c r="A1738" t="s">
        <v>4309</v>
      </c>
      <c r="C1738" t="s">
        <v>2311</v>
      </c>
      <c r="D1738" t="s">
        <v>9815</v>
      </c>
    </row>
    <row r="1739" spans="1:4" x14ac:dyDescent="0.25">
      <c r="A1739" t="s">
        <v>4310</v>
      </c>
      <c r="C1739" t="s">
        <v>2312</v>
      </c>
      <c r="D1739" t="s">
        <v>9816</v>
      </c>
    </row>
    <row r="1740" spans="1:4" x14ac:dyDescent="0.25">
      <c r="A1740" t="s">
        <v>4311</v>
      </c>
      <c r="C1740" t="s">
        <v>2313</v>
      </c>
      <c r="D1740" t="s">
        <v>9817</v>
      </c>
    </row>
    <row r="1741" spans="1:4" x14ac:dyDescent="0.25">
      <c r="A1741" t="s">
        <v>4312</v>
      </c>
      <c r="C1741" t="s">
        <v>2314</v>
      </c>
      <c r="D1741" t="s">
        <v>9818</v>
      </c>
    </row>
    <row r="1742" spans="1:4" x14ac:dyDescent="0.25">
      <c r="A1742" t="s">
        <v>4313</v>
      </c>
      <c r="C1742" t="s">
        <v>2315</v>
      </c>
      <c r="D1742" t="s">
        <v>9819</v>
      </c>
    </row>
    <row r="1743" spans="1:4" x14ac:dyDescent="0.25">
      <c r="A1743" t="s">
        <v>4314</v>
      </c>
      <c r="C1743" t="s">
        <v>2316</v>
      </c>
      <c r="D1743" t="s">
        <v>9820</v>
      </c>
    </row>
    <row r="1744" spans="1:4" x14ac:dyDescent="0.25">
      <c r="A1744" t="s">
        <v>4315</v>
      </c>
      <c r="C1744" t="s">
        <v>2317</v>
      </c>
      <c r="D1744" t="s">
        <v>9821</v>
      </c>
    </row>
    <row r="1745" spans="1:4" x14ac:dyDescent="0.25">
      <c r="A1745" t="s">
        <v>4316</v>
      </c>
      <c r="C1745" t="s">
        <v>2318</v>
      </c>
      <c r="D1745" t="s">
        <v>9822</v>
      </c>
    </row>
    <row r="1746" spans="1:4" x14ac:dyDescent="0.25">
      <c r="A1746" t="s">
        <v>4317</v>
      </c>
      <c r="C1746" t="s">
        <v>2319</v>
      </c>
      <c r="D1746" t="s">
        <v>9823</v>
      </c>
    </row>
    <row r="1747" spans="1:4" x14ac:dyDescent="0.25">
      <c r="A1747" t="s">
        <v>4318</v>
      </c>
      <c r="C1747" t="s">
        <v>2320</v>
      </c>
      <c r="D1747" t="s">
        <v>9824</v>
      </c>
    </row>
    <row r="1748" spans="1:4" x14ac:dyDescent="0.25">
      <c r="A1748" t="s">
        <v>4319</v>
      </c>
      <c r="C1748" t="s">
        <v>2321</v>
      </c>
      <c r="D1748" t="s">
        <v>9825</v>
      </c>
    </row>
    <row r="1749" spans="1:4" x14ac:dyDescent="0.25">
      <c r="A1749" t="s">
        <v>4320</v>
      </c>
      <c r="C1749" t="s">
        <v>2322</v>
      </c>
      <c r="D1749" t="s">
        <v>9826</v>
      </c>
    </row>
    <row r="1750" spans="1:4" x14ac:dyDescent="0.25">
      <c r="A1750" t="s">
        <v>4321</v>
      </c>
      <c r="C1750" t="s">
        <v>2323</v>
      </c>
      <c r="D1750" t="s">
        <v>9827</v>
      </c>
    </row>
    <row r="1751" spans="1:4" x14ac:dyDescent="0.25">
      <c r="A1751" t="s">
        <v>4322</v>
      </c>
      <c r="C1751" t="s">
        <v>2324</v>
      </c>
      <c r="D1751" t="s">
        <v>9828</v>
      </c>
    </row>
    <row r="1752" spans="1:4" x14ac:dyDescent="0.25">
      <c r="A1752" t="s">
        <v>4323</v>
      </c>
      <c r="C1752" t="s">
        <v>2325</v>
      </c>
      <c r="D1752" t="s">
        <v>9829</v>
      </c>
    </row>
    <row r="1753" spans="1:4" x14ac:dyDescent="0.25">
      <c r="A1753" t="s">
        <v>4324</v>
      </c>
      <c r="C1753" t="s">
        <v>2326</v>
      </c>
      <c r="D1753" t="s">
        <v>9830</v>
      </c>
    </row>
    <row r="1754" spans="1:4" x14ac:dyDescent="0.25">
      <c r="A1754" t="s">
        <v>4325</v>
      </c>
      <c r="C1754" t="s">
        <v>2327</v>
      </c>
      <c r="D1754" t="s">
        <v>9831</v>
      </c>
    </row>
    <row r="1755" spans="1:4" x14ac:dyDescent="0.25">
      <c r="A1755" t="s">
        <v>4326</v>
      </c>
      <c r="C1755" t="s">
        <v>2328</v>
      </c>
      <c r="D1755" t="s">
        <v>9832</v>
      </c>
    </row>
    <row r="1756" spans="1:4" x14ac:dyDescent="0.25">
      <c r="A1756" t="s">
        <v>4327</v>
      </c>
      <c r="C1756" t="s">
        <v>2329</v>
      </c>
      <c r="D1756" t="s">
        <v>9833</v>
      </c>
    </row>
    <row r="1757" spans="1:4" x14ac:dyDescent="0.25">
      <c r="A1757" t="s">
        <v>4328</v>
      </c>
      <c r="C1757" t="s">
        <v>2330</v>
      </c>
      <c r="D1757" t="s">
        <v>9834</v>
      </c>
    </row>
    <row r="1758" spans="1:4" x14ac:dyDescent="0.25">
      <c r="A1758" t="s">
        <v>4329</v>
      </c>
      <c r="C1758" t="s">
        <v>2331</v>
      </c>
      <c r="D1758" t="s">
        <v>9835</v>
      </c>
    </row>
    <row r="1759" spans="1:4" x14ac:dyDescent="0.25">
      <c r="A1759" t="s">
        <v>4330</v>
      </c>
      <c r="C1759" t="s">
        <v>2332</v>
      </c>
      <c r="D1759" t="s">
        <v>9836</v>
      </c>
    </row>
    <row r="1760" spans="1:4" x14ac:dyDescent="0.25">
      <c r="A1760" t="s">
        <v>4331</v>
      </c>
      <c r="C1760" t="s">
        <v>2333</v>
      </c>
      <c r="D1760" t="s">
        <v>9837</v>
      </c>
    </row>
    <row r="1761" spans="1:4" x14ac:dyDescent="0.25">
      <c r="A1761" t="s">
        <v>4332</v>
      </c>
      <c r="C1761" t="s">
        <v>2334</v>
      </c>
      <c r="D1761" t="s">
        <v>9838</v>
      </c>
    </row>
    <row r="1762" spans="1:4" x14ac:dyDescent="0.25">
      <c r="A1762" t="s">
        <v>4333</v>
      </c>
      <c r="C1762" t="s">
        <v>2335</v>
      </c>
      <c r="D1762" t="s">
        <v>9839</v>
      </c>
    </row>
    <row r="1763" spans="1:4" x14ac:dyDescent="0.25">
      <c r="A1763" t="s">
        <v>4334</v>
      </c>
      <c r="C1763" t="s">
        <v>2336</v>
      </c>
      <c r="D1763" t="s">
        <v>9840</v>
      </c>
    </row>
    <row r="1764" spans="1:4" x14ac:dyDescent="0.25">
      <c r="A1764" t="s">
        <v>4335</v>
      </c>
      <c r="C1764" t="s">
        <v>2337</v>
      </c>
      <c r="D1764" t="s">
        <v>9841</v>
      </c>
    </row>
    <row r="1765" spans="1:4" x14ac:dyDescent="0.25">
      <c r="A1765" t="s">
        <v>4336</v>
      </c>
      <c r="C1765" t="s">
        <v>2338</v>
      </c>
      <c r="D1765" t="s">
        <v>9842</v>
      </c>
    </row>
    <row r="1766" spans="1:4" x14ac:dyDescent="0.25">
      <c r="A1766" t="s">
        <v>4337</v>
      </c>
      <c r="C1766" t="s">
        <v>2339</v>
      </c>
      <c r="D1766" t="s">
        <v>9843</v>
      </c>
    </row>
    <row r="1767" spans="1:4" x14ac:dyDescent="0.25">
      <c r="A1767" t="s">
        <v>4338</v>
      </c>
      <c r="C1767" t="s">
        <v>2340</v>
      </c>
      <c r="D1767" t="s">
        <v>9844</v>
      </c>
    </row>
    <row r="1768" spans="1:4" x14ac:dyDescent="0.25">
      <c r="A1768" t="s">
        <v>4339</v>
      </c>
      <c r="C1768" t="s">
        <v>2341</v>
      </c>
      <c r="D1768" t="s">
        <v>9845</v>
      </c>
    </row>
    <row r="1769" spans="1:4" x14ac:dyDescent="0.25">
      <c r="A1769" t="s">
        <v>4340</v>
      </c>
      <c r="C1769" t="s">
        <v>2342</v>
      </c>
      <c r="D1769" t="s">
        <v>9846</v>
      </c>
    </row>
    <row r="1770" spans="1:4" x14ac:dyDescent="0.25">
      <c r="A1770" t="s">
        <v>4341</v>
      </c>
      <c r="C1770" t="s">
        <v>2343</v>
      </c>
      <c r="D1770" t="s">
        <v>9847</v>
      </c>
    </row>
    <row r="1771" spans="1:4" x14ac:dyDescent="0.25">
      <c r="A1771" t="s">
        <v>4342</v>
      </c>
      <c r="C1771" t="s">
        <v>2344</v>
      </c>
      <c r="D1771" t="s">
        <v>9848</v>
      </c>
    </row>
    <row r="1772" spans="1:4" x14ac:dyDescent="0.25">
      <c r="A1772" t="s">
        <v>4343</v>
      </c>
      <c r="C1772" t="s">
        <v>2345</v>
      </c>
      <c r="D1772" t="s">
        <v>9849</v>
      </c>
    </row>
    <row r="1773" spans="1:4" x14ac:dyDescent="0.25">
      <c r="A1773" t="s">
        <v>4344</v>
      </c>
      <c r="C1773" t="s">
        <v>2346</v>
      </c>
      <c r="D1773" t="s">
        <v>9850</v>
      </c>
    </row>
    <row r="1774" spans="1:4" x14ac:dyDescent="0.25">
      <c r="A1774" t="s">
        <v>4345</v>
      </c>
      <c r="C1774" t="s">
        <v>2347</v>
      </c>
      <c r="D1774" t="s">
        <v>9851</v>
      </c>
    </row>
    <row r="1775" spans="1:4" x14ac:dyDescent="0.25">
      <c r="A1775" t="s">
        <v>4346</v>
      </c>
      <c r="C1775" t="s">
        <v>2348</v>
      </c>
      <c r="D1775" t="s">
        <v>9852</v>
      </c>
    </row>
    <row r="1776" spans="1:4" x14ac:dyDescent="0.25">
      <c r="A1776" t="s">
        <v>4347</v>
      </c>
      <c r="C1776" t="s">
        <v>2349</v>
      </c>
      <c r="D1776" t="s">
        <v>9853</v>
      </c>
    </row>
    <row r="1777" spans="1:4" x14ac:dyDescent="0.25">
      <c r="A1777" t="s">
        <v>4348</v>
      </c>
      <c r="C1777" t="s">
        <v>2350</v>
      </c>
      <c r="D1777" t="s">
        <v>9854</v>
      </c>
    </row>
    <row r="1778" spans="1:4" x14ac:dyDescent="0.25">
      <c r="A1778" t="s">
        <v>4349</v>
      </c>
      <c r="C1778" t="s">
        <v>2351</v>
      </c>
      <c r="D1778" t="s">
        <v>9855</v>
      </c>
    </row>
    <row r="1779" spans="1:4" x14ac:dyDescent="0.25">
      <c r="A1779" t="s">
        <v>4350</v>
      </c>
      <c r="C1779" t="s">
        <v>2352</v>
      </c>
      <c r="D1779" t="s">
        <v>9856</v>
      </c>
    </row>
    <row r="1780" spans="1:4" x14ac:dyDescent="0.25">
      <c r="A1780" t="s">
        <v>4351</v>
      </c>
      <c r="C1780" t="s">
        <v>2353</v>
      </c>
      <c r="D1780" t="s">
        <v>9857</v>
      </c>
    </row>
    <row r="1781" spans="1:4" x14ac:dyDescent="0.25">
      <c r="A1781" t="s">
        <v>4352</v>
      </c>
      <c r="C1781" t="s">
        <v>2354</v>
      </c>
      <c r="D1781" t="s">
        <v>9858</v>
      </c>
    </row>
    <row r="1782" spans="1:4" x14ac:dyDescent="0.25">
      <c r="A1782" t="s">
        <v>4353</v>
      </c>
      <c r="C1782" t="s">
        <v>2355</v>
      </c>
      <c r="D1782" t="s">
        <v>9859</v>
      </c>
    </row>
    <row r="1783" spans="1:4" x14ac:dyDescent="0.25">
      <c r="A1783" t="s">
        <v>4354</v>
      </c>
      <c r="C1783" t="s">
        <v>2356</v>
      </c>
      <c r="D1783" t="s">
        <v>9860</v>
      </c>
    </row>
    <row r="1784" spans="1:4" x14ac:dyDescent="0.25">
      <c r="A1784" t="s">
        <v>4355</v>
      </c>
      <c r="C1784" t="s">
        <v>2357</v>
      </c>
      <c r="D1784" t="s">
        <v>9861</v>
      </c>
    </row>
    <row r="1785" spans="1:4" x14ac:dyDescent="0.25">
      <c r="A1785" t="s">
        <v>4356</v>
      </c>
      <c r="C1785" t="s">
        <v>2358</v>
      </c>
      <c r="D1785" t="s">
        <v>9862</v>
      </c>
    </row>
    <row r="1786" spans="1:4" x14ac:dyDescent="0.25">
      <c r="A1786" t="s">
        <v>4357</v>
      </c>
      <c r="C1786" t="s">
        <v>2359</v>
      </c>
      <c r="D1786" t="s">
        <v>9863</v>
      </c>
    </row>
    <row r="1787" spans="1:4" x14ac:dyDescent="0.25">
      <c r="A1787" t="s">
        <v>4358</v>
      </c>
      <c r="C1787" s="48" t="s">
        <v>2360</v>
      </c>
      <c r="D1787" t="s">
        <v>9864</v>
      </c>
    </row>
    <row r="1788" spans="1:4" x14ac:dyDescent="0.25">
      <c r="A1788" t="s">
        <v>4359</v>
      </c>
      <c r="C1788" s="48" t="s">
        <v>2361</v>
      </c>
      <c r="D1788" t="s">
        <v>9865</v>
      </c>
    </row>
    <row r="1789" spans="1:4" x14ac:dyDescent="0.25">
      <c r="A1789" t="s">
        <v>4360</v>
      </c>
      <c r="C1789" s="48" t="s">
        <v>2362</v>
      </c>
      <c r="D1789" t="s">
        <v>9866</v>
      </c>
    </row>
    <row r="1790" spans="1:4" x14ac:dyDescent="0.25">
      <c r="A1790" t="s">
        <v>4361</v>
      </c>
      <c r="C1790" s="48" t="s">
        <v>2363</v>
      </c>
      <c r="D1790" t="s">
        <v>9867</v>
      </c>
    </row>
    <row r="1791" spans="1:4" x14ac:dyDescent="0.25">
      <c r="A1791" t="s">
        <v>4362</v>
      </c>
      <c r="C1791" s="48" t="s">
        <v>2364</v>
      </c>
      <c r="D1791" t="s">
        <v>9868</v>
      </c>
    </row>
    <row r="1792" spans="1:4" x14ac:dyDescent="0.25">
      <c r="A1792" t="s">
        <v>4363</v>
      </c>
      <c r="C1792" s="48" t="s">
        <v>2365</v>
      </c>
      <c r="D1792" t="s">
        <v>9869</v>
      </c>
    </row>
    <row r="1793" spans="1:4" x14ac:dyDescent="0.25">
      <c r="A1793" t="s">
        <v>4364</v>
      </c>
      <c r="C1793" s="48" t="s">
        <v>2366</v>
      </c>
      <c r="D1793" t="s">
        <v>9870</v>
      </c>
    </row>
    <row r="1794" spans="1:4" x14ac:dyDescent="0.25">
      <c r="A1794" t="s">
        <v>4365</v>
      </c>
      <c r="C1794" s="48" t="s">
        <v>2367</v>
      </c>
      <c r="D1794" t="s">
        <v>9871</v>
      </c>
    </row>
    <row r="1795" spans="1:4" x14ac:dyDescent="0.25">
      <c r="A1795" t="s">
        <v>4366</v>
      </c>
      <c r="C1795" s="48" t="s">
        <v>2368</v>
      </c>
      <c r="D1795" t="s">
        <v>9872</v>
      </c>
    </row>
    <row r="1796" spans="1:4" x14ac:dyDescent="0.25">
      <c r="A1796" t="s">
        <v>4367</v>
      </c>
      <c r="C1796" s="48" t="s">
        <v>2369</v>
      </c>
      <c r="D1796" t="s">
        <v>9873</v>
      </c>
    </row>
    <row r="1797" spans="1:4" x14ac:dyDescent="0.25">
      <c r="A1797" t="s">
        <v>4368</v>
      </c>
      <c r="C1797" t="s">
        <v>2370</v>
      </c>
      <c r="D1797" t="s">
        <v>9874</v>
      </c>
    </row>
    <row r="1798" spans="1:4" x14ac:dyDescent="0.25">
      <c r="A1798" t="s">
        <v>4369</v>
      </c>
      <c r="C1798" t="s">
        <v>2371</v>
      </c>
      <c r="D1798" t="s">
        <v>9875</v>
      </c>
    </row>
    <row r="1799" spans="1:4" x14ac:dyDescent="0.25">
      <c r="A1799" t="s">
        <v>4370</v>
      </c>
      <c r="C1799" t="s">
        <v>2372</v>
      </c>
      <c r="D1799" t="s">
        <v>9876</v>
      </c>
    </row>
    <row r="1800" spans="1:4" x14ac:dyDescent="0.25">
      <c r="A1800" t="s">
        <v>4371</v>
      </c>
      <c r="C1800" t="s">
        <v>2373</v>
      </c>
      <c r="D1800" t="s">
        <v>9877</v>
      </c>
    </row>
    <row r="1801" spans="1:4" x14ac:dyDescent="0.25">
      <c r="A1801" t="s">
        <v>4372</v>
      </c>
      <c r="C1801" t="s">
        <v>2374</v>
      </c>
      <c r="D1801" t="s">
        <v>9878</v>
      </c>
    </row>
    <row r="1802" spans="1:4" x14ac:dyDescent="0.25">
      <c r="A1802" t="s">
        <v>4373</v>
      </c>
      <c r="C1802" t="s">
        <v>2375</v>
      </c>
      <c r="D1802" t="s">
        <v>9879</v>
      </c>
    </row>
    <row r="1803" spans="1:4" x14ac:dyDescent="0.25">
      <c r="A1803" t="s">
        <v>4374</v>
      </c>
      <c r="C1803" t="s">
        <v>2376</v>
      </c>
      <c r="D1803" t="s">
        <v>9880</v>
      </c>
    </row>
    <row r="1804" spans="1:4" x14ac:dyDescent="0.25">
      <c r="A1804" t="s">
        <v>4375</v>
      </c>
      <c r="C1804" t="s">
        <v>2377</v>
      </c>
      <c r="D1804" t="s">
        <v>9881</v>
      </c>
    </row>
    <row r="1805" spans="1:4" x14ac:dyDescent="0.25">
      <c r="A1805" t="s">
        <v>4376</v>
      </c>
      <c r="C1805" t="s">
        <v>2378</v>
      </c>
      <c r="D1805" t="s">
        <v>9882</v>
      </c>
    </row>
    <row r="1806" spans="1:4" x14ac:dyDescent="0.25">
      <c r="A1806" t="s">
        <v>4377</v>
      </c>
      <c r="C1806" t="s">
        <v>2379</v>
      </c>
      <c r="D1806" t="s">
        <v>9883</v>
      </c>
    </row>
    <row r="1807" spans="1:4" x14ac:dyDescent="0.25">
      <c r="A1807" t="s">
        <v>4378</v>
      </c>
      <c r="C1807" t="s">
        <v>2380</v>
      </c>
      <c r="D1807" t="s">
        <v>9884</v>
      </c>
    </row>
    <row r="1808" spans="1:4" x14ac:dyDescent="0.25">
      <c r="A1808" t="s">
        <v>4379</v>
      </c>
      <c r="C1808" t="s">
        <v>2381</v>
      </c>
      <c r="D1808" t="s">
        <v>9885</v>
      </c>
    </row>
    <row r="1809" spans="1:4" x14ac:dyDescent="0.25">
      <c r="A1809" t="s">
        <v>4380</v>
      </c>
      <c r="C1809" t="s">
        <v>2382</v>
      </c>
      <c r="D1809" t="s">
        <v>9886</v>
      </c>
    </row>
    <row r="1810" spans="1:4" x14ac:dyDescent="0.25">
      <c r="A1810" t="s">
        <v>4381</v>
      </c>
      <c r="C1810" t="s">
        <v>2383</v>
      </c>
      <c r="D1810" t="s">
        <v>9887</v>
      </c>
    </row>
    <row r="1811" spans="1:4" x14ac:dyDescent="0.25">
      <c r="A1811" t="s">
        <v>4382</v>
      </c>
      <c r="C1811" t="s">
        <v>2384</v>
      </c>
      <c r="D1811" t="s">
        <v>9888</v>
      </c>
    </row>
    <row r="1812" spans="1:4" x14ac:dyDescent="0.25">
      <c r="A1812" t="s">
        <v>4383</v>
      </c>
      <c r="C1812" t="s">
        <v>2385</v>
      </c>
      <c r="D1812" t="s">
        <v>9889</v>
      </c>
    </row>
    <row r="1813" spans="1:4" x14ac:dyDescent="0.25">
      <c r="A1813" t="s">
        <v>4384</v>
      </c>
      <c r="C1813" t="s">
        <v>2386</v>
      </c>
      <c r="D1813" t="s">
        <v>9890</v>
      </c>
    </row>
    <row r="1814" spans="1:4" x14ac:dyDescent="0.25">
      <c r="A1814" t="s">
        <v>4385</v>
      </c>
      <c r="C1814" t="s">
        <v>2387</v>
      </c>
      <c r="D1814" t="s">
        <v>9891</v>
      </c>
    </row>
    <row r="1815" spans="1:4" x14ac:dyDescent="0.25">
      <c r="A1815" t="s">
        <v>4386</v>
      </c>
      <c r="C1815" t="s">
        <v>2388</v>
      </c>
      <c r="D1815" t="s">
        <v>9892</v>
      </c>
    </row>
    <row r="1816" spans="1:4" x14ac:dyDescent="0.25">
      <c r="A1816" t="s">
        <v>4387</v>
      </c>
      <c r="C1816" t="s">
        <v>2389</v>
      </c>
      <c r="D1816" t="s">
        <v>9893</v>
      </c>
    </row>
    <row r="1817" spans="1:4" x14ac:dyDescent="0.25">
      <c r="A1817" t="s">
        <v>4388</v>
      </c>
      <c r="C1817" t="s">
        <v>2390</v>
      </c>
      <c r="D1817" t="s">
        <v>9894</v>
      </c>
    </row>
    <row r="1818" spans="1:4" x14ac:dyDescent="0.25">
      <c r="A1818" t="s">
        <v>4389</v>
      </c>
      <c r="C1818" t="s">
        <v>2391</v>
      </c>
      <c r="D1818" t="s">
        <v>9895</v>
      </c>
    </row>
    <row r="1819" spans="1:4" x14ac:dyDescent="0.25">
      <c r="A1819" t="s">
        <v>4390</v>
      </c>
      <c r="C1819" t="s">
        <v>2392</v>
      </c>
      <c r="D1819" t="s">
        <v>9896</v>
      </c>
    </row>
    <row r="1820" spans="1:4" x14ac:dyDescent="0.25">
      <c r="A1820" t="s">
        <v>4391</v>
      </c>
      <c r="C1820" t="s">
        <v>2393</v>
      </c>
      <c r="D1820" t="s">
        <v>9897</v>
      </c>
    </row>
    <row r="1821" spans="1:4" x14ac:dyDescent="0.25">
      <c r="A1821" t="s">
        <v>4392</v>
      </c>
      <c r="C1821" t="s">
        <v>2394</v>
      </c>
      <c r="D1821" t="s">
        <v>9898</v>
      </c>
    </row>
    <row r="1822" spans="1:4" x14ac:dyDescent="0.25">
      <c r="A1822" t="s">
        <v>4393</v>
      </c>
      <c r="C1822" t="s">
        <v>2395</v>
      </c>
      <c r="D1822" t="s">
        <v>9899</v>
      </c>
    </row>
    <row r="1823" spans="1:4" x14ac:dyDescent="0.25">
      <c r="A1823" t="s">
        <v>4394</v>
      </c>
      <c r="C1823" t="s">
        <v>2396</v>
      </c>
      <c r="D1823" t="s">
        <v>9900</v>
      </c>
    </row>
    <row r="1824" spans="1:4" x14ac:dyDescent="0.25">
      <c r="A1824" t="s">
        <v>4395</v>
      </c>
      <c r="C1824" t="s">
        <v>2397</v>
      </c>
      <c r="D1824" t="s">
        <v>9901</v>
      </c>
    </row>
    <row r="1825" spans="1:4" x14ac:dyDescent="0.25">
      <c r="A1825" t="s">
        <v>4396</v>
      </c>
      <c r="C1825" t="s">
        <v>2398</v>
      </c>
      <c r="D1825" t="s">
        <v>9902</v>
      </c>
    </row>
    <row r="1826" spans="1:4" x14ac:dyDescent="0.25">
      <c r="A1826" t="s">
        <v>4397</v>
      </c>
      <c r="C1826" t="s">
        <v>2399</v>
      </c>
      <c r="D1826" t="s">
        <v>9903</v>
      </c>
    </row>
    <row r="1827" spans="1:4" x14ac:dyDescent="0.25">
      <c r="A1827" t="s">
        <v>4398</v>
      </c>
      <c r="C1827" t="s">
        <v>2400</v>
      </c>
      <c r="D1827" t="s">
        <v>9904</v>
      </c>
    </row>
    <row r="1828" spans="1:4" x14ac:dyDescent="0.25">
      <c r="A1828" t="s">
        <v>4399</v>
      </c>
      <c r="C1828" t="s">
        <v>2401</v>
      </c>
      <c r="D1828" t="s">
        <v>9905</v>
      </c>
    </row>
    <row r="1829" spans="1:4" x14ac:dyDescent="0.25">
      <c r="A1829" t="s">
        <v>4400</v>
      </c>
      <c r="C1829" t="s">
        <v>2402</v>
      </c>
      <c r="D1829" t="s">
        <v>9906</v>
      </c>
    </row>
    <row r="1830" spans="1:4" x14ac:dyDescent="0.25">
      <c r="A1830" t="s">
        <v>4401</v>
      </c>
      <c r="C1830" t="s">
        <v>2403</v>
      </c>
      <c r="D1830" t="s">
        <v>9907</v>
      </c>
    </row>
    <row r="1831" spans="1:4" x14ac:dyDescent="0.25">
      <c r="A1831" t="s">
        <v>4402</v>
      </c>
      <c r="C1831" t="s">
        <v>2404</v>
      </c>
      <c r="D1831" t="s">
        <v>9908</v>
      </c>
    </row>
    <row r="1832" spans="1:4" x14ac:dyDescent="0.25">
      <c r="A1832" t="s">
        <v>4403</v>
      </c>
      <c r="C1832" t="s">
        <v>2405</v>
      </c>
      <c r="D1832" t="s">
        <v>9909</v>
      </c>
    </row>
    <row r="1833" spans="1:4" x14ac:dyDescent="0.25">
      <c r="A1833" t="s">
        <v>4404</v>
      </c>
      <c r="C1833" t="s">
        <v>2406</v>
      </c>
      <c r="D1833" t="s">
        <v>9910</v>
      </c>
    </row>
    <row r="1834" spans="1:4" x14ac:dyDescent="0.25">
      <c r="A1834" t="s">
        <v>4405</v>
      </c>
      <c r="C1834" t="s">
        <v>2407</v>
      </c>
      <c r="D1834" t="s">
        <v>9911</v>
      </c>
    </row>
    <row r="1835" spans="1:4" x14ac:dyDescent="0.25">
      <c r="A1835" t="s">
        <v>4406</v>
      </c>
      <c r="C1835" t="s">
        <v>2408</v>
      </c>
      <c r="D1835" t="s">
        <v>9912</v>
      </c>
    </row>
    <row r="1836" spans="1:4" x14ac:dyDescent="0.25">
      <c r="A1836" t="s">
        <v>4407</v>
      </c>
      <c r="C1836" t="s">
        <v>2409</v>
      </c>
      <c r="D1836" t="s">
        <v>9913</v>
      </c>
    </row>
    <row r="1837" spans="1:4" x14ac:dyDescent="0.25">
      <c r="A1837" t="s">
        <v>4408</v>
      </c>
      <c r="C1837" t="s">
        <v>2410</v>
      </c>
      <c r="D1837" t="s">
        <v>9914</v>
      </c>
    </row>
    <row r="1838" spans="1:4" x14ac:dyDescent="0.25">
      <c r="A1838" t="s">
        <v>4409</v>
      </c>
      <c r="C1838" t="s">
        <v>2411</v>
      </c>
      <c r="D1838" t="s">
        <v>9915</v>
      </c>
    </row>
    <row r="1839" spans="1:4" x14ac:dyDescent="0.25">
      <c r="A1839" t="s">
        <v>4410</v>
      </c>
      <c r="C1839" t="s">
        <v>2412</v>
      </c>
      <c r="D1839" t="s">
        <v>9916</v>
      </c>
    </row>
    <row r="1840" spans="1:4" x14ac:dyDescent="0.25">
      <c r="A1840" t="s">
        <v>4411</v>
      </c>
      <c r="C1840" t="s">
        <v>2413</v>
      </c>
      <c r="D1840" t="s">
        <v>9917</v>
      </c>
    </row>
    <row r="1841" spans="1:4" x14ac:dyDescent="0.25">
      <c r="A1841" t="s">
        <v>4412</v>
      </c>
      <c r="C1841" t="s">
        <v>2414</v>
      </c>
      <c r="D1841" t="s">
        <v>9918</v>
      </c>
    </row>
    <row r="1842" spans="1:4" x14ac:dyDescent="0.25">
      <c r="A1842" t="s">
        <v>4413</v>
      </c>
      <c r="C1842" t="s">
        <v>2415</v>
      </c>
      <c r="D1842" t="s">
        <v>9919</v>
      </c>
    </row>
    <row r="1843" spans="1:4" x14ac:dyDescent="0.25">
      <c r="A1843" t="s">
        <v>4414</v>
      </c>
      <c r="C1843" t="s">
        <v>2416</v>
      </c>
      <c r="D1843" t="s">
        <v>9920</v>
      </c>
    </row>
    <row r="1844" spans="1:4" x14ac:dyDescent="0.25">
      <c r="A1844" t="s">
        <v>4415</v>
      </c>
      <c r="C1844" t="s">
        <v>2417</v>
      </c>
      <c r="D1844" t="s">
        <v>9921</v>
      </c>
    </row>
    <row r="1845" spans="1:4" x14ac:dyDescent="0.25">
      <c r="A1845" t="s">
        <v>4416</v>
      </c>
      <c r="C1845" t="s">
        <v>2418</v>
      </c>
      <c r="D1845" t="s">
        <v>9922</v>
      </c>
    </row>
    <row r="1846" spans="1:4" x14ac:dyDescent="0.25">
      <c r="A1846" t="s">
        <v>4417</v>
      </c>
      <c r="C1846" t="s">
        <v>2419</v>
      </c>
      <c r="D1846" t="s">
        <v>9923</v>
      </c>
    </row>
    <row r="1847" spans="1:4" x14ac:dyDescent="0.25">
      <c r="A1847" t="s">
        <v>4418</v>
      </c>
      <c r="C1847" t="s">
        <v>2420</v>
      </c>
      <c r="D1847" t="s">
        <v>9924</v>
      </c>
    </row>
    <row r="1848" spans="1:4" x14ac:dyDescent="0.25">
      <c r="A1848" t="s">
        <v>4419</v>
      </c>
      <c r="C1848" t="s">
        <v>2421</v>
      </c>
      <c r="D1848" t="s">
        <v>9925</v>
      </c>
    </row>
    <row r="1849" spans="1:4" x14ac:dyDescent="0.25">
      <c r="A1849" t="s">
        <v>4420</v>
      </c>
      <c r="C1849" t="s">
        <v>2422</v>
      </c>
      <c r="D1849" t="s">
        <v>9926</v>
      </c>
    </row>
    <row r="1850" spans="1:4" x14ac:dyDescent="0.25">
      <c r="A1850" t="s">
        <v>4421</v>
      </c>
      <c r="C1850" t="s">
        <v>2423</v>
      </c>
      <c r="D1850" t="s">
        <v>9927</v>
      </c>
    </row>
    <row r="1851" spans="1:4" x14ac:dyDescent="0.25">
      <c r="A1851" t="s">
        <v>4422</v>
      </c>
      <c r="C1851" t="s">
        <v>2424</v>
      </c>
      <c r="D1851" t="s">
        <v>9928</v>
      </c>
    </row>
    <row r="1852" spans="1:4" x14ac:dyDescent="0.25">
      <c r="A1852" t="s">
        <v>4423</v>
      </c>
      <c r="C1852" t="s">
        <v>2425</v>
      </c>
      <c r="D1852" t="s">
        <v>9929</v>
      </c>
    </row>
    <row r="1853" spans="1:4" x14ac:dyDescent="0.25">
      <c r="A1853" t="s">
        <v>4424</v>
      </c>
      <c r="C1853" t="s">
        <v>2426</v>
      </c>
      <c r="D1853" t="s">
        <v>9930</v>
      </c>
    </row>
    <row r="1854" spans="1:4" x14ac:dyDescent="0.25">
      <c r="A1854" t="s">
        <v>4425</v>
      </c>
      <c r="C1854" t="s">
        <v>2427</v>
      </c>
      <c r="D1854" t="s">
        <v>9931</v>
      </c>
    </row>
    <row r="1855" spans="1:4" x14ac:dyDescent="0.25">
      <c r="A1855" t="s">
        <v>4426</v>
      </c>
      <c r="C1855" t="s">
        <v>2428</v>
      </c>
      <c r="D1855" t="s">
        <v>9932</v>
      </c>
    </row>
    <row r="1856" spans="1:4" x14ac:dyDescent="0.25">
      <c r="A1856" t="s">
        <v>4427</v>
      </c>
      <c r="C1856" t="s">
        <v>2429</v>
      </c>
      <c r="D1856" t="s">
        <v>9933</v>
      </c>
    </row>
    <row r="1857" spans="1:4" x14ac:dyDescent="0.25">
      <c r="A1857" t="s">
        <v>4428</v>
      </c>
      <c r="C1857" t="s">
        <v>2430</v>
      </c>
      <c r="D1857" t="s">
        <v>9934</v>
      </c>
    </row>
    <row r="1858" spans="1:4" x14ac:dyDescent="0.25">
      <c r="A1858" t="s">
        <v>4429</v>
      </c>
      <c r="C1858" t="s">
        <v>2431</v>
      </c>
      <c r="D1858" t="s">
        <v>9935</v>
      </c>
    </row>
    <row r="1859" spans="1:4" x14ac:dyDescent="0.25">
      <c r="A1859" t="s">
        <v>4430</v>
      </c>
      <c r="C1859" t="s">
        <v>2432</v>
      </c>
      <c r="D1859" t="s">
        <v>9936</v>
      </c>
    </row>
    <row r="1860" spans="1:4" x14ac:dyDescent="0.25">
      <c r="A1860" t="s">
        <v>4431</v>
      </c>
      <c r="C1860" t="s">
        <v>2433</v>
      </c>
      <c r="D1860" t="s">
        <v>9937</v>
      </c>
    </row>
    <row r="1861" spans="1:4" x14ac:dyDescent="0.25">
      <c r="A1861" t="s">
        <v>4432</v>
      </c>
      <c r="C1861" t="s">
        <v>2434</v>
      </c>
      <c r="D1861" t="s">
        <v>9938</v>
      </c>
    </row>
    <row r="1862" spans="1:4" x14ac:dyDescent="0.25">
      <c r="A1862" t="s">
        <v>4433</v>
      </c>
      <c r="C1862" t="s">
        <v>2435</v>
      </c>
      <c r="D1862" t="s">
        <v>9939</v>
      </c>
    </row>
    <row r="1863" spans="1:4" x14ac:dyDescent="0.25">
      <c r="A1863" t="s">
        <v>4434</v>
      </c>
      <c r="C1863" t="s">
        <v>2436</v>
      </c>
      <c r="D1863" t="s">
        <v>9940</v>
      </c>
    </row>
    <row r="1864" spans="1:4" x14ac:dyDescent="0.25">
      <c r="A1864" t="s">
        <v>4435</v>
      </c>
      <c r="C1864" t="s">
        <v>2437</v>
      </c>
      <c r="D1864" t="s">
        <v>9941</v>
      </c>
    </row>
    <row r="1865" spans="1:4" x14ac:dyDescent="0.25">
      <c r="A1865" t="s">
        <v>4436</v>
      </c>
      <c r="C1865" t="s">
        <v>2438</v>
      </c>
      <c r="D1865" t="s">
        <v>9942</v>
      </c>
    </row>
    <row r="1866" spans="1:4" x14ac:dyDescent="0.25">
      <c r="A1866" t="s">
        <v>4437</v>
      </c>
      <c r="C1866" t="s">
        <v>2439</v>
      </c>
      <c r="D1866" t="s">
        <v>9943</v>
      </c>
    </row>
    <row r="1867" spans="1:4" x14ac:dyDescent="0.25">
      <c r="A1867" t="s">
        <v>4438</v>
      </c>
      <c r="C1867" t="s">
        <v>2440</v>
      </c>
      <c r="D1867" t="s">
        <v>9944</v>
      </c>
    </row>
    <row r="1868" spans="1:4" x14ac:dyDescent="0.25">
      <c r="A1868" t="s">
        <v>4439</v>
      </c>
      <c r="C1868" t="s">
        <v>2441</v>
      </c>
      <c r="D1868" t="s">
        <v>9945</v>
      </c>
    </row>
    <row r="1869" spans="1:4" x14ac:dyDescent="0.25">
      <c r="A1869" t="s">
        <v>4440</v>
      </c>
      <c r="C1869" t="s">
        <v>2442</v>
      </c>
      <c r="D1869" t="s">
        <v>9946</v>
      </c>
    </row>
    <row r="1870" spans="1:4" x14ac:dyDescent="0.25">
      <c r="A1870" t="s">
        <v>4441</v>
      </c>
      <c r="C1870" t="s">
        <v>2443</v>
      </c>
      <c r="D1870" t="s">
        <v>9947</v>
      </c>
    </row>
    <row r="1871" spans="1:4" x14ac:dyDescent="0.25">
      <c r="A1871" t="s">
        <v>4442</v>
      </c>
      <c r="C1871" t="s">
        <v>2444</v>
      </c>
      <c r="D1871" t="s">
        <v>9948</v>
      </c>
    </row>
    <row r="1872" spans="1:4" x14ac:dyDescent="0.25">
      <c r="A1872" t="s">
        <v>4443</v>
      </c>
      <c r="C1872" t="s">
        <v>2445</v>
      </c>
      <c r="D1872" t="s">
        <v>9949</v>
      </c>
    </row>
    <row r="1873" spans="1:4" x14ac:dyDescent="0.25">
      <c r="A1873" t="s">
        <v>4444</v>
      </c>
      <c r="C1873" t="s">
        <v>2446</v>
      </c>
      <c r="D1873" t="s">
        <v>9950</v>
      </c>
    </row>
    <row r="1874" spans="1:4" x14ac:dyDescent="0.25">
      <c r="A1874" t="s">
        <v>4445</v>
      </c>
      <c r="C1874" t="s">
        <v>2447</v>
      </c>
      <c r="D1874" t="s">
        <v>9951</v>
      </c>
    </row>
    <row r="1875" spans="1:4" x14ac:dyDescent="0.25">
      <c r="A1875" t="s">
        <v>4446</v>
      </c>
      <c r="C1875" t="s">
        <v>2448</v>
      </c>
      <c r="D1875" t="s">
        <v>9952</v>
      </c>
    </row>
    <row r="1876" spans="1:4" x14ac:dyDescent="0.25">
      <c r="A1876" t="s">
        <v>4447</v>
      </c>
      <c r="C1876" t="s">
        <v>2449</v>
      </c>
      <c r="D1876" t="s">
        <v>9953</v>
      </c>
    </row>
    <row r="1877" spans="1:4" x14ac:dyDescent="0.25">
      <c r="A1877" t="s">
        <v>4448</v>
      </c>
      <c r="C1877" t="s">
        <v>2450</v>
      </c>
      <c r="D1877" t="s">
        <v>9954</v>
      </c>
    </row>
    <row r="1878" spans="1:4" x14ac:dyDescent="0.25">
      <c r="A1878" t="s">
        <v>4449</v>
      </c>
      <c r="C1878" t="s">
        <v>2451</v>
      </c>
      <c r="D1878" t="s">
        <v>9955</v>
      </c>
    </row>
    <row r="1879" spans="1:4" x14ac:dyDescent="0.25">
      <c r="A1879" t="s">
        <v>4450</v>
      </c>
      <c r="C1879" t="s">
        <v>2452</v>
      </c>
      <c r="D1879" t="s">
        <v>9956</v>
      </c>
    </row>
    <row r="1880" spans="1:4" x14ac:dyDescent="0.25">
      <c r="A1880" t="s">
        <v>4451</v>
      </c>
      <c r="C1880" t="s">
        <v>2453</v>
      </c>
      <c r="D1880" t="s">
        <v>9957</v>
      </c>
    </row>
    <row r="1881" spans="1:4" x14ac:dyDescent="0.25">
      <c r="A1881" t="s">
        <v>4452</v>
      </c>
      <c r="C1881" t="s">
        <v>2454</v>
      </c>
      <c r="D1881" t="s">
        <v>9958</v>
      </c>
    </row>
    <row r="1882" spans="1:4" x14ac:dyDescent="0.25">
      <c r="A1882" t="s">
        <v>4453</v>
      </c>
      <c r="C1882" t="s">
        <v>2455</v>
      </c>
      <c r="D1882" t="s">
        <v>9959</v>
      </c>
    </row>
    <row r="1883" spans="1:4" x14ac:dyDescent="0.25">
      <c r="A1883" t="s">
        <v>4454</v>
      </c>
      <c r="C1883" t="s">
        <v>2456</v>
      </c>
      <c r="D1883" t="s">
        <v>9960</v>
      </c>
    </row>
    <row r="1884" spans="1:4" x14ac:dyDescent="0.25">
      <c r="A1884" t="s">
        <v>4455</v>
      </c>
      <c r="C1884" t="s">
        <v>2457</v>
      </c>
      <c r="D1884" t="s">
        <v>9961</v>
      </c>
    </row>
    <row r="1885" spans="1:4" x14ac:dyDescent="0.25">
      <c r="A1885" t="s">
        <v>4456</v>
      </c>
      <c r="C1885" t="s">
        <v>2458</v>
      </c>
      <c r="D1885" t="s">
        <v>9962</v>
      </c>
    </row>
    <row r="1886" spans="1:4" x14ac:dyDescent="0.25">
      <c r="A1886" t="s">
        <v>4457</v>
      </c>
      <c r="C1886" t="s">
        <v>2459</v>
      </c>
      <c r="D1886" t="s">
        <v>9963</v>
      </c>
    </row>
    <row r="1887" spans="1:4" x14ac:dyDescent="0.25">
      <c r="A1887" t="s">
        <v>4458</v>
      </c>
      <c r="C1887" t="s">
        <v>2460</v>
      </c>
      <c r="D1887" t="s">
        <v>9964</v>
      </c>
    </row>
    <row r="1888" spans="1:4" x14ac:dyDescent="0.25">
      <c r="A1888" t="s">
        <v>4459</v>
      </c>
      <c r="C1888" t="s">
        <v>2461</v>
      </c>
      <c r="D1888" t="s">
        <v>9965</v>
      </c>
    </row>
    <row r="1889" spans="1:4" x14ac:dyDescent="0.25">
      <c r="A1889" t="s">
        <v>4460</v>
      </c>
      <c r="C1889" t="s">
        <v>2462</v>
      </c>
      <c r="D1889" t="s">
        <v>9966</v>
      </c>
    </row>
    <row r="1890" spans="1:4" x14ac:dyDescent="0.25">
      <c r="A1890" t="s">
        <v>4461</v>
      </c>
      <c r="C1890" t="s">
        <v>2463</v>
      </c>
      <c r="D1890" t="s">
        <v>9967</v>
      </c>
    </row>
    <row r="1891" spans="1:4" x14ac:dyDescent="0.25">
      <c r="A1891" t="s">
        <v>4462</v>
      </c>
      <c r="C1891" t="s">
        <v>2464</v>
      </c>
      <c r="D1891" t="s">
        <v>9968</v>
      </c>
    </row>
    <row r="1892" spans="1:4" x14ac:dyDescent="0.25">
      <c r="A1892" t="s">
        <v>4463</v>
      </c>
      <c r="C1892" t="s">
        <v>2465</v>
      </c>
      <c r="D1892" t="s">
        <v>9969</v>
      </c>
    </row>
    <row r="1893" spans="1:4" x14ac:dyDescent="0.25">
      <c r="A1893" t="s">
        <v>4464</v>
      </c>
      <c r="C1893" t="s">
        <v>2466</v>
      </c>
      <c r="D1893" t="s">
        <v>9970</v>
      </c>
    </row>
    <row r="1894" spans="1:4" x14ac:dyDescent="0.25">
      <c r="A1894" t="s">
        <v>4465</v>
      </c>
      <c r="C1894" t="s">
        <v>2467</v>
      </c>
      <c r="D1894" t="s">
        <v>9971</v>
      </c>
    </row>
    <row r="1895" spans="1:4" x14ac:dyDescent="0.25">
      <c r="A1895" t="s">
        <v>4466</v>
      </c>
      <c r="C1895" t="s">
        <v>2468</v>
      </c>
      <c r="D1895" t="s">
        <v>9972</v>
      </c>
    </row>
    <row r="1896" spans="1:4" x14ac:dyDescent="0.25">
      <c r="A1896" t="s">
        <v>4467</v>
      </c>
      <c r="C1896" t="s">
        <v>2469</v>
      </c>
      <c r="D1896" t="s">
        <v>9973</v>
      </c>
    </row>
    <row r="1897" spans="1:4" x14ac:dyDescent="0.25">
      <c r="A1897" t="s">
        <v>4468</v>
      </c>
      <c r="C1897" t="s">
        <v>2470</v>
      </c>
      <c r="D1897" t="s">
        <v>9974</v>
      </c>
    </row>
    <row r="1898" spans="1:4" x14ac:dyDescent="0.25">
      <c r="A1898" t="s">
        <v>4469</v>
      </c>
      <c r="C1898" t="s">
        <v>2471</v>
      </c>
      <c r="D1898" t="s">
        <v>9975</v>
      </c>
    </row>
    <row r="1899" spans="1:4" x14ac:dyDescent="0.25">
      <c r="A1899" t="s">
        <v>4470</v>
      </c>
      <c r="C1899" t="s">
        <v>2472</v>
      </c>
      <c r="D1899" t="s">
        <v>9976</v>
      </c>
    </row>
    <row r="1900" spans="1:4" x14ac:dyDescent="0.25">
      <c r="A1900" t="s">
        <v>4471</v>
      </c>
      <c r="C1900" t="s">
        <v>2473</v>
      </c>
      <c r="D1900" t="s">
        <v>9977</v>
      </c>
    </row>
    <row r="1901" spans="1:4" x14ac:dyDescent="0.25">
      <c r="A1901" t="s">
        <v>4472</v>
      </c>
      <c r="C1901" t="s">
        <v>2474</v>
      </c>
      <c r="D1901" t="s">
        <v>9978</v>
      </c>
    </row>
    <row r="1902" spans="1:4" x14ac:dyDescent="0.25">
      <c r="A1902" t="s">
        <v>4473</v>
      </c>
      <c r="C1902" t="s">
        <v>2475</v>
      </c>
      <c r="D1902" t="s">
        <v>9979</v>
      </c>
    </row>
    <row r="1903" spans="1:4" x14ac:dyDescent="0.25">
      <c r="A1903" t="s">
        <v>4474</v>
      </c>
      <c r="C1903" t="s">
        <v>2476</v>
      </c>
      <c r="D1903" t="s">
        <v>9980</v>
      </c>
    </row>
    <row r="1904" spans="1:4" x14ac:dyDescent="0.25">
      <c r="A1904" t="s">
        <v>4475</v>
      </c>
      <c r="C1904" t="s">
        <v>2477</v>
      </c>
      <c r="D1904" t="s">
        <v>9981</v>
      </c>
    </row>
    <row r="1905" spans="1:4" x14ac:dyDescent="0.25">
      <c r="A1905" t="s">
        <v>4476</v>
      </c>
      <c r="C1905" t="s">
        <v>2478</v>
      </c>
      <c r="D1905" t="s">
        <v>9982</v>
      </c>
    </row>
    <row r="1906" spans="1:4" x14ac:dyDescent="0.25">
      <c r="A1906" t="s">
        <v>4477</v>
      </c>
      <c r="C1906" t="s">
        <v>2479</v>
      </c>
      <c r="D1906" t="s">
        <v>9983</v>
      </c>
    </row>
    <row r="1907" spans="1:4" x14ac:dyDescent="0.25">
      <c r="A1907" t="s">
        <v>4478</v>
      </c>
      <c r="C1907" t="s">
        <v>2480</v>
      </c>
      <c r="D1907" t="s">
        <v>9984</v>
      </c>
    </row>
    <row r="1908" spans="1:4" x14ac:dyDescent="0.25">
      <c r="A1908" t="s">
        <v>4479</v>
      </c>
      <c r="C1908" t="s">
        <v>2481</v>
      </c>
      <c r="D1908" t="s">
        <v>9985</v>
      </c>
    </row>
    <row r="1909" spans="1:4" x14ac:dyDescent="0.25">
      <c r="A1909" t="s">
        <v>4480</v>
      </c>
      <c r="C1909" t="s">
        <v>2482</v>
      </c>
      <c r="D1909" t="s">
        <v>9986</v>
      </c>
    </row>
    <row r="1910" spans="1:4" x14ac:dyDescent="0.25">
      <c r="A1910" t="s">
        <v>4481</v>
      </c>
      <c r="C1910" t="s">
        <v>2483</v>
      </c>
      <c r="D1910" t="s">
        <v>9987</v>
      </c>
    </row>
    <row r="1911" spans="1:4" x14ac:dyDescent="0.25">
      <c r="A1911" t="s">
        <v>4482</v>
      </c>
      <c r="C1911" t="s">
        <v>2484</v>
      </c>
      <c r="D1911" t="s">
        <v>9988</v>
      </c>
    </row>
    <row r="1912" spans="1:4" x14ac:dyDescent="0.25">
      <c r="A1912" t="s">
        <v>4483</v>
      </c>
      <c r="C1912" t="s">
        <v>2485</v>
      </c>
      <c r="D1912" t="s">
        <v>9989</v>
      </c>
    </row>
    <row r="1913" spans="1:4" x14ac:dyDescent="0.25">
      <c r="A1913" t="s">
        <v>4484</v>
      </c>
      <c r="C1913" t="s">
        <v>2486</v>
      </c>
      <c r="D1913" t="s">
        <v>9990</v>
      </c>
    </row>
    <row r="1914" spans="1:4" x14ac:dyDescent="0.25">
      <c r="A1914" t="s">
        <v>4485</v>
      </c>
      <c r="C1914" t="s">
        <v>2487</v>
      </c>
      <c r="D1914" t="s">
        <v>9991</v>
      </c>
    </row>
    <row r="1915" spans="1:4" x14ac:dyDescent="0.25">
      <c r="A1915" t="s">
        <v>4486</v>
      </c>
      <c r="C1915" t="s">
        <v>2488</v>
      </c>
      <c r="D1915" t="s">
        <v>9992</v>
      </c>
    </row>
    <row r="1916" spans="1:4" x14ac:dyDescent="0.25">
      <c r="A1916" t="s">
        <v>4487</v>
      </c>
      <c r="C1916" t="s">
        <v>2489</v>
      </c>
      <c r="D1916" t="s">
        <v>9993</v>
      </c>
    </row>
    <row r="1917" spans="1:4" x14ac:dyDescent="0.25">
      <c r="A1917" t="s">
        <v>4488</v>
      </c>
      <c r="C1917" t="s">
        <v>2490</v>
      </c>
      <c r="D1917" t="s">
        <v>9994</v>
      </c>
    </row>
    <row r="1918" spans="1:4" x14ac:dyDescent="0.25">
      <c r="A1918" t="s">
        <v>4489</v>
      </c>
      <c r="C1918" t="s">
        <v>2491</v>
      </c>
      <c r="D1918" t="s">
        <v>9995</v>
      </c>
    </row>
    <row r="1919" spans="1:4" x14ac:dyDescent="0.25">
      <c r="A1919" t="s">
        <v>4490</v>
      </c>
      <c r="C1919" t="s">
        <v>2492</v>
      </c>
      <c r="D1919" t="s">
        <v>9996</v>
      </c>
    </row>
    <row r="1920" spans="1:4" x14ac:dyDescent="0.25">
      <c r="A1920" t="s">
        <v>4491</v>
      </c>
      <c r="C1920" t="s">
        <v>2493</v>
      </c>
      <c r="D1920" t="s">
        <v>9997</v>
      </c>
    </row>
    <row r="1921" spans="1:4" x14ac:dyDescent="0.25">
      <c r="A1921" t="s">
        <v>4492</v>
      </c>
      <c r="C1921" t="s">
        <v>2494</v>
      </c>
      <c r="D1921" t="s">
        <v>9998</v>
      </c>
    </row>
    <row r="1922" spans="1:4" x14ac:dyDescent="0.25">
      <c r="A1922" t="s">
        <v>4493</v>
      </c>
      <c r="C1922" t="s">
        <v>2495</v>
      </c>
      <c r="D1922" t="s">
        <v>9999</v>
      </c>
    </row>
    <row r="1923" spans="1:4" x14ac:dyDescent="0.25">
      <c r="A1923" t="s">
        <v>4494</v>
      </c>
      <c r="C1923" t="s">
        <v>2496</v>
      </c>
      <c r="D1923" t="s">
        <v>10000</v>
      </c>
    </row>
    <row r="1924" spans="1:4" x14ac:dyDescent="0.25">
      <c r="A1924" t="s">
        <v>4495</v>
      </c>
      <c r="C1924" t="s">
        <v>2497</v>
      </c>
      <c r="D1924" t="s">
        <v>10001</v>
      </c>
    </row>
    <row r="1925" spans="1:4" x14ac:dyDescent="0.25">
      <c r="A1925" t="s">
        <v>4496</v>
      </c>
      <c r="C1925" t="s">
        <v>2498</v>
      </c>
      <c r="D1925" t="s">
        <v>10002</v>
      </c>
    </row>
    <row r="1926" spans="1:4" x14ac:dyDescent="0.25">
      <c r="A1926" t="s">
        <v>4497</v>
      </c>
      <c r="C1926" t="s">
        <v>2499</v>
      </c>
      <c r="D1926" t="s">
        <v>10003</v>
      </c>
    </row>
    <row r="1927" spans="1:4" x14ac:dyDescent="0.25">
      <c r="A1927" t="s">
        <v>4498</v>
      </c>
      <c r="C1927" t="s">
        <v>2500</v>
      </c>
      <c r="D1927" t="s">
        <v>10004</v>
      </c>
    </row>
    <row r="1928" spans="1:4" x14ac:dyDescent="0.25">
      <c r="A1928" t="s">
        <v>4499</v>
      </c>
      <c r="C1928" t="s">
        <v>2501</v>
      </c>
      <c r="D1928" t="s">
        <v>10005</v>
      </c>
    </row>
    <row r="1929" spans="1:4" x14ac:dyDescent="0.25">
      <c r="A1929" t="s">
        <v>4500</v>
      </c>
      <c r="C1929" t="s">
        <v>2502</v>
      </c>
      <c r="D1929" t="s">
        <v>10006</v>
      </c>
    </row>
    <row r="1930" spans="1:4" x14ac:dyDescent="0.25">
      <c r="A1930" t="s">
        <v>4501</v>
      </c>
      <c r="C1930" t="s">
        <v>2503</v>
      </c>
      <c r="D1930" t="s">
        <v>10007</v>
      </c>
    </row>
    <row r="1931" spans="1:4" x14ac:dyDescent="0.25">
      <c r="A1931" t="s">
        <v>4502</v>
      </c>
      <c r="C1931" t="s">
        <v>2504</v>
      </c>
      <c r="D1931" t="s">
        <v>10008</v>
      </c>
    </row>
    <row r="1932" spans="1:4" x14ac:dyDescent="0.25">
      <c r="A1932" t="s">
        <v>4503</v>
      </c>
      <c r="C1932" t="s">
        <v>2505</v>
      </c>
      <c r="D1932" t="s">
        <v>10009</v>
      </c>
    </row>
    <row r="1933" spans="1:4" x14ac:dyDescent="0.25">
      <c r="A1933" t="s">
        <v>4504</v>
      </c>
      <c r="C1933" t="s">
        <v>2506</v>
      </c>
      <c r="D1933" t="s">
        <v>10010</v>
      </c>
    </row>
    <row r="1934" spans="1:4" x14ac:dyDescent="0.25">
      <c r="A1934" t="s">
        <v>4505</v>
      </c>
      <c r="C1934" t="s">
        <v>2507</v>
      </c>
      <c r="D1934" t="s">
        <v>10011</v>
      </c>
    </row>
    <row r="1935" spans="1:4" x14ac:dyDescent="0.25">
      <c r="A1935" t="s">
        <v>4506</v>
      </c>
      <c r="C1935" t="s">
        <v>2508</v>
      </c>
      <c r="D1935" t="s">
        <v>10012</v>
      </c>
    </row>
    <row r="1936" spans="1:4" x14ac:dyDescent="0.25">
      <c r="A1936" t="s">
        <v>4507</v>
      </c>
      <c r="C1936" t="s">
        <v>2509</v>
      </c>
      <c r="D1936" t="s">
        <v>10013</v>
      </c>
    </row>
    <row r="1937" spans="1:4" x14ac:dyDescent="0.25">
      <c r="A1937" t="s">
        <v>4508</v>
      </c>
      <c r="C1937" t="s">
        <v>2510</v>
      </c>
      <c r="D1937" t="s">
        <v>10014</v>
      </c>
    </row>
    <row r="1938" spans="1:4" x14ac:dyDescent="0.25">
      <c r="A1938" t="s">
        <v>4509</v>
      </c>
      <c r="C1938" t="s">
        <v>2511</v>
      </c>
      <c r="D1938" t="s">
        <v>10015</v>
      </c>
    </row>
    <row r="1939" spans="1:4" x14ac:dyDescent="0.25">
      <c r="A1939" t="s">
        <v>4510</v>
      </c>
      <c r="C1939" t="s">
        <v>2512</v>
      </c>
      <c r="D1939" t="s">
        <v>10016</v>
      </c>
    </row>
    <row r="1940" spans="1:4" x14ac:dyDescent="0.25">
      <c r="A1940" t="s">
        <v>4511</v>
      </c>
      <c r="C1940" t="s">
        <v>2513</v>
      </c>
      <c r="D1940" t="s">
        <v>10017</v>
      </c>
    </row>
    <row r="1941" spans="1:4" x14ac:dyDescent="0.25">
      <c r="A1941" t="s">
        <v>4512</v>
      </c>
      <c r="C1941" t="s">
        <v>2514</v>
      </c>
      <c r="D1941" t="s">
        <v>10018</v>
      </c>
    </row>
    <row r="1942" spans="1:4" x14ac:dyDescent="0.25">
      <c r="A1942" t="s">
        <v>4513</v>
      </c>
      <c r="C1942" t="s">
        <v>2515</v>
      </c>
      <c r="D1942" t="s">
        <v>10019</v>
      </c>
    </row>
    <row r="1943" spans="1:4" x14ac:dyDescent="0.25">
      <c r="A1943" t="s">
        <v>4514</v>
      </c>
      <c r="C1943" t="s">
        <v>2516</v>
      </c>
      <c r="D1943" t="s">
        <v>10020</v>
      </c>
    </row>
    <row r="1944" spans="1:4" x14ac:dyDescent="0.25">
      <c r="A1944" t="s">
        <v>4515</v>
      </c>
      <c r="C1944" t="s">
        <v>2517</v>
      </c>
      <c r="D1944" t="s">
        <v>10021</v>
      </c>
    </row>
    <row r="1945" spans="1:4" x14ac:dyDescent="0.25">
      <c r="A1945" t="s">
        <v>4516</v>
      </c>
      <c r="C1945" t="s">
        <v>2518</v>
      </c>
      <c r="D1945" t="s">
        <v>10022</v>
      </c>
    </row>
    <row r="1946" spans="1:4" x14ac:dyDescent="0.25">
      <c r="A1946" t="s">
        <v>4517</v>
      </c>
      <c r="C1946" t="s">
        <v>2519</v>
      </c>
      <c r="D1946" t="s">
        <v>10023</v>
      </c>
    </row>
    <row r="1947" spans="1:4" x14ac:dyDescent="0.25">
      <c r="A1947" t="s">
        <v>4518</v>
      </c>
      <c r="C1947" t="s">
        <v>2520</v>
      </c>
      <c r="D1947" t="s">
        <v>10024</v>
      </c>
    </row>
    <row r="1948" spans="1:4" x14ac:dyDescent="0.25">
      <c r="A1948" t="s">
        <v>4519</v>
      </c>
      <c r="C1948" t="s">
        <v>2521</v>
      </c>
      <c r="D1948" t="s">
        <v>10025</v>
      </c>
    </row>
    <row r="1949" spans="1:4" x14ac:dyDescent="0.25">
      <c r="A1949" t="s">
        <v>4520</v>
      </c>
      <c r="C1949" t="s">
        <v>2522</v>
      </c>
      <c r="D1949" t="s">
        <v>10026</v>
      </c>
    </row>
    <row r="1950" spans="1:4" x14ac:dyDescent="0.25">
      <c r="A1950" t="s">
        <v>4521</v>
      </c>
      <c r="C1950" t="s">
        <v>2523</v>
      </c>
      <c r="D1950" t="s">
        <v>10027</v>
      </c>
    </row>
    <row r="1951" spans="1:4" x14ac:dyDescent="0.25">
      <c r="A1951" t="s">
        <v>4522</v>
      </c>
      <c r="C1951" t="s">
        <v>2524</v>
      </c>
      <c r="D1951" t="s">
        <v>10028</v>
      </c>
    </row>
    <row r="1952" spans="1:4" x14ac:dyDescent="0.25">
      <c r="A1952" t="s">
        <v>4523</v>
      </c>
      <c r="C1952" t="s">
        <v>2525</v>
      </c>
      <c r="D1952" t="s">
        <v>10029</v>
      </c>
    </row>
    <row r="1953" spans="1:4" x14ac:dyDescent="0.25">
      <c r="A1953" t="s">
        <v>4524</v>
      </c>
      <c r="C1953" t="s">
        <v>2526</v>
      </c>
      <c r="D1953" t="s">
        <v>10030</v>
      </c>
    </row>
    <row r="1954" spans="1:4" x14ac:dyDescent="0.25">
      <c r="A1954" t="s">
        <v>4525</v>
      </c>
      <c r="C1954" t="s">
        <v>2527</v>
      </c>
      <c r="D1954" t="s">
        <v>10031</v>
      </c>
    </row>
    <row r="1955" spans="1:4" x14ac:dyDescent="0.25">
      <c r="A1955" t="s">
        <v>4526</v>
      </c>
      <c r="C1955" t="s">
        <v>2528</v>
      </c>
      <c r="D1955" t="s">
        <v>10032</v>
      </c>
    </row>
    <row r="1956" spans="1:4" x14ac:dyDescent="0.25">
      <c r="A1956" t="s">
        <v>4527</v>
      </c>
      <c r="C1956" t="s">
        <v>2529</v>
      </c>
      <c r="D1956" t="s">
        <v>10033</v>
      </c>
    </row>
    <row r="1957" spans="1:4" x14ac:dyDescent="0.25">
      <c r="A1957" t="s">
        <v>4528</v>
      </c>
      <c r="C1957" t="s">
        <v>2530</v>
      </c>
      <c r="D1957" t="s">
        <v>10034</v>
      </c>
    </row>
    <row r="1958" spans="1:4" x14ac:dyDescent="0.25">
      <c r="A1958" t="s">
        <v>4529</v>
      </c>
      <c r="C1958" t="s">
        <v>2531</v>
      </c>
      <c r="D1958" t="s">
        <v>10035</v>
      </c>
    </row>
    <row r="1959" spans="1:4" x14ac:dyDescent="0.25">
      <c r="A1959" t="s">
        <v>4530</v>
      </c>
      <c r="C1959" t="s">
        <v>2532</v>
      </c>
      <c r="D1959" t="s">
        <v>10036</v>
      </c>
    </row>
    <row r="1960" spans="1:4" x14ac:dyDescent="0.25">
      <c r="A1960" t="s">
        <v>4531</v>
      </c>
      <c r="C1960" t="s">
        <v>2533</v>
      </c>
      <c r="D1960" t="s">
        <v>10037</v>
      </c>
    </row>
    <row r="1961" spans="1:4" x14ac:dyDescent="0.25">
      <c r="A1961" t="s">
        <v>4532</v>
      </c>
      <c r="C1961" t="s">
        <v>2534</v>
      </c>
      <c r="D1961" t="s">
        <v>10038</v>
      </c>
    </row>
    <row r="1962" spans="1:4" x14ac:dyDescent="0.25">
      <c r="A1962" t="s">
        <v>4533</v>
      </c>
      <c r="C1962" t="s">
        <v>2535</v>
      </c>
      <c r="D1962" t="s">
        <v>10039</v>
      </c>
    </row>
    <row r="1963" spans="1:4" x14ac:dyDescent="0.25">
      <c r="A1963" t="s">
        <v>4534</v>
      </c>
      <c r="C1963" t="s">
        <v>2536</v>
      </c>
      <c r="D1963" t="s">
        <v>10040</v>
      </c>
    </row>
    <row r="1964" spans="1:4" x14ac:dyDescent="0.25">
      <c r="A1964" t="s">
        <v>4535</v>
      </c>
      <c r="C1964" t="s">
        <v>2537</v>
      </c>
      <c r="D1964" t="s">
        <v>10041</v>
      </c>
    </row>
    <row r="1965" spans="1:4" x14ac:dyDescent="0.25">
      <c r="A1965" t="s">
        <v>4536</v>
      </c>
      <c r="C1965" t="s">
        <v>2538</v>
      </c>
      <c r="D1965" t="s">
        <v>10042</v>
      </c>
    </row>
    <row r="1966" spans="1:4" x14ac:dyDescent="0.25">
      <c r="A1966" t="s">
        <v>4537</v>
      </c>
      <c r="C1966" t="s">
        <v>2539</v>
      </c>
      <c r="D1966" t="s">
        <v>10043</v>
      </c>
    </row>
    <row r="1967" spans="1:4" x14ac:dyDescent="0.25">
      <c r="A1967" t="s">
        <v>4538</v>
      </c>
      <c r="C1967" t="s">
        <v>2540</v>
      </c>
      <c r="D1967" t="s">
        <v>10044</v>
      </c>
    </row>
    <row r="1968" spans="1:4" x14ac:dyDescent="0.25">
      <c r="A1968" t="s">
        <v>4539</v>
      </c>
      <c r="C1968" t="s">
        <v>2541</v>
      </c>
      <c r="D1968" t="s">
        <v>10045</v>
      </c>
    </row>
    <row r="1969" spans="1:4" x14ac:dyDescent="0.25">
      <c r="A1969" t="s">
        <v>4540</v>
      </c>
      <c r="C1969" t="s">
        <v>2542</v>
      </c>
      <c r="D1969" t="s">
        <v>10046</v>
      </c>
    </row>
    <row r="1970" spans="1:4" x14ac:dyDescent="0.25">
      <c r="A1970" t="s">
        <v>4541</v>
      </c>
      <c r="C1970" t="s">
        <v>2543</v>
      </c>
      <c r="D1970" t="s">
        <v>10047</v>
      </c>
    </row>
    <row r="1971" spans="1:4" x14ac:dyDescent="0.25">
      <c r="A1971" t="s">
        <v>4542</v>
      </c>
      <c r="C1971" t="s">
        <v>2544</v>
      </c>
      <c r="D1971" t="s">
        <v>10048</v>
      </c>
    </row>
    <row r="1972" spans="1:4" x14ac:dyDescent="0.25">
      <c r="A1972" t="s">
        <v>4543</v>
      </c>
      <c r="C1972" t="s">
        <v>2545</v>
      </c>
      <c r="D1972" t="s">
        <v>10049</v>
      </c>
    </row>
    <row r="1973" spans="1:4" x14ac:dyDescent="0.25">
      <c r="A1973" t="s">
        <v>4544</v>
      </c>
      <c r="C1973" t="s">
        <v>2546</v>
      </c>
      <c r="D1973" t="s">
        <v>10050</v>
      </c>
    </row>
    <row r="1974" spans="1:4" x14ac:dyDescent="0.25">
      <c r="A1974" t="s">
        <v>4545</v>
      </c>
      <c r="C1974" t="s">
        <v>2547</v>
      </c>
      <c r="D1974" t="s">
        <v>10051</v>
      </c>
    </row>
    <row r="1975" spans="1:4" x14ac:dyDescent="0.25">
      <c r="A1975" t="s">
        <v>4546</v>
      </c>
      <c r="C1975" t="s">
        <v>2548</v>
      </c>
      <c r="D1975" t="s">
        <v>10052</v>
      </c>
    </row>
    <row r="1976" spans="1:4" x14ac:dyDescent="0.25">
      <c r="A1976" t="s">
        <v>4547</v>
      </c>
      <c r="C1976" t="s">
        <v>2549</v>
      </c>
      <c r="D1976" t="s">
        <v>10053</v>
      </c>
    </row>
    <row r="1977" spans="1:4" x14ac:dyDescent="0.25">
      <c r="A1977" t="s">
        <v>4548</v>
      </c>
      <c r="C1977" t="s">
        <v>2550</v>
      </c>
      <c r="D1977" t="s">
        <v>10054</v>
      </c>
    </row>
    <row r="1978" spans="1:4" x14ac:dyDescent="0.25">
      <c r="A1978" t="s">
        <v>4549</v>
      </c>
      <c r="C1978" t="s">
        <v>2551</v>
      </c>
      <c r="D1978" t="s">
        <v>10055</v>
      </c>
    </row>
    <row r="1979" spans="1:4" x14ac:dyDescent="0.25">
      <c r="A1979" t="s">
        <v>4550</v>
      </c>
      <c r="C1979" t="s">
        <v>2552</v>
      </c>
      <c r="D1979" t="s">
        <v>10056</v>
      </c>
    </row>
    <row r="1980" spans="1:4" x14ac:dyDescent="0.25">
      <c r="A1980" t="s">
        <v>4551</v>
      </c>
      <c r="C1980" t="s">
        <v>2553</v>
      </c>
      <c r="D1980" t="s">
        <v>10057</v>
      </c>
    </row>
    <row r="1981" spans="1:4" x14ac:dyDescent="0.25">
      <c r="A1981" t="s">
        <v>4552</v>
      </c>
      <c r="C1981" t="s">
        <v>2554</v>
      </c>
      <c r="D1981" t="s">
        <v>10058</v>
      </c>
    </row>
    <row r="1982" spans="1:4" x14ac:dyDescent="0.25">
      <c r="A1982" t="s">
        <v>4553</v>
      </c>
      <c r="C1982" t="s">
        <v>2555</v>
      </c>
      <c r="D1982" t="s">
        <v>10059</v>
      </c>
    </row>
    <row r="1983" spans="1:4" x14ac:dyDescent="0.25">
      <c r="A1983" t="s">
        <v>4554</v>
      </c>
      <c r="C1983" t="s">
        <v>2556</v>
      </c>
      <c r="D1983" t="s">
        <v>10060</v>
      </c>
    </row>
    <row r="1984" spans="1:4" x14ac:dyDescent="0.25">
      <c r="A1984" t="s">
        <v>4555</v>
      </c>
      <c r="C1984" t="s">
        <v>2557</v>
      </c>
      <c r="D1984" t="s">
        <v>10061</v>
      </c>
    </row>
    <row r="1985" spans="1:4" x14ac:dyDescent="0.25">
      <c r="A1985" t="s">
        <v>4556</v>
      </c>
      <c r="C1985" t="s">
        <v>2558</v>
      </c>
      <c r="D1985" t="s">
        <v>10062</v>
      </c>
    </row>
    <row r="1986" spans="1:4" x14ac:dyDescent="0.25">
      <c r="A1986" t="s">
        <v>4557</v>
      </c>
      <c r="C1986" t="s">
        <v>2559</v>
      </c>
      <c r="D1986" t="s">
        <v>10063</v>
      </c>
    </row>
    <row r="1987" spans="1:4" x14ac:dyDescent="0.25">
      <c r="A1987" t="s">
        <v>4558</v>
      </c>
      <c r="C1987" t="s">
        <v>2560</v>
      </c>
      <c r="D1987" t="s">
        <v>10064</v>
      </c>
    </row>
    <row r="1988" spans="1:4" x14ac:dyDescent="0.25">
      <c r="A1988" t="s">
        <v>4559</v>
      </c>
      <c r="C1988" t="s">
        <v>2561</v>
      </c>
      <c r="D1988" t="s">
        <v>10065</v>
      </c>
    </row>
    <row r="1989" spans="1:4" x14ac:dyDescent="0.25">
      <c r="A1989" t="s">
        <v>4560</v>
      </c>
      <c r="C1989" t="s">
        <v>2562</v>
      </c>
      <c r="D1989" t="s">
        <v>10066</v>
      </c>
    </row>
    <row r="1990" spans="1:4" x14ac:dyDescent="0.25">
      <c r="A1990" t="s">
        <v>4561</v>
      </c>
      <c r="C1990" t="s">
        <v>2563</v>
      </c>
      <c r="D1990" t="s">
        <v>10067</v>
      </c>
    </row>
    <row r="1991" spans="1:4" x14ac:dyDescent="0.25">
      <c r="A1991" t="s">
        <v>4562</v>
      </c>
      <c r="C1991" t="s">
        <v>2564</v>
      </c>
      <c r="D1991" t="s">
        <v>10068</v>
      </c>
    </row>
    <row r="1992" spans="1:4" x14ac:dyDescent="0.25">
      <c r="A1992" t="s">
        <v>4563</v>
      </c>
      <c r="C1992" t="s">
        <v>2565</v>
      </c>
      <c r="D1992" t="s">
        <v>10069</v>
      </c>
    </row>
    <row r="1993" spans="1:4" x14ac:dyDescent="0.25">
      <c r="A1993" t="s">
        <v>4564</v>
      </c>
      <c r="C1993" t="s">
        <v>2566</v>
      </c>
      <c r="D1993" t="s">
        <v>10070</v>
      </c>
    </row>
    <row r="1994" spans="1:4" x14ac:dyDescent="0.25">
      <c r="A1994" t="s">
        <v>4565</v>
      </c>
      <c r="C1994" t="s">
        <v>2567</v>
      </c>
      <c r="D1994" t="s">
        <v>10071</v>
      </c>
    </row>
    <row r="1995" spans="1:4" x14ac:dyDescent="0.25">
      <c r="A1995" t="s">
        <v>4566</v>
      </c>
      <c r="C1995" t="s">
        <v>2568</v>
      </c>
      <c r="D1995" t="s">
        <v>10072</v>
      </c>
    </row>
    <row r="1996" spans="1:4" x14ac:dyDescent="0.25">
      <c r="A1996" t="s">
        <v>4567</v>
      </c>
      <c r="C1996" t="s">
        <v>2569</v>
      </c>
      <c r="D1996" t="s">
        <v>10073</v>
      </c>
    </row>
    <row r="1997" spans="1:4" x14ac:dyDescent="0.25">
      <c r="A1997" t="s">
        <v>4568</v>
      </c>
      <c r="C1997" t="s">
        <v>2570</v>
      </c>
      <c r="D1997" t="s">
        <v>10074</v>
      </c>
    </row>
    <row r="1998" spans="1:4" x14ac:dyDescent="0.25">
      <c r="A1998" t="s">
        <v>4569</v>
      </c>
      <c r="C1998" t="s">
        <v>2571</v>
      </c>
      <c r="D1998" t="s">
        <v>10075</v>
      </c>
    </row>
    <row r="1999" spans="1:4" x14ac:dyDescent="0.25">
      <c r="A1999" t="s">
        <v>4570</v>
      </c>
      <c r="C1999" t="s">
        <v>2572</v>
      </c>
      <c r="D1999" t="s">
        <v>10076</v>
      </c>
    </row>
    <row r="2000" spans="1:4" x14ac:dyDescent="0.25">
      <c r="A2000" t="s">
        <v>4571</v>
      </c>
      <c r="C2000" t="s">
        <v>2573</v>
      </c>
      <c r="D2000" t="s">
        <v>10077</v>
      </c>
    </row>
    <row r="2001" spans="1:4" x14ac:dyDescent="0.25">
      <c r="A2001" t="s">
        <v>4572</v>
      </c>
      <c r="C2001" t="s">
        <v>2574</v>
      </c>
      <c r="D2001" t="s">
        <v>10078</v>
      </c>
    </row>
    <row r="2002" spans="1:4" x14ac:dyDescent="0.25">
      <c r="A2002" t="s">
        <v>4573</v>
      </c>
      <c r="C2002" t="s">
        <v>2575</v>
      </c>
      <c r="D2002" t="s">
        <v>10079</v>
      </c>
    </row>
    <row r="2003" spans="1:4" x14ac:dyDescent="0.25">
      <c r="A2003" t="s">
        <v>4574</v>
      </c>
      <c r="C2003" t="s">
        <v>2576</v>
      </c>
      <c r="D2003" t="s">
        <v>10080</v>
      </c>
    </row>
    <row r="2004" spans="1:4" x14ac:dyDescent="0.25">
      <c r="A2004" t="s">
        <v>4575</v>
      </c>
      <c r="C2004" t="s">
        <v>2577</v>
      </c>
      <c r="D2004" t="s">
        <v>10081</v>
      </c>
    </row>
    <row r="2005" spans="1:4" x14ac:dyDescent="0.25">
      <c r="A2005" t="s">
        <v>4576</v>
      </c>
      <c r="C2005" t="s">
        <v>2578</v>
      </c>
      <c r="D2005" t="s">
        <v>10082</v>
      </c>
    </row>
    <row r="2006" spans="1:4" x14ac:dyDescent="0.25">
      <c r="A2006" t="s">
        <v>4577</v>
      </c>
      <c r="C2006" t="s">
        <v>2579</v>
      </c>
      <c r="D2006" t="s">
        <v>10083</v>
      </c>
    </row>
    <row r="2007" spans="1:4" x14ac:dyDescent="0.25">
      <c r="A2007" t="s">
        <v>4578</v>
      </c>
      <c r="C2007" t="s">
        <v>2580</v>
      </c>
      <c r="D2007" t="s">
        <v>10084</v>
      </c>
    </row>
    <row r="2008" spans="1:4" x14ac:dyDescent="0.25">
      <c r="A2008" t="s">
        <v>4579</v>
      </c>
      <c r="C2008" t="s">
        <v>2581</v>
      </c>
      <c r="D2008" t="s">
        <v>10085</v>
      </c>
    </row>
    <row r="2009" spans="1:4" x14ac:dyDescent="0.25">
      <c r="A2009" t="s">
        <v>4580</v>
      </c>
      <c r="C2009" t="s">
        <v>2582</v>
      </c>
      <c r="D2009" t="s">
        <v>10086</v>
      </c>
    </row>
    <row r="2010" spans="1:4" x14ac:dyDescent="0.25">
      <c r="A2010" t="s">
        <v>4581</v>
      </c>
      <c r="C2010" t="s">
        <v>2583</v>
      </c>
      <c r="D2010" t="s">
        <v>10087</v>
      </c>
    </row>
    <row r="2011" spans="1:4" x14ac:dyDescent="0.25">
      <c r="A2011" t="s">
        <v>4582</v>
      </c>
      <c r="C2011" t="s">
        <v>2584</v>
      </c>
      <c r="D2011" t="s">
        <v>10088</v>
      </c>
    </row>
    <row r="2012" spans="1:4" x14ac:dyDescent="0.25">
      <c r="A2012" t="s">
        <v>4583</v>
      </c>
      <c r="D2012" t="s">
        <v>10089</v>
      </c>
    </row>
    <row r="2013" spans="1:4" x14ac:dyDescent="0.25">
      <c r="A2013" t="s">
        <v>4584</v>
      </c>
      <c r="D2013" t="s">
        <v>10090</v>
      </c>
    </row>
    <row r="2014" spans="1:4" x14ac:dyDescent="0.25">
      <c r="A2014" t="s">
        <v>4585</v>
      </c>
      <c r="D2014" t="s">
        <v>10091</v>
      </c>
    </row>
    <row r="2015" spans="1:4" x14ac:dyDescent="0.25">
      <c r="D2015" t="s">
        <v>10092</v>
      </c>
    </row>
    <row r="2016" spans="1:4" x14ac:dyDescent="0.25">
      <c r="D2016" t="s">
        <v>10093</v>
      </c>
    </row>
    <row r="2017" spans="1:4" x14ac:dyDescent="0.25">
      <c r="D2017" t="s">
        <v>10094</v>
      </c>
    </row>
    <row r="2018" spans="1:4" x14ac:dyDescent="0.25">
      <c r="D2018" t="s">
        <v>10095</v>
      </c>
    </row>
    <row r="2019" spans="1:4" x14ac:dyDescent="0.25">
      <c r="D2019" t="s">
        <v>10096</v>
      </c>
    </row>
    <row r="2020" spans="1:4" x14ac:dyDescent="0.25">
      <c r="D2020" t="s">
        <v>10097</v>
      </c>
    </row>
    <row r="2021" spans="1:4" x14ac:dyDescent="0.25">
      <c r="D2021" t="s">
        <v>10098</v>
      </c>
    </row>
    <row r="2022" spans="1:4" x14ac:dyDescent="0.25">
      <c r="D2022" t="s">
        <v>10099</v>
      </c>
    </row>
    <row r="2023" spans="1:4" x14ac:dyDescent="0.25">
      <c r="D2023" t="s">
        <v>10100</v>
      </c>
    </row>
    <row r="2024" spans="1:4" x14ac:dyDescent="0.25">
      <c r="D2024" t="s">
        <v>10101</v>
      </c>
    </row>
    <row r="2025" spans="1:4" x14ac:dyDescent="0.25">
      <c r="D2025" t="s">
        <v>10102</v>
      </c>
    </row>
    <row r="2026" spans="1:4" x14ac:dyDescent="0.25">
      <c r="D2026" t="s">
        <v>10103</v>
      </c>
    </row>
    <row r="2027" spans="1:4" x14ac:dyDescent="0.25">
      <c r="D2027" t="s">
        <v>10104</v>
      </c>
    </row>
    <row r="2028" spans="1:4" x14ac:dyDescent="0.25">
      <c r="A2028" t="s">
        <v>4585</v>
      </c>
      <c r="D2028" t="s">
        <v>10105</v>
      </c>
    </row>
    <row r="2029" spans="1:4" x14ac:dyDescent="0.25">
      <c r="A2029" t="s">
        <v>4586</v>
      </c>
      <c r="D2029" t="s">
        <v>10106</v>
      </c>
    </row>
    <row r="2030" spans="1:4" x14ac:dyDescent="0.25">
      <c r="A2030" t="s">
        <v>4587</v>
      </c>
      <c r="D2030" t="s">
        <v>10107</v>
      </c>
    </row>
    <row r="2031" spans="1:4" x14ac:dyDescent="0.25">
      <c r="A2031" t="s">
        <v>4588</v>
      </c>
      <c r="D2031" t="s">
        <v>10108</v>
      </c>
    </row>
    <row r="2032" spans="1:4" x14ac:dyDescent="0.25">
      <c r="A2032" t="s">
        <v>4589</v>
      </c>
      <c r="D2032" t="s">
        <v>10109</v>
      </c>
    </row>
    <row r="2033" spans="1:4" x14ac:dyDescent="0.25">
      <c r="A2033" t="s">
        <v>4590</v>
      </c>
      <c r="D2033" t="s">
        <v>10110</v>
      </c>
    </row>
    <row r="2034" spans="1:4" x14ac:dyDescent="0.25">
      <c r="A2034" t="s">
        <v>4591</v>
      </c>
      <c r="D2034" t="s">
        <v>10111</v>
      </c>
    </row>
    <row r="2035" spans="1:4" x14ac:dyDescent="0.25">
      <c r="A2035" t="s">
        <v>4592</v>
      </c>
      <c r="D2035" t="s">
        <v>10112</v>
      </c>
    </row>
    <row r="2036" spans="1:4" x14ac:dyDescent="0.25">
      <c r="A2036" t="s">
        <v>4593</v>
      </c>
      <c r="D2036" t="s">
        <v>10113</v>
      </c>
    </row>
    <row r="2037" spans="1:4" x14ac:dyDescent="0.25">
      <c r="A2037" t="s">
        <v>4594</v>
      </c>
      <c r="D2037" t="s">
        <v>10114</v>
      </c>
    </row>
    <row r="2038" spans="1:4" x14ac:dyDescent="0.25">
      <c r="A2038" t="s">
        <v>4595</v>
      </c>
      <c r="D2038" t="s">
        <v>10115</v>
      </c>
    </row>
    <row r="2039" spans="1:4" x14ac:dyDescent="0.25">
      <c r="A2039" t="s">
        <v>4596</v>
      </c>
      <c r="D2039" t="s">
        <v>10116</v>
      </c>
    </row>
    <row r="2040" spans="1:4" x14ac:dyDescent="0.25">
      <c r="A2040" t="s">
        <v>4597</v>
      </c>
      <c r="D2040" t="s">
        <v>10117</v>
      </c>
    </row>
    <row r="2041" spans="1:4" x14ac:dyDescent="0.25">
      <c r="A2041" t="s">
        <v>4598</v>
      </c>
      <c r="D2041" t="s">
        <v>10118</v>
      </c>
    </row>
    <row r="2042" spans="1:4" x14ac:dyDescent="0.25">
      <c r="A2042" t="s">
        <v>4599</v>
      </c>
      <c r="D2042" t="s">
        <v>10119</v>
      </c>
    </row>
    <row r="2043" spans="1:4" x14ac:dyDescent="0.25">
      <c r="A2043" t="s">
        <v>4600</v>
      </c>
      <c r="D2043" t="s">
        <v>10120</v>
      </c>
    </row>
    <row r="2044" spans="1:4" x14ac:dyDescent="0.25">
      <c r="A2044" t="s">
        <v>4601</v>
      </c>
      <c r="D2044" t="s">
        <v>10121</v>
      </c>
    </row>
    <row r="2045" spans="1:4" x14ac:dyDescent="0.25">
      <c r="A2045" t="s">
        <v>4602</v>
      </c>
      <c r="D2045" t="s">
        <v>10122</v>
      </c>
    </row>
    <row r="2046" spans="1:4" x14ac:dyDescent="0.25">
      <c r="A2046" t="s">
        <v>4603</v>
      </c>
      <c r="D2046" t="s">
        <v>10123</v>
      </c>
    </row>
    <row r="2047" spans="1:4" x14ac:dyDescent="0.25">
      <c r="A2047" t="s">
        <v>4604</v>
      </c>
      <c r="D2047" t="s">
        <v>10124</v>
      </c>
    </row>
    <row r="2048" spans="1:4" x14ac:dyDescent="0.25">
      <c r="A2048" t="s">
        <v>4605</v>
      </c>
      <c r="D2048" t="s">
        <v>10125</v>
      </c>
    </row>
    <row r="2049" spans="1:4" x14ac:dyDescent="0.25">
      <c r="A2049" t="s">
        <v>4606</v>
      </c>
      <c r="D2049" t="s">
        <v>10126</v>
      </c>
    </row>
    <row r="2050" spans="1:4" x14ac:dyDescent="0.25">
      <c r="A2050" t="s">
        <v>4607</v>
      </c>
      <c r="D2050" t="s">
        <v>10127</v>
      </c>
    </row>
    <row r="2051" spans="1:4" x14ac:dyDescent="0.25">
      <c r="A2051" t="s">
        <v>4608</v>
      </c>
      <c r="D2051" t="s">
        <v>10128</v>
      </c>
    </row>
    <row r="2052" spans="1:4" x14ac:dyDescent="0.25">
      <c r="A2052" t="s">
        <v>4609</v>
      </c>
      <c r="D2052" t="s">
        <v>10129</v>
      </c>
    </row>
    <row r="2053" spans="1:4" x14ac:dyDescent="0.25">
      <c r="A2053" t="s">
        <v>4610</v>
      </c>
      <c r="D2053" t="s">
        <v>10130</v>
      </c>
    </row>
    <row r="2054" spans="1:4" x14ac:dyDescent="0.25">
      <c r="A2054" t="s">
        <v>4611</v>
      </c>
      <c r="D2054" t="s">
        <v>10131</v>
      </c>
    </row>
    <row r="2055" spans="1:4" x14ac:dyDescent="0.25">
      <c r="A2055" t="s">
        <v>4612</v>
      </c>
      <c r="D2055" t="s">
        <v>10132</v>
      </c>
    </row>
    <row r="2056" spans="1:4" x14ac:dyDescent="0.25">
      <c r="A2056" t="s">
        <v>4613</v>
      </c>
      <c r="D2056" t="s">
        <v>10133</v>
      </c>
    </row>
    <row r="2057" spans="1:4" x14ac:dyDescent="0.25">
      <c r="A2057" t="s">
        <v>4614</v>
      </c>
      <c r="D2057" t="s">
        <v>10134</v>
      </c>
    </row>
    <row r="2058" spans="1:4" x14ac:dyDescent="0.25">
      <c r="A2058" t="s">
        <v>4615</v>
      </c>
      <c r="D2058" t="s">
        <v>10135</v>
      </c>
    </row>
    <row r="2059" spans="1:4" x14ac:dyDescent="0.25">
      <c r="A2059" t="s">
        <v>4616</v>
      </c>
      <c r="D2059" t="s">
        <v>10136</v>
      </c>
    </row>
    <row r="2060" spans="1:4" x14ac:dyDescent="0.25">
      <c r="A2060" t="s">
        <v>4617</v>
      </c>
      <c r="D2060" t="s">
        <v>10137</v>
      </c>
    </row>
    <row r="2061" spans="1:4" x14ac:dyDescent="0.25">
      <c r="A2061" t="s">
        <v>4618</v>
      </c>
      <c r="D2061" t="s">
        <v>10138</v>
      </c>
    </row>
    <row r="2062" spans="1:4" x14ac:dyDescent="0.25">
      <c r="A2062" t="s">
        <v>4619</v>
      </c>
      <c r="D2062" t="s">
        <v>10139</v>
      </c>
    </row>
    <row r="2063" spans="1:4" x14ac:dyDescent="0.25">
      <c r="A2063" t="s">
        <v>4620</v>
      </c>
      <c r="D2063" t="s">
        <v>10140</v>
      </c>
    </row>
    <row r="2064" spans="1:4" x14ac:dyDescent="0.25">
      <c r="A2064" t="s">
        <v>4621</v>
      </c>
      <c r="D2064" t="s">
        <v>10141</v>
      </c>
    </row>
    <row r="2065" spans="1:4" x14ac:dyDescent="0.25">
      <c r="A2065" t="s">
        <v>4622</v>
      </c>
      <c r="D2065" t="s">
        <v>10142</v>
      </c>
    </row>
    <row r="2066" spans="1:4" x14ac:dyDescent="0.25">
      <c r="A2066" t="s">
        <v>4623</v>
      </c>
      <c r="D2066" t="s">
        <v>10143</v>
      </c>
    </row>
    <row r="2067" spans="1:4" x14ac:dyDescent="0.25">
      <c r="A2067" t="s">
        <v>4624</v>
      </c>
      <c r="D2067" t="s">
        <v>10144</v>
      </c>
    </row>
    <row r="2068" spans="1:4" x14ac:dyDescent="0.25">
      <c r="A2068" t="s">
        <v>4625</v>
      </c>
      <c r="D2068" t="s">
        <v>10145</v>
      </c>
    </row>
    <row r="2069" spans="1:4" x14ac:dyDescent="0.25">
      <c r="A2069" t="s">
        <v>4626</v>
      </c>
      <c r="D2069" t="s">
        <v>10146</v>
      </c>
    </row>
    <row r="2070" spans="1:4" x14ac:dyDescent="0.25">
      <c r="A2070" t="s">
        <v>4627</v>
      </c>
      <c r="D2070" t="s">
        <v>10147</v>
      </c>
    </row>
    <row r="2071" spans="1:4" x14ac:dyDescent="0.25">
      <c r="A2071" t="s">
        <v>4628</v>
      </c>
      <c r="D2071" t="s">
        <v>10148</v>
      </c>
    </row>
    <row r="2072" spans="1:4" x14ac:dyDescent="0.25">
      <c r="A2072" t="s">
        <v>4629</v>
      </c>
      <c r="D2072" t="s">
        <v>10149</v>
      </c>
    </row>
    <row r="2073" spans="1:4" x14ac:dyDescent="0.25">
      <c r="A2073" t="s">
        <v>4630</v>
      </c>
      <c r="D2073" t="s">
        <v>10150</v>
      </c>
    </row>
    <row r="2074" spans="1:4" x14ac:dyDescent="0.25">
      <c r="A2074" t="s">
        <v>4631</v>
      </c>
      <c r="D2074" t="s">
        <v>10151</v>
      </c>
    </row>
    <row r="2075" spans="1:4" x14ac:dyDescent="0.25">
      <c r="A2075" t="s">
        <v>4632</v>
      </c>
      <c r="D2075" t="s">
        <v>10152</v>
      </c>
    </row>
    <row r="2076" spans="1:4" x14ac:dyDescent="0.25">
      <c r="A2076" t="s">
        <v>4633</v>
      </c>
      <c r="D2076" t="s">
        <v>10153</v>
      </c>
    </row>
    <row r="2077" spans="1:4" x14ac:dyDescent="0.25">
      <c r="A2077" t="s">
        <v>4634</v>
      </c>
      <c r="D2077" t="s">
        <v>10154</v>
      </c>
    </row>
    <row r="2078" spans="1:4" x14ac:dyDescent="0.25">
      <c r="A2078" t="s">
        <v>4635</v>
      </c>
      <c r="D2078" t="s">
        <v>10155</v>
      </c>
    </row>
    <row r="2079" spans="1:4" x14ac:dyDescent="0.25">
      <c r="A2079" t="s">
        <v>4636</v>
      </c>
      <c r="D2079" t="s">
        <v>10156</v>
      </c>
    </row>
    <row r="2080" spans="1:4" x14ac:dyDescent="0.25">
      <c r="A2080" t="s">
        <v>4637</v>
      </c>
      <c r="D2080" t="s">
        <v>10157</v>
      </c>
    </row>
    <row r="2081" spans="1:4" x14ac:dyDescent="0.25">
      <c r="A2081" t="s">
        <v>4638</v>
      </c>
      <c r="D2081" t="s">
        <v>10158</v>
      </c>
    </row>
    <row r="2082" spans="1:4" x14ac:dyDescent="0.25">
      <c r="A2082" t="s">
        <v>4639</v>
      </c>
      <c r="D2082" t="s">
        <v>10159</v>
      </c>
    </row>
    <row r="2083" spans="1:4" x14ac:dyDescent="0.25">
      <c r="A2083" t="s">
        <v>4640</v>
      </c>
      <c r="D2083" t="s">
        <v>10160</v>
      </c>
    </row>
    <row r="2084" spans="1:4" x14ac:dyDescent="0.25">
      <c r="A2084" t="s">
        <v>4641</v>
      </c>
      <c r="D2084" t="s">
        <v>10161</v>
      </c>
    </row>
    <row r="2085" spans="1:4" x14ac:dyDescent="0.25">
      <c r="A2085" t="s">
        <v>4642</v>
      </c>
      <c r="D2085" t="s">
        <v>10162</v>
      </c>
    </row>
    <row r="2086" spans="1:4" x14ac:dyDescent="0.25">
      <c r="A2086" t="s">
        <v>4643</v>
      </c>
      <c r="D2086" t="s">
        <v>10163</v>
      </c>
    </row>
    <row r="2087" spans="1:4" x14ac:dyDescent="0.25">
      <c r="A2087" t="s">
        <v>4644</v>
      </c>
      <c r="D2087" t="s">
        <v>10164</v>
      </c>
    </row>
    <row r="2088" spans="1:4" x14ac:dyDescent="0.25">
      <c r="A2088" t="s">
        <v>4645</v>
      </c>
      <c r="D2088" t="s">
        <v>10165</v>
      </c>
    </row>
    <row r="2089" spans="1:4" x14ac:dyDescent="0.25">
      <c r="A2089" t="s">
        <v>4646</v>
      </c>
      <c r="D2089" t="s">
        <v>10166</v>
      </c>
    </row>
    <row r="2090" spans="1:4" x14ac:dyDescent="0.25">
      <c r="A2090" t="s">
        <v>4647</v>
      </c>
      <c r="D2090" t="s">
        <v>10167</v>
      </c>
    </row>
    <row r="2091" spans="1:4" x14ac:dyDescent="0.25">
      <c r="A2091" t="s">
        <v>4648</v>
      </c>
      <c r="D2091" t="s">
        <v>10168</v>
      </c>
    </row>
    <row r="2092" spans="1:4" x14ac:dyDescent="0.25">
      <c r="A2092" t="s">
        <v>4649</v>
      </c>
      <c r="D2092" t="s">
        <v>10169</v>
      </c>
    </row>
    <row r="2093" spans="1:4" x14ac:dyDescent="0.25">
      <c r="A2093" t="s">
        <v>4650</v>
      </c>
      <c r="D2093" t="s">
        <v>10170</v>
      </c>
    </row>
    <row r="2094" spans="1:4" x14ac:dyDescent="0.25">
      <c r="A2094" t="s">
        <v>4651</v>
      </c>
      <c r="D2094" t="s">
        <v>10171</v>
      </c>
    </row>
    <row r="2095" spans="1:4" x14ac:dyDescent="0.25">
      <c r="A2095" t="s">
        <v>4652</v>
      </c>
      <c r="D2095" t="s">
        <v>10172</v>
      </c>
    </row>
    <row r="2096" spans="1:4" x14ac:dyDescent="0.25">
      <c r="A2096" t="s">
        <v>4653</v>
      </c>
      <c r="D2096" t="s">
        <v>10173</v>
      </c>
    </row>
    <row r="2097" spans="1:4" x14ac:dyDescent="0.25">
      <c r="A2097" t="s">
        <v>4654</v>
      </c>
      <c r="D2097" t="s">
        <v>10174</v>
      </c>
    </row>
    <row r="2098" spans="1:4" x14ac:dyDescent="0.25">
      <c r="A2098" t="s">
        <v>4655</v>
      </c>
      <c r="D2098" t="s">
        <v>10175</v>
      </c>
    </row>
    <row r="2099" spans="1:4" x14ac:dyDescent="0.25">
      <c r="A2099" t="s">
        <v>4656</v>
      </c>
      <c r="D2099" t="s">
        <v>10176</v>
      </c>
    </row>
    <row r="2100" spans="1:4" x14ac:dyDescent="0.25">
      <c r="A2100" t="s">
        <v>4657</v>
      </c>
      <c r="D2100" t="s">
        <v>10177</v>
      </c>
    </row>
    <row r="2101" spans="1:4" x14ac:dyDescent="0.25">
      <c r="A2101" t="s">
        <v>4658</v>
      </c>
      <c r="D2101" t="s">
        <v>10178</v>
      </c>
    </row>
    <row r="2102" spans="1:4" x14ac:dyDescent="0.25">
      <c r="A2102" t="s">
        <v>4659</v>
      </c>
      <c r="D2102" t="s">
        <v>10179</v>
      </c>
    </row>
    <row r="2103" spans="1:4" x14ac:dyDescent="0.25">
      <c r="A2103" t="s">
        <v>4660</v>
      </c>
      <c r="D2103" t="s">
        <v>10180</v>
      </c>
    </row>
    <row r="2104" spans="1:4" x14ac:dyDescent="0.25">
      <c r="A2104" t="s">
        <v>4661</v>
      </c>
      <c r="D2104" t="s">
        <v>10181</v>
      </c>
    </row>
    <row r="2105" spans="1:4" x14ac:dyDescent="0.25">
      <c r="A2105" t="s">
        <v>4662</v>
      </c>
      <c r="D2105" t="s">
        <v>10182</v>
      </c>
    </row>
    <row r="2106" spans="1:4" x14ac:dyDescent="0.25">
      <c r="A2106" t="s">
        <v>4663</v>
      </c>
      <c r="D2106" t="s">
        <v>10183</v>
      </c>
    </row>
    <row r="2107" spans="1:4" x14ac:dyDescent="0.25">
      <c r="A2107" t="s">
        <v>4664</v>
      </c>
      <c r="D2107" t="s">
        <v>10184</v>
      </c>
    </row>
    <row r="2108" spans="1:4" x14ac:dyDescent="0.25">
      <c r="A2108" t="s">
        <v>4665</v>
      </c>
      <c r="D2108" t="s">
        <v>10185</v>
      </c>
    </row>
    <row r="2109" spans="1:4" x14ac:dyDescent="0.25">
      <c r="A2109" t="s">
        <v>4666</v>
      </c>
      <c r="D2109" t="s">
        <v>10186</v>
      </c>
    </row>
    <row r="2110" spans="1:4" x14ac:dyDescent="0.25">
      <c r="A2110" t="s">
        <v>4667</v>
      </c>
      <c r="D2110" t="s">
        <v>10187</v>
      </c>
    </row>
    <row r="2111" spans="1:4" x14ac:dyDescent="0.25">
      <c r="A2111" t="s">
        <v>4668</v>
      </c>
      <c r="D2111" t="s">
        <v>10188</v>
      </c>
    </row>
    <row r="2112" spans="1:4" x14ac:dyDescent="0.25">
      <c r="A2112" t="s">
        <v>4669</v>
      </c>
      <c r="D2112" t="s">
        <v>10189</v>
      </c>
    </row>
    <row r="2113" spans="1:4" x14ac:dyDescent="0.25">
      <c r="A2113" t="s">
        <v>4670</v>
      </c>
      <c r="D2113" t="s">
        <v>10190</v>
      </c>
    </row>
    <row r="2114" spans="1:4" x14ac:dyDescent="0.25">
      <c r="A2114" t="s">
        <v>4671</v>
      </c>
      <c r="D2114" t="s">
        <v>10191</v>
      </c>
    </row>
    <row r="2115" spans="1:4" x14ac:dyDescent="0.25">
      <c r="A2115" t="s">
        <v>4672</v>
      </c>
      <c r="D2115" t="s">
        <v>10192</v>
      </c>
    </row>
    <row r="2116" spans="1:4" x14ac:dyDescent="0.25">
      <c r="A2116" t="s">
        <v>4673</v>
      </c>
      <c r="D2116" t="s">
        <v>10193</v>
      </c>
    </row>
    <row r="2117" spans="1:4" x14ac:dyDescent="0.25">
      <c r="A2117" t="s">
        <v>4674</v>
      </c>
      <c r="D2117" t="s">
        <v>10194</v>
      </c>
    </row>
    <row r="2118" spans="1:4" x14ac:dyDescent="0.25">
      <c r="A2118" t="s">
        <v>4675</v>
      </c>
      <c r="D2118" t="s">
        <v>10195</v>
      </c>
    </row>
    <row r="2119" spans="1:4" x14ac:dyDescent="0.25">
      <c r="A2119" t="s">
        <v>4676</v>
      </c>
      <c r="D2119" t="s">
        <v>10196</v>
      </c>
    </row>
    <row r="2120" spans="1:4" x14ac:dyDescent="0.25">
      <c r="A2120" t="s">
        <v>4677</v>
      </c>
      <c r="D2120" t="s">
        <v>10197</v>
      </c>
    </row>
    <row r="2121" spans="1:4" x14ac:dyDescent="0.25">
      <c r="A2121" t="s">
        <v>4678</v>
      </c>
      <c r="D2121" t="s">
        <v>10198</v>
      </c>
    </row>
    <row r="2122" spans="1:4" x14ac:dyDescent="0.25">
      <c r="A2122" t="s">
        <v>4679</v>
      </c>
      <c r="D2122" t="s">
        <v>10199</v>
      </c>
    </row>
    <row r="2123" spans="1:4" x14ac:dyDescent="0.25">
      <c r="A2123" t="s">
        <v>4680</v>
      </c>
      <c r="D2123" t="s">
        <v>10200</v>
      </c>
    </row>
    <row r="2124" spans="1:4" x14ac:dyDescent="0.25">
      <c r="A2124" t="s">
        <v>4681</v>
      </c>
      <c r="D2124" t="s">
        <v>10201</v>
      </c>
    </row>
    <row r="2125" spans="1:4" x14ac:dyDescent="0.25">
      <c r="A2125" t="s">
        <v>4682</v>
      </c>
      <c r="D2125" t="s">
        <v>10202</v>
      </c>
    </row>
    <row r="2126" spans="1:4" x14ac:dyDescent="0.25">
      <c r="A2126" t="s">
        <v>4683</v>
      </c>
      <c r="D2126" t="s">
        <v>10203</v>
      </c>
    </row>
    <row r="2127" spans="1:4" x14ac:dyDescent="0.25">
      <c r="A2127" t="s">
        <v>4684</v>
      </c>
      <c r="D2127" t="s">
        <v>10204</v>
      </c>
    </row>
    <row r="2128" spans="1:4" x14ac:dyDescent="0.25">
      <c r="A2128" t="s">
        <v>4685</v>
      </c>
      <c r="D2128" t="s">
        <v>10205</v>
      </c>
    </row>
    <row r="2129" spans="1:4" x14ac:dyDescent="0.25">
      <c r="A2129" t="s">
        <v>4686</v>
      </c>
      <c r="D2129" t="s">
        <v>10206</v>
      </c>
    </row>
    <row r="2130" spans="1:4" x14ac:dyDescent="0.25">
      <c r="A2130" t="s">
        <v>4687</v>
      </c>
      <c r="D2130" t="s">
        <v>10207</v>
      </c>
    </row>
    <row r="2131" spans="1:4" x14ac:dyDescent="0.25">
      <c r="A2131" t="s">
        <v>4688</v>
      </c>
      <c r="D2131" t="s">
        <v>10208</v>
      </c>
    </row>
    <row r="2132" spans="1:4" x14ac:dyDescent="0.25">
      <c r="A2132" t="s">
        <v>4689</v>
      </c>
      <c r="D2132" t="s">
        <v>10209</v>
      </c>
    </row>
    <row r="2133" spans="1:4" x14ac:dyDescent="0.25">
      <c r="A2133" t="s">
        <v>4690</v>
      </c>
      <c r="D2133" t="s">
        <v>10210</v>
      </c>
    </row>
    <row r="2134" spans="1:4" x14ac:dyDescent="0.25">
      <c r="A2134" t="s">
        <v>4691</v>
      </c>
      <c r="D2134" t="s">
        <v>10211</v>
      </c>
    </row>
    <row r="2135" spans="1:4" x14ac:dyDescent="0.25">
      <c r="A2135" t="s">
        <v>4692</v>
      </c>
      <c r="D2135" t="s">
        <v>10212</v>
      </c>
    </row>
    <row r="2136" spans="1:4" x14ac:dyDescent="0.25">
      <c r="A2136" t="s">
        <v>4693</v>
      </c>
      <c r="D2136" t="s">
        <v>10213</v>
      </c>
    </row>
    <row r="2137" spans="1:4" x14ac:dyDescent="0.25">
      <c r="A2137" t="s">
        <v>4694</v>
      </c>
      <c r="D2137" t="s">
        <v>10214</v>
      </c>
    </row>
    <row r="2138" spans="1:4" x14ac:dyDescent="0.25">
      <c r="A2138" t="s">
        <v>4695</v>
      </c>
      <c r="D2138" t="s">
        <v>10215</v>
      </c>
    </row>
    <row r="2139" spans="1:4" x14ac:dyDescent="0.25">
      <c r="A2139" t="s">
        <v>4696</v>
      </c>
      <c r="D2139" t="s">
        <v>10216</v>
      </c>
    </row>
    <row r="2140" spans="1:4" x14ac:dyDescent="0.25">
      <c r="A2140" t="s">
        <v>4697</v>
      </c>
      <c r="D2140" t="s">
        <v>10217</v>
      </c>
    </row>
    <row r="2141" spans="1:4" x14ac:dyDescent="0.25">
      <c r="A2141" t="s">
        <v>4698</v>
      </c>
      <c r="D2141" t="s">
        <v>10218</v>
      </c>
    </row>
    <row r="2142" spans="1:4" x14ac:dyDescent="0.25">
      <c r="A2142" t="s">
        <v>4699</v>
      </c>
      <c r="D2142" t="s">
        <v>10219</v>
      </c>
    </row>
    <row r="2143" spans="1:4" x14ac:dyDescent="0.25">
      <c r="A2143" t="s">
        <v>4700</v>
      </c>
      <c r="D2143" t="s">
        <v>10220</v>
      </c>
    </row>
    <row r="2144" spans="1:4" x14ac:dyDescent="0.25">
      <c r="A2144" t="s">
        <v>4701</v>
      </c>
      <c r="D2144" t="s">
        <v>10221</v>
      </c>
    </row>
    <row r="2145" spans="1:4" x14ac:dyDescent="0.25">
      <c r="A2145" t="s">
        <v>4702</v>
      </c>
      <c r="D2145" t="s">
        <v>10222</v>
      </c>
    </row>
    <row r="2146" spans="1:4" x14ac:dyDescent="0.25">
      <c r="A2146" t="s">
        <v>4703</v>
      </c>
      <c r="D2146" t="s">
        <v>10223</v>
      </c>
    </row>
    <row r="2147" spans="1:4" x14ac:dyDescent="0.25">
      <c r="A2147" t="s">
        <v>4704</v>
      </c>
      <c r="D2147" t="s">
        <v>10224</v>
      </c>
    </row>
    <row r="2148" spans="1:4" x14ac:dyDescent="0.25">
      <c r="A2148" t="s">
        <v>4705</v>
      </c>
      <c r="D2148" t="s">
        <v>10225</v>
      </c>
    </row>
    <row r="2149" spans="1:4" x14ac:dyDescent="0.25">
      <c r="A2149" t="s">
        <v>4706</v>
      </c>
      <c r="D2149" t="s">
        <v>10226</v>
      </c>
    </row>
    <row r="2150" spans="1:4" x14ac:dyDescent="0.25">
      <c r="A2150" t="s">
        <v>4707</v>
      </c>
      <c r="D2150" t="s">
        <v>10227</v>
      </c>
    </row>
    <row r="2151" spans="1:4" x14ac:dyDescent="0.25">
      <c r="A2151" t="s">
        <v>4708</v>
      </c>
      <c r="D2151" t="s">
        <v>10228</v>
      </c>
    </row>
    <row r="2152" spans="1:4" x14ac:dyDescent="0.25">
      <c r="A2152" t="s">
        <v>4709</v>
      </c>
      <c r="D2152" t="s">
        <v>10229</v>
      </c>
    </row>
    <row r="2153" spans="1:4" x14ac:dyDescent="0.25">
      <c r="A2153" t="s">
        <v>4710</v>
      </c>
      <c r="D2153" t="s">
        <v>10230</v>
      </c>
    </row>
    <row r="2154" spans="1:4" x14ac:dyDescent="0.25">
      <c r="A2154" t="s">
        <v>4711</v>
      </c>
      <c r="D2154" t="s">
        <v>10231</v>
      </c>
    </row>
    <row r="2155" spans="1:4" x14ac:dyDescent="0.25">
      <c r="A2155" t="s">
        <v>4712</v>
      </c>
      <c r="D2155" t="s">
        <v>10232</v>
      </c>
    </row>
    <row r="2156" spans="1:4" x14ac:dyDescent="0.25">
      <c r="A2156" t="s">
        <v>4713</v>
      </c>
      <c r="D2156" t="s">
        <v>10233</v>
      </c>
    </row>
    <row r="2157" spans="1:4" x14ac:dyDescent="0.25">
      <c r="A2157" t="s">
        <v>4714</v>
      </c>
      <c r="D2157" t="s">
        <v>10234</v>
      </c>
    </row>
    <row r="2158" spans="1:4" x14ac:dyDescent="0.25">
      <c r="A2158" t="s">
        <v>4715</v>
      </c>
      <c r="D2158" t="s">
        <v>10235</v>
      </c>
    </row>
    <row r="2159" spans="1:4" x14ac:dyDescent="0.25">
      <c r="A2159" t="s">
        <v>4716</v>
      </c>
      <c r="D2159" t="s">
        <v>10236</v>
      </c>
    </row>
    <row r="2160" spans="1:4" x14ac:dyDescent="0.25">
      <c r="A2160" t="s">
        <v>4717</v>
      </c>
      <c r="D2160" t="s">
        <v>10237</v>
      </c>
    </row>
    <row r="2161" spans="1:4" x14ac:dyDescent="0.25">
      <c r="A2161" t="s">
        <v>4718</v>
      </c>
      <c r="D2161" t="s">
        <v>10238</v>
      </c>
    </row>
    <row r="2162" spans="1:4" x14ac:dyDescent="0.25">
      <c r="A2162" t="s">
        <v>4719</v>
      </c>
      <c r="D2162" t="s">
        <v>10239</v>
      </c>
    </row>
    <row r="2163" spans="1:4" x14ac:dyDescent="0.25">
      <c r="A2163" t="s">
        <v>4720</v>
      </c>
      <c r="D2163" t="s">
        <v>10240</v>
      </c>
    </row>
    <row r="2164" spans="1:4" x14ac:dyDescent="0.25">
      <c r="A2164" t="s">
        <v>4721</v>
      </c>
      <c r="D2164" t="s">
        <v>10241</v>
      </c>
    </row>
    <row r="2165" spans="1:4" x14ac:dyDescent="0.25">
      <c r="A2165" t="s">
        <v>4722</v>
      </c>
      <c r="D2165" t="s">
        <v>10242</v>
      </c>
    </row>
    <row r="2166" spans="1:4" x14ac:dyDescent="0.25">
      <c r="A2166" t="s">
        <v>4723</v>
      </c>
      <c r="D2166" t="s">
        <v>10243</v>
      </c>
    </row>
    <row r="2167" spans="1:4" x14ac:dyDescent="0.25">
      <c r="A2167" t="s">
        <v>4724</v>
      </c>
      <c r="D2167" t="s">
        <v>10244</v>
      </c>
    </row>
    <row r="2168" spans="1:4" x14ac:dyDescent="0.25">
      <c r="A2168" t="s">
        <v>4725</v>
      </c>
      <c r="D2168" t="s">
        <v>10245</v>
      </c>
    </row>
    <row r="2169" spans="1:4" x14ac:dyDescent="0.25">
      <c r="A2169" t="s">
        <v>4726</v>
      </c>
      <c r="D2169" t="s">
        <v>10246</v>
      </c>
    </row>
    <row r="2170" spans="1:4" x14ac:dyDescent="0.25">
      <c r="A2170" t="s">
        <v>4727</v>
      </c>
      <c r="D2170" t="s">
        <v>10247</v>
      </c>
    </row>
    <row r="2171" spans="1:4" x14ac:dyDescent="0.25">
      <c r="A2171" t="s">
        <v>4728</v>
      </c>
      <c r="D2171" t="s">
        <v>10248</v>
      </c>
    </row>
    <row r="2172" spans="1:4" x14ac:dyDescent="0.25">
      <c r="A2172" t="s">
        <v>4729</v>
      </c>
      <c r="D2172" t="s">
        <v>10249</v>
      </c>
    </row>
    <row r="2173" spans="1:4" x14ac:dyDescent="0.25">
      <c r="A2173" t="s">
        <v>4730</v>
      </c>
      <c r="D2173" t="s">
        <v>10250</v>
      </c>
    </row>
    <row r="2174" spans="1:4" x14ac:dyDescent="0.25">
      <c r="A2174" t="s">
        <v>4731</v>
      </c>
      <c r="D2174" t="s">
        <v>10251</v>
      </c>
    </row>
    <row r="2175" spans="1:4" x14ac:dyDescent="0.25">
      <c r="A2175" t="s">
        <v>4732</v>
      </c>
      <c r="D2175" t="s">
        <v>10252</v>
      </c>
    </row>
    <row r="2176" spans="1:4" x14ac:dyDescent="0.25">
      <c r="A2176" t="s">
        <v>4733</v>
      </c>
      <c r="D2176" t="s">
        <v>10253</v>
      </c>
    </row>
    <row r="2177" spans="1:4" x14ac:dyDescent="0.25">
      <c r="A2177" t="s">
        <v>4734</v>
      </c>
      <c r="D2177" t="s">
        <v>10254</v>
      </c>
    </row>
    <row r="2178" spans="1:4" x14ac:dyDescent="0.25">
      <c r="A2178" t="s">
        <v>4735</v>
      </c>
      <c r="D2178" t="s">
        <v>10255</v>
      </c>
    </row>
    <row r="2179" spans="1:4" x14ac:dyDescent="0.25">
      <c r="A2179" t="s">
        <v>4736</v>
      </c>
      <c r="D2179" t="s">
        <v>10256</v>
      </c>
    </row>
    <row r="2180" spans="1:4" x14ac:dyDescent="0.25">
      <c r="A2180" t="s">
        <v>4737</v>
      </c>
      <c r="D2180" t="s">
        <v>10257</v>
      </c>
    </row>
    <row r="2181" spans="1:4" x14ac:dyDescent="0.25">
      <c r="A2181" t="s">
        <v>4738</v>
      </c>
      <c r="D2181" t="s">
        <v>10258</v>
      </c>
    </row>
    <row r="2182" spans="1:4" x14ac:dyDescent="0.25">
      <c r="A2182" t="s">
        <v>4739</v>
      </c>
      <c r="D2182" t="s">
        <v>10259</v>
      </c>
    </row>
    <row r="2183" spans="1:4" x14ac:dyDescent="0.25">
      <c r="A2183" t="s">
        <v>4740</v>
      </c>
      <c r="D2183" t="s">
        <v>10260</v>
      </c>
    </row>
    <row r="2184" spans="1:4" x14ac:dyDescent="0.25">
      <c r="A2184" t="s">
        <v>4741</v>
      </c>
      <c r="D2184" t="s">
        <v>10261</v>
      </c>
    </row>
    <row r="2185" spans="1:4" x14ac:dyDescent="0.25">
      <c r="A2185" t="s">
        <v>4742</v>
      </c>
      <c r="D2185" t="s">
        <v>10262</v>
      </c>
    </row>
    <row r="2186" spans="1:4" x14ac:dyDescent="0.25">
      <c r="A2186" t="s">
        <v>4743</v>
      </c>
      <c r="D2186" t="s">
        <v>10263</v>
      </c>
    </row>
    <row r="2187" spans="1:4" x14ac:dyDescent="0.25">
      <c r="A2187" t="s">
        <v>4744</v>
      </c>
      <c r="D2187" t="s">
        <v>10264</v>
      </c>
    </row>
    <row r="2188" spans="1:4" x14ac:dyDescent="0.25">
      <c r="A2188" t="s">
        <v>4745</v>
      </c>
      <c r="D2188" t="s">
        <v>10265</v>
      </c>
    </row>
    <row r="2189" spans="1:4" x14ac:dyDescent="0.25">
      <c r="A2189" t="s">
        <v>4746</v>
      </c>
      <c r="D2189" t="s">
        <v>10266</v>
      </c>
    </row>
    <row r="2190" spans="1:4" x14ac:dyDescent="0.25">
      <c r="A2190" t="s">
        <v>4747</v>
      </c>
      <c r="D2190" t="s">
        <v>10267</v>
      </c>
    </row>
    <row r="2191" spans="1:4" x14ac:dyDescent="0.25">
      <c r="A2191" t="s">
        <v>4748</v>
      </c>
      <c r="D2191" t="s">
        <v>10268</v>
      </c>
    </row>
    <row r="2192" spans="1:4" x14ac:dyDescent="0.25">
      <c r="A2192" t="s">
        <v>4749</v>
      </c>
      <c r="D2192" t="s">
        <v>10269</v>
      </c>
    </row>
    <row r="2193" spans="1:4" x14ac:dyDescent="0.25">
      <c r="A2193" t="s">
        <v>4750</v>
      </c>
      <c r="D2193" t="s">
        <v>10270</v>
      </c>
    </row>
    <row r="2194" spans="1:4" x14ac:dyDescent="0.25">
      <c r="A2194" t="s">
        <v>4751</v>
      </c>
      <c r="D2194" t="s">
        <v>10271</v>
      </c>
    </row>
    <row r="2195" spans="1:4" x14ac:dyDescent="0.25">
      <c r="A2195" t="s">
        <v>4752</v>
      </c>
      <c r="D2195" t="s">
        <v>10272</v>
      </c>
    </row>
    <row r="2196" spans="1:4" x14ac:dyDescent="0.25">
      <c r="A2196" t="s">
        <v>4753</v>
      </c>
      <c r="D2196" t="s">
        <v>10273</v>
      </c>
    </row>
    <row r="2197" spans="1:4" x14ac:dyDescent="0.25">
      <c r="A2197" t="s">
        <v>4754</v>
      </c>
      <c r="D2197" t="s">
        <v>10274</v>
      </c>
    </row>
    <row r="2198" spans="1:4" x14ac:dyDescent="0.25">
      <c r="A2198" t="s">
        <v>4755</v>
      </c>
      <c r="D2198" t="s">
        <v>10275</v>
      </c>
    </row>
    <row r="2199" spans="1:4" x14ac:dyDescent="0.25">
      <c r="A2199" t="s">
        <v>4756</v>
      </c>
      <c r="D2199" t="s">
        <v>10276</v>
      </c>
    </row>
    <row r="2200" spans="1:4" x14ac:dyDescent="0.25">
      <c r="A2200" t="s">
        <v>4757</v>
      </c>
      <c r="D2200" t="s">
        <v>10277</v>
      </c>
    </row>
    <row r="2201" spans="1:4" x14ac:dyDescent="0.25">
      <c r="A2201" t="s">
        <v>4758</v>
      </c>
      <c r="D2201" t="s">
        <v>10278</v>
      </c>
    </row>
    <row r="2202" spans="1:4" x14ac:dyDescent="0.25">
      <c r="A2202" t="s">
        <v>4759</v>
      </c>
      <c r="D2202" t="s">
        <v>10279</v>
      </c>
    </row>
    <row r="2203" spans="1:4" x14ac:dyDescent="0.25">
      <c r="A2203" t="s">
        <v>4760</v>
      </c>
      <c r="D2203" t="s">
        <v>10280</v>
      </c>
    </row>
    <row r="2204" spans="1:4" x14ac:dyDescent="0.25">
      <c r="A2204" t="s">
        <v>4761</v>
      </c>
      <c r="D2204" t="s">
        <v>10281</v>
      </c>
    </row>
    <row r="2205" spans="1:4" x14ac:dyDescent="0.25">
      <c r="A2205" t="s">
        <v>4762</v>
      </c>
      <c r="D2205" t="s">
        <v>10282</v>
      </c>
    </row>
    <row r="2206" spans="1:4" x14ac:dyDescent="0.25">
      <c r="A2206" t="s">
        <v>4763</v>
      </c>
      <c r="D2206" t="s">
        <v>10283</v>
      </c>
    </row>
    <row r="2207" spans="1:4" x14ac:dyDescent="0.25">
      <c r="A2207" t="s">
        <v>4764</v>
      </c>
      <c r="D2207" t="s">
        <v>10284</v>
      </c>
    </row>
    <row r="2208" spans="1:4" x14ac:dyDescent="0.25">
      <c r="A2208" t="s">
        <v>4765</v>
      </c>
      <c r="D2208" t="s">
        <v>10285</v>
      </c>
    </row>
    <row r="2209" spans="1:4" x14ac:dyDescent="0.25">
      <c r="A2209" t="s">
        <v>4766</v>
      </c>
      <c r="D2209" t="s">
        <v>10286</v>
      </c>
    </row>
    <row r="2210" spans="1:4" x14ac:dyDescent="0.25">
      <c r="A2210" t="s">
        <v>4767</v>
      </c>
      <c r="D2210" t="s">
        <v>10287</v>
      </c>
    </row>
    <row r="2211" spans="1:4" x14ac:dyDescent="0.25">
      <c r="A2211" t="s">
        <v>4768</v>
      </c>
      <c r="D2211" t="s">
        <v>10288</v>
      </c>
    </row>
    <row r="2212" spans="1:4" x14ac:dyDescent="0.25">
      <c r="A2212" t="s">
        <v>4769</v>
      </c>
      <c r="D2212" t="s">
        <v>10289</v>
      </c>
    </row>
    <row r="2213" spans="1:4" x14ac:dyDescent="0.25">
      <c r="A2213" t="s">
        <v>4770</v>
      </c>
      <c r="D2213" t="s">
        <v>10290</v>
      </c>
    </row>
    <row r="2214" spans="1:4" x14ac:dyDescent="0.25">
      <c r="A2214" t="s">
        <v>4771</v>
      </c>
      <c r="D2214" t="s">
        <v>10291</v>
      </c>
    </row>
    <row r="2215" spans="1:4" x14ac:dyDescent="0.25">
      <c r="A2215" t="s">
        <v>4772</v>
      </c>
      <c r="D2215" t="s">
        <v>10292</v>
      </c>
    </row>
    <row r="2216" spans="1:4" x14ac:dyDescent="0.25">
      <c r="A2216" t="s">
        <v>4773</v>
      </c>
      <c r="D2216" t="s">
        <v>10293</v>
      </c>
    </row>
    <row r="2217" spans="1:4" x14ac:dyDescent="0.25">
      <c r="A2217" t="s">
        <v>4774</v>
      </c>
      <c r="D2217" t="s">
        <v>10294</v>
      </c>
    </row>
    <row r="2218" spans="1:4" x14ac:dyDescent="0.25">
      <c r="A2218" t="s">
        <v>4775</v>
      </c>
      <c r="D2218" t="s">
        <v>10295</v>
      </c>
    </row>
    <row r="2219" spans="1:4" x14ac:dyDescent="0.25">
      <c r="A2219" t="s">
        <v>4776</v>
      </c>
      <c r="D2219" t="s">
        <v>10296</v>
      </c>
    </row>
    <row r="2220" spans="1:4" x14ac:dyDescent="0.25">
      <c r="A2220" t="s">
        <v>4777</v>
      </c>
      <c r="D2220" t="s">
        <v>10297</v>
      </c>
    </row>
    <row r="2221" spans="1:4" x14ac:dyDescent="0.25">
      <c r="A2221" t="s">
        <v>4778</v>
      </c>
      <c r="D2221" t="s">
        <v>10298</v>
      </c>
    </row>
    <row r="2222" spans="1:4" x14ac:dyDescent="0.25">
      <c r="A2222" t="s">
        <v>4779</v>
      </c>
      <c r="D2222" t="s">
        <v>10299</v>
      </c>
    </row>
    <row r="2223" spans="1:4" x14ac:dyDescent="0.25">
      <c r="A2223" t="s">
        <v>4780</v>
      </c>
      <c r="D2223" t="s">
        <v>10300</v>
      </c>
    </row>
    <row r="2224" spans="1:4" x14ac:dyDescent="0.25">
      <c r="A2224" t="s">
        <v>4781</v>
      </c>
      <c r="D2224" t="s">
        <v>10301</v>
      </c>
    </row>
    <row r="2225" spans="1:4" x14ac:dyDescent="0.25">
      <c r="A2225" t="s">
        <v>4782</v>
      </c>
      <c r="D2225" t="s">
        <v>10302</v>
      </c>
    </row>
    <row r="2226" spans="1:4" x14ac:dyDescent="0.25">
      <c r="A2226" t="s">
        <v>4783</v>
      </c>
      <c r="D2226" t="s">
        <v>10303</v>
      </c>
    </row>
    <row r="2227" spans="1:4" x14ac:dyDescent="0.25">
      <c r="A2227" t="s">
        <v>4784</v>
      </c>
      <c r="D2227" t="s">
        <v>10304</v>
      </c>
    </row>
    <row r="2228" spans="1:4" x14ac:dyDescent="0.25">
      <c r="A2228" t="s">
        <v>4785</v>
      </c>
      <c r="D2228" t="s">
        <v>10305</v>
      </c>
    </row>
    <row r="2229" spans="1:4" x14ac:dyDescent="0.25">
      <c r="A2229" t="s">
        <v>4786</v>
      </c>
      <c r="D2229" t="s">
        <v>10306</v>
      </c>
    </row>
    <row r="2230" spans="1:4" x14ac:dyDescent="0.25">
      <c r="A2230" t="s">
        <v>4787</v>
      </c>
      <c r="D2230" t="s">
        <v>10307</v>
      </c>
    </row>
    <row r="2231" spans="1:4" x14ac:dyDescent="0.25">
      <c r="A2231" t="s">
        <v>4788</v>
      </c>
      <c r="D2231" t="s">
        <v>10308</v>
      </c>
    </row>
    <row r="2232" spans="1:4" x14ac:dyDescent="0.25">
      <c r="A2232" t="s">
        <v>4789</v>
      </c>
      <c r="D2232" t="s">
        <v>10309</v>
      </c>
    </row>
    <row r="2233" spans="1:4" x14ac:dyDescent="0.25">
      <c r="A2233" t="s">
        <v>4790</v>
      </c>
      <c r="D2233" t="s">
        <v>10310</v>
      </c>
    </row>
    <row r="2234" spans="1:4" x14ac:dyDescent="0.25">
      <c r="A2234" t="s">
        <v>4791</v>
      </c>
      <c r="D2234" t="s">
        <v>10311</v>
      </c>
    </row>
    <row r="2235" spans="1:4" x14ac:dyDescent="0.25">
      <c r="A2235" t="s">
        <v>4792</v>
      </c>
      <c r="D2235" t="s">
        <v>10312</v>
      </c>
    </row>
    <row r="2236" spans="1:4" x14ac:dyDescent="0.25">
      <c r="A2236" t="s">
        <v>4793</v>
      </c>
      <c r="D2236" t="s">
        <v>10313</v>
      </c>
    </row>
    <row r="2237" spans="1:4" x14ac:dyDescent="0.25">
      <c r="A2237" t="s">
        <v>4794</v>
      </c>
      <c r="D2237" t="s">
        <v>10314</v>
      </c>
    </row>
    <row r="2238" spans="1:4" x14ac:dyDescent="0.25">
      <c r="A2238" t="s">
        <v>4795</v>
      </c>
      <c r="D2238" t="s">
        <v>10315</v>
      </c>
    </row>
    <row r="2239" spans="1:4" x14ac:dyDescent="0.25">
      <c r="A2239" t="s">
        <v>4796</v>
      </c>
      <c r="D2239" t="s">
        <v>10316</v>
      </c>
    </row>
    <row r="2240" spans="1:4" x14ac:dyDescent="0.25">
      <c r="A2240" t="s">
        <v>4797</v>
      </c>
      <c r="D2240" t="s">
        <v>10317</v>
      </c>
    </row>
    <row r="2241" spans="1:4" x14ac:dyDescent="0.25">
      <c r="A2241" t="s">
        <v>4798</v>
      </c>
      <c r="D2241" t="s">
        <v>10318</v>
      </c>
    </row>
    <row r="2242" spans="1:4" x14ac:dyDescent="0.25">
      <c r="A2242" t="s">
        <v>4799</v>
      </c>
      <c r="D2242" t="s">
        <v>10319</v>
      </c>
    </row>
    <row r="2243" spans="1:4" x14ac:dyDescent="0.25">
      <c r="A2243" t="s">
        <v>4800</v>
      </c>
      <c r="D2243" t="s">
        <v>10320</v>
      </c>
    </row>
    <row r="2244" spans="1:4" x14ac:dyDescent="0.25">
      <c r="A2244" t="s">
        <v>4801</v>
      </c>
      <c r="D2244" t="s">
        <v>10321</v>
      </c>
    </row>
    <row r="2245" spans="1:4" x14ac:dyDescent="0.25">
      <c r="A2245" t="s">
        <v>4802</v>
      </c>
      <c r="D2245" t="s">
        <v>10322</v>
      </c>
    </row>
    <row r="2246" spans="1:4" x14ac:dyDescent="0.25">
      <c r="A2246" t="s">
        <v>4803</v>
      </c>
      <c r="D2246" t="s">
        <v>10323</v>
      </c>
    </row>
    <row r="2247" spans="1:4" x14ac:dyDescent="0.25">
      <c r="A2247" t="s">
        <v>4804</v>
      </c>
      <c r="D2247" t="s">
        <v>10324</v>
      </c>
    </row>
    <row r="2248" spans="1:4" x14ac:dyDescent="0.25">
      <c r="A2248" t="s">
        <v>4805</v>
      </c>
      <c r="D2248" t="s">
        <v>10325</v>
      </c>
    </row>
    <row r="2249" spans="1:4" x14ac:dyDescent="0.25">
      <c r="A2249" t="s">
        <v>4806</v>
      </c>
      <c r="D2249" t="s">
        <v>10326</v>
      </c>
    </row>
    <row r="2250" spans="1:4" x14ac:dyDescent="0.25">
      <c r="A2250" t="s">
        <v>4807</v>
      </c>
      <c r="D2250" t="s">
        <v>10327</v>
      </c>
    </row>
    <row r="2251" spans="1:4" x14ac:dyDescent="0.25">
      <c r="A2251" t="s">
        <v>4808</v>
      </c>
      <c r="D2251" t="s">
        <v>10328</v>
      </c>
    </row>
    <row r="2252" spans="1:4" x14ac:dyDescent="0.25">
      <c r="A2252" t="s">
        <v>4809</v>
      </c>
      <c r="D2252" t="s">
        <v>10329</v>
      </c>
    </row>
    <row r="2253" spans="1:4" x14ac:dyDescent="0.25">
      <c r="A2253" t="s">
        <v>4810</v>
      </c>
      <c r="D2253" t="s">
        <v>10330</v>
      </c>
    </row>
    <row r="2254" spans="1:4" x14ac:dyDescent="0.25">
      <c r="A2254" t="s">
        <v>4811</v>
      </c>
      <c r="D2254" t="s">
        <v>10331</v>
      </c>
    </row>
    <row r="2255" spans="1:4" x14ac:dyDescent="0.25">
      <c r="A2255" t="s">
        <v>4812</v>
      </c>
      <c r="D2255" t="s">
        <v>10332</v>
      </c>
    </row>
    <row r="2256" spans="1:4" x14ac:dyDescent="0.25">
      <c r="A2256" t="s">
        <v>4813</v>
      </c>
      <c r="D2256" t="s">
        <v>10333</v>
      </c>
    </row>
    <row r="2257" spans="1:4" x14ac:dyDescent="0.25">
      <c r="A2257" t="s">
        <v>4814</v>
      </c>
      <c r="D2257" t="s">
        <v>10334</v>
      </c>
    </row>
    <row r="2258" spans="1:4" x14ac:dyDescent="0.25">
      <c r="A2258" t="s">
        <v>4815</v>
      </c>
      <c r="D2258" t="s">
        <v>10335</v>
      </c>
    </row>
    <row r="2259" spans="1:4" x14ac:dyDescent="0.25">
      <c r="A2259" t="s">
        <v>4816</v>
      </c>
      <c r="D2259" t="s">
        <v>10336</v>
      </c>
    </row>
    <row r="2260" spans="1:4" x14ac:dyDescent="0.25">
      <c r="A2260" t="s">
        <v>4817</v>
      </c>
      <c r="D2260" t="s">
        <v>10337</v>
      </c>
    </row>
    <row r="2261" spans="1:4" x14ac:dyDescent="0.25">
      <c r="A2261" t="s">
        <v>4818</v>
      </c>
      <c r="D2261" t="s">
        <v>10338</v>
      </c>
    </row>
    <row r="2262" spans="1:4" x14ac:dyDescent="0.25">
      <c r="A2262" t="s">
        <v>4819</v>
      </c>
      <c r="D2262" t="s">
        <v>10339</v>
      </c>
    </row>
    <row r="2263" spans="1:4" x14ac:dyDescent="0.25">
      <c r="A2263" t="s">
        <v>4820</v>
      </c>
      <c r="D2263" t="s">
        <v>10340</v>
      </c>
    </row>
    <row r="2264" spans="1:4" x14ac:dyDescent="0.25">
      <c r="A2264" t="s">
        <v>4821</v>
      </c>
      <c r="D2264" t="s">
        <v>10341</v>
      </c>
    </row>
    <row r="2265" spans="1:4" x14ac:dyDescent="0.25">
      <c r="A2265" t="s">
        <v>4822</v>
      </c>
      <c r="D2265" t="s">
        <v>10342</v>
      </c>
    </row>
    <row r="2266" spans="1:4" x14ac:dyDescent="0.25">
      <c r="A2266" t="s">
        <v>4823</v>
      </c>
      <c r="D2266" t="s">
        <v>10343</v>
      </c>
    </row>
    <row r="2267" spans="1:4" x14ac:dyDescent="0.25">
      <c r="A2267" t="s">
        <v>4824</v>
      </c>
      <c r="D2267" t="s">
        <v>10344</v>
      </c>
    </row>
    <row r="2268" spans="1:4" x14ac:dyDescent="0.25">
      <c r="A2268" t="s">
        <v>4825</v>
      </c>
      <c r="D2268" t="s">
        <v>10345</v>
      </c>
    </row>
    <row r="2269" spans="1:4" x14ac:dyDescent="0.25">
      <c r="A2269" t="s">
        <v>4826</v>
      </c>
      <c r="D2269" t="s">
        <v>10346</v>
      </c>
    </row>
    <row r="2270" spans="1:4" x14ac:dyDescent="0.25">
      <c r="A2270" t="s">
        <v>4827</v>
      </c>
      <c r="D2270" t="s">
        <v>10347</v>
      </c>
    </row>
    <row r="2271" spans="1:4" x14ac:dyDescent="0.25">
      <c r="A2271" t="s">
        <v>4828</v>
      </c>
      <c r="D2271" t="s">
        <v>10348</v>
      </c>
    </row>
    <row r="2272" spans="1:4" x14ac:dyDescent="0.25">
      <c r="A2272" t="s">
        <v>4829</v>
      </c>
      <c r="D2272" t="s">
        <v>10349</v>
      </c>
    </row>
    <row r="2273" spans="1:4" x14ac:dyDescent="0.25">
      <c r="A2273" t="s">
        <v>4830</v>
      </c>
      <c r="D2273" t="s">
        <v>10350</v>
      </c>
    </row>
    <row r="2274" spans="1:4" x14ac:dyDescent="0.25">
      <c r="A2274" t="s">
        <v>4831</v>
      </c>
      <c r="D2274" t="s">
        <v>10351</v>
      </c>
    </row>
    <row r="2275" spans="1:4" x14ac:dyDescent="0.25">
      <c r="A2275" t="s">
        <v>4832</v>
      </c>
      <c r="D2275" t="s">
        <v>10352</v>
      </c>
    </row>
    <row r="2276" spans="1:4" x14ac:dyDescent="0.25">
      <c r="A2276" t="s">
        <v>4833</v>
      </c>
      <c r="D2276" t="s">
        <v>10353</v>
      </c>
    </row>
    <row r="2277" spans="1:4" x14ac:dyDescent="0.25">
      <c r="A2277" t="s">
        <v>4834</v>
      </c>
      <c r="D2277" t="s">
        <v>10354</v>
      </c>
    </row>
    <row r="2278" spans="1:4" x14ac:dyDescent="0.25">
      <c r="A2278" t="s">
        <v>4835</v>
      </c>
      <c r="D2278" t="s">
        <v>10355</v>
      </c>
    </row>
    <row r="2279" spans="1:4" x14ac:dyDescent="0.25">
      <c r="A2279" t="s">
        <v>4836</v>
      </c>
      <c r="D2279" t="s">
        <v>10356</v>
      </c>
    </row>
    <row r="2280" spans="1:4" x14ac:dyDescent="0.25">
      <c r="A2280" t="s">
        <v>4837</v>
      </c>
      <c r="D2280" t="s">
        <v>10357</v>
      </c>
    </row>
    <row r="2281" spans="1:4" x14ac:dyDescent="0.25">
      <c r="A2281" t="s">
        <v>4838</v>
      </c>
      <c r="D2281" t="s">
        <v>10358</v>
      </c>
    </row>
    <row r="2282" spans="1:4" x14ac:dyDescent="0.25">
      <c r="A2282" t="s">
        <v>4839</v>
      </c>
      <c r="D2282" t="s">
        <v>10359</v>
      </c>
    </row>
    <row r="2283" spans="1:4" x14ac:dyDescent="0.25">
      <c r="A2283" t="s">
        <v>4840</v>
      </c>
      <c r="D2283" t="s">
        <v>10360</v>
      </c>
    </row>
    <row r="2284" spans="1:4" x14ac:dyDescent="0.25">
      <c r="A2284" t="s">
        <v>4841</v>
      </c>
      <c r="D2284" t="s">
        <v>10361</v>
      </c>
    </row>
    <row r="2285" spans="1:4" x14ac:dyDescent="0.25">
      <c r="A2285" t="s">
        <v>4842</v>
      </c>
      <c r="D2285" t="s">
        <v>10362</v>
      </c>
    </row>
    <row r="2286" spans="1:4" x14ac:dyDescent="0.25">
      <c r="A2286" t="s">
        <v>4843</v>
      </c>
      <c r="D2286" t="s">
        <v>10363</v>
      </c>
    </row>
    <row r="2287" spans="1:4" x14ac:dyDescent="0.25">
      <c r="A2287" t="s">
        <v>4844</v>
      </c>
      <c r="D2287" t="s">
        <v>10364</v>
      </c>
    </row>
    <row r="2288" spans="1:4" x14ac:dyDescent="0.25">
      <c r="A2288" t="s">
        <v>4845</v>
      </c>
      <c r="D2288" t="s">
        <v>10365</v>
      </c>
    </row>
    <row r="2289" spans="1:4" x14ac:dyDescent="0.25">
      <c r="A2289" t="s">
        <v>4846</v>
      </c>
      <c r="D2289" t="s">
        <v>10366</v>
      </c>
    </row>
    <row r="2290" spans="1:4" x14ac:dyDescent="0.25">
      <c r="A2290" t="s">
        <v>4847</v>
      </c>
      <c r="D2290" t="s">
        <v>10367</v>
      </c>
    </row>
    <row r="2291" spans="1:4" x14ac:dyDescent="0.25">
      <c r="A2291" t="s">
        <v>4848</v>
      </c>
      <c r="D2291" t="s">
        <v>10368</v>
      </c>
    </row>
    <row r="2292" spans="1:4" x14ac:dyDescent="0.25">
      <c r="A2292" t="s">
        <v>4849</v>
      </c>
      <c r="D2292" t="s">
        <v>10369</v>
      </c>
    </row>
    <row r="2293" spans="1:4" x14ac:dyDescent="0.25">
      <c r="A2293" t="s">
        <v>4850</v>
      </c>
      <c r="D2293" t="s">
        <v>10370</v>
      </c>
    </row>
    <row r="2294" spans="1:4" x14ac:dyDescent="0.25">
      <c r="A2294" t="s">
        <v>4851</v>
      </c>
      <c r="D2294" t="s">
        <v>10371</v>
      </c>
    </row>
    <row r="2295" spans="1:4" x14ac:dyDescent="0.25">
      <c r="A2295" t="s">
        <v>4852</v>
      </c>
      <c r="D2295" t="s">
        <v>10372</v>
      </c>
    </row>
    <row r="2296" spans="1:4" x14ac:dyDescent="0.25">
      <c r="A2296" t="s">
        <v>4853</v>
      </c>
      <c r="D2296" t="s">
        <v>10373</v>
      </c>
    </row>
    <row r="2297" spans="1:4" x14ac:dyDescent="0.25">
      <c r="A2297" t="s">
        <v>4854</v>
      </c>
      <c r="D2297" t="s">
        <v>10374</v>
      </c>
    </row>
    <row r="2298" spans="1:4" x14ac:dyDescent="0.25">
      <c r="A2298" t="s">
        <v>4855</v>
      </c>
      <c r="D2298" t="s">
        <v>10375</v>
      </c>
    </row>
    <row r="2299" spans="1:4" x14ac:dyDescent="0.25">
      <c r="A2299" t="s">
        <v>4856</v>
      </c>
      <c r="D2299" t="s">
        <v>10376</v>
      </c>
    </row>
    <row r="2300" spans="1:4" x14ac:dyDescent="0.25">
      <c r="A2300" t="s">
        <v>4857</v>
      </c>
      <c r="D2300" t="s">
        <v>10377</v>
      </c>
    </row>
    <row r="2301" spans="1:4" x14ac:dyDescent="0.25">
      <c r="A2301" t="s">
        <v>4858</v>
      </c>
      <c r="D2301" t="s">
        <v>10378</v>
      </c>
    </row>
    <row r="2302" spans="1:4" x14ac:dyDescent="0.25">
      <c r="A2302" t="s">
        <v>4859</v>
      </c>
      <c r="D2302" t="s">
        <v>10379</v>
      </c>
    </row>
    <row r="2303" spans="1:4" x14ac:dyDescent="0.25">
      <c r="A2303" t="s">
        <v>4860</v>
      </c>
      <c r="D2303" t="s">
        <v>10380</v>
      </c>
    </row>
    <row r="2304" spans="1:4" x14ac:dyDescent="0.25">
      <c r="A2304" t="s">
        <v>4861</v>
      </c>
      <c r="D2304" t="s">
        <v>10381</v>
      </c>
    </row>
    <row r="2305" spans="1:4" x14ac:dyDescent="0.25">
      <c r="A2305" t="s">
        <v>4862</v>
      </c>
      <c r="D2305" t="s">
        <v>10382</v>
      </c>
    </row>
    <row r="2306" spans="1:4" x14ac:dyDescent="0.25">
      <c r="A2306" t="s">
        <v>4863</v>
      </c>
      <c r="D2306" t="s">
        <v>10383</v>
      </c>
    </row>
    <row r="2307" spans="1:4" x14ac:dyDescent="0.25">
      <c r="A2307" t="s">
        <v>4864</v>
      </c>
      <c r="D2307" t="s">
        <v>10384</v>
      </c>
    </row>
    <row r="2308" spans="1:4" x14ac:dyDescent="0.25">
      <c r="A2308" t="s">
        <v>4865</v>
      </c>
      <c r="D2308" t="s">
        <v>10385</v>
      </c>
    </row>
    <row r="2309" spans="1:4" x14ac:dyDescent="0.25">
      <c r="A2309" t="s">
        <v>4866</v>
      </c>
      <c r="D2309" t="s">
        <v>10386</v>
      </c>
    </row>
    <row r="2310" spans="1:4" x14ac:dyDescent="0.25">
      <c r="A2310" t="s">
        <v>4867</v>
      </c>
      <c r="D2310" t="s">
        <v>10387</v>
      </c>
    </row>
    <row r="2311" spans="1:4" x14ac:dyDescent="0.25">
      <c r="A2311" t="s">
        <v>4868</v>
      </c>
      <c r="D2311" t="s">
        <v>10388</v>
      </c>
    </row>
    <row r="2312" spans="1:4" x14ac:dyDescent="0.25">
      <c r="A2312" t="s">
        <v>4869</v>
      </c>
      <c r="D2312" t="s">
        <v>10389</v>
      </c>
    </row>
    <row r="2313" spans="1:4" x14ac:dyDescent="0.25">
      <c r="A2313" t="s">
        <v>4870</v>
      </c>
      <c r="D2313" t="s">
        <v>10390</v>
      </c>
    </row>
    <row r="2314" spans="1:4" x14ac:dyDescent="0.25">
      <c r="A2314" t="s">
        <v>4871</v>
      </c>
      <c r="D2314" t="s">
        <v>10391</v>
      </c>
    </row>
    <row r="2315" spans="1:4" x14ac:dyDescent="0.25">
      <c r="A2315" t="s">
        <v>4872</v>
      </c>
      <c r="D2315" t="s">
        <v>10392</v>
      </c>
    </row>
    <row r="2316" spans="1:4" x14ac:dyDescent="0.25">
      <c r="A2316" t="s">
        <v>4873</v>
      </c>
      <c r="D2316" t="s">
        <v>10393</v>
      </c>
    </row>
    <row r="2317" spans="1:4" x14ac:dyDescent="0.25">
      <c r="A2317" t="s">
        <v>4874</v>
      </c>
      <c r="D2317" t="s">
        <v>10394</v>
      </c>
    </row>
    <row r="2318" spans="1:4" x14ac:dyDescent="0.25">
      <c r="A2318" t="s">
        <v>4875</v>
      </c>
      <c r="D2318" t="s">
        <v>10395</v>
      </c>
    </row>
    <row r="2319" spans="1:4" x14ac:dyDescent="0.25">
      <c r="A2319" t="s">
        <v>4876</v>
      </c>
      <c r="D2319" t="s">
        <v>10396</v>
      </c>
    </row>
    <row r="2320" spans="1:4" x14ac:dyDescent="0.25">
      <c r="A2320" t="s">
        <v>4877</v>
      </c>
      <c r="D2320" t="s">
        <v>10397</v>
      </c>
    </row>
    <row r="2321" spans="1:4" x14ac:dyDescent="0.25">
      <c r="A2321" t="s">
        <v>4878</v>
      </c>
      <c r="D2321" t="s">
        <v>10398</v>
      </c>
    </row>
    <row r="2322" spans="1:4" x14ac:dyDescent="0.25">
      <c r="A2322" t="s">
        <v>4879</v>
      </c>
      <c r="D2322" t="s">
        <v>10399</v>
      </c>
    </row>
    <row r="2323" spans="1:4" x14ac:dyDescent="0.25">
      <c r="A2323" t="s">
        <v>4880</v>
      </c>
      <c r="D2323" t="s">
        <v>10400</v>
      </c>
    </row>
    <row r="2324" spans="1:4" x14ac:dyDescent="0.25">
      <c r="A2324" t="s">
        <v>4881</v>
      </c>
      <c r="D2324" t="s">
        <v>10401</v>
      </c>
    </row>
    <row r="2325" spans="1:4" x14ac:dyDescent="0.25">
      <c r="A2325" t="s">
        <v>4882</v>
      </c>
      <c r="D2325" t="s">
        <v>10402</v>
      </c>
    </row>
    <row r="2326" spans="1:4" x14ac:dyDescent="0.25">
      <c r="A2326" t="s">
        <v>4883</v>
      </c>
      <c r="D2326" t="s">
        <v>10403</v>
      </c>
    </row>
    <row r="2327" spans="1:4" x14ac:dyDescent="0.25">
      <c r="A2327" t="s">
        <v>4884</v>
      </c>
      <c r="D2327" t="s">
        <v>10404</v>
      </c>
    </row>
    <row r="2328" spans="1:4" x14ac:dyDescent="0.25">
      <c r="A2328" t="s">
        <v>4885</v>
      </c>
      <c r="D2328" t="s">
        <v>10405</v>
      </c>
    </row>
    <row r="2329" spans="1:4" x14ac:dyDescent="0.25">
      <c r="A2329" t="s">
        <v>4886</v>
      </c>
      <c r="D2329" t="s">
        <v>10406</v>
      </c>
    </row>
    <row r="2330" spans="1:4" x14ac:dyDescent="0.25">
      <c r="A2330" t="s">
        <v>4887</v>
      </c>
      <c r="D2330" t="s">
        <v>10407</v>
      </c>
    </row>
    <row r="2331" spans="1:4" x14ac:dyDescent="0.25">
      <c r="A2331" t="s">
        <v>4888</v>
      </c>
      <c r="D2331" t="s">
        <v>10408</v>
      </c>
    </row>
    <row r="2332" spans="1:4" x14ac:dyDescent="0.25">
      <c r="A2332" t="s">
        <v>4889</v>
      </c>
      <c r="D2332" t="s">
        <v>10409</v>
      </c>
    </row>
    <row r="2333" spans="1:4" x14ac:dyDescent="0.25">
      <c r="A2333" t="s">
        <v>4890</v>
      </c>
      <c r="D2333" t="s">
        <v>10410</v>
      </c>
    </row>
    <row r="2334" spans="1:4" x14ac:dyDescent="0.25">
      <c r="A2334" t="s">
        <v>4891</v>
      </c>
      <c r="D2334" t="s">
        <v>10411</v>
      </c>
    </row>
    <row r="2335" spans="1:4" x14ac:dyDescent="0.25">
      <c r="A2335" t="s">
        <v>4892</v>
      </c>
      <c r="D2335" t="s">
        <v>10412</v>
      </c>
    </row>
    <row r="2336" spans="1:4" x14ac:dyDescent="0.25">
      <c r="A2336" t="s">
        <v>4893</v>
      </c>
      <c r="D2336" t="s">
        <v>10413</v>
      </c>
    </row>
    <row r="2337" spans="1:4" x14ac:dyDescent="0.25">
      <c r="A2337" t="s">
        <v>4894</v>
      </c>
      <c r="D2337" t="s">
        <v>10414</v>
      </c>
    </row>
    <row r="2338" spans="1:4" x14ac:dyDescent="0.25">
      <c r="A2338" t="s">
        <v>4895</v>
      </c>
      <c r="D2338" t="s">
        <v>10415</v>
      </c>
    </row>
    <row r="2339" spans="1:4" x14ac:dyDescent="0.25">
      <c r="A2339" t="s">
        <v>4896</v>
      </c>
      <c r="D2339" t="s">
        <v>10416</v>
      </c>
    </row>
    <row r="2340" spans="1:4" x14ac:dyDescent="0.25">
      <c r="A2340" t="s">
        <v>4897</v>
      </c>
      <c r="D2340" t="s">
        <v>10417</v>
      </c>
    </row>
    <row r="2341" spans="1:4" x14ac:dyDescent="0.25">
      <c r="A2341" t="s">
        <v>4898</v>
      </c>
      <c r="D2341" t="s">
        <v>10418</v>
      </c>
    </row>
    <row r="2342" spans="1:4" x14ac:dyDescent="0.25">
      <c r="A2342" t="s">
        <v>4899</v>
      </c>
      <c r="D2342" t="s">
        <v>10419</v>
      </c>
    </row>
    <row r="2343" spans="1:4" x14ac:dyDescent="0.25">
      <c r="A2343" t="s">
        <v>4900</v>
      </c>
      <c r="D2343" t="s">
        <v>10420</v>
      </c>
    </row>
    <row r="2344" spans="1:4" x14ac:dyDescent="0.25">
      <c r="A2344" t="s">
        <v>4901</v>
      </c>
      <c r="D2344" t="s">
        <v>10421</v>
      </c>
    </row>
    <row r="2345" spans="1:4" x14ac:dyDescent="0.25">
      <c r="A2345" t="s">
        <v>4902</v>
      </c>
      <c r="D2345" t="s">
        <v>10422</v>
      </c>
    </row>
    <row r="2346" spans="1:4" x14ac:dyDescent="0.25">
      <c r="A2346" t="s">
        <v>4903</v>
      </c>
      <c r="D2346" t="s">
        <v>10423</v>
      </c>
    </row>
    <row r="2347" spans="1:4" x14ac:dyDescent="0.25">
      <c r="A2347" t="s">
        <v>4904</v>
      </c>
      <c r="D2347" t="s">
        <v>10424</v>
      </c>
    </row>
    <row r="2348" spans="1:4" x14ac:dyDescent="0.25">
      <c r="A2348" t="s">
        <v>4905</v>
      </c>
      <c r="D2348" t="s">
        <v>10425</v>
      </c>
    </row>
    <row r="2349" spans="1:4" x14ac:dyDescent="0.25">
      <c r="A2349" t="s">
        <v>4906</v>
      </c>
      <c r="D2349" t="s">
        <v>10426</v>
      </c>
    </row>
    <row r="2350" spans="1:4" x14ac:dyDescent="0.25">
      <c r="A2350" t="s">
        <v>4907</v>
      </c>
      <c r="D2350" t="s">
        <v>10427</v>
      </c>
    </row>
    <row r="2351" spans="1:4" x14ac:dyDescent="0.25">
      <c r="A2351" t="s">
        <v>4908</v>
      </c>
      <c r="D2351" t="s">
        <v>10428</v>
      </c>
    </row>
    <row r="2352" spans="1:4" x14ac:dyDescent="0.25">
      <c r="A2352" t="s">
        <v>4909</v>
      </c>
      <c r="D2352" t="s">
        <v>10429</v>
      </c>
    </row>
    <row r="2353" spans="1:4" x14ac:dyDescent="0.25">
      <c r="A2353" t="s">
        <v>4910</v>
      </c>
      <c r="D2353" t="s">
        <v>10430</v>
      </c>
    </row>
    <row r="2354" spans="1:4" x14ac:dyDescent="0.25">
      <c r="A2354" t="s">
        <v>4911</v>
      </c>
      <c r="D2354" t="s">
        <v>10431</v>
      </c>
    </row>
    <row r="2355" spans="1:4" x14ac:dyDescent="0.25">
      <c r="A2355" t="s">
        <v>4912</v>
      </c>
      <c r="D2355" t="s">
        <v>10432</v>
      </c>
    </row>
    <row r="2356" spans="1:4" x14ac:dyDescent="0.25">
      <c r="A2356" t="s">
        <v>4913</v>
      </c>
      <c r="D2356" t="s">
        <v>10433</v>
      </c>
    </row>
    <row r="2357" spans="1:4" x14ac:dyDescent="0.25">
      <c r="A2357" t="s">
        <v>4914</v>
      </c>
      <c r="D2357" t="s">
        <v>10434</v>
      </c>
    </row>
    <row r="2358" spans="1:4" x14ac:dyDescent="0.25">
      <c r="A2358" t="s">
        <v>4915</v>
      </c>
      <c r="D2358" t="s">
        <v>10435</v>
      </c>
    </row>
    <row r="2359" spans="1:4" x14ac:dyDescent="0.25">
      <c r="A2359" t="s">
        <v>4916</v>
      </c>
      <c r="D2359" t="s">
        <v>10436</v>
      </c>
    </row>
    <row r="2360" spans="1:4" x14ac:dyDescent="0.25">
      <c r="A2360" t="s">
        <v>4917</v>
      </c>
      <c r="D2360" t="s">
        <v>10437</v>
      </c>
    </row>
    <row r="2361" spans="1:4" x14ac:dyDescent="0.25">
      <c r="A2361" t="s">
        <v>4918</v>
      </c>
      <c r="D2361" t="s">
        <v>10438</v>
      </c>
    </row>
    <row r="2362" spans="1:4" x14ac:dyDescent="0.25">
      <c r="A2362" t="s">
        <v>4919</v>
      </c>
      <c r="D2362" t="s">
        <v>10439</v>
      </c>
    </row>
    <row r="2363" spans="1:4" x14ac:dyDescent="0.25">
      <c r="A2363" t="s">
        <v>4920</v>
      </c>
      <c r="D2363" t="s">
        <v>10440</v>
      </c>
    </row>
    <row r="2364" spans="1:4" x14ac:dyDescent="0.25">
      <c r="A2364" t="s">
        <v>4921</v>
      </c>
      <c r="D2364" t="s">
        <v>10441</v>
      </c>
    </row>
    <row r="2365" spans="1:4" x14ac:dyDescent="0.25">
      <c r="A2365" t="s">
        <v>4922</v>
      </c>
      <c r="D2365" t="s">
        <v>10442</v>
      </c>
    </row>
    <row r="2366" spans="1:4" x14ac:dyDescent="0.25">
      <c r="A2366" t="s">
        <v>4923</v>
      </c>
      <c r="D2366" t="s">
        <v>10443</v>
      </c>
    </row>
    <row r="2367" spans="1:4" x14ac:dyDescent="0.25">
      <c r="A2367" t="s">
        <v>4924</v>
      </c>
      <c r="D2367" t="s">
        <v>10444</v>
      </c>
    </row>
    <row r="2368" spans="1:4" x14ac:dyDescent="0.25">
      <c r="A2368" t="s">
        <v>4925</v>
      </c>
      <c r="D2368" t="s">
        <v>10445</v>
      </c>
    </row>
    <row r="2369" spans="1:4" x14ac:dyDescent="0.25">
      <c r="A2369" t="s">
        <v>4926</v>
      </c>
      <c r="D2369" t="s">
        <v>10446</v>
      </c>
    </row>
    <row r="2370" spans="1:4" x14ac:dyDescent="0.25">
      <c r="A2370" t="s">
        <v>4927</v>
      </c>
      <c r="D2370" t="s">
        <v>10447</v>
      </c>
    </row>
    <row r="2371" spans="1:4" x14ac:dyDescent="0.25">
      <c r="A2371" t="s">
        <v>4928</v>
      </c>
      <c r="D2371" t="s">
        <v>10448</v>
      </c>
    </row>
    <row r="2372" spans="1:4" x14ac:dyDescent="0.25">
      <c r="A2372" t="s">
        <v>4929</v>
      </c>
      <c r="D2372" t="s">
        <v>10449</v>
      </c>
    </row>
    <row r="2373" spans="1:4" x14ac:dyDescent="0.25">
      <c r="A2373" t="s">
        <v>4930</v>
      </c>
      <c r="D2373" t="s">
        <v>10450</v>
      </c>
    </row>
    <row r="2374" spans="1:4" x14ac:dyDescent="0.25">
      <c r="A2374" t="s">
        <v>4931</v>
      </c>
      <c r="D2374" t="s">
        <v>10451</v>
      </c>
    </row>
    <row r="2375" spans="1:4" x14ac:dyDescent="0.25">
      <c r="A2375" t="s">
        <v>4932</v>
      </c>
      <c r="D2375" t="s">
        <v>10452</v>
      </c>
    </row>
    <row r="2376" spans="1:4" x14ac:dyDescent="0.25">
      <c r="A2376" t="s">
        <v>4933</v>
      </c>
      <c r="D2376" t="s">
        <v>10453</v>
      </c>
    </row>
    <row r="2377" spans="1:4" x14ac:dyDescent="0.25">
      <c r="A2377" t="s">
        <v>4934</v>
      </c>
      <c r="D2377" t="s">
        <v>10454</v>
      </c>
    </row>
    <row r="2378" spans="1:4" x14ac:dyDescent="0.25">
      <c r="A2378" t="s">
        <v>4935</v>
      </c>
      <c r="D2378" t="s">
        <v>10455</v>
      </c>
    </row>
    <row r="2379" spans="1:4" x14ac:dyDescent="0.25">
      <c r="A2379" t="s">
        <v>4936</v>
      </c>
      <c r="D2379" t="s">
        <v>10456</v>
      </c>
    </row>
    <row r="2380" spans="1:4" x14ac:dyDescent="0.25">
      <c r="A2380" t="s">
        <v>4937</v>
      </c>
      <c r="D2380" t="s">
        <v>10457</v>
      </c>
    </row>
    <row r="2381" spans="1:4" x14ac:dyDescent="0.25">
      <c r="A2381" t="s">
        <v>4938</v>
      </c>
      <c r="D2381" t="s">
        <v>10458</v>
      </c>
    </row>
    <row r="2382" spans="1:4" x14ac:dyDescent="0.25">
      <c r="A2382" t="s">
        <v>4939</v>
      </c>
      <c r="D2382" t="s">
        <v>10459</v>
      </c>
    </row>
    <row r="2383" spans="1:4" x14ac:dyDescent="0.25">
      <c r="A2383" t="s">
        <v>4940</v>
      </c>
      <c r="D2383" t="s">
        <v>10460</v>
      </c>
    </row>
    <row r="2384" spans="1:4" x14ac:dyDescent="0.25">
      <c r="A2384" t="s">
        <v>4941</v>
      </c>
      <c r="D2384" t="s">
        <v>10461</v>
      </c>
    </row>
    <row r="2385" spans="1:4" x14ac:dyDescent="0.25">
      <c r="A2385" t="s">
        <v>4942</v>
      </c>
      <c r="D2385" t="s">
        <v>10462</v>
      </c>
    </row>
    <row r="2386" spans="1:4" x14ac:dyDescent="0.25">
      <c r="A2386" t="s">
        <v>4943</v>
      </c>
      <c r="D2386" t="s">
        <v>10463</v>
      </c>
    </row>
    <row r="2387" spans="1:4" x14ac:dyDescent="0.25">
      <c r="A2387" t="s">
        <v>4944</v>
      </c>
      <c r="D2387" t="s">
        <v>10464</v>
      </c>
    </row>
    <row r="2388" spans="1:4" x14ac:dyDescent="0.25">
      <c r="A2388" t="s">
        <v>4945</v>
      </c>
      <c r="D2388" t="s">
        <v>10465</v>
      </c>
    </row>
    <row r="2389" spans="1:4" x14ac:dyDescent="0.25">
      <c r="A2389" t="s">
        <v>4946</v>
      </c>
      <c r="D2389" t="s">
        <v>10466</v>
      </c>
    </row>
    <row r="2390" spans="1:4" x14ac:dyDescent="0.25">
      <c r="A2390" t="s">
        <v>4947</v>
      </c>
      <c r="D2390" t="s">
        <v>10467</v>
      </c>
    </row>
    <row r="2391" spans="1:4" x14ac:dyDescent="0.25">
      <c r="A2391" t="s">
        <v>4948</v>
      </c>
      <c r="D2391" t="s">
        <v>10468</v>
      </c>
    </row>
    <row r="2392" spans="1:4" x14ac:dyDescent="0.25">
      <c r="A2392" t="s">
        <v>4949</v>
      </c>
      <c r="D2392" t="s">
        <v>10469</v>
      </c>
    </row>
    <row r="2393" spans="1:4" x14ac:dyDescent="0.25">
      <c r="A2393" t="s">
        <v>4950</v>
      </c>
      <c r="D2393" t="s">
        <v>10470</v>
      </c>
    </row>
    <row r="2394" spans="1:4" x14ac:dyDescent="0.25">
      <c r="A2394" t="s">
        <v>4951</v>
      </c>
      <c r="D2394" t="s">
        <v>10471</v>
      </c>
    </row>
    <row r="2395" spans="1:4" x14ac:dyDescent="0.25">
      <c r="A2395" t="s">
        <v>4952</v>
      </c>
      <c r="D2395" t="s">
        <v>10472</v>
      </c>
    </row>
    <row r="2396" spans="1:4" x14ac:dyDescent="0.25">
      <c r="A2396" t="s">
        <v>4953</v>
      </c>
      <c r="D2396" t="s">
        <v>10473</v>
      </c>
    </row>
    <row r="2397" spans="1:4" x14ac:dyDescent="0.25">
      <c r="A2397" t="s">
        <v>4954</v>
      </c>
      <c r="D2397" t="s">
        <v>10474</v>
      </c>
    </row>
    <row r="2398" spans="1:4" x14ac:dyDescent="0.25">
      <c r="A2398" t="s">
        <v>4955</v>
      </c>
      <c r="D2398" t="s">
        <v>10475</v>
      </c>
    </row>
    <row r="2399" spans="1:4" x14ac:dyDescent="0.25">
      <c r="A2399" t="s">
        <v>4956</v>
      </c>
      <c r="D2399" t="s">
        <v>10476</v>
      </c>
    </row>
    <row r="2400" spans="1:4" x14ac:dyDescent="0.25">
      <c r="A2400" t="s">
        <v>4957</v>
      </c>
      <c r="D2400" t="s">
        <v>10477</v>
      </c>
    </row>
    <row r="2401" spans="1:4" x14ac:dyDescent="0.25">
      <c r="A2401" t="s">
        <v>4958</v>
      </c>
      <c r="D2401" t="s">
        <v>10478</v>
      </c>
    </row>
    <row r="2402" spans="1:4" x14ac:dyDescent="0.25">
      <c r="A2402" t="s">
        <v>4959</v>
      </c>
      <c r="D2402" t="s">
        <v>10479</v>
      </c>
    </row>
    <row r="2403" spans="1:4" x14ac:dyDescent="0.25">
      <c r="A2403" t="s">
        <v>4960</v>
      </c>
      <c r="D2403" t="s">
        <v>10480</v>
      </c>
    </row>
    <row r="2404" spans="1:4" x14ac:dyDescent="0.25">
      <c r="A2404" t="s">
        <v>4961</v>
      </c>
      <c r="D2404" t="s">
        <v>10481</v>
      </c>
    </row>
    <row r="2405" spans="1:4" x14ac:dyDescent="0.25">
      <c r="A2405" t="s">
        <v>4962</v>
      </c>
      <c r="D2405" t="s">
        <v>10482</v>
      </c>
    </row>
    <row r="2406" spans="1:4" x14ac:dyDescent="0.25">
      <c r="A2406" t="s">
        <v>4963</v>
      </c>
      <c r="D2406" t="s">
        <v>10483</v>
      </c>
    </row>
    <row r="2407" spans="1:4" x14ac:dyDescent="0.25">
      <c r="A2407" t="s">
        <v>4964</v>
      </c>
      <c r="D2407" t="s">
        <v>10484</v>
      </c>
    </row>
    <row r="2408" spans="1:4" x14ac:dyDescent="0.25">
      <c r="A2408" t="s">
        <v>4965</v>
      </c>
      <c r="D2408" t="s">
        <v>10485</v>
      </c>
    </row>
    <row r="2409" spans="1:4" x14ac:dyDescent="0.25">
      <c r="A2409" t="s">
        <v>4966</v>
      </c>
      <c r="D2409" t="s">
        <v>10486</v>
      </c>
    </row>
    <row r="2410" spans="1:4" x14ac:dyDescent="0.25">
      <c r="A2410" t="s">
        <v>4967</v>
      </c>
      <c r="D2410" t="s">
        <v>10487</v>
      </c>
    </row>
    <row r="2411" spans="1:4" x14ac:dyDescent="0.25">
      <c r="A2411" t="s">
        <v>4968</v>
      </c>
      <c r="D2411" t="s">
        <v>10488</v>
      </c>
    </row>
    <row r="2412" spans="1:4" x14ac:dyDescent="0.25">
      <c r="A2412" t="s">
        <v>4969</v>
      </c>
      <c r="D2412" t="s">
        <v>10489</v>
      </c>
    </row>
    <row r="2413" spans="1:4" x14ac:dyDescent="0.25">
      <c r="A2413" t="s">
        <v>4970</v>
      </c>
      <c r="D2413" t="s">
        <v>10490</v>
      </c>
    </row>
    <row r="2414" spans="1:4" x14ac:dyDescent="0.25">
      <c r="A2414" t="s">
        <v>4971</v>
      </c>
      <c r="D2414" t="s">
        <v>10491</v>
      </c>
    </row>
    <row r="2415" spans="1:4" x14ac:dyDescent="0.25">
      <c r="A2415" t="s">
        <v>4972</v>
      </c>
      <c r="D2415" t="s">
        <v>10492</v>
      </c>
    </row>
    <row r="2416" spans="1:4" x14ac:dyDescent="0.25">
      <c r="A2416" t="s">
        <v>4973</v>
      </c>
      <c r="D2416" t="s">
        <v>10493</v>
      </c>
    </row>
    <row r="2417" spans="1:4" x14ac:dyDescent="0.25">
      <c r="A2417" t="s">
        <v>4974</v>
      </c>
      <c r="D2417" t="s">
        <v>10494</v>
      </c>
    </row>
    <row r="2418" spans="1:4" x14ac:dyDescent="0.25">
      <c r="A2418" t="s">
        <v>4975</v>
      </c>
      <c r="D2418" t="s">
        <v>10495</v>
      </c>
    </row>
    <row r="2419" spans="1:4" x14ac:dyDescent="0.25">
      <c r="A2419" t="s">
        <v>4976</v>
      </c>
      <c r="D2419" t="s">
        <v>10496</v>
      </c>
    </row>
    <row r="2420" spans="1:4" x14ac:dyDescent="0.25">
      <c r="A2420" t="s">
        <v>4977</v>
      </c>
      <c r="D2420" t="s">
        <v>10497</v>
      </c>
    </row>
    <row r="2421" spans="1:4" x14ac:dyDescent="0.25">
      <c r="A2421" t="s">
        <v>4978</v>
      </c>
      <c r="D2421" t="s">
        <v>10498</v>
      </c>
    </row>
    <row r="2422" spans="1:4" x14ac:dyDescent="0.25">
      <c r="A2422" t="s">
        <v>4979</v>
      </c>
      <c r="D2422" t="s">
        <v>10499</v>
      </c>
    </row>
    <row r="2423" spans="1:4" x14ac:dyDescent="0.25">
      <c r="A2423" t="s">
        <v>4980</v>
      </c>
      <c r="D2423" t="s">
        <v>10500</v>
      </c>
    </row>
    <row r="2424" spans="1:4" x14ac:dyDescent="0.25">
      <c r="A2424" t="s">
        <v>4981</v>
      </c>
      <c r="D2424" t="s">
        <v>10501</v>
      </c>
    </row>
    <row r="2425" spans="1:4" x14ac:dyDescent="0.25">
      <c r="A2425" t="s">
        <v>4982</v>
      </c>
      <c r="D2425" t="s">
        <v>10502</v>
      </c>
    </row>
    <row r="2426" spans="1:4" x14ac:dyDescent="0.25">
      <c r="A2426" t="s">
        <v>4983</v>
      </c>
      <c r="D2426" t="s">
        <v>10503</v>
      </c>
    </row>
    <row r="2427" spans="1:4" x14ac:dyDescent="0.25">
      <c r="A2427" t="s">
        <v>4984</v>
      </c>
      <c r="D2427" t="s">
        <v>10504</v>
      </c>
    </row>
    <row r="2428" spans="1:4" x14ac:dyDescent="0.25">
      <c r="A2428" t="s">
        <v>4985</v>
      </c>
      <c r="D2428" t="s">
        <v>10505</v>
      </c>
    </row>
    <row r="2429" spans="1:4" x14ac:dyDescent="0.25">
      <c r="A2429" t="s">
        <v>4986</v>
      </c>
      <c r="D2429" t="s">
        <v>10506</v>
      </c>
    </row>
    <row r="2430" spans="1:4" x14ac:dyDescent="0.25">
      <c r="A2430" t="s">
        <v>4987</v>
      </c>
      <c r="D2430" t="s">
        <v>10507</v>
      </c>
    </row>
    <row r="2431" spans="1:4" x14ac:dyDescent="0.25">
      <c r="A2431" t="s">
        <v>4988</v>
      </c>
      <c r="D2431" t="s">
        <v>10508</v>
      </c>
    </row>
    <row r="2432" spans="1:4" x14ac:dyDescent="0.25">
      <c r="A2432" t="s">
        <v>4989</v>
      </c>
      <c r="D2432" t="s">
        <v>10509</v>
      </c>
    </row>
    <row r="2433" spans="1:4" x14ac:dyDescent="0.25">
      <c r="A2433" t="s">
        <v>4990</v>
      </c>
      <c r="D2433" t="s">
        <v>10510</v>
      </c>
    </row>
    <row r="2434" spans="1:4" x14ac:dyDescent="0.25">
      <c r="A2434" t="s">
        <v>4991</v>
      </c>
      <c r="D2434" t="s">
        <v>10511</v>
      </c>
    </row>
    <row r="2435" spans="1:4" x14ac:dyDescent="0.25">
      <c r="A2435" t="s">
        <v>4992</v>
      </c>
      <c r="D2435" t="s">
        <v>10512</v>
      </c>
    </row>
    <row r="2436" spans="1:4" x14ac:dyDescent="0.25">
      <c r="A2436" t="s">
        <v>4993</v>
      </c>
      <c r="D2436" t="s">
        <v>10513</v>
      </c>
    </row>
    <row r="2437" spans="1:4" x14ac:dyDescent="0.25">
      <c r="A2437" t="s">
        <v>4994</v>
      </c>
      <c r="D2437" t="s">
        <v>10514</v>
      </c>
    </row>
    <row r="2438" spans="1:4" x14ac:dyDescent="0.25">
      <c r="A2438" t="s">
        <v>4995</v>
      </c>
      <c r="D2438" t="s">
        <v>10515</v>
      </c>
    </row>
    <row r="2439" spans="1:4" x14ac:dyDescent="0.25">
      <c r="A2439" t="s">
        <v>4996</v>
      </c>
      <c r="D2439" t="s">
        <v>10516</v>
      </c>
    </row>
    <row r="2440" spans="1:4" x14ac:dyDescent="0.25">
      <c r="A2440" t="s">
        <v>4997</v>
      </c>
      <c r="D2440" t="s">
        <v>10517</v>
      </c>
    </row>
    <row r="2441" spans="1:4" x14ac:dyDescent="0.25">
      <c r="A2441" t="s">
        <v>4998</v>
      </c>
      <c r="D2441" t="s">
        <v>10518</v>
      </c>
    </row>
    <row r="2442" spans="1:4" x14ac:dyDescent="0.25">
      <c r="A2442" t="s">
        <v>4999</v>
      </c>
      <c r="D2442" t="s">
        <v>10519</v>
      </c>
    </row>
    <row r="2443" spans="1:4" x14ac:dyDescent="0.25">
      <c r="A2443" t="s">
        <v>5000</v>
      </c>
      <c r="D2443" t="s">
        <v>10520</v>
      </c>
    </row>
    <row r="2444" spans="1:4" x14ac:dyDescent="0.25">
      <c r="A2444" t="s">
        <v>5001</v>
      </c>
      <c r="D2444" t="s">
        <v>10521</v>
      </c>
    </row>
    <row r="2445" spans="1:4" x14ac:dyDescent="0.25">
      <c r="A2445" t="s">
        <v>5002</v>
      </c>
      <c r="D2445" t="s">
        <v>10522</v>
      </c>
    </row>
    <row r="2446" spans="1:4" x14ac:dyDescent="0.25">
      <c r="A2446" t="s">
        <v>5003</v>
      </c>
      <c r="D2446" t="s">
        <v>10523</v>
      </c>
    </row>
    <row r="2447" spans="1:4" x14ac:dyDescent="0.25">
      <c r="A2447" t="s">
        <v>5004</v>
      </c>
      <c r="D2447" t="s">
        <v>10524</v>
      </c>
    </row>
    <row r="2448" spans="1:4" x14ac:dyDescent="0.25">
      <c r="A2448" t="s">
        <v>5005</v>
      </c>
      <c r="D2448" t="s">
        <v>10525</v>
      </c>
    </row>
    <row r="2449" spans="1:4" x14ac:dyDescent="0.25">
      <c r="A2449" t="s">
        <v>5006</v>
      </c>
      <c r="D2449" t="s">
        <v>10526</v>
      </c>
    </row>
    <row r="2450" spans="1:4" x14ac:dyDescent="0.25">
      <c r="A2450" t="s">
        <v>5007</v>
      </c>
      <c r="D2450" t="s">
        <v>10527</v>
      </c>
    </row>
    <row r="2451" spans="1:4" x14ac:dyDescent="0.25">
      <c r="A2451" t="s">
        <v>5008</v>
      </c>
      <c r="D2451" t="s">
        <v>10528</v>
      </c>
    </row>
    <row r="2452" spans="1:4" x14ac:dyDescent="0.25">
      <c r="A2452" t="s">
        <v>5009</v>
      </c>
      <c r="D2452" t="s">
        <v>10529</v>
      </c>
    </row>
    <row r="2453" spans="1:4" x14ac:dyDescent="0.25">
      <c r="A2453" t="s">
        <v>5010</v>
      </c>
      <c r="D2453" t="s">
        <v>10530</v>
      </c>
    </row>
    <row r="2454" spans="1:4" x14ac:dyDescent="0.25">
      <c r="A2454" t="s">
        <v>5011</v>
      </c>
      <c r="D2454" t="s">
        <v>10531</v>
      </c>
    </row>
    <row r="2455" spans="1:4" x14ac:dyDescent="0.25">
      <c r="A2455" t="s">
        <v>5012</v>
      </c>
      <c r="D2455" t="s">
        <v>10532</v>
      </c>
    </row>
    <row r="2456" spans="1:4" x14ac:dyDescent="0.25">
      <c r="A2456" t="s">
        <v>5013</v>
      </c>
      <c r="D2456" t="s">
        <v>10533</v>
      </c>
    </row>
    <row r="2457" spans="1:4" x14ac:dyDescent="0.25">
      <c r="A2457" t="s">
        <v>5014</v>
      </c>
      <c r="D2457" t="s">
        <v>10534</v>
      </c>
    </row>
    <row r="2458" spans="1:4" x14ac:dyDescent="0.25">
      <c r="A2458" t="s">
        <v>5015</v>
      </c>
      <c r="D2458" t="s">
        <v>10535</v>
      </c>
    </row>
    <row r="2459" spans="1:4" x14ac:dyDescent="0.25">
      <c r="A2459" t="s">
        <v>5016</v>
      </c>
      <c r="D2459" t="s">
        <v>10536</v>
      </c>
    </row>
    <row r="2460" spans="1:4" x14ac:dyDescent="0.25">
      <c r="A2460" t="s">
        <v>5017</v>
      </c>
      <c r="D2460" t="s">
        <v>10537</v>
      </c>
    </row>
    <row r="2461" spans="1:4" x14ac:dyDescent="0.25">
      <c r="A2461" t="s">
        <v>5018</v>
      </c>
      <c r="D2461" t="s">
        <v>10538</v>
      </c>
    </row>
    <row r="2462" spans="1:4" x14ac:dyDescent="0.25">
      <c r="A2462" t="s">
        <v>5019</v>
      </c>
      <c r="D2462" t="s">
        <v>10539</v>
      </c>
    </row>
    <row r="2463" spans="1:4" x14ac:dyDescent="0.25">
      <c r="A2463" t="s">
        <v>5020</v>
      </c>
      <c r="D2463" t="s">
        <v>10540</v>
      </c>
    </row>
    <row r="2464" spans="1:4" x14ac:dyDescent="0.25">
      <c r="A2464" t="s">
        <v>5021</v>
      </c>
      <c r="D2464" t="s">
        <v>10541</v>
      </c>
    </row>
    <row r="2465" spans="1:4" x14ac:dyDescent="0.25">
      <c r="A2465" t="s">
        <v>5022</v>
      </c>
      <c r="D2465" t="s">
        <v>10542</v>
      </c>
    </row>
    <row r="2466" spans="1:4" x14ac:dyDescent="0.25">
      <c r="A2466" t="s">
        <v>5023</v>
      </c>
      <c r="D2466" t="s">
        <v>10543</v>
      </c>
    </row>
    <row r="2467" spans="1:4" x14ac:dyDescent="0.25">
      <c r="A2467" t="s">
        <v>5024</v>
      </c>
      <c r="D2467" t="s">
        <v>10544</v>
      </c>
    </row>
    <row r="2468" spans="1:4" x14ac:dyDescent="0.25">
      <c r="A2468" t="s">
        <v>5025</v>
      </c>
      <c r="D2468" t="s">
        <v>10545</v>
      </c>
    </row>
    <row r="2469" spans="1:4" x14ac:dyDescent="0.25">
      <c r="A2469" t="s">
        <v>5026</v>
      </c>
      <c r="D2469" t="s">
        <v>10546</v>
      </c>
    </row>
    <row r="2470" spans="1:4" x14ac:dyDescent="0.25">
      <c r="A2470" t="s">
        <v>5027</v>
      </c>
      <c r="D2470" t="s">
        <v>10547</v>
      </c>
    </row>
    <row r="2471" spans="1:4" x14ac:dyDescent="0.25">
      <c r="A2471" t="s">
        <v>5028</v>
      </c>
      <c r="D2471" t="s">
        <v>10548</v>
      </c>
    </row>
    <row r="2472" spans="1:4" x14ac:dyDescent="0.25">
      <c r="A2472" t="s">
        <v>5029</v>
      </c>
      <c r="D2472" t="s">
        <v>10549</v>
      </c>
    </row>
    <row r="2473" spans="1:4" x14ac:dyDescent="0.25">
      <c r="A2473" t="s">
        <v>5030</v>
      </c>
      <c r="D2473" t="s">
        <v>10550</v>
      </c>
    </row>
    <row r="2474" spans="1:4" x14ac:dyDescent="0.25">
      <c r="A2474" t="s">
        <v>5031</v>
      </c>
      <c r="D2474" t="s">
        <v>10551</v>
      </c>
    </row>
    <row r="2475" spans="1:4" x14ac:dyDescent="0.25">
      <c r="A2475" t="s">
        <v>5032</v>
      </c>
      <c r="D2475" t="s">
        <v>10552</v>
      </c>
    </row>
    <row r="2476" spans="1:4" x14ac:dyDescent="0.25">
      <c r="A2476" t="s">
        <v>5033</v>
      </c>
      <c r="D2476" t="s">
        <v>10553</v>
      </c>
    </row>
    <row r="2477" spans="1:4" x14ac:dyDescent="0.25">
      <c r="A2477" t="s">
        <v>5034</v>
      </c>
      <c r="D2477" t="s">
        <v>10554</v>
      </c>
    </row>
    <row r="2478" spans="1:4" x14ac:dyDescent="0.25">
      <c r="A2478" t="s">
        <v>5035</v>
      </c>
      <c r="D2478" t="s">
        <v>10555</v>
      </c>
    </row>
    <row r="2479" spans="1:4" x14ac:dyDescent="0.25">
      <c r="A2479" t="s">
        <v>5036</v>
      </c>
      <c r="D2479" t="s">
        <v>10556</v>
      </c>
    </row>
    <row r="2480" spans="1:4" x14ac:dyDescent="0.25">
      <c r="A2480" t="s">
        <v>5037</v>
      </c>
      <c r="D2480" t="s">
        <v>10557</v>
      </c>
    </row>
    <row r="2481" spans="1:4" x14ac:dyDescent="0.25">
      <c r="A2481" t="s">
        <v>5038</v>
      </c>
      <c r="D2481" t="s">
        <v>10558</v>
      </c>
    </row>
    <row r="2482" spans="1:4" x14ac:dyDescent="0.25">
      <c r="A2482" t="s">
        <v>5039</v>
      </c>
      <c r="D2482" t="s">
        <v>10559</v>
      </c>
    </row>
    <row r="2483" spans="1:4" x14ac:dyDescent="0.25">
      <c r="A2483" t="s">
        <v>5040</v>
      </c>
      <c r="D2483" t="s">
        <v>10560</v>
      </c>
    </row>
    <row r="2484" spans="1:4" x14ac:dyDescent="0.25">
      <c r="A2484" t="s">
        <v>5041</v>
      </c>
      <c r="D2484" t="s">
        <v>10561</v>
      </c>
    </row>
    <row r="2485" spans="1:4" x14ac:dyDescent="0.25">
      <c r="A2485" t="s">
        <v>5042</v>
      </c>
      <c r="D2485" t="s">
        <v>10562</v>
      </c>
    </row>
    <row r="2486" spans="1:4" x14ac:dyDescent="0.25">
      <c r="A2486" t="s">
        <v>5043</v>
      </c>
      <c r="D2486" t="s">
        <v>10563</v>
      </c>
    </row>
    <row r="2487" spans="1:4" x14ac:dyDescent="0.25">
      <c r="A2487" t="s">
        <v>5044</v>
      </c>
      <c r="D2487" t="s">
        <v>10564</v>
      </c>
    </row>
    <row r="2488" spans="1:4" x14ac:dyDescent="0.25">
      <c r="A2488" t="s">
        <v>5045</v>
      </c>
      <c r="D2488" t="s">
        <v>10565</v>
      </c>
    </row>
    <row r="2489" spans="1:4" x14ac:dyDescent="0.25">
      <c r="A2489" t="s">
        <v>5046</v>
      </c>
      <c r="D2489" t="s">
        <v>10566</v>
      </c>
    </row>
    <row r="2490" spans="1:4" x14ac:dyDescent="0.25">
      <c r="A2490" t="s">
        <v>5047</v>
      </c>
      <c r="D2490" t="s">
        <v>10567</v>
      </c>
    </row>
    <row r="2491" spans="1:4" x14ac:dyDescent="0.25">
      <c r="A2491" t="s">
        <v>5048</v>
      </c>
      <c r="D2491" t="s">
        <v>10568</v>
      </c>
    </row>
    <row r="2492" spans="1:4" x14ac:dyDescent="0.25">
      <c r="A2492" t="s">
        <v>5049</v>
      </c>
      <c r="D2492" t="s">
        <v>10569</v>
      </c>
    </row>
    <row r="2493" spans="1:4" x14ac:dyDescent="0.25">
      <c r="A2493" t="s">
        <v>5050</v>
      </c>
      <c r="D2493" t="s">
        <v>10570</v>
      </c>
    </row>
    <row r="2494" spans="1:4" x14ac:dyDescent="0.25">
      <c r="A2494" t="s">
        <v>5051</v>
      </c>
      <c r="D2494" t="s">
        <v>10571</v>
      </c>
    </row>
    <row r="2495" spans="1:4" x14ac:dyDescent="0.25">
      <c r="A2495" t="s">
        <v>5052</v>
      </c>
      <c r="D2495" t="s">
        <v>10572</v>
      </c>
    </row>
    <row r="2496" spans="1:4" x14ac:dyDescent="0.25">
      <c r="A2496" t="s">
        <v>5053</v>
      </c>
      <c r="D2496" t="s">
        <v>10573</v>
      </c>
    </row>
    <row r="2497" spans="1:4" x14ac:dyDescent="0.25">
      <c r="A2497" t="s">
        <v>5054</v>
      </c>
      <c r="D2497" t="s">
        <v>10574</v>
      </c>
    </row>
    <row r="2498" spans="1:4" x14ac:dyDescent="0.25">
      <c r="A2498" t="s">
        <v>5055</v>
      </c>
      <c r="D2498" t="s">
        <v>10575</v>
      </c>
    </row>
    <row r="2499" spans="1:4" x14ac:dyDescent="0.25">
      <c r="A2499" t="s">
        <v>5056</v>
      </c>
      <c r="D2499" t="s">
        <v>10576</v>
      </c>
    </row>
    <row r="2500" spans="1:4" x14ac:dyDescent="0.25">
      <c r="A2500" t="s">
        <v>5057</v>
      </c>
      <c r="D2500" t="s">
        <v>10577</v>
      </c>
    </row>
    <row r="2501" spans="1:4" x14ac:dyDescent="0.25">
      <c r="A2501" t="s">
        <v>5058</v>
      </c>
      <c r="D2501" t="s">
        <v>10578</v>
      </c>
    </row>
    <row r="2502" spans="1:4" x14ac:dyDescent="0.25">
      <c r="A2502" t="s">
        <v>5059</v>
      </c>
      <c r="D2502" t="s">
        <v>10579</v>
      </c>
    </row>
    <row r="2503" spans="1:4" x14ac:dyDescent="0.25">
      <c r="A2503" t="s">
        <v>5060</v>
      </c>
      <c r="D2503" t="s">
        <v>10580</v>
      </c>
    </row>
    <row r="2504" spans="1:4" x14ac:dyDescent="0.25">
      <c r="A2504" t="s">
        <v>5061</v>
      </c>
      <c r="D2504" t="s">
        <v>10581</v>
      </c>
    </row>
    <row r="2505" spans="1:4" x14ac:dyDescent="0.25">
      <c r="A2505" t="s">
        <v>5062</v>
      </c>
      <c r="D2505" t="s">
        <v>10582</v>
      </c>
    </row>
    <row r="2506" spans="1:4" x14ac:dyDescent="0.25">
      <c r="A2506" t="s">
        <v>5063</v>
      </c>
      <c r="D2506" t="s">
        <v>10583</v>
      </c>
    </row>
    <row r="2507" spans="1:4" x14ac:dyDescent="0.25">
      <c r="A2507" t="s">
        <v>5064</v>
      </c>
      <c r="D2507" t="s">
        <v>10584</v>
      </c>
    </row>
    <row r="2508" spans="1:4" x14ac:dyDescent="0.25">
      <c r="A2508" t="s">
        <v>5065</v>
      </c>
      <c r="D2508" t="s">
        <v>10585</v>
      </c>
    </row>
    <row r="2509" spans="1:4" x14ac:dyDescent="0.25">
      <c r="A2509" t="s">
        <v>5066</v>
      </c>
      <c r="D2509" t="s">
        <v>10586</v>
      </c>
    </row>
    <row r="2510" spans="1:4" x14ac:dyDescent="0.25">
      <c r="A2510" t="s">
        <v>5067</v>
      </c>
      <c r="D2510" t="s">
        <v>10587</v>
      </c>
    </row>
    <row r="2511" spans="1:4" x14ac:dyDescent="0.25">
      <c r="A2511" t="s">
        <v>5068</v>
      </c>
      <c r="D2511" t="s">
        <v>10588</v>
      </c>
    </row>
    <row r="2512" spans="1:4" x14ac:dyDescent="0.25">
      <c r="A2512" t="s">
        <v>5069</v>
      </c>
      <c r="D2512" t="s">
        <v>10589</v>
      </c>
    </row>
    <row r="2513" spans="1:4" x14ac:dyDescent="0.25">
      <c r="A2513" t="s">
        <v>5070</v>
      </c>
      <c r="D2513" t="s">
        <v>10590</v>
      </c>
    </row>
    <row r="2514" spans="1:4" x14ac:dyDescent="0.25">
      <c r="A2514" t="s">
        <v>5071</v>
      </c>
      <c r="D2514" t="s">
        <v>10591</v>
      </c>
    </row>
    <row r="2515" spans="1:4" x14ac:dyDescent="0.25">
      <c r="A2515" t="s">
        <v>5072</v>
      </c>
      <c r="D2515" t="s">
        <v>10592</v>
      </c>
    </row>
    <row r="2516" spans="1:4" x14ac:dyDescent="0.25">
      <c r="A2516" t="s">
        <v>5073</v>
      </c>
      <c r="D2516" t="s">
        <v>10593</v>
      </c>
    </row>
    <row r="2517" spans="1:4" x14ac:dyDescent="0.25">
      <c r="A2517" t="s">
        <v>5074</v>
      </c>
      <c r="D2517" t="s">
        <v>10594</v>
      </c>
    </row>
    <row r="2518" spans="1:4" x14ac:dyDescent="0.25">
      <c r="A2518" t="s">
        <v>5075</v>
      </c>
      <c r="D2518" t="s">
        <v>10595</v>
      </c>
    </row>
    <row r="2519" spans="1:4" x14ac:dyDescent="0.25">
      <c r="A2519" t="s">
        <v>5076</v>
      </c>
      <c r="D2519" t="s">
        <v>10596</v>
      </c>
    </row>
    <row r="2520" spans="1:4" x14ac:dyDescent="0.25">
      <c r="A2520" t="s">
        <v>5077</v>
      </c>
      <c r="D2520" t="s">
        <v>10597</v>
      </c>
    </row>
    <row r="2521" spans="1:4" x14ac:dyDescent="0.25">
      <c r="A2521" t="s">
        <v>5078</v>
      </c>
      <c r="D2521" t="s">
        <v>10598</v>
      </c>
    </row>
    <row r="2522" spans="1:4" x14ac:dyDescent="0.25">
      <c r="A2522" t="s">
        <v>5079</v>
      </c>
      <c r="D2522" t="s">
        <v>10599</v>
      </c>
    </row>
    <row r="2523" spans="1:4" x14ac:dyDescent="0.25">
      <c r="A2523" t="s">
        <v>5080</v>
      </c>
      <c r="D2523" t="s">
        <v>10600</v>
      </c>
    </row>
    <row r="2524" spans="1:4" x14ac:dyDescent="0.25">
      <c r="A2524" t="s">
        <v>5081</v>
      </c>
      <c r="D2524" t="s">
        <v>10601</v>
      </c>
    </row>
    <row r="2525" spans="1:4" x14ac:dyDescent="0.25">
      <c r="A2525" t="s">
        <v>5082</v>
      </c>
      <c r="D2525" t="s">
        <v>10602</v>
      </c>
    </row>
    <row r="2526" spans="1:4" x14ac:dyDescent="0.25">
      <c r="A2526" t="s">
        <v>5083</v>
      </c>
      <c r="D2526" t="s">
        <v>10603</v>
      </c>
    </row>
    <row r="2527" spans="1:4" x14ac:dyDescent="0.25">
      <c r="A2527" t="s">
        <v>5084</v>
      </c>
      <c r="D2527" t="s">
        <v>10604</v>
      </c>
    </row>
    <row r="2528" spans="1:4" x14ac:dyDescent="0.25">
      <c r="A2528" t="s">
        <v>5085</v>
      </c>
      <c r="D2528" t="s">
        <v>10605</v>
      </c>
    </row>
    <row r="2529" spans="1:4" x14ac:dyDescent="0.25">
      <c r="A2529" t="s">
        <v>5086</v>
      </c>
      <c r="D2529" t="s">
        <v>10606</v>
      </c>
    </row>
    <row r="2530" spans="1:4" x14ac:dyDescent="0.25">
      <c r="A2530" t="s">
        <v>5087</v>
      </c>
      <c r="D2530" t="s">
        <v>10607</v>
      </c>
    </row>
    <row r="2531" spans="1:4" x14ac:dyDescent="0.25">
      <c r="A2531" t="s">
        <v>5088</v>
      </c>
      <c r="D2531" t="s">
        <v>10608</v>
      </c>
    </row>
    <row r="2532" spans="1:4" x14ac:dyDescent="0.25">
      <c r="A2532" t="s">
        <v>5089</v>
      </c>
      <c r="D2532" t="s">
        <v>10609</v>
      </c>
    </row>
    <row r="2533" spans="1:4" x14ac:dyDescent="0.25">
      <c r="A2533" t="s">
        <v>5090</v>
      </c>
      <c r="D2533" t="s">
        <v>10610</v>
      </c>
    </row>
    <row r="2534" spans="1:4" x14ac:dyDescent="0.25">
      <c r="A2534" t="s">
        <v>5091</v>
      </c>
      <c r="D2534" t="s">
        <v>10611</v>
      </c>
    </row>
    <row r="2535" spans="1:4" x14ac:dyDescent="0.25">
      <c r="A2535" t="s">
        <v>5092</v>
      </c>
      <c r="D2535" t="s">
        <v>10612</v>
      </c>
    </row>
    <row r="2536" spans="1:4" x14ac:dyDescent="0.25">
      <c r="A2536" t="s">
        <v>5093</v>
      </c>
      <c r="D2536" t="s">
        <v>10613</v>
      </c>
    </row>
    <row r="2537" spans="1:4" x14ac:dyDescent="0.25">
      <c r="A2537" t="s">
        <v>5094</v>
      </c>
      <c r="D2537" t="s">
        <v>10614</v>
      </c>
    </row>
    <row r="2538" spans="1:4" x14ac:dyDescent="0.25">
      <c r="A2538" t="s">
        <v>5095</v>
      </c>
      <c r="D2538" t="s">
        <v>10615</v>
      </c>
    </row>
    <row r="2539" spans="1:4" x14ac:dyDescent="0.25">
      <c r="A2539" t="s">
        <v>5096</v>
      </c>
      <c r="D2539" t="s">
        <v>10616</v>
      </c>
    </row>
    <row r="2540" spans="1:4" x14ac:dyDescent="0.25">
      <c r="A2540" t="s">
        <v>5097</v>
      </c>
      <c r="D2540" t="s">
        <v>10617</v>
      </c>
    </row>
    <row r="2541" spans="1:4" x14ac:dyDescent="0.25">
      <c r="A2541" t="s">
        <v>5098</v>
      </c>
      <c r="D2541" t="s">
        <v>10618</v>
      </c>
    </row>
    <row r="2542" spans="1:4" x14ac:dyDescent="0.25">
      <c r="A2542" t="s">
        <v>5099</v>
      </c>
      <c r="D2542" t="s">
        <v>10619</v>
      </c>
    </row>
    <row r="2543" spans="1:4" x14ac:dyDescent="0.25">
      <c r="A2543" t="s">
        <v>5100</v>
      </c>
      <c r="D2543" t="s">
        <v>10620</v>
      </c>
    </row>
    <row r="2544" spans="1:4" x14ac:dyDescent="0.25">
      <c r="A2544" t="s">
        <v>5101</v>
      </c>
      <c r="D2544" t="s">
        <v>10621</v>
      </c>
    </row>
    <row r="2545" spans="1:4" x14ac:dyDescent="0.25">
      <c r="A2545" t="s">
        <v>5102</v>
      </c>
      <c r="D2545" t="s">
        <v>10622</v>
      </c>
    </row>
    <row r="2546" spans="1:4" x14ac:dyDescent="0.25">
      <c r="A2546" t="s">
        <v>5103</v>
      </c>
      <c r="D2546" t="s">
        <v>10623</v>
      </c>
    </row>
    <row r="2547" spans="1:4" x14ac:dyDescent="0.25">
      <c r="A2547" t="s">
        <v>5104</v>
      </c>
      <c r="D2547" t="s">
        <v>10624</v>
      </c>
    </row>
    <row r="2548" spans="1:4" x14ac:dyDescent="0.25">
      <c r="A2548" t="s">
        <v>5105</v>
      </c>
      <c r="D2548" t="s">
        <v>10625</v>
      </c>
    </row>
    <row r="2549" spans="1:4" x14ac:dyDescent="0.25">
      <c r="A2549" t="s">
        <v>5106</v>
      </c>
      <c r="D2549" t="s">
        <v>10626</v>
      </c>
    </row>
    <row r="2550" spans="1:4" x14ac:dyDescent="0.25">
      <c r="A2550" t="s">
        <v>5107</v>
      </c>
      <c r="D2550" t="s">
        <v>10627</v>
      </c>
    </row>
    <row r="2551" spans="1:4" x14ac:dyDescent="0.25">
      <c r="A2551" t="s">
        <v>5108</v>
      </c>
      <c r="D2551" t="s">
        <v>10628</v>
      </c>
    </row>
    <row r="2552" spans="1:4" x14ac:dyDescent="0.25">
      <c r="A2552" t="s">
        <v>5109</v>
      </c>
      <c r="D2552" t="s">
        <v>10629</v>
      </c>
    </row>
    <row r="2553" spans="1:4" x14ac:dyDescent="0.25">
      <c r="A2553" t="s">
        <v>5110</v>
      </c>
      <c r="D2553" t="s">
        <v>10630</v>
      </c>
    </row>
    <row r="2554" spans="1:4" x14ac:dyDescent="0.25">
      <c r="A2554" t="s">
        <v>5111</v>
      </c>
      <c r="D2554" t="s">
        <v>10631</v>
      </c>
    </row>
    <row r="2555" spans="1:4" x14ac:dyDescent="0.25">
      <c r="A2555" t="s">
        <v>5112</v>
      </c>
      <c r="D2555" t="s">
        <v>10632</v>
      </c>
    </row>
    <row r="2556" spans="1:4" x14ac:dyDescent="0.25">
      <c r="A2556" t="s">
        <v>5113</v>
      </c>
      <c r="D2556" t="s">
        <v>10633</v>
      </c>
    </row>
    <row r="2557" spans="1:4" x14ac:dyDescent="0.25">
      <c r="A2557" t="s">
        <v>5114</v>
      </c>
      <c r="D2557" t="s">
        <v>10634</v>
      </c>
    </row>
    <row r="2558" spans="1:4" x14ac:dyDescent="0.25">
      <c r="A2558" t="s">
        <v>5115</v>
      </c>
      <c r="D2558" t="s">
        <v>10635</v>
      </c>
    </row>
    <row r="2559" spans="1:4" x14ac:dyDescent="0.25">
      <c r="A2559" t="s">
        <v>5116</v>
      </c>
      <c r="D2559" t="s">
        <v>10636</v>
      </c>
    </row>
    <row r="2560" spans="1:4" x14ac:dyDescent="0.25">
      <c r="A2560" t="s">
        <v>5117</v>
      </c>
      <c r="D2560" t="s">
        <v>10637</v>
      </c>
    </row>
    <row r="2561" spans="1:4" x14ac:dyDescent="0.25">
      <c r="A2561" t="s">
        <v>5118</v>
      </c>
      <c r="D2561" t="s">
        <v>10638</v>
      </c>
    </row>
    <row r="2562" spans="1:4" x14ac:dyDescent="0.25">
      <c r="A2562" t="s">
        <v>5119</v>
      </c>
      <c r="D2562" t="s">
        <v>10639</v>
      </c>
    </row>
    <row r="2563" spans="1:4" x14ac:dyDescent="0.25">
      <c r="A2563" t="s">
        <v>5120</v>
      </c>
      <c r="D2563" t="s">
        <v>10640</v>
      </c>
    </row>
    <row r="2564" spans="1:4" x14ac:dyDescent="0.25">
      <c r="A2564" t="s">
        <v>5121</v>
      </c>
      <c r="D2564" t="s">
        <v>10641</v>
      </c>
    </row>
    <row r="2565" spans="1:4" x14ac:dyDescent="0.25">
      <c r="A2565" t="s">
        <v>5122</v>
      </c>
      <c r="D2565" t="s">
        <v>10642</v>
      </c>
    </row>
    <row r="2566" spans="1:4" x14ac:dyDescent="0.25">
      <c r="A2566" t="s">
        <v>5123</v>
      </c>
      <c r="D2566" t="s">
        <v>10643</v>
      </c>
    </row>
    <row r="2567" spans="1:4" x14ac:dyDescent="0.25">
      <c r="A2567" t="s">
        <v>5124</v>
      </c>
      <c r="D2567" t="s">
        <v>10644</v>
      </c>
    </row>
    <row r="2568" spans="1:4" x14ac:dyDescent="0.25">
      <c r="A2568" t="s">
        <v>5125</v>
      </c>
      <c r="D2568" t="s">
        <v>10645</v>
      </c>
    </row>
    <row r="2569" spans="1:4" x14ac:dyDescent="0.25">
      <c r="A2569" t="s">
        <v>5126</v>
      </c>
      <c r="D2569" t="s">
        <v>10646</v>
      </c>
    </row>
    <row r="2570" spans="1:4" x14ac:dyDescent="0.25">
      <c r="A2570" t="s">
        <v>5127</v>
      </c>
      <c r="D2570" t="s">
        <v>10647</v>
      </c>
    </row>
    <row r="2571" spans="1:4" x14ac:dyDescent="0.25">
      <c r="A2571" t="s">
        <v>5128</v>
      </c>
      <c r="D2571" t="s">
        <v>10648</v>
      </c>
    </row>
    <row r="2572" spans="1:4" x14ac:dyDescent="0.25">
      <c r="A2572" t="s">
        <v>5129</v>
      </c>
      <c r="D2572" t="s">
        <v>10649</v>
      </c>
    </row>
    <row r="2573" spans="1:4" x14ac:dyDescent="0.25">
      <c r="A2573" t="s">
        <v>5130</v>
      </c>
      <c r="D2573" t="s">
        <v>10650</v>
      </c>
    </row>
    <row r="2574" spans="1:4" x14ac:dyDescent="0.25">
      <c r="A2574" t="s">
        <v>5131</v>
      </c>
      <c r="D2574" t="s">
        <v>10651</v>
      </c>
    </row>
    <row r="2575" spans="1:4" x14ac:dyDescent="0.25">
      <c r="A2575" t="s">
        <v>5132</v>
      </c>
      <c r="D2575" t="s">
        <v>10652</v>
      </c>
    </row>
    <row r="2576" spans="1:4" x14ac:dyDescent="0.25">
      <c r="A2576" t="s">
        <v>5133</v>
      </c>
      <c r="D2576" t="s">
        <v>10653</v>
      </c>
    </row>
    <row r="2577" spans="1:4" x14ac:dyDescent="0.25">
      <c r="A2577" t="s">
        <v>5134</v>
      </c>
      <c r="D2577" t="s">
        <v>10654</v>
      </c>
    </row>
    <row r="2578" spans="1:4" x14ac:dyDescent="0.25">
      <c r="A2578" t="s">
        <v>5135</v>
      </c>
      <c r="D2578" t="s">
        <v>10655</v>
      </c>
    </row>
    <row r="2579" spans="1:4" x14ac:dyDescent="0.25">
      <c r="A2579" t="s">
        <v>5136</v>
      </c>
      <c r="D2579" t="s">
        <v>10656</v>
      </c>
    </row>
    <row r="2580" spans="1:4" x14ac:dyDescent="0.25">
      <c r="A2580" t="s">
        <v>5137</v>
      </c>
      <c r="D2580" t="s">
        <v>10657</v>
      </c>
    </row>
    <row r="2581" spans="1:4" x14ac:dyDescent="0.25">
      <c r="A2581" t="s">
        <v>5138</v>
      </c>
      <c r="D2581" t="s">
        <v>10658</v>
      </c>
    </row>
    <row r="2582" spans="1:4" x14ac:dyDescent="0.25">
      <c r="A2582" t="s">
        <v>5139</v>
      </c>
      <c r="D2582" t="s">
        <v>10659</v>
      </c>
    </row>
    <row r="2583" spans="1:4" x14ac:dyDescent="0.25">
      <c r="A2583" t="s">
        <v>5140</v>
      </c>
      <c r="D2583" t="s">
        <v>10660</v>
      </c>
    </row>
    <row r="2584" spans="1:4" x14ac:dyDescent="0.25">
      <c r="A2584" t="s">
        <v>5141</v>
      </c>
      <c r="D2584" t="s">
        <v>10661</v>
      </c>
    </row>
    <row r="2585" spans="1:4" x14ac:dyDescent="0.25">
      <c r="A2585" t="s">
        <v>5142</v>
      </c>
      <c r="D2585" t="s">
        <v>10662</v>
      </c>
    </row>
    <row r="2586" spans="1:4" x14ac:dyDescent="0.25">
      <c r="A2586" t="s">
        <v>5143</v>
      </c>
      <c r="D2586" t="s">
        <v>10663</v>
      </c>
    </row>
    <row r="2587" spans="1:4" x14ac:dyDescent="0.25">
      <c r="A2587" t="s">
        <v>5144</v>
      </c>
      <c r="D2587" t="s">
        <v>10664</v>
      </c>
    </row>
    <row r="2588" spans="1:4" x14ac:dyDescent="0.25">
      <c r="A2588" t="s">
        <v>5145</v>
      </c>
      <c r="D2588" t="s">
        <v>10665</v>
      </c>
    </row>
    <row r="2589" spans="1:4" x14ac:dyDescent="0.25">
      <c r="A2589" t="s">
        <v>5146</v>
      </c>
      <c r="D2589" t="s">
        <v>10666</v>
      </c>
    </row>
    <row r="2590" spans="1:4" x14ac:dyDescent="0.25">
      <c r="A2590" t="s">
        <v>5147</v>
      </c>
      <c r="D2590" t="s">
        <v>10667</v>
      </c>
    </row>
    <row r="2591" spans="1:4" x14ac:dyDescent="0.25">
      <c r="A2591" t="s">
        <v>5148</v>
      </c>
      <c r="D2591" t="s">
        <v>10668</v>
      </c>
    </row>
    <row r="2592" spans="1:4" x14ac:dyDescent="0.25">
      <c r="A2592" t="s">
        <v>5149</v>
      </c>
      <c r="D2592" t="s">
        <v>10669</v>
      </c>
    </row>
    <row r="2593" spans="1:4" x14ac:dyDescent="0.25">
      <c r="A2593" t="s">
        <v>5150</v>
      </c>
      <c r="D2593" t="s">
        <v>10670</v>
      </c>
    </row>
    <row r="2594" spans="1:4" x14ac:dyDescent="0.25">
      <c r="A2594" t="s">
        <v>5151</v>
      </c>
      <c r="D2594" t="s">
        <v>10671</v>
      </c>
    </row>
    <row r="2595" spans="1:4" x14ac:dyDescent="0.25">
      <c r="A2595" t="s">
        <v>5152</v>
      </c>
      <c r="D2595" t="s">
        <v>10672</v>
      </c>
    </row>
    <row r="2596" spans="1:4" x14ac:dyDescent="0.25">
      <c r="A2596" t="s">
        <v>5153</v>
      </c>
      <c r="D2596" t="s">
        <v>10673</v>
      </c>
    </row>
    <row r="2597" spans="1:4" x14ac:dyDescent="0.25">
      <c r="A2597" t="s">
        <v>5154</v>
      </c>
      <c r="D2597" t="s">
        <v>10674</v>
      </c>
    </row>
    <row r="2598" spans="1:4" x14ac:dyDescent="0.25">
      <c r="A2598" t="s">
        <v>5155</v>
      </c>
      <c r="D2598" t="s">
        <v>10675</v>
      </c>
    </row>
    <row r="2599" spans="1:4" x14ac:dyDescent="0.25">
      <c r="A2599" t="s">
        <v>5156</v>
      </c>
      <c r="D2599" t="s">
        <v>10676</v>
      </c>
    </row>
    <row r="2600" spans="1:4" x14ac:dyDescent="0.25">
      <c r="A2600" t="s">
        <v>5157</v>
      </c>
      <c r="D2600" t="s">
        <v>10677</v>
      </c>
    </row>
    <row r="2601" spans="1:4" x14ac:dyDescent="0.25">
      <c r="A2601" t="s">
        <v>5158</v>
      </c>
      <c r="D2601" t="s">
        <v>10678</v>
      </c>
    </row>
    <row r="2602" spans="1:4" x14ac:dyDescent="0.25">
      <c r="A2602" t="s">
        <v>5159</v>
      </c>
      <c r="D2602" t="s">
        <v>10679</v>
      </c>
    </row>
    <row r="2603" spans="1:4" x14ac:dyDescent="0.25">
      <c r="A2603" t="s">
        <v>5160</v>
      </c>
      <c r="D2603" t="s">
        <v>10680</v>
      </c>
    </row>
    <row r="2604" spans="1:4" x14ac:dyDescent="0.25">
      <c r="A2604" t="s">
        <v>5161</v>
      </c>
      <c r="D2604" t="s">
        <v>10681</v>
      </c>
    </row>
    <row r="2605" spans="1:4" x14ac:dyDescent="0.25">
      <c r="A2605" t="s">
        <v>5162</v>
      </c>
      <c r="D2605" t="s">
        <v>10682</v>
      </c>
    </row>
    <row r="2606" spans="1:4" x14ac:dyDescent="0.25">
      <c r="A2606" t="s">
        <v>5163</v>
      </c>
      <c r="D2606" t="s">
        <v>10683</v>
      </c>
    </row>
    <row r="2607" spans="1:4" x14ac:dyDescent="0.25">
      <c r="A2607" t="s">
        <v>5164</v>
      </c>
      <c r="D2607" t="s">
        <v>10684</v>
      </c>
    </row>
    <row r="2608" spans="1:4" x14ac:dyDescent="0.25">
      <c r="A2608" t="s">
        <v>5165</v>
      </c>
      <c r="D2608" t="s">
        <v>10685</v>
      </c>
    </row>
    <row r="2609" spans="1:4" x14ac:dyDescent="0.25">
      <c r="A2609" t="s">
        <v>5166</v>
      </c>
      <c r="D2609" t="s">
        <v>10686</v>
      </c>
    </row>
    <row r="2610" spans="1:4" x14ac:dyDescent="0.25">
      <c r="A2610" t="s">
        <v>5167</v>
      </c>
      <c r="D2610" t="s">
        <v>10687</v>
      </c>
    </row>
    <row r="2611" spans="1:4" x14ac:dyDescent="0.25">
      <c r="A2611" t="s">
        <v>5168</v>
      </c>
      <c r="D2611" t="s">
        <v>10688</v>
      </c>
    </row>
    <row r="2612" spans="1:4" x14ac:dyDescent="0.25">
      <c r="A2612" t="s">
        <v>5169</v>
      </c>
      <c r="D2612" t="s">
        <v>10689</v>
      </c>
    </row>
    <row r="2613" spans="1:4" x14ac:dyDescent="0.25">
      <c r="A2613" t="s">
        <v>5170</v>
      </c>
      <c r="D2613" t="s">
        <v>10690</v>
      </c>
    </row>
    <row r="2614" spans="1:4" x14ac:dyDescent="0.25">
      <c r="A2614" t="s">
        <v>5171</v>
      </c>
      <c r="D2614" t="s">
        <v>10691</v>
      </c>
    </row>
    <row r="2615" spans="1:4" x14ac:dyDescent="0.25">
      <c r="A2615" t="s">
        <v>5172</v>
      </c>
      <c r="D2615" t="s">
        <v>10692</v>
      </c>
    </row>
    <row r="2616" spans="1:4" x14ac:dyDescent="0.25">
      <c r="A2616" t="s">
        <v>5173</v>
      </c>
      <c r="D2616" t="s">
        <v>10693</v>
      </c>
    </row>
    <row r="2617" spans="1:4" x14ac:dyDescent="0.25">
      <c r="A2617" t="s">
        <v>5174</v>
      </c>
      <c r="D2617" t="s">
        <v>10694</v>
      </c>
    </row>
    <row r="2618" spans="1:4" x14ac:dyDescent="0.25">
      <c r="A2618" t="s">
        <v>5175</v>
      </c>
      <c r="D2618" t="s">
        <v>10695</v>
      </c>
    </row>
    <row r="2619" spans="1:4" x14ac:dyDescent="0.25">
      <c r="A2619" t="s">
        <v>5176</v>
      </c>
      <c r="D2619" t="s">
        <v>10696</v>
      </c>
    </row>
    <row r="2620" spans="1:4" x14ac:dyDescent="0.25">
      <c r="A2620" t="s">
        <v>5177</v>
      </c>
      <c r="D2620" t="s">
        <v>10697</v>
      </c>
    </row>
    <row r="2621" spans="1:4" x14ac:dyDescent="0.25">
      <c r="A2621" t="s">
        <v>5178</v>
      </c>
      <c r="D2621" t="s">
        <v>10698</v>
      </c>
    </row>
    <row r="2622" spans="1:4" x14ac:dyDescent="0.25">
      <c r="A2622" t="s">
        <v>5179</v>
      </c>
      <c r="D2622" t="s">
        <v>10699</v>
      </c>
    </row>
    <row r="2623" spans="1:4" x14ac:dyDescent="0.25">
      <c r="A2623" t="s">
        <v>5180</v>
      </c>
      <c r="D2623" t="s">
        <v>10700</v>
      </c>
    </row>
    <row r="2624" spans="1:4" x14ac:dyDescent="0.25">
      <c r="A2624" t="s">
        <v>5181</v>
      </c>
      <c r="D2624" t="s">
        <v>10701</v>
      </c>
    </row>
    <row r="2625" spans="1:4" x14ac:dyDescent="0.25">
      <c r="A2625" t="s">
        <v>5182</v>
      </c>
      <c r="D2625" t="s">
        <v>10702</v>
      </c>
    </row>
    <row r="2626" spans="1:4" x14ac:dyDescent="0.25">
      <c r="A2626" t="s">
        <v>5183</v>
      </c>
      <c r="D2626" t="s">
        <v>10703</v>
      </c>
    </row>
    <row r="2627" spans="1:4" x14ac:dyDescent="0.25">
      <c r="A2627" t="s">
        <v>5184</v>
      </c>
      <c r="D2627" t="s">
        <v>10704</v>
      </c>
    </row>
    <row r="2628" spans="1:4" x14ac:dyDescent="0.25">
      <c r="A2628" t="s">
        <v>5185</v>
      </c>
      <c r="D2628" t="s">
        <v>10705</v>
      </c>
    </row>
    <row r="2629" spans="1:4" x14ac:dyDescent="0.25">
      <c r="A2629" t="s">
        <v>5186</v>
      </c>
      <c r="D2629" t="s">
        <v>10706</v>
      </c>
    </row>
    <row r="2630" spans="1:4" x14ac:dyDescent="0.25">
      <c r="A2630" t="s">
        <v>5187</v>
      </c>
      <c r="D2630" t="s">
        <v>10707</v>
      </c>
    </row>
    <row r="2631" spans="1:4" x14ac:dyDescent="0.25">
      <c r="A2631" t="s">
        <v>5188</v>
      </c>
      <c r="D2631" t="s">
        <v>10708</v>
      </c>
    </row>
    <row r="2632" spans="1:4" x14ac:dyDescent="0.25">
      <c r="A2632" t="s">
        <v>5189</v>
      </c>
      <c r="D2632" t="s">
        <v>10709</v>
      </c>
    </row>
    <row r="2633" spans="1:4" x14ac:dyDescent="0.25">
      <c r="A2633" t="s">
        <v>5190</v>
      </c>
      <c r="D2633" t="s">
        <v>10710</v>
      </c>
    </row>
    <row r="2634" spans="1:4" x14ac:dyDescent="0.25">
      <c r="A2634" t="s">
        <v>5191</v>
      </c>
      <c r="D2634" t="s">
        <v>10711</v>
      </c>
    </row>
    <row r="2635" spans="1:4" x14ac:dyDescent="0.25">
      <c r="A2635" t="s">
        <v>5192</v>
      </c>
      <c r="D2635" t="s">
        <v>10712</v>
      </c>
    </row>
    <row r="2636" spans="1:4" x14ac:dyDescent="0.25">
      <c r="A2636" t="s">
        <v>5193</v>
      </c>
      <c r="D2636" t="s">
        <v>10713</v>
      </c>
    </row>
    <row r="2637" spans="1:4" x14ac:dyDescent="0.25">
      <c r="A2637" t="s">
        <v>5194</v>
      </c>
      <c r="D2637" t="s">
        <v>10714</v>
      </c>
    </row>
    <row r="2638" spans="1:4" x14ac:dyDescent="0.25">
      <c r="A2638" t="s">
        <v>5195</v>
      </c>
      <c r="D2638" t="s">
        <v>10715</v>
      </c>
    </row>
    <row r="2639" spans="1:4" x14ac:dyDescent="0.25">
      <c r="A2639" t="s">
        <v>5196</v>
      </c>
      <c r="D2639" t="s">
        <v>10716</v>
      </c>
    </row>
    <row r="2640" spans="1:4" x14ac:dyDescent="0.25">
      <c r="A2640" t="s">
        <v>5197</v>
      </c>
      <c r="D2640" t="s">
        <v>10717</v>
      </c>
    </row>
    <row r="2641" spans="1:4" x14ac:dyDescent="0.25">
      <c r="A2641" t="s">
        <v>5198</v>
      </c>
      <c r="D2641" t="s">
        <v>10718</v>
      </c>
    </row>
    <row r="2642" spans="1:4" x14ac:dyDescent="0.25">
      <c r="A2642" t="s">
        <v>5199</v>
      </c>
      <c r="D2642" t="s">
        <v>10719</v>
      </c>
    </row>
    <row r="2643" spans="1:4" x14ac:dyDescent="0.25">
      <c r="A2643" t="s">
        <v>5200</v>
      </c>
      <c r="D2643" t="s">
        <v>10720</v>
      </c>
    </row>
    <row r="2644" spans="1:4" x14ac:dyDescent="0.25">
      <c r="A2644" t="s">
        <v>5201</v>
      </c>
      <c r="D2644" t="s">
        <v>10721</v>
      </c>
    </row>
    <row r="2645" spans="1:4" x14ac:dyDescent="0.25">
      <c r="A2645" t="s">
        <v>5202</v>
      </c>
      <c r="D2645" t="s">
        <v>10722</v>
      </c>
    </row>
    <row r="2646" spans="1:4" x14ac:dyDescent="0.25">
      <c r="A2646" t="s">
        <v>5203</v>
      </c>
      <c r="D2646" t="s">
        <v>10723</v>
      </c>
    </row>
    <row r="2647" spans="1:4" x14ac:dyDescent="0.25">
      <c r="A2647" t="s">
        <v>5204</v>
      </c>
      <c r="D2647" t="s">
        <v>10724</v>
      </c>
    </row>
    <row r="2648" spans="1:4" x14ac:dyDescent="0.25">
      <c r="A2648" t="s">
        <v>5205</v>
      </c>
      <c r="D2648" t="s">
        <v>10725</v>
      </c>
    </row>
    <row r="2649" spans="1:4" x14ac:dyDescent="0.25">
      <c r="A2649" t="s">
        <v>5206</v>
      </c>
      <c r="D2649" t="s">
        <v>10726</v>
      </c>
    </row>
    <row r="2650" spans="1:4" x14ac:dyDescent="0.25">
      <c r="A2650" t="s">
        <v>5207</v>
      </c>
      <c r="D2650" t="s">
        <v>10727</v>
      </c>
    </row>
    <row r="2651" spans="1:4" x14ac:dyDescent="0.25">
      <c r="A2651" t="s">
        <v>5208</v>
      </c>
      <c r="D2651" t="s">
        <v>10728</v>
      </c>
    </row>
    <row r="2652" spans="1:4" x14ac:dyDescent="0.25">
      <c r="A2652" t="s">
        <v>5209</v>
      </c>
      <c r="D2652" t="s">
        <v>10729</v>
      </c>
    </row>
    <row r="2653" spans="1:4" x14ac:dyDescent="0.25">
      <c r="A2653" t="s">
        <v>5210</v>
      </c>
      <c r="D2653" t="s">
        <v>10730</v>
      </c>
    </row>
    <row r="2654" spans="1:4" x14ac:dyDescent="0.25">
      <c r="A2654" t="s">
        <v>5211</v>
      </c>
      <c r="D2654" t="s">
        <v>10731</v>
      </c>
    </row>
    <row r="2655" spans="1:4" x14ac:dyDescent="0.25">
      <c r="A2655" t="s">
        <v>5212</v>
      </c>
      <c r="D2655" t="s">
        <v>10732</v>
      </c>
    </row>
    <row r="2656" spans="1:4" x14ac:dyDescent="0.25">
      <c r="A2656" t="s">
        <v>5213</v>
      </c>
      <c r="D2656" t="s">
        <v>10733</v>
      </c>
    </row>
    <row r="2657" spans="1:4" x14ac:dyDescent="0.25">
      <c r="A2657" t="s">
        <v>5214</v>
      </c>
      <c r="D2657" t="s">
        <v>10734</v>
      </c>
    </row>
    <row r="2658" spans="1:4" x14ac:dyDescent="0.25">
      <c r="A2658" t="s">
        <v>5215</v>
      </c>
      <c r="D2658" t="s">
        <v>10735</v>
      </c>
    </row>
    <row r="2659" spans="1:4" x14ac:dyDescent="0.25">
      <c r="A2659" t="s">
        <v>5216</v>
      </c>
      <c r="D2659" t="s">
        <v>10736</v>
      </c>
    </row>
    <row r="2660" spans="1:4" x14ac:dyDescent="0.25">
      <c r="A2660" t="s">
        <v>5217</v>
      </c>
      <c r="D2660" t="s">
        <v>10737</v>
      </c>
    </row>
    <row r="2661" spans="1:4" x14ac:dyDescent="0.25">
      <c r="A2661" t="s">
        <v>5218</v>
      </c>
      <c r="D2661" t="s">
        <v>10738</v>
      </c>
    </row>
    <row r="2662" spans="1:4" x14ac:dyDescent="0.25">
      <c r="A2662" t="s">
        <v>5219</v>
      </c>
      <c r="D2662" t="s">
        <v>10739</v>
      </c>
    </row>
    <row r="2663" spans="1:4" x14ac:dyDescent="0.25">
      <c r="A2663" t="s">
        <v>5220</v>
      </c>
      <c r="D2663" t="s">
        <v>10740</v>
      </c>
    </row>
    <row r="2664" spans="1:4" x14ac:dyDescent="0.25">
      <c r="A2664" t="s">
        <v>5221</v>
      </c>
      <c r="D2664" t="s">
        <v>10741</v>
      </c>
    </row>
    <row r="2665" spans="1:4" x14ac:dyDescent="0.25">
      <c r="A2665" t="s">
        <v>5222</v>
      </c>
      <c r="D2665" t="s">
        <v>10742</v>
      </c>
    </row>
    <row r="2666" spans="1:4" x14ac:dyDescent="0.25">
      <c r="A2666" t="s">
        <v>5223</v>
      </c>
      <c r="D2666" t="s">
        <v>10743</v>
      </c>
    </row>
    <row r="2667" spans="1:4" x14ac:dyDescent="0.25">
      <c r="A2667" t="s">
        <v>5224</v>
      </c>
      <c r="D2667" t="s">
        <v>10744</v>
      </c>
    </row>
    <row r="2668" spans="1:4" x14ac:dyDescent="0.25">
      <c r="A2668" t="s">
        <v>5225</v>
      </c>
      <c r="D2668" t="s">
        <v>10745</v>
      </c>
    </row>
    <row r="2669" spans="1:4" x14ac:dyDescent="0.25">
      <c r="A2669" t="s">
        <v>5226</v>
      </c>
      <c r="D2669" t="s">
        <v>10746</v>
      </c>
    </row>
    <row r="2670" spans="1:4" x14ac:dyDescent="0.25">
      <c r="A2670" t="s">
        <v>5227</v>
      </c>
      <c r="D2670" t="s">
        <v>10747</v>
      </c>
    </row>
    <row r="2671" spans="1:4" x14ac:dyDescent="0.25">
      <c r="A2671" t="s">
        <v>5228</v>
      </c>
      <c r="D2671" t="s">
        <v>10748</v>
      </c>
    </row>
    <row r="2672" spans="1:4" x14ac:dyDescent="0.25">
      <c r="A2672" t="s">
        <v>5229</v>
      </c>
      <c r="D2672" t="s">
        <v>10749</v>
      </c>
    </row>
    <row r="2673" spans="1:4" x14ac:dyDescent="0.25">
      <c r="A2673" t="s">
        <v>5230</v>
      </c>
      <c r="D2673" t="s">
        <v>10750</v>
      </c>
    </row>
    <row r="2674" spans="1:4" x14ac:dyDescent="0.25">
      <c r="A2674" t="s">
        <v>5231</v>
      </c>
      <c r="D2674" t="s">
        <v>10751</v>
      </c>
    </row>
    <row r="2675" spans="1:4" x14ac:dyDescent="0.25">
      <c r="A2675" t="s">
        <v>5232</v>
      </c>
      <c r="D2675" t="s">
        <v>10752</v>
      </c>
    </row>
    <row r="2676" spans="1:4" x14ac:dyDescent="0.25">
      <c r="A2676" t="s">
        <v>5233</v>
      </c>
      <c r="D2676" t="s">
        <v>10753</v>
      </c>
    </row>
    <row r="2677" spans="1:4" x14ac:dyDescent="0.25">
      <c r="A2677" t="s">
        <v>5234</v>
      </c>
      <c r="D2677" t="s">
        <v>10754</v>
      </c>
    </row>
    <row r="2678" spans="1:4" x14ac:dyDescent="0.25">
      <c r="A2678" t="s">
        <v>5235</v>
      </c>
      <c r="D2678" t="s">
        <v>10755</v>
      </c>
    </row>
    <row r="2679" spans="1:4" x14ac:dyDescent="0.25">
      <c r="A2679" t="s">
        <v>5236</v>
      </c>
      <c r="D2679" t="s">
        <v>10756</v>
      </c>
    </row>
    <row r="2680" spans="1:4" x14ac:dyDescent="0.25">
      <c r="A2680" t="s">
        <v>5237</v>
      </c>
      <c r="D2680" t="s">
        <v>10757</v>
      </c>
    </row>
    <row r="2681" spans="1:4" x14ac:dyDescent="0.25">
      <c r="A2681" t="s">
        <v>5238</v>
      </c>
      <c r="D2681" t="s">
        <v>10758</v>
      </c>
    </row>
    <row r="2682" spans="1:4" x14ac:dyDescent="0.25">
      <c r="A2682" t="s">
        <v>5239</v>
      </c>
      <c r="D2682" t="s">
        <v>10759</v>
      </c>
    </row>
    <row r="2683" spans="1:4" x14ac:dyDescent="0.25">
      <c r="A2683" t="s">
        <v>5240</v>
      </c>
      <c r="D2683" t="s">
        <v>10760</v>
      </c>
    </row>
    <row r="2684" spans="1:4" x14ac:dyDescent="0.25">
      <c r="A2684" t="s">
        <v>5241</v>
      </c>
      <c r="D2684" t="s">
        <v>10761</v>
      </c>
    </row>
    <row r="2685" spans="1:4" x14ac:dyDescent="0.25">
      <c r="A2685" t="s">
        <v>5242</v>
      </c>
      <c r="D2685" t="s">
        <v>10762</v>
      </c>
    </row>
    <row r="2686" spans="1:4" x14ac:dyDescent="0.25">
      <c r="A2686" t="s">
        <v>5243</v>
      </c>
      <c r="D2686" t="s">
        <v>10763</v>
      </c>
    </row>
    <row r="2687" spans="1:4" x14ac:dyDescent="0.25">
      <c r="A2687" t="s">
        <v>5244</v>
      </c>
      <c r="D2687" t="s">
        <v>10764</v>
      </c>
    </row>
    <row r="2688" spans="1:4" x14ac:dyDescent="0.25">
      <c r="A2688" t="s">
        <v>5245</v>
      </c>
      <c r="D2688" t="s">
        <v>10765</v>
      </c>
    </row>
    <row r="2689" spans="1:4" x14ac:dyDescent="0.25">
      <c r="A2689" t="s">
        <v>5246</v>
      </c>
      <c r="D2689" t="s">
        <v>10766</v>
      </c>
    </row>
    <row r="2690" spans="1:4" x14ac:dyDescent="0.25">
      <c r="A2690" t="s">
        <v>5247</v>
      </c>
      <c r="D2690" t="s">
        <v>10767</v>
      </c>
    </row>
    <row r="2691" spans="1:4" x14ac:dyDescent="0.25">
      <c r="A2691" t="s">
        <v>5248</v>
      </c>
      <c r="D2691" t="s">
        <v>10768</v>
      </c>
    </row>
    <row r="2692" spans="1:4" x14ac:dyDescent="0.25">
      <c r="A2692" t="s">
        <v>5249</v>
      </c>
      <c r="D2692" t="s">
        <v>10769</v>
      </c>
    </row>
    <row r="2693" spans="1:4" x14ac:dyDescent="0.25">
      <c r="A2693" t="s">
        <v>5250</v>
      </c>
      <c r="D2693" t="s">
        <v>10770</v>
      </c>
    </row>
    <row r="2694" spans="1:4" x14ac:dyDescent="0.25">
      <c r="A2694" t="s">
        <v>5251</v>
      </c>
      <c r="D2694" t="s">
        <v>10771</v>
      </c>
    </row>
    <row r="2695" spans="1:4" x14ac:dyDescent="0.25">
      <c r="A2695" t="s">
        <v>5252</v>
      </c>
      <c r="D2695" t="s">
        <v>10772</v>
      </c>
    </row>
    <row r="2696" spans="1:4" x14ac:dyDescent="0.25">
      <c r="A2696" t="s">
        <v>5253</v>
      </c>
      <c r="D2696" t="s">
        <v>10773</v>
      </c>
    </row>
    <row r="2697" spans="1:4" x14ac:dyDescent="0.25">
      <c r="A2697" t="s">
        <v>5254</v>
      </c>
      <c r="D2697" t="s">
        <v>10774</v>
      </c>
    </row>
    <row r="2698" spans="1:4" x14ac:dyDescent="0.25">
      <c r="A2698" t="s">
        <v>5255</v>
      </c>
      <c r="D2698" t="s">
        <v>10775</v>
      </c>
    </row>
    <row r="2699" spans="1:4" x14ac:dyDescent="0.25">
      <c r="A2699" t="s">
        <v>5256</v>
      </c>
      <c r="D2699" t="s">
        <v>10776</v>
      </c>
    </row>
    <row r="2700" spans="1:4" x14ac:dyDescent="0.25">
      <c r="A2700" t="s">
        <v>5257</v>
      </c>
      <c r="D2700" t="s">
        <v>10777</v>
      </c>
    </row>
    <row r="2701" spans="1:4" x14ac:dyDescent="0.25">
      <c r="A2701" t="s">
        <v>5258</v>
      </c>
      <c r="D2701" t="s">
        <v>10778</v>
      </c>
    </row>
    <row r="2702" spans="1:4" x14ac:dyDescent="0.25">
      <c r="A2702" t="s">
        <v>5259</v>
      </c>
      <c r="D2702" t="s">
        <v>10779</v>
      </c>
    </row>
    <row r="2703" spans="1:4" x14ac:dyDescent="0.25">
      <c r="A2703" t="s">
        <v>5260</v>
      </c>
      <c r="D2703" t="s">
        <v>10780</v>
      </c>
    </row>
    <row r="2704" spans="1:4" x14ac:dyDescent="0.25">
      <c r="A2704" t="s">
        <v>5261</v>
      </c>
      <c r="D2704" t="s">
        <v>10781</v>
      </c>
    </row>
    <row r="2705" spans="1:4" x14ac:dyDescent="0.25">
      <c r="A2705" t="s">
        <v>5262</v>
      </c>
      <c r="D2705" t="s">
        <v>10782</v>
      </c>
    </row>
    <row r="2706" spans="1:4" x14ac:dyDescent="0.25">
      <c r="A2706" t="s">
        <v>5263</v>
      </c>
      <c r="D2706" t="s">
        <v>10783</v>
      </c>
    </row>
    <row r="2707" spans="1:4" x14ac:dyDescent="0.25">
      <c r="A2707" t="s">
        <v>5264</v>
      </c>
      <c r="D2707" t="s">
        <v>10784</v>
      </c>
    </row>
    <row r="2708" spans="1:4" x14ac:dyDescent="0.25">
      <c r="A2708" t="s">
        <v>5265</v>
      </c>
      <c r="D2708" t="s">
        <v>10785</v>
      </c>
    </row>
    <row r="2709" spans="1:4" x14ac:dyDescent="0.25">
      <c r="A2709" t="s">
        <v>5266</v>
      </c>
      <c r="D2709" t="s">
        <v>10786</v>
      </c>
    </row>
    <row r="2710" spans="1:4" x14ac:dyDescent="0.25">
      <c r="A2710" t="s">
        <v>5267</v>
      </c>
      <c r="D2710" t="s">
        <v>10787</v>
      </c>
    </row>
    <row r="2711" spans="1:4" x14ac:dyDescent="0.25">
      <c r="A2711" t="s">
        <v>5268</v>
      </c>
      <c r="D2711" t="s">
        <v>10788</v>
      </c>
    </row>
    <row r="2712" spans="1:4" x14ac:dyDescent="0.25">
      <c r="A2712" t="s">
        <v>5269</v>
      </c>
      <c r="D2712" t="s">
        <v>10789</v>
      </c>
    </row>
    <row r="2713" spans="1:4" x14ac:dyDescent="0.25">
      <c r="A2713" t="s">
        <v>5270</v>
      </c>
      <c r="D2713" t="s">
        <v>10790</v>
      </c>
    </row>
    <row r="2714" spans="1:4" x14ac:dyDescent="0.25">
      <c r="A2714" t="s">
        <v>5271</v>
      </c>
      <c r="D2714" t="s">
        <v>10791</v>
      </c>
    </row>
    <row r="2715" spans="1:4" x14ac:dyDescent="0.25">
      <c r="A2715" t="s">
        <v>5272</v>
      </c>
      <c r="D2715" t="s">
        <v>10792</v>
      </c>
    </row>
    <row r="2716" spans="1:4" x14ac:dyDescent="0.25">
      <c r="A2716" t="s">
        <v>5273</v>
      </c>
      <c r="D2716" t="s">
        <v>10793</v>
      </c>
    </row>
    <row r="2717" spans="1:4" x14ac:dyDescent="0.25">
      <c r="A2717" t="s">
        <v>5274</v>
      </c>
      <c r="D2717" t="s">
        <v>10794</v>
      </c>
    </row>
    <row r="2718" spans="1:4" x14ac:dyDescent="0.25">
      <c r="A2718" t="s">
        <v>5275</v>
      </c>
      <c r="D2718" t="s">
        <v>10795</v>
      </c>
    </row>
    <row r="2719" spans="1:4" x14ac:dyDescent="0.25">
      <c r="A2719" t="s">
        <v>5276</v>
      </c>
      <c r="D2719" t="s">
        <v>10796</v>
      </c>
    </row>
    <row r="2720" spans="1:4" x14ac:dyDescent="0.25">
      <c r="A2720" t="s">
        <v>5277</v>
      </c>
      <c r="D2720" t="s">
        <v>10797</v>
      </c>
    </row>
    <row r="2721" spans="1:4" x14ac:dyDescent="0.25">
      <c r="A2721" t="s">
        <v>5278</v>
      </c>
      <c r="D2721" t="s">
        <v>10798</v>
      </c>
    </row>
    <row r="2722" spans="1:4" x14ac:dyDescent="0.25">
      <c r="A2722" t="s">
        <v>5279</v>
      </c>
      <c r="D2722" t="s">
        <v>10799</v>
      </c>
    </row>
    <row r="2723" spans="1:4" x14ac:dyDescent="0.25">
      <c r="A2723" t="s">
        <v>5280</v>
      </c>
      <c r="D2723" t="s">
        <v>10800</v>
      </c>
    </row>
    <row r="2724" spans="1:4" x14ac:dyDescent="0.25">
      <c r="A2724" t="s">
        <v>5281</v>
      </c>
      <c r="D2724" t="s">
        <v>10801</v>
      </c>
    </row>
    <row r="2725" spans="1:4" x14ac:dyDescent="0.25">
      <c r="A2725" t="s">
        <v>5282</v>
      </c>
      <c r="D2725" t="s">
        <v>10802</v>
      </c>
    </row>
    <row r="2726" spans="1:4" x14ac:dyDescent="0.25">
      <c r="A2726" t="s">
        <v>5283</v>
      </c>
      <c r="D2726" t="s">
        <v>10803</v>
      </c>
    </row>
    <row r="2727" spans="1:4" x14ac:dyDescent="0.25">
      <c r="A2727" t="s">
        <v>5284</v>
      </c>
      <c r="D2727" t="s">
        <v>10804</v>
      </c>
    </row>
    <row r="2728" spans="1:4" x14ac:dyDescent="0.25">
      <c r="A2728" t="s">
        <v>5285</v>
      </c>
      <c r="D2728" t="s">
        <v>10805</v>
      </c>
    </row>
    <row r="2729" spans="1:4" x14ac:dyDescent="0.25">
      <c r="A2729" t="s">
        <v>5286</v>
      </c>
      <c r="D2729" t="s">
        <v>10806</v>
      </c>
    </row>
    <row r="2730" spans="1:4" x14ac:dyDescent="0.25">
      <c r="A2730" t="s">
        <v>5287</v>
      </c>
      <c r="D2730" t="s">
        <v>10807</v>
      </c>
    </row>
    <row r="2731" spans="1:4" x14ac:dyDescent="0.25">
      <c r="A2731" t="s">
        <v>5288</v>
      </c>
      <c r="D2731" t="s">
        <v>10808</v>
      </c>
    </row>
    <row r="2732" spans="1:4" x14ac:dyDescent="0.25">
      <c r="A2732" t="s">
        <v>5289</v>
      </c>
      <c r="D2732" t="s">
        <v>10809</v>
      </c>
    </row>
    <row r="2733" spans="1:4" x14ac:dyDescent="0.25">
      <c r="A2733" t="s">
        <v>5290</v>
      </c>
      <c r="D2733" t="s">
        <v>10810</v>
      </c>
    </row>
    <row r="2734" spans="1:4" x14ac:dyDescent="0.25">
      <c r="A2734" t="s">
        <v>5291</v>
      </c>
      <c r="D2734" t="s">
        <v>10811</v>
      </c>
    </row>
    <row r="2735" spans="1:4" x14ac:dyDescent="0.25">
      <c r="A2735" t="s">
        <v>5292</v>
      </c>
      <c r="D2735" t="s">
        <v>10812</v>
      </c>
    </row>
    <row r="2736" spans="1:4" x14ac:dyDescent="0.25">
      <c r="A2736" t="s">
        <v>5293</v>
      </c>
      <c r="D2736" t="s">
        <v>10813</v>
      </c>
    </row>
    <row r="2737" spans="1:4" x14ac:dyDescent="0.25">
      <c r="A2737" t="s">
        <v>5294</v>
      </c>
      <c r="D2737" t="s">
        <v>10814</v>
      </c>
    </row>
    <row r="2738" spans="1:4" x14ac:dyDescent="0.25">
      <c r="A2738" t="s">
        <v>5295</v>
      </c>
      <c r="D2738" t="s">
        <v>10815</v>
      </c>
    </row>
    <row r="2739" spans="1:4" x14ac:dyDescent="0.25">
      <c r="A2739" t="s">
        <v>5296</v>
      </c>
      <c r="D2739" t="s">
        <v>10816</v>
      </c>
    </row>
    <row r="2740" spans="1:4" x14ac:dyDescent="0.25">
      <c r="A2740" t="s">
        <v>5297</v>
      </c>
      <c r="D2740" t="s">
        <v>10817</v>
      </c>
    </row>
    <row r="2741" spans="1:4" x14ac:dyDescent="0.25">
      <c r="A2741" t="s">
        <v>5298</v>
      </c>
      <c r="D2741" t="s">
        <v>10818</v>
      </c>
    </row>
    <row r="2742" spans="1:4" x14ac:dyDescent="0.25">
      <c r="A2742" t="s">
        <v>5299</v>
      </c>
      <c r="D2742" t="s">
        <v>10819</v>
      </c>
    </row>
    <row r="2743" spans="1:4" x14ac:dyDescent="0.25">
      <c r="A2743" t="s">
        <v>5300</v>
      </c>
      <c r="D2743" t="s">
        <v>10820</v>
      </c>
    </row>
    <row r="2744" spans="1:4" x14ac:dyDescent="0.25">
      <c r="A2744" t="s">
        <v>5301</v>
      </c>
      <c r="D2744" t="s">
        <v>10821</v>
      </c>
    </row>
    <row r="2745" spans="1:4" x14ac:dyDescent="0.25">
      <c r="A2745" t="s">
        <v>5302</v>
      </c>
      <c r="D2745" t="s">
        <v>10822</v>
      </c>
    </row>
    <row r="2746" spans="1:4" x14ac:dyDescent="0.25">
      <c r="A2746" t="s">
        <v>5303</v>
      </c>
      <c r="D2746" t="s">
        <v>10823</v>
      </c>
    </row>
    <row r="2747" spans="1:4" x14ac:dyDescent="0.25">
      <c r="A2747" t="s">
        <v>5304</v>
      </c>
      <c r="D2747" t="s">
        <v>10824</v>
      </c>
    </row>
    <row r="2748" spans="1:4" x14ac:dyDescent="0.25">
      <c r="A2748" t="s">
        <v>5305</v>
      </c>
      <c r="D2748" t="s">
        <v>10825</v>
      </c>
    </row>
    <row r="2749" spans="1:4" x14ac:dyDescent="0.25">
      <c r="A2749" t="s">
        <v>5306</v>
      </c>
      <c r="D2749" t="s">
        <v>10826</v>
      </c>
    </row>
    <row r="2750" spans="1:4" x14ac:dyDescent="0.25">
      <c r="A2750" t="s">
        <v>5307</v>
      </c>
      <c r="D2750" t="s">
        <v>10827</v>
      </c>
    </row>
    <row r="2751" spans="1:4" x14ac:dyDescent="0.25">
      <c r="A2751" t="s">
        <v>5308</v>
      </c>
      <c r="D2751" t="s">
        <v>10828</v>
      </c>
    </row>
    <row r="2752" spans="1:4" x14ac:dyDescent="0.25">
      <c r="A2752" t="s">
        <v>5309</v>
      </c>
      <c r="D2752" t="s">
        <v>10829</v>
      </c>
    </row>
    <row r="2753" spans="1:4" x14ac:dyDescent="0.25">
      <c r="A2753" t="s">
        <v>5310</v>
      </c>
      <c r="D2753" t="s">
        <v>10830</v>
      </c>
    </row>
    <row r="2754" spans="1:4" x14ac:dyDescent="0.25">
      <c r="A2754" t="s">
        <v>5311</v>
      </c>
      <c r="D2754" t="s">
        <v>10831</v>
      </c>
    </row>
    <row r="2755" spans="1:4" x14ac:dyDescent="0.25">
      <c r="A2755" t="s">
        <v>5312</v>
      </c>
      <c r="D2755" t="s">
        <v>10832</v>
      </c>
    </row>
    <row r="2756" spans="1:4" x14ac:dyDescent="0.25">
      <c r="A2756" t="s">
        <v>5313</v>
      </c>
      <c r="D2756" t="s">
        <v>10833</v>
      </c>
    </row>
    <row r="2757" spans="1:4" x14ac:dyDescent="0.25">
      <c r="A2757" t="s">
        <v>5314</v>
      </c>
      <c r="D2757" t="s">
        <v>10834</v>
      </c>
    </row>
    <row r="2758" spans="1:4" x14ac:dyDescent="0.25">
      <c r="A2758" t="s">
        <v>5315</v>
      </c>
      <c r="D2758" t="s">
        <v>10835</v>
      </c>
    </row>
    <row r="2759" spans="1:4" x14ac:dyDescent="0.25">
      <c r="A2759" t="s">
        <v>5316</v>
      </c>
      <c r="D2759" t="s">
        <v>10836</v>
      </c>
    </row>
    <row r="2760" spans="1:4" x14ac:dyDescent="0.25">
      <c r="A2760" t="s">
        <v>5317</v>
      </c>
      <c r="D2760" t="s">
        <v>10837</v>
      </c>
    </row>
    <row r="2761" spans="1:4" x14ac:dyDescent="0.25">
      <c r="A2761" t="s">
        <v>5318</v>
      </c>
      <c r="D2761" t="s">
        <v>10838</v>
      </c>
    </row>
    <row r="2762" spans="1:4" x14ac:dyDescent="0.25">
      <c r="A2762" t="s">
        <v>5319</v>
      </c>
      <c r="D2762" t="s">
        <v>10839</v>
      </c>
    </row>
    <row r="2763" spans="1:4" x14ac:dyDescent="0.25">
      <c r="A2763" t="s">
        <v>5320</v>
      </c>
      <c r="D2763" t="s">
        <v>10840</v>
      </c>
    </row>
    <row r="2764" spans="1:4" x14ac:dyDescent="0.25">
      <c r="A2764" t="s">
        <v>5321</v>
      </c>
      <c r="D2764" t="s">
        <v>10841</v>
      </c>
    </row>
    <row r="2765" spans="1:4" x14ac:dyDescent="0.25">
      <c r="A2765" t="s">
        <v>5322</v>
      </c>
      <c r="D2765" t="s">
        <v>10842</v>
      </c>
    </row>
    <row r="2766" spans="1:4" x14ac:dyDescent="0.25">
      <c r="A2766" t="s">
        <v>5323</v>
      </c>
      <c r="D2766" t="s">
        <v>10843</v>
      </c>
    </row>
    <row r="2767" spans="1:4" x14ac:dyDescent="0.25">
      <c r="A2767" t="s">
        <v>5324</v>
      </c>
      <c r="D2767" t="s">
        <v>10844</v>
      </c>
    </row>
    <row r="2768" spans="1:4" x14ac:dyDescent="0.25">
      <c r="A2768" t="s">
        <v>5325</v>
      </c>
      <c r="D2768" t="s">
        <v>10845</v>
      </c>
    </row>
    <row r="2769" spans="1:4" x14ac:dyDescent="0.25">
      <c r="A2769" t="s">
        <v>5326</v>
      </c>
      <c r="D2769" t="s">
        <v>10846</v>
      </c>
    </row>
    <row r="2770" spans="1:4" x14ac:dyDescent="0.25">
      <c r="A2770" t="s">
        <v>5327</v>
      </c>
      <c r="D2770" t="s">
        <v>10847</v>
      </c>
    </row>
    <row r="2771" spans="1:4" x14ac:dyDescent="0.25">
      <c r="A2771" t="s">
        <v>5328</v>
      </c>
      <c r="D2771" t="s">
        <v>10848</v>
      </c>
    </row>
    <row r="2772" spans="1:4" x14ac:dyDescent="0.25">
      <c r="A2772" t="s">
        <v>5329</v>
      </c>
      <c r="D2772" t="s">
        <v>10849</v>
      </c>
    </row>
    <row r="2773" spans="1:4" x14ac:dyDescent="0.25">
      <c r="A2773" t="s">
        <v>5330</v>
      </c>
      <c r="D2773" t="s">
        <v>10850</v>
      </c>
    </row>
    <row r="2774" spans="1:4" x14ac:dyDescent="0.25">
      <c r="A2774" t="s">
        <v>5331</v>
      </c>
      <c r="D2774" t="s">
        <v>10851</v>
      </c>
    </row>
    <row r="2775" spans="1:4" x14ac:dyDescent="0.25">
      <c r="A2775" t="s">
        <v>5332</v>
      </c>
      <c r="D2775" t="s">
        <v>10852</v>
      </c>
    </row>
    <row r="2776" spans="1:4" x14ac:dyDescent="0.25">
      <c r="A2776" t="s">
        <v>5333</v>
      </c>
      <c r="D2776" t="s">
        <v>10853</v>
      </c>
    </row>
    <row r="2777" spans="1:4" x14ac:dyDescent="0.25">
      <c r="A2777" t="s">
        <v>5334</v>
      </c>
      <c r="D2777" t="s">
        <v>10854</v>
      </c>
    </row>
    <row r="2778" spans="1:4" x14ac:dyDescent="0.25">
      <c r="A2778" t="s">
        <v>5335</v>
      </c>
      <c r="D2778" t="s">
        <v>10855</v>
      </c>
    </row>
    <row r="2779" spans="1:4" x14ac:dyDescent="0.25">
      <c r="A2779" t="s">
        <v>5336</v>
      </c>
      <c r="D2779" t="s">
        <v>10856</v>
      </c>
    </row>
    <row r="2780" spans="1:4" x14ac:dyDescent="0.25">
      <c r="A2780" t="s">
        <v>5337</v>
      </c>
      <c r="D2780" t="s">
        <v>10857</v>
      </c>
    </row>
    <row r="2781" spans="1:4" x14ac:dyDescent="0.25">
      <c r="A2781" t="s">
        <v>5338</v>
      </c>
      <c r="D2781" t="s">
        <v>10858</v>
      </c>
    </row>
    <row r="2782" spans="1:4" x14ac:dyDescent="0.25">
      <c r="A2782" t="s">
        <v>5339</v>
      </c>
      <c r="D2782" t="s">
        <v>10859</v>
      </c>
    </row>
    <row r="2783" spans="1:4" x14ac:dyDescent="0.25">
      <c r="A2783" t="s">
        <v>5340</v>
      </c>
      <c r="D2783" t="s">
        <v>10860</v>
      </c>
    </row>
    <row r="2784" spans="1:4" x14ac:dyDescent="0.25">
      <c r="A2784" t="s">
        <v>5341</v>
      </c>
      <c r="D2784" t="s">
        <v>10861</v>
      </c>
    </row>
    <row r="2785" spans="1:4" x14ac:dyDescent="0.25">
      <c r="A2785" t="s">
        <v>5342</v>
      </c>
      <c r="D2785" t="s">
        <v>10862</v>
      </c>
    </row>
    <row r="2786" spans="1:4" x14ac:dyDescent="0.25">
      <c r="A2786" t="s">
        <v>5343</v>
      </c>
      <c r="D2786" t="s">
        <v>10863</v>
      </c>
    </row>
    <row r="2787" spans="1:4" x14ac:dyDescent="0.25">
      <c r="A2787" t="s">
        <v>5344</v>
      </c>
      <c r="D2787" t="s">
        <v>10864</v>
      </c>
    </row>
    <row r="2788" spans="1:4" x14ac:dyDescent="0.25">
      <c r="A2788" t="s">
        <v>5345</v>
      </c>
      <c r="D2788" t="s">
        <v>10865</v>
      </c>
    </row>
    <row r="2789" spans="1:4" x14ac:dyDescent="0.25">
      <c r="A2789" t="s">
        <v>5346</v>
      </c>
      <c r="D2789" t="s">
        <v>10866</v>
      </c>
    </row>
    <row r="2790" spans="1:4" x14ac:dyDescent="0.25">
      <c r="A2790" t="s">
        <v>5347</v>
      </c>
      <c r="D2790" t="s">
        <v>10867</v>
      </c>
    </row>
    <row r="2791" spans="1:4" x14ac:dyDescent="0.25">
      <c r="A2791" t="s">
        <v>5348</v>
      </c>
      <c r="D2791" t="s">
        <v>10868</v>
      </c>
    </row>
    <row r="2792" spans="1:4" x14ac:dyDescent="0.25">
      <c r="A2792" t="s">
        <v>5349</v>
      </c>
      <c r="D2792" t="s">
        <v>10869</v>
      </c>
    </row>
    <row r="2793" spans="1:4" x14ac:dyDescent="0.25">
      <c r="A2793" t="s">
        <v>5350</v>
      </c>
      <c r="D2793" t="s">
        <v>10870</v>
      </c>
    </row>
    <row r="2794" spans="1:4" x14ac:dyDescent="0.25">
      <c r="A2794" t="s">
        <v>5351</v>
      </c>
      <c r="D2794" t="s">
        <v>10871</v>
      </c>
    </row>
    <row r="2795" spans="1:4" x14ac:dyDescent="0.25">
      <c r="A2795" t="s">
        <v>5352</v>
      </c>
      <c r="D2795" t="s">
        <v>10872</v>
      </c>
    </row>
    <row r="2796" spans="1:4" x14ac:dyDescent="0.25">
      <c r="A2796" t="s">
        <v>5353</v>
      </c>
      <c r="D2796" t="s">
        <v>10873</v>
      </c>
    </row>
    <row r="2797" spans="1:4" x14ac:dyDescent="0.25">
      <c r="A2797" t="s">
        <v>5354</v>
      </c>
      <c r="D2797" t="s">
        <v>10874</v>
      </c>
    </row>
    <row r="2798" spans="1:4" x14ac:dyDescent="0.25">
      <c r="A2798" t="s">
        <v>5355</v>
      </c>
      <c r="D2798" t="s">
        <v>10875</v>
      </c>
    </row>
    <row r="2799" spans="1:4" x14ac:dyDescent="0.25">
      <c r="A2799" t="s">
        <v>5356</v>
      </c>
      <c r="D2799" t="s">
        <v>10876</v>
      </c>
    </row>
    <row r="2800" spans="1:4" x14ac:dyDescent="0.25">
      <c r="A2800" t="s">
        <v>5357</v>
      </c>
      <c r="D2800" t="s">
        <v>10877</v>
      </c>
    </row>
    <row r="2801" spans="1:4" x14ac:dyDescent="0.25">
      <c r="A2801" t="s">
        <v>5358</v>
      </c>
      <c r="D2801" t="s">
        <v>10878</v>
      </c>
    </row>
    <row r="2802" spans="1:4" x14ac:dyDescent="0.25">
      <c r="A2802" t="s">
        <v>5359</v>
      </c>
      <c r="D2802" t="s">
        <v>10879</v>
      </c>
    </row>
    <row r="2803" spans="1:4" x14ac:dyDescent="0.25">
      <c r="A2803" t="s">
        <v>5360</v>
      </c>
      <c r="D2803" t="s">
        <v>10880</v>
      </c>
    </row>
    <row r="2804" spans="1:4" x14ac:dyDescent="0.25">
      <c r="A2804" t="s">
        <v>5361</v>
      </c>
      <c r="D2804" t="s">
        <v>10881</v>
      </c>
    </row>
    <row r="2805" spans="1:4" x14ac:dyDescent="0.25">
      <c r="A2805" t="s">
        <v>5362</v>
      </c>
      <c r="D2805" t="s">
        <v>10882</v>
      </c>
    </row>
    <row r="2806" spans="1:4" x14ac:dyDescent="0.25">
      <c r="A2806" t="s">
        <v>5363</v>
      </c>
      <c r="D2806" t="s">
        <v>10883</v>
      </c>
    </row>
    <row r="2807" spans="1:4" x14ac:dyDescent="0.25">
      <c r="A2807" t="s">
        <v>5364</v>
      </c>
      <c r="D2807" t="s">
        <v>10884</v>
      </c>
    </row>
    <row r="2808" spans="1:4" x14ac:dyDescent="0.25">
      <c r="A2808" t="s">
        <v>5365</v>
      </c>
      <c r="D2808" t="s">
        <v>10885</v>
      </c>
    </row>
    <row r="2809" spans="1:4" x14ac:dyDescent="0.25">
      <c r="A2809" t="s">
        <v>5366</v>
      </c>
      <c r="D2809" t="s">
        <v>10886</v>
      </c>
    </row>
    <row r="2810" spans="1:4" x14ac:dyDescent="0.25">
      <c r="A2810" t="s">
        <v>5367</v>
      </c>
      <c r="D2810" t="s">
        <v>10887</v>
      </c>
    </row>
    <row r="2811" spans="1:4" x14ac:dyDescent="0.25">
      <c r="A2811" t="s">
        <v>5368</v>
      </c>
      <c r="D2811" t="s">
        <v>10888</v>
      </c>
    </row>
    <row r="2812" spans="1:4" x14ac:dyDescent="0.25">
      <c r="A2812" t="s">
        <v>5369</v>
      </c>
      <c r="D2812" t="s">
        <v>10889</v>
      </c>
    </row>
    <row r="2813" spans="1:4" x14ac:dyDescent="0.25">
      <c r="A2813" t="s">
        <v>5370</v>
      </c>
      <c r="D2813" t="s">
        <v>10890</v>
      </c>
    </row>
    <row r="2814" spans="1:4" x14ac:dyDescent="0.25">
      <c r="A2814" t="s">
        <v>5371</v>
      </c>
      <c r="D2814" t="s">
        <v>10891</v>
      </c>
    </row>
    <row r="2815" spans="1:4" x14ac:dyDescent="0.25">
      <c r="A2815" t="s">
        <v>5372</v>
      </c>
      <c r="D2815" t="s">
        <v>10892</v>
      </c>
    </row>
    <row r="2816" spans="1:4" x14ac:dyDescent="0.25">
      <c r="A2816" t="s">
        <v>5373</v>
      </c>
      <c r="D2816" t="s">
        <v>10893</v>
      </c>
    </row>
    <row r="2817" spans="1:4" x14ac:dyDescent="0.25">
      <c r="A2817" t="s">
        <v>5374</v>
      </c>
      <c r="D2817" t="s">
        <v>10894</v>
      </c>
    </row>
    <row r="2818" spans="1:4" x14ac:dyDescent="0.25">
      <c r="A2818" t="s">
        <v>5375</v>
      </c>
      <c r="D2818" t="s">
        <v>10895</v>
      </c>
    </row>
    <row r="2819" spans="1:4" x14ac:dyDescent="0.25">
      <c r="A2819" t="s">
        <v>5376</v>
      </c>
      <c r="D2819" t="s">
        <v>10896</v>
      </c>
    </row>
    <row r="2820" spans="1:4" x14ac:dyDescent="0.25">
      <c r="A2820" t="s">
        <v>5377</v>
      </c>
      <c r="D2820" t="s">
        <v>10897</v>
      </c>
    </row>
    <row r="2821" spans="1:4" x14ac:dyDescent="0.25">
      <c r="A2821" t="s">
        <v>5378</v>
      </c>
      <c r="D2821" t="s">
        <v>10898</v>
      </c>
    </row>
    <row r="2822" spans="1:4" x14ac:dyDescent="0.25">
      <c r="A2822" t="s">
        <v>5379</v>
      </c>
      <c r="D2822" t="s">
        <v>10899</v>
      </c>
    </row>
    <row r="2823" spans="1:4" x14ac:dyDescent="0.25">
      <c r="A2823" t="s">
        <v>5380</v>
      </c>
      <c r="D2823" t="s">
        <v>10900</v>
      </c>
    </row>
    <row r="2824" spans="1:4" x14ac:dyDescent="0.25">
      <c r="A2824" t="s">
        <v>5381</v>
      </c>
      <c r="D2824" t="s">
        <v>10901</v>
      </c>
    </row>
    <row r="2825" spans="1:4" x14ac:dyDescent="0.25">
      <c r="A2825" t="s">
        <v>5382</v>
      </c>
      <c r="D2825" t="s">
        <v>10902</v>
      </c>
    </row>
    <row r="2826" spans="1:4" x14ac:dyDescent="0.25">
      <c r="A2826" t="s">
        <v>5383</v>
      </c>
      <c r="D2826" t="s">
        <v>10903</v>
      </c>
    </row>
    <row r="2827" spans="1:4" x14ac:dyDescent="0.25">
      <c r="A2827" t="s">
        <v>5384</v>
      </c>
      <c r="D2827" t="s">
        <v>10904</v>
      </c>
    </row>
    <row r="2828" spans="1:4" x14ac:dyDescent="0.25">
      <c r="A2828" t="s">
        <v>5385</v>
      </c>
      <c r="D2828" t="s">
        <v>10905</v>
      </c>
    </row>
    <row r="2829" spans="1:4" x14ac:dyDescent="0.25">
      <c r="A2829" t="s">
        <v>5386</v>
      </c>
      <c r="D2829" t="s">
        <v>10906</v>
      </c>
    </row>
    <row r="2830" spans="1:4" x14ac:dyDescent="0.25">
      <c r="A2830" t="s">
        <v>5387</v>
      </c>
      <c r="D2830" t="s">
        <v>10907</v>
      </c>
    </row>
    <row r="2831" spans="1:4" x14ac:dyDescent="0.25">
      <c r="A2831" t="s">
        <v>5388</v>
      </c>
      <c r="D2831" t="s">
        <v>10908</v>
      </c>
    </row>
    <row r="2832" spans="1:4" x14ac:dyDescent="0.25">
      <c r="A2832" t="s">
        <v>5389</v>
      </c>
      <c r="D2832" t="s">
        <v>10909</v>
      </c>
    </row>
    <row r="2833" spans="1:4" x14ac:dyDescent="0.25">
      <c r="A2833" t="s">
        <v>5390</v>
      </c>
      <c r="D2833" t="s">
        <v>10910</v>
      </c>
    </row>
    <row r="2834" spans="1:4" x14ac:dyDescent="0.25">
      <c r="A2834" t="s">
        <v>5391</v>
      </c>
      <c r="D2834" t="s">
        <v>10911</v>
      </c>
    </row>
    <row r="2835" spans="1:4" x14ac:dyDescent="0.25">
      <c r="A2835" t="s">
        <v>5392</v>
      </c>
      <c r="D2835" t="s">
        <v>10912</v>
      </c>
    </row>
    <row r="2836" spans="1:4" x14ac:dyDescent="0.25">
      <c r="A2836" t="s">
        <v>5393</v>
      </c>
      <c r="D2836" t="s">
        <v>10913</v>
      </c>
    </row>
    <row r="2837" spans="1:4" x14ac:dyDescent="0.25">
      <c r="A2837" t="s">
        <v>5394</v>
      </c>
      <c r="D2837" t="s">
        <v>10914</v>
      </c>
    </row>
    <row r="2838" spans="1:4" x14ac:dyDescent="0.25">
      <c r="A2838" t="s">
        <v>5395</v>
      </c>
      <c r="D2838" t="s">
        <v>10915</v>
      </c>
    </row>
    <row r="2839" spans="1:4" x14ac:dyDescent="0.25">
      <c r="A2839" t="s">
        <v>5396</v>
      </c>
      <c r="D2839" t="s">
        <v>10916</v>
      </c>
    </row>
    <row r="2840" spans="1:4" x14ac:dyDescent="0.25">
      <c r="A2840" t="s">
        <v>5397</v>
      </c>
      <c r="D2840" t="s">
        <v>10917</v>
      </c>
    </row>
    <row r="2841" spans="1:4" x14ac:dyDescent="0.25">
      <c r="A2841" t="s">
        <v>5398</v>
      </c>
      <c r="D2841" t="s">
        <v>10918</v>
      </c>
    </row>
    <row r="2842" spans="1:4" x14ac:dyDescent="0.25">
      <c r="A2842" t="s">
        <v>5399</v>
      </c>
      <c r="D2842" t="s">
        <v>10919</v>
      </c>
    </row>
    <row r="2843" spans="1:4" x14ac:dyDescent="0.25">
      <c r="A2843" t="s">
        <v>5400</v>
      </c>
      <c r="D2843" t="s">
        <v>10920</v>
      </c>
    </row>
    <row r="2844" spans="1:4" x14ac:dyDescent="0.25">
      <c r="A2844" t="s">
        <v>5401</v>
      </c>
      <c r="D2844" t="s">
        <v>10921</v>
      </c>
    </row>
    <row r="2845" spans="1:4" x14ac:dyDescent="0.25">
      <c r="A2845" t="s">
        <v>5402</v>
      </c>
      <c r="D2845" t="s">
        <v>10922</v>
      </c>
    </row>
    <row r="2846" spans="1:4" x14ac:dyDescent="0.25">
      <c r="A2846" t="s">
        <v>5403</v>
      </c>
      <c r="D2846" t="s">
        <v>10923</v>
      </c>
    </row>
    <row r="2847" spans="1:4" x14ac:dyDescent="0.25">
      <c r="A2847" t="s">
        <v>5404</v>
      </c>
      <c r="D2847" t="s">
        <v>10924</v>
      </c>
    </row>
    <row r="2848" spans="1:4" x14ac:dyDescent="0.25">
      <c r="A2848" t="s">
        <v>5405</v>
      </c>
      <c r="D2848" t="s">
        <v>10925</v>
      </c>
    </row>
    <row r="2849" spans="1:4" x14ac:dyDescent="0.25">
      <c r="A2849" t="s">
        <v>5406</v>
      </c>
      <c r="D2849" t="s">
        <v>10926</v>
      </c>
    </row>
    <row r="2850" spans="1:4" x14ac:dyDescent="0.25">
      <c r="A2850" t="s">
        <v>5407</v>
      </c>
      <c r="D2850" t="s">
        <v>10927</v>
      </c>
    </row>
    <row r="2851" spans="1:4" x14ac:dyDescent="0.25">
      <c r="A2851" t="s">
        <v>5408</v>
      </c>
      <c r="D2851" t="s">
        <v>10928</v>
      </c>
    </row>
    <row r="2852" spans="1:4" x14ac:dyDescent="0.25">
      <c r="A2852" t="s">
        <v>5409</v>
      </c>
      <c r="D2852" t="s">
        <v>10929</v>
      </c>
    </row>
    <row r="2853" spans="1:4" x14ac:dyDescent="0.25">
      <c r="A2853" t="s">
        <v>5410</v>
      </c>
      <c r="D2853" t="s">
        <v>10930</v>
      </c>
    </row>
    <row r="2854" spans="1:4" x14ac:dyDescent="0.25">
      <c r="A2854" t="s">
        <v>5411</v>
      </c>
      <c r="D2854" t="s">
        <v>10931</v>
      </c>
    </row>
    <row r="2855" spans="1:4" x14ac:dyDescent="0.25">
      <c r="A2855" t="s">
        <v>5412</v>
      </c>
      <c r="D2855" t="s">
        <v>10932</v>
      </c>
    </row>
    <row r="2856" spans="1:4" x14ac:dyDescent="0.25">
      <c r="A2856" t="s">
        <v>5413</v>
      </c>
      <c r="D2856" t="s">
        <v>10933</v>
      </c>
    </row>
    <row r="2857" spans="1:4" x14ac:dyDescent="0.25">
      <c r="A2857" t="s">
        <v>5414</v>
      </c>
      <c r="D2857" t="s">
        <v>10934</v>
      </c>
    </row>
    <row r="2858" spans="1:4" x14ac:dyDescent="0.25">
      <c r="A2858" t="s">
        <v>5415</v>
      </c>
      <c r="D2858" t="s">
        <v>10935</v>
      </c>
    </row>
    <row r="2859" spans="1:4" x14ac:dyDescent="0.25">
      <c r="A2859" t="s">
        <v>5416</v>
      </c>
      <c r="D2859" t="s">
        <v>10936</v>
      </c>
    </row>
    <row r="2860" spans="1:4" x14ac:dyDescent="0.25">
      <c r="A2860" t="s">
        <v>5417</v>
      </c>
      <c r="D2860" t="s">
        <v>10937</v>
      </c>
    </row>
    <row r="2861" spans="1:4" x14ac:dyDescent="0.25">
      <c r="A2861" t="s">
        <v>5418</v>
      </c>
      <c r="D2861" t="s">
        <v>10938</v>
      </c>
    </row>
    <row r="2862" spans="1:4" x14ac:dyDescent="0.25">
      <c r="A2862" t="s">
        <v>5419</v>
      </c>
      <c r="D2862" t="s">
        <v>10939</v>
      </c>
    </row>
    <row r="2863" spans="1:4" x14ac:dyDescent="0.25">
      <c r="A2863" t="s">
        <v>5420</v>
      </c>
      <c r="D2863" t="s">
        <v>10940</v>
      </c>
    </row>
    <row r="2864" spans="1:4" x14ac:dyDescent="0.25">
      <c r="A2864" t="s">
        <v>5421</v>
      </c>
      <c r="D2864" t="s">
        <v>10941</v>
      </c>
    </row>
    <row r="2865" spans="1:4" x14ac:dyDescent="0.25">
      <c r="A2865" t="s">
        <v>5422</v>
      </c>
      <c r="D2865" t="s">
        <v>10942</v>
      </c>
    </row>
    <row r="2866" spans="1:4" x14ac:dyDescent="0.25">
      <c r="A2866" t="s">
        <v>5423</v>
      </c>
      <c r="D2866" t="s">
        <v>10943</v>
      </c>
    </row>
    <row r="2867" spans="1:4" x14ac:dyDescent="0.25">
      <c r="A2867" t="s">
        <v>5424</v>
      </c>
      <c r="D2867" t="s">
        <v>10944</v>
      </c>
    </row>
    <row r="2868" spans="1:4" x14ac:dyDescent="0.25">
      <c r="A2868" t="s">
        <v>5425</v>
      </c>
      <c r="D2868" t="s">
        <v>10945</v>
      </c>
    </row>
    <row r="2869" spans="1:4" x14ac:dyDescent="0.25">
      <c r="A2869" t="s">
        <v>5426</v>
      </c>
      <c r="D2869" t="s">
        <v>10946</v>
      </c>
    </row>
    <row r="2870" spans="1:4" x14ac:dyDescent="0.25">
      <c r="A2870" t="s">
        <v>5427</v>
      </c>
      <c r="D2870" t="s">
        <v>10947</v>
      </c>
    </row>
    <row r="2871" spans="1:4" x14ac:dyDescent="0.25">
      <c r="A2871" t="s">
        <v>5428</v>
      </c>
      <c r="D2871" t="s">
        <v>10948</v>
      </c>
    </row>
    <row r="2872" spans="1:4" x14ac:dyDescent="0.25">
      <c r="A2872" t="s">
        <v>5429</v>
      </c>
      <c r="D2872" t="s">
        <v>10949</v>
      </c>
    </row>
    <row r="2873" spans="1:4" x14ac:dyDescent="0.25">
      <c r="A2873" t="s">
        <v>5430</v>
      </c>
      <c r="D2873" t="s">
        <v>10950</v>
      </c>
    </row>
    <row r="2874" spans="1:4" x14ac:dyDescent="0.25">
      <c r="A2874" t="s">
        <v>5431</v>
      </c>
      <c r="D2874" t="s">
        <v>10951</v>
      </c>
    </row>
    <row r="2875" spans="1:4" x14ac:dyDescent="0.25">
      <c r="A2875" t="s">
        <v>5432</v>
      </c>
      <c r="D2875" t="s">
        <v>10952</v>
      </c>
    </row>
    <row r="2876" spans="1:4" x14ac:dyDescent="0.25">
      <c r="A2876" t="s">
        <v>5433</v>
      </c>
      <c r="D2876" t="s">
        <v>10953</v>
      </c>
    </row>
    <row r="2877" spans="1:4" x14ac:dyDescent="0.25">
      <c r="A2877" t="s">
        <v>5434</v>
      </c>
      <c r="D2877" t="s">
        <v>10954</v>
      </c>
    </row>
    <row r="2878" spans="1:4" x14ac:dyDescent="0.25">
      <c r="A2878" t="s">
        <v>5435</v>
      </c>
      <c r="D2878" t="s">
        <v>10955</v>
      </c>
    </row>
    <row r="2879" spans="1:4" x14ac:dyDescent="0.25">
      <c r="A2879" t="s">
        <v>5436</v>
      </c>
      <c r="D2879" t="s">
        <v>10956</v>
      </c>
    </row>
    <row r="2880" spans="1:4" x14ac:dyDescent="0.25">
      <c r="A2880" t="s">
        <v>5437</v>
      </c>
      <c r="D2880" t="s">
        <v>10957</v>
      </c>
    </row>
    <row r="2881" spans="1:4" x14ac:dyDescent="0.25">
      <c r="A2881" t="s">
        <v>5438</v>
      </c>
      <c r="D2881" t="s">
        <v>10958</v>
      </c>
    </row>
    <row r="2882" spans="1:4" x14ac:dyDescent="0.25">
      <c r="A2882" t="s">
        <v>5439</v>
      </c>
      <c r="D2882" t="s">
        <v>10959</v>
      </c>
    </row>
    <row r="2883" spans="1:4" x14ac:dyDescent="0.25">
      <c r="A2883" t="s">
        <v>5440</v>
      </c>
      <c r="D2883" t="s">
        <v>10960</v>
      </c>
    </row>
    <row r="2884" spans="1:4" x14ac:dyDescent="0.25">
      <c r="A2884" t="s">
        <v>5441</v>
      </c>
      <c r="D2884" t="s">
        <v>10961</v>
      </c>
    </row>
    <row r="2885" spans="1:4" x14ac:dyDescent="0.25">
      <c r="A2885" t="s">
        <v>5442</v>
      </c>
      <c r="D2885" t="s">
        <v>10962</v>
      </c>
    </row>
    <row r="2886" spans="1:4" x14ac:dyDescent="0.25">
      <c r="A2886" t="s">
        <v>5443</v>
      </c>
      <c r="D2886" t="s">
        <v>10963</v>
      </c>
    </row>
    <row r="2887" spans="1:4" x14ac:dyDescent="0.25">
      <c r="A2887" t="s">
        <v>5444</v>
      </c>
      <c r="D2887" t="s">
        <v>10964</v>
      </c>
    </row>
    <row r="2888" spans="1:4" x14ac:dyDescent="0.25">
      <c r="A2888" t="s">
        <v>5445</v>
      </c>
      <c r="D2888" t="s">
        <v>10965</v>
      </c>
    </row>
    <row r="2889" spans="1:4" x14ac:dyDescent="0.25">
      <c r="A2889" t="s">
        <v>5446</v>
      </c>
      <c r="D2889" t="s">
        <v>10966</v>
      </c>
    </row>
    <row r="2890" spans="1:4" x14ac:dyDescent="0.25">
      <c r="A2890" t="s">
        <v>5447</v>
      </c>
      <c r="D2890" t="s">
        <v>10967</v>
      </c>
    </row>
    <row r="2891" spans="1:4" x14ac:dyDescent="0.25">
      <c r="A2891" t="s">
        <v>5448</v>
      </c>
      <c r="D2891" t="s">
        <v>10968</v>
      </c>
    </row>
    <row r="2892" spans="1:4" x14ac:dyDescent="0.25">
      <c r="A2892" t="s">
        <v>5449</v>
      </c>
      <c r="D2892" t="s">
        <v>10969</v>
      </c>
    </row>
    <row r="2893" spans="1:4" x14ac:dyDescent="0.25">
      <c r="A2893" t="s">
        <v>5450</v>
      </c>
      <c r="D2893" t="s">
        <v>10970</v>
      </c>
    </row>
    <row r="2894" spans="1:4" x14ac:dyDescent="0.25">
      <c r="A2894" t="s">
        <v>5451</v>
      </c>
      <c r="D2894" t="s">
        <v>10971</v>
      </c>
    </row>
    <row r="2895" spans="1:4" x14ac:dyDescent="0.25">
      <c r="A2895" t="s">
        <v>5452</v>
      </c>
      <c r="D2895" t="s">
        <v>10972</v>
      </c>
    </row>
    <row r="2896" spans="1:4" x14ac:dyDescent="0.25">
      <c r="A2896" t="s">
        <v>5453</v>
      </c>
      <c r="D2896" t="s">
        <v>10973</v>
      </c>
    </row>
    <row r="2897" spans="1:4" x14ac:dyDescent="0.25">
      <c r="A2897" t="s">
        <v>5454</v>
      </c>
      <c r="D2897" t="s">
        <v>10974</v>
      </c>
    </row>
    <row r="2898" spans="1:4" x14ac:dyDescent="0.25">
      <c r="A2898" t="s">
        <v>5455</v>
      </c>
      <c r="D2898" t="s">
        <v>10975</v>
      </c>
    </row>
    <row r="2899" spans="1:4" x14ac:dyDescent="0.25">
      <c r="A2899" t="s">
        <v>5456</v>
      </c>
      <c r="D2899" t="s">
        <v>10976</v>
      </c>
    </row>
    <row r="2900" spans="1:4" x14ac:dyDescent="0.25">
      <c r="A2900" t="s">
        <v>5457</v>
      </c>
      <c r="D2900" t="s">
        <v>10977</v>
      </c>
    </row>
    <row r="2901" spans="1:4" x14ac:dyDescent="0.25">
      <c r="A2901" t="s">
        <v>5458</v>
      </c>
      <c r="D2901" t="s">
        <v>10978</v>
      </c>
    </row>
    <row r="2902" spans="1:4" x14ac:dyDescent="0.25">
      <c r="A2902" t="s">
        <v>5459</v>
      </c>
      <c r="D2902" t="s">
        <v>10979</v>
      </c>
    </row>
    <row r="2903" spans="1:4" x14ac:dyDescent="0.25">
      <c r="A2903" t="s">
        <v>5460</v>
      </c>
      <c r="D2903" t="s">
        <v>10980</v>
      </c>
    </row>
    <row r="2904" spans="1:4" x14ac:dyDescent="0.25">
      <c r="A2904" t="s">
        <v>5461</v>
      </c>
      <c r="D2904" t="s">
        <v>10981</v>
      </c>
    </row>
    <row r="2905" spans="1:4" x14ac:dyDescent="0.25">
      <c r="A2905" t="s">
        <v>5462</v>
      </c>
      <c r="D2905" t="s">
        <v>10982</v>
      </c>
    </row>
    <row r="2906" spans="1:4" x14ac:dyDescent="0.25">
      <c r="A2906" t="s">
        <v>5463</v>
      </c>
      <c r="D2906" t="s">
        <v>10983</v>
      </c>
    </row>
    <row r="2907" spans="1:4" x14ac:dyDescent="0.25">
      <c r="A2907" t="s">
        <v>5464</v>
      </c>
      <c r="D2907" t="s">
        <v>10984</v>
      </c>
    </row>
    <row r="2908" spans="1:4" x14ac:dyDescent="0.25">
      <c r="A2908" t="s">
        <v>5465</v>
      </c>
      <c r="D2908" t="s">
        <v>10985</v>
      </c>
    </row>
    <row r="2909" spans="1:4" x14ac:dyDescent="0.25">
      <c r="A2909" t="s">
        <v>5466</v>
      </c>
      <c r="D2909" t="s">
        <v>10986</v>
      </c>
    </row>
    <row r="2910" spans="1:4" x14ac:dyDescent="0.25">
      <c r="A2910" t="s">
        <v>5467</v>
      </c>
      <c r="D2910" t="s">
        <v>10987</v>
      </c>
    </row>
    <row r="2911" spans="1:4" x14ac:dyDescent="0.25">
      <c r="A2911" t="s">
        <v>5468</v>
      </c>
      <c r="D2911" t="s">
        <v>10988</v>
      </c>
    </row>
    <row r="2912" spans="1:4" x14ac:dyDescent="0.25">
      <c r="A2912" t="s">
        <v>5469</v>
      </c>
      <c r="D2912" t="s">
        <v>10989</v>
      </c>
    </row>
    <row r="2913" spans="1:4" x14ac:dyDescent="0.25">
      <c r="A2913" t="s">
        <v>5470</v>
      </c>
      <c r="D2913" t="s">
        <v>10990</v>
      </c>
    </row>
    <row r="2914" spans="1:4" x14ac:dyDescent="0.25">
      <c r="A2914" t="s">
        <v>5471</v>
      </c>
      <c r="D2914" t="s">
        <v>10991</v>
      </c>
    </row>
    <row r="2915" spans="1:4" x14ac:dyDescent="0.25">
      <c r="A2915" t="s">
        <v>5472</v>
      </c>
      <c r="D2915" t="s">
        <v>10992</v>
      </c>
    </row>
    <row r="2916" spans="1:4" x14ac:dyDescent="0.25">
      <c r="A2916" t="s">
        <v>5473</v>
      </c>
      <c r="D2916" t="s">
        <v>10993</v>
      </c>
    </row>
    <row r="2917" spans="1:4" x14ac:dyDescent="0.25">
      <c r="A2917" t="s">
        <v>5474</v>
      </c>
      <c r="D2917" t="s">
        <v>10994</v>
      </c>
    </row>
    <row r="2918" spans="1:4" x14ac:dyDescent="0.25">
      <c r="A2918" t="s">
        <v>5475</v>
      </c>
      <c r="D2918" t="s">
        <v>10995</v>
      </c>
    </row>
    <row r="2919" spans="1:4" x14ac:dyDescent="0.25">
      <c r="A2919" t="s">
        <v>5476</v>
      </c>
      <c r="D2919" t="s">
        <v>10996</v>
      </c>
    </row>
    <row r="2920" spans="1:4" x14ac:dyDescent="0.25">
      <c r="A2920" t="s">
        <v>5477</v>
      </c>
      <c r="D2920" t="s">
        <v>10997</v>
      </c>
    </row>
    <row r="2921" spans="1:4" x14ac:dyDescent="0.25">
      <c r="A2921" t="s">
        <v>5478</v>
      </c>
      <c r="D2921" t="s">
        <v>10998</v>
      </c>
    </row>
    <row r="2922" spans="1:4" x14ac:dyDescent="0.25">
      <c r="A2922" t="s">
        <v>5479</v>
      </c>
      <c r="D2922" t="s">
        <v>10999</v>
      </c>
    </row>
    <row r="2923" spans="1:4" x14ac:dyDescent="0.25">
      <c r="A2923" t="s">
        <v>5480</v>
      </c>
      <c r="D2923" t="s">
        <v>11000</v>
      </c>
    </row>
    <row r="2924" spans="1:4" x14ac:dyDescent="0.25">
      <c r="A2924" t="s">
        <v>5481</v>
      </c>
      <c r="D2924" t="s">
        <v>11001</v>
      </c>
    </row>
    <row r="2925" spans="1:4" x14ac:dyDescent="0.25">
      <c r="A2925" t="s">
        <v>5482</v>
      </c>
      <c r="D2925" t="s">
        <v>11002</v>
      </c>
    </row>
    <row r="2926" spans="1:4" x14ac:dyDescent="0.25">
      <c r="A2926" t="s">
        <v>5483</v>
      </c>
      <c r="D2926" t="s">
        <v>11003</v>
      </c>
    </row>
    <row r="2927" spans="1:4" x14ac:dyDescent="0.25">
      <c r="A2927" t="s">
        <v>5484</v>
      </c>
      <c r="D2927" t="s">
        <v>11004</v>
      </c>
    </row>
    <row r="2928" spans="1:4" x14ac:dyDescent="0.25">
      <c r="A2928" t="s">
        <v>5485</v>
      </c>
      <c r="D2928" t="s">
        <v>11005</v>
      </c>
    </row>
    <row r="2929" spans="1:4" x14ac:dyDescent="0.25">
      <c r="A2929" t="s">
        <v>5486</v>
      </c>
      <c r="D2929" t="s">
        <v>11006</v>
      </c>
    </row>
    <row r="2930" spans="1:4" x14ac:dyDescent="0.25">
      <c r="A2930" t="s">
        <v>5487</v>
      </c>
      <c r="D2930" t="s">
        <v>11007</v>
      </c>
    </row>
    <row r="2931" spans="1:4" x14ac:dyDescent="0.25">
      <c r="A2931" t="s">
        <v>5488</v>
      </c>
      <c r="D2931" t="s">
        <v>11008</v>
      </c>
    </row>
    <row r="2932" spans="1:4" x14ac:dyDescent="0.25">
      <c r="A2932" t="s">
        <v>5489</v>
      </c>
      <c r="D2932" t="s">
        <v>11009</v>
      </c>
    </row>
    <row r="2933" spans="1:4" x14ac:dyDescent="0.25">
      <c r="A2933" t="s">
        <v>5490</v>
      </c>
      <c r="D2933" t="s">
        <v>11010</v>
      </c>
    </row>
    <row r="2934" spans="1:4" x14ac:dyDescent="0.25">
      <c r="A2934" t="s">
        <v>5491</v>
      </c>
      <c r="D2934" t="s">
        <v>11011</v>
      </c>
    </row>
    <row r="2935" spans="1:4" x14ac:dyDescent="0.25">
      <c r="A2935" t="s">
        <v>5492</v>
      </c>
      <c r="D2935" t="s">
        <v>11012</v>
      </c>
    </row>
    <row r="2936" spans="1:4" x14ac:dyDescent="0.25">
      <c r="A2936" t="s">
        <v>5493</v>
      </c>
      <c r="D2936" t="s">
        <v>11013</v>
      </c>
    </row>
    <row r="2937" spans="1:4" x14ac:dyDescent="0.25">
      <c r="A2937" t="s">
        <v>5494</v>
      </c>
      <c r="D2937" t="s">
        <v>11014</v>
      </c>
    </row>
    <row r="2938" spans="1:4" x14ac:dyDescent="0.25">
      <c r="A2938" t="s">
        <v>5495</v>
      </c>
      <c r="D2938" t="s">
        <v>11015</v>
      </c>
    </row>
    <row r="2939" spans="1:4" x14ac:dyDescent="0.25">
      <c r="A2939" t="s">
        <v>5496</v>
      </c>
      <c r="D2939" t="s">
        <v>11016</v>
      </c>
    </row>
    <row r="2940" spans="1:4" x14ac:dyDescent="0.25">
      <c r="A2940" t="s">
        <v>5497</v>
      </c>
      <c r="D2940" t="s">
        <v>11017</v>
      </c>
    </row>
    <row r="2941" spans="1:4" x14ac:dyDescent="0.25">
      <c r="A2941" t="s">
        <v>5498</v>
      </c>
      <c r="D2941" t="s">
        <v>11018</v>
      </c>
    </row>
    <row r="2942" spans="1:4" x14ac:dyDescent="0.25">
      <c r="A2942" t="s">
        <v>5499</v>
      </c>
      <c r="D2942" t="s">
        <v>11019</v>
      </c>
    </row>
    <row r="2943" spans="1:4" x14ac:dyDescent="0.25">
      <c r="A2943" t="s">
        <v>5500</v>
      </c>
      <c r="D2943" t="s">
        <v>11020</v>
      </c>
    </row>
    <row r="2944" spans="1:4" x14ac:dyDescent="0.25">
      <c r="A2944" t="s">
        <v>5501</v>
      </c>
      <c r="D2944" t="s">
        <v>11021</v>
      </c>
    </row>
    <row r="2945" spans="1:4" x14ac:dyDescent="0.25">
      <c r="A2945" t="s">
        <v>5502</v>
      </c>
      <c r="D2945" t="s">
        <v>11022</v>
      </c>
    </row>
    <row r="2946" spans="1:4" x14ac:dyDescent="0.25">
      <c r="A2946" t="s">
        <v>5503</v>
      </c>
      <c r="D2946" t="s">
        <v>11023</v>
      </c>
    </row>
    <row r="2947" spans="1:4" x14ac:dyDescent="0.25">
      <c r="A2947" t="s">
        <v>5504</v>
      </c>
      <c r="D2947" t="s">
        <v>11024</v>
      </c>
    </row>
    <row r="2948" spans="1:4" x14ac:dyDescent="0.25">
      <c r="A2948" t="s">
        <v>5505</v>
      </c>
      <c r="D2948" t="s">
        <v>11025</v>
      </c>
    </row>
    <row r="2949" spans="1:4" x14ac:dyDescent="0.25">
      <c r="A2949" t="s">
        <v>5506</v>
      </c>
      <c r="D2949" t="s">
        <v>11026</v>
      </c>
    </row>
    <row r="2950" spans="1:4" x14ac:dyDescent="0.25">
      <c r="A2950" t="s">
        <v>5507</v>
      </c>
      <c r="D2950" t="s">
        <v>11027</v>
      </c>
    </row>
    <row r="2951" spans="1:4" x14ac:dyDescent="0.25">
      <c r="A2951" t="s">
        <v>5508</v>
      </c>
      <c r="D2951" t="s">
        <v>11028</v>
      </c>
    </row>
    <row r="2952" spans="1:4" x14ac:dyDescent="0.25">
      <c r="A2952" t="s">
        <v>5509</v>
      </c>
      <c r="D2952" t="s">
        <v>11029</v>
      </c>
    </row>
    <row r="2953" spans="1:4" x14ac:dyDescent="0.25">
      <c r="A2953" t="s">
        <v>5510</v>
      </c>
      <c r="D2953" t="s">
        <v>11030</v>
      </c>
    </row>
    <row r="2954" spans="1:4" x14ac:dyDescent="0.25">
      <c r="A2954" t="s">
        <v>5511</v>
      </c>
      <c r="D2954" t="s">
        <v>11031</v>
      </c>
    </row>
    <row r="2955" spans="1:4" x14ac:dyDescent="0.25">
      <c r="A2955" t="s">
        <v>5512</v>
      </c>
      <c r="D2955" t="s">
        <v>11032</v>
      </c>
    </row>
    <row r="2956" spans="1:4" x14ac:dyDescent="0.25">
      <c r="A2956" t="s">
        <v>5513</v>
      </c>
      <c r="D2956" t="s">
        <v>11033</v>
      </c>
    </row>
    <row r="2957" spans="1:4" x14ac:dyDescent="0.25">
      <c r="A2957" t="s">
        <v>5514</v>
      </c>
      <c r="D2957" t="s">
        <v>11034</v>
      </c>
    </row>
    <row r="2958" spans="1:4" x14ac:dyDescent="0.25">
      <c r="A2958" t="s">
        <v>5515</v>
      </c>
      <c r="D2958" t="s">
        <v>11035</v>
      </c>
    </row>
    <row r="2959" spans="1:4" x14ac:dyDescent="0.25">
      <c r="A2959" t="s">
        <v>5516</v>
      </c>
      <c r="D2959" t="s">
        <v>11036</v>
      </c>
    </row>
    <row r="2960" spans="1:4" x14ac:dyDescent="0.25">
      <c r="A2960" t="s">
        <v>5517</v>
      </c>
      <c r="D2960" t="s">
        <v>11037</v>
      </c>
    </row>
    <row r="2961" spans="1:4" x14ac:dyDescent="0.25">
      <c r="A2961" t="s">
        <v>5518</v>
      </c>
      <c r="D2961" t="s">
        <v>11038</v>
      </c>
    </row>
    <row r="2962" spans="1:4" x14ac:dyDescent="0.25">
      <c r="A2962" t="s">
        <v>5519</v>
      </c>
      <c r="D2962" t="s">
        <v>11039</v>
      </c>
    </row>
    <row r="2963" spans="1:4" x14ac:dyDescent="0.25">
      <c r="A2963" t="s">
        <v>5520</v>
      </c>
      <c r="D2963" t="s">
        <v>11040</v>
      </c>
    </row>
    <row r="2964" spans="1:4" x14ac:dyDescent="0.25">
      <c r="A2964" t="s">
        <v>5521</v>
      </c>
      <c r="D2964" t="s">
        <v>11041</v>
      </c>
    </row>
    <row r="2965" spans="1:4" x14ac:dyDescent="0.25">
      <c r="A2965" t="s">
        <v>5522</v>
      </c>
      <c r="D2965" t="s">
        <v>11042</v>
      </c>
    </row>
    <row r="2966" spans="1:4" x14ac:dyDescent="0.25">
      <c r="A2966" t="s">
        <v>5523</v>
      </c>
      <c r="D2966" t="s">
        <v>11043</v>
      </c>
    </row>
    <row r="2967" spans="1:4" x14ac:dyDescent="0.25">
      <c r="A2967" t="s">
        <v>5524</v>
      </c>
      <c r="D2967" t="s">
        <v>11044</v>
      </c>
    </row>
    <row r="2968" spans="1:4" x14ac:dyDescent="0.25">
      <c r="A2968" t="s">
        <v>5525</v>
      </c>
      <c r="D2968" t="s">
        <v>11045</v>
      </c>
    </row>
    <row r="2969" spans="1:4" x14ac:dyDescent="0.25">
      <c r="A2969" t="s">
        <v>5526</v>
      </c>
      <c r="D2969" t="s">
        <v>11046</v>
      </c>
    </row>
    <row r="2970" spans="1:4" x14ac:dyDescent="0.25">
      <c r="A2970" t="s">
        <v>5527</v>
      </c>
      <c r="D2970" t="s">
        <v>11047</v>
      </c>
    </row>
    <row r="2971" spans="1:4" x14ac:dyDescent="0.25">
      <c r="A2971" t="s">
        <v>5528</v>
      </c>
      <c r="D2971" t="s">
        <v>11048</v>
      </c>
    </row>
    <row r="2972" spans="1:4" x14ac:dyDescent="0.25">
      <c r="A2972" t="s">
        <v>5529</v>
      </c>
      <c r="D2972" t="s">
        <v>11049</v>
      </c>
    </row>
    <row r="2973" spans="1:4" x14ac:dyDescent="0.25">
      <c r="A2973" t="s">
        <v>5530</v>
      </c>
      <c r="D2973" t="s">
        <v>11050</v>
      </c>
    </row>
    <row r="2974" spans="1:4" x14ac:dyDescent="0.25">
      <c r="A2974" t="s">
        <v>5531</v>
      </c>
      <c r="D2974" t="s">
        <v>11051</v>
      </c>
    </row>
    <row r="2975" spans="1:4" x14ac:dyDescent="0.25">
      <c r="A2975" t="s">
        <v>5532</v>
      </c>
      <c r="D2975" t="s">
        <v>11052</v>
      </c>
    </row>
    <row r="2976" spans="1:4" x14ac:dyDescent="0.25">
      <c r="A2976" t="s">
        <v>5533</v>
      </c>
      <c r="D2976" t="s">
        <v>11053</v>
      </c>
    </row>
    <row r="2977" spans="1:4" x14ac:dyDescent="0.25">
      <c r="A2977" t="s">
        <v>5534</v>
      </c>
      <c r="D2977" t="s">
        <v>11054</v>
      </c>
    </row>
    <row r="2978" spans="1:4" x14ac:dyDescent="0.25">
      <c r="A2978" t="s">
        <v>5535</v>
      </c>
      <c r="D2978" t="s">
        <v>11055</v>
      </c>
    </row>
    <row r="2979" spans="1:4" x14ac:dyDescent="0.25">
      <c r="A2979" t="s">
        <v>5536</v>
      </c>
      <c r="D2979" t="s">
        <v>11056</v>
      </c>
    </row>
    <row r="2980" spans="1:4" x14ac:dyDescent="0.25">
      <c r="A2980" t="s">
        <v>5537</v>
      </c>
      <c r="D2980" t="s">
        <v>11057</v>
      </c>
    </row>
    <row r="2981" spans="1:4" x14ac:dyDescent="0.25">
      <c r="A2981" t="s">
        <v>5538</v>
      </c>
      <c r="D2981" t="s">
        <v>11058</v>
      </c>
    </row>
    <row r="2982" spans="1:4" x14ac:dyDescent="0.25">
      <c r="A2982" t="s">
        <v>5539</v>
      </c>
      <c r="D2982" t="s">
        <v>11059</v>
      </c>
    </row>
    <row r="2983" spans="1:4" x14ac:dyDescent="0.25">
      <c r="A2983" t="s">
        <v>5540</v>
      </c>
      <c r="D2983" t="s">
        <v>11060</v>
      </c>
    </row>
    <row r="2984" spans="1:4" x14ac:dyDescent="0.25">
      <c r="A2984" t="s">
        <v>5541</v>
      </c>
      <c r="D2984" t="s">
        <v>11061</v>
      </c>
    </row>
    <row r="2985" spans="1:4" x14ac:dyDescent="0.25">
      <c r="A2985" t="s">
        <v>5542</v>
      </c>
      <c r="D2985" t="s">
        <v>11062</v>
      </c>
    </row>
    <row r="2986" spans="1:4" x14ac:dyDescent="0.25">
      <c r="A2986" t="s">
        <v>5543</v>
      </c>
      <c r="D2986" t="s">
        <v>11063</v>
      </c>
    </row>
    <row r="2987" spans="1:4" x14ac:dyDescent="0.25">
      <c r="A2987" t="s">
        <v>5544</v>
      </c>
      <c r="D2987" t="s">
        <v>11064</v>
      </c>
    </row>
    <row r="2988" spans="1:4" x14ac:dyDescent="0.25">
      <c r="A2988" t="s">
        <v>5545</v>
      </c>
      <c r="D2988" t="s">
        <v>11065</v>
      </c>
    </row>
    <row r="2989" spans="1:4" x14ac:dyDescent="0.25">
      <c r="A2989" t="s">
        <v>5546</v>
      </c>
      <c r="D2989" t="s">
        <v>11066</v>
      </c>
    </row>
    <row r="2990" spans="1:4" x14ac:dyDescent="0.25">
      <c r="A2990" t="s">
        <v>5547</v>
      </c>
      <c r="D2990" t="s">
        <v>11067</v>
      </c>
    </row>
    <row r="2991" spans="1:4" x14ac:dyDescent="0.25">
      <c r="A2991" t="s">
        <v>5548</v>
      </c>
      <c r="D2991" t="s">
        <v>11068</v>
      </c>
    </row>
    <row r="2992" spans="1:4" x14ac:dyDescent="0.25">
      <c r="A2992" t="s">
        <v>5549</v>
      </c>
      <c r="D2992" t="s">
        <v>11069</v>
      </c>
    </row>
    <row r="2993" spans="1:4" x14ac:dyDescent="0.25">
      <c r="A2993" t="s">
        <v>5550</v>
      </c>
      <c r="D2993" t="s">
        <v>11070</v>
      </c>
    </row>
    <row r="2994" spans="1:4" x14ac:dyDescent="0.25">
      <c r="A2994" t="s">
        <v>5551</v>
      </c>
      <c r="D2994" t="s">
        <v>11071</v>
      </c>
    </row>
    <row r="2995" spans="1:4" x14ac:dyDescent="0.25">
      <c r="A2995" t="s">
        <v>5552</v>
      </c>
      <c r="D2995" t="s">
        <v>11072</v>
      </c>
    </row>
    <row r="2996" spans="1:4" x14ac:dyDescent="0.25">
      <c r="A2996" t="s">
        <v>5553</v>
      </c>
      <c r="D2996" t="s">
        <v>11073</v>
      </c>
    </row>
    <row r="2997" spans="1:4" x14ac:dyDescent="0.25">
      <c r="A2997" t="s">
        <v>5554</v>
      </c>
      <c r="D2997" t="s">
        <v>11074</v>
      </c>
    </row>
    <row r="2998" spans="1:4" x14ac:dyDescent="0.25">
      <c r="A2998" t="s">
        <v>5555</v>
      </c>
      <c r="D2998" t="s">
        <v>11075</v>
      </c>
    </row>
    <row r="2999" spans="1:4" x14ac:dyDescent="0.25">
      <c r="A2999" t="s">
        <v>5556</v>
      </c>
      <c r="D2999" t="s">
        <v>11076</v>
      </c>
    </row>
    <row r="3000" spans="1:4" x14ac:dyDescent="0.25">
      <c r="A3000" t="s">
        <v>5557</v>
      </c>
      <c r="D3000" t="s">
        <v>11077</v>
      </c>
    </row>
    <row r="3001" spans="1:4" x14ac:dyDescent="0.25">
      <c r="A3001" t="s">
        <v>5558</v>
      </c>
      <c r="D3001" t="s">
        <v>11078</v>
      </c>
    </row>
    <row r="3002" spans="1:4" x14ac:dyDescent="0.25">
      <c r="A3002" t="s">
        <v>5559</v>
      </c>
      <c r="D3002" t="s">
        <v>11079</v>
      </c>
    </row>
    <row r="3003" spans="1:4" x14ac:dyDescent="0.25">
      <c r="A3003" t="s">
        <v>5560</v>
      </c>
      <c r="D3003" t="s">
        <v>11080</v>
      </c>
    </row>
    <row r="3004" spans="1:4" x14ac:dyDescent="0.25">
      <c r="A3004" t="s">
        <v>5561</v>
      </c>
      <c r="D3004" t="s">
        <v>11081</v>
      </c>
    </row>
    <row r="3005" spans="1:4" x14ac:dyDescent="0.25">
      <c r="A3005" t="s">
        <v>5562</v>
      </c>
      <c r="D3005" t="s">
        <v>11082</v>
      </c>
    </row>
    <row r="3006" spans="1:4" x14ac:dyDescent="0.25">
      <c r="A3006" t="s">
        <v>5563</v>
      </c>
      <c r="D3006" t="s">
        <v>11083</v>
      </c>
    </row>
    <row r="3007" spans="1:4" x14ac:dyDescent="0.25">
      <c r="A3007" t="s">
        <v>5564</v>
      </c>
      <c r="D3007" t="s">
        <v>11084</v>
      </c>
    </row>
    <row r="3008" spans="1:4" x14ac:dyDescent="0.25">
      <c r="A3008" t="s">
        <v>5565</v>
      </c>
      <c r="D3008" t="s">
        <v>11085</v>
      </c>
    </row>
    <row r="3009" spans="1:4" x14ac:dyDescent="0.25">
      <c r="A3009" t="s">
        <v>5566</v>
      </c>
      <c r="D3009" t="s">
        <v>11086</v>
      </c>
    </row>
    <row r="3010" spans="1:4" x14ac:dyDescent="0.25">
      <c r="A3010" t="s">
        <v>5567</v>
      </c>
      <c r="D3010" t="s">
        <v>11087</v>
      </c>
    </row>
    <row r="3011" spans="1:4" x14ac:dyDescent="0.25">
      <c r="A3011" t="s">
        <v>5568</v>
      </c>
      <c r="D3011" t="s">
        <v>11088</v>
      </c>
    </row>
    <row r="3012" spans="1:4" x14ac:dyDescent="0.25">
      <c r="A3012" t="s">
        <v>5569</v>
      </c>
      <c r="D3012" t="s">
        <v>11089</v>
      </c>
    </row>
    <row r="3013" spans="1:4" x14ac:dyDescent="0.25">
      <c r="A3013" t="s">
        <v>5570</v>
      </c>
      <c r="D3013" t="s">
        <v>11090</v>
      </c>
    </row>
    <row r="3014" spans="1:4" x14ac:dyDescent="0.25">
      <c r="A3014" t="s">
        <v>5571</v>
      </c>
      <c r="D3014" t="s">
        <v>11091</v>
      </c>
    </row>
    <row r="3015" spans="1:4" x14ac:dyDescent="0.25">
      <c r="A3015" t="s">
        <v>5572</v>
      </c>
      <c r="D3015" t="s">
        <v>11092</v>
      </c>
    </row>
    <row r="3016" spans="1:4" x14ac:dyDescent="0.25">
      <c r="A3016" t="s">
        <v>5573</v>
      </c>
      <c r="D3016" t="s">
        <v>11093</v>
      </c>
    </row>
    <row r="3017" spans="1:4" x14ac:dyDescent="0.25">
      <c r="A3017" t="s">
        <v>5574</v>
      </c>
      <c r="D3017" t="s">
        <v>11094</v>
      </c>
    </row>
    <row r="3018" spans="1:4" x14ac:dyDescent="0.25">
      <c r="A3018" t="s">
        <v>5575</v>
      </c>
      <c r="D3018" t="s">
        <v>11095</v>
      </c>
    </row>
    <row r="3019" spans="1:4" x14ac:dyDescent="0.25">
      <c r="A3019" t="s">
        <v>5576</v>
      </c>
      <c r="D3019" t="s">
        <v>11096</v>
      </c>
    </row>
    <row r="3020" spans="1:4" x14ac:dyDescent="0.25">
      <c r="A3020" t="s">
        <v>5577</v>
      </c>
      <c r="D3020" t="s">
        <v>11097</v>
      </c>
    </row>
    <row r="3021" spans="1:4" x14ac:dyDescent="0.25">
      <c r="A3021" t="s">
        <v>5578</v>
      </c>
      <c r="D3021" t="s">
        <v>11098</v>
      </c>
    </row>
    <row r="3022" spans="1:4" x14ac:dyDescent="0.25">
      <c r="A3022" t="s">
        <v>5579</v>
      </c>
      <c r="D3022" t="s">
        <v>11099</v>
      </c>
    </row>
    <row r="3023" spans="1:4" x14ac:dyDescent="0.25">
      <c r="A3023" t="s">
        <v>5580</v>
      </c>
      <c r="D3023" t="s">
        <v>11100</v>
      </c>
    </row>
    <row r="3024" spans="1:4" x14ac:dyDescent="0.25">
      <c r="A3024" t="s">
        <v>5581</v>
      </c>
      <c r="D3024" t="s">
        <v>11101</v>
      </c>
    </row>
    <row r="3025" spans="1:4" x14ac:dyDescent="0.25">
      <c r="A3025" t="s">
        <v>5582</v>
      </c>
      <c r="D3025" t="s">
        <v>11102</v>
      </c>
    </row>
    <row r="3026" spans="1:4" x14ac:dyDescent="0.25">
      <c r="A3026" t="s">
        <v>5583</v>
      </c>
      <c r="D3026" t="s">
        <v>11103</v>
      </c>
    </row>
    <row r="3027" spans="1:4" x14ac:dyDescent="0.25">
      <c r="A3027" t="s">
        <v>5584</v>
      </c>
      <c r="D3027" t="s">
        <v>11104</v>
      </c>
    </row>
    <row r="3028" spans="1:4" x14ac:dyDescent="0.25">
      <c r="A3028" t="s">
        <v>5585</v>
      </c>
      <c r="D3028" t="s">
        <v>11105</v>
      </c>
    </row>
    <row r="3029" spans="1:4" x14ac:dyDescent="0.25">
      <c r="A3029" t="s">
        <v>5586</v>
      </c>
      <c r="D3029" t="s">
        <v>11106</v>
      </c>
    </row>
    <row r="3030" spans="1:4" x14ac:dyDescent="0.25">
      <c r="A3030" t="s">
        <v>5587</v>
      </c>
      <c r="D3030" t="s">
        <v>11107</v>
      </c>
    </row>
    <row r="3031" spans="1:4" x14ac:dyDescent="0.25">
      <c r="A3031" t="s">
        <v>5588</v>
      </c>
      <c r="D3031" t="s">
        <v>11108</v>
      </c>
    </row>
    <row r="3032" spans="1:4" x14ac:dyDescent="0.25">
      <c r="A3032" t="s">
        <v>5589</v>
      </c>
      <c r="D3032" t="s">
        <v>11109</v>
      </c>
    </row>
    <row r="3033" spans="1:4" x14ac:dyDescent="0.25">
      <c r="A3033" t="s">
        <v>5590</v>
      </c>
      <c r="D3033" t="s">
        <v>11110</v>
      </c>
    </row>
    <row r="3034" spans="1:4" x14ac:dyDescent="0.25">
      <c r="A3034" t="s">
        <v>5591</v>
      </c>
      <c r="D3034" t="s">
        <v>11111</v>
      </c>
    </row>
    <row r="3035" spans="1:4" x14ac:dyDescent="0.25">
      <c r="A3035" t="s">
        <v>5592</v>
      </c>
      <c r="D3035" t="s">
        <v>11112</v>
      </c>
    </row>
    <row r="3036" spans="1:4" x14ac:dyDescent="0.25">
      <c r="A3036" t="s">
        <v>5593</v>
      </c>
      <c r="D3036" t="s">
        <v>11113</v>
      </c>
    </row>
    <row r="3037" spans="1:4" x14ac:dyDescent="0.25">
      <c r="A3037" t="s">
        <v>5594</v>
      </c>
      <c r="D3037" t="s">
        <v>11114</v>
      </c>
    </row>
    <row r="3038" spans="1:4" x14ac:dyDescent="0.25">
      <c r="A3038" t="s">
        <v>5595</v>
      </c>
      <c r="D3038" t="s">
        <v>11115</v>
      </c>
    </row>
    <row r="3039" spans="1:4" x14ac:dyDescent="0.25">
      <c r="A3039" t="s">
        <v>5596</v>
      </c>
      <c r="D3039" t="s">
        <v>11116</v>
      </c>
    </row>
    <row r="3040" spans="1:4" x14ac:dyDescent="0.25">
      <c r="A3040" t="s">
        <v>5597</v>
      </c>
      <c r="D3040" t="s">
        <v>11117</v>
      </c>
    </row>
    <row r="3041" spans="1:4" x14ac:dyDescent="0.25">
      <c r="A3041" t="s">
        <v>5598</v>
      </c>
      <c r="D3041" t="s">
        <v>11118</v>
      </c>
    </row>
    <row r="3042" spans="1:4" x14ac:dyDescent="0.25">
      <c r="A3042" t="s">
        <v>5599</v>
      </c>
      <c r="D3042" t="s">
        <v>11119</v>
      </c>
    </row>
    <row r="3043" spans="1:4" x14ac:dyDescent="0.25">
      <c r="A3043" t="s">
        <v>5600</v>
      </c>
      <c r="D3043" t="s">
        <v>11120</v>
      </c>
    </row>
    <row r="3044" spans="1:4" x14ac:dyDescent="0.25">
      <c r="A3044" t="s">
        <v>5601</v>
      </c>
      <c r="D3044" t="s">
        <v>11121</v>
      </c>
    </row>
    <row r="3045" spans="1:4" x14ac:dyDescent="0.25">
      <c r="A3045" t="s">
        <v>5602</v>
      </c>
      <c r="D3045" t="s">
        <v>11122</v>
      </c>
    </row>
    <row r="3046" spans="1:4" x14ac:dyDescent="0.25">
      <c r="A3046" t="s">
        <v>5603</v>
      </c>
      <c r="D3046" t="s">
        <v>11123</v>
      </c>
    </row>
    <row r="3047" spans="1:4" x14ac:dyDescent="0.25">
      <c r="A3047" t="s">
        <v>5604</v>
      </c>
      <c r="D3047" t="s">
        <v>11124</v>
      </c>
    </row>
    <row r="3048" spans="1:4" x14ac:dyDescent="0.25">
      <c r="A3048" t="s">
        <v>5605</v>
      </c>
      <c r="D3048" t="s">
        <v>11125</v>
      </c>
    </row>
    <row r="3049" spans="1:4" x14ac:dyDescent="0.25">
      <c r="A3049" t="s">
        <v>5606</v>
      </c>
      <c r="D3049" t="s">
        <v>11126</v>
      </c>
    </row>
    <row r="3050" spans="1:4" x14ac:dyDescent="0.25">
      <c r="A3050" t="s">
        <v>5607</v>
      </c>
      <c r="D3050" t="s">
        <v>11127</v>
      </c>
    </row>
    <row r="3051" spans="1:4" x14ac:dyDescent="0.25">
      <c r="A3051" t="s">
        <v>5608</v>
      </c>
      <c r="D3051" t="s">
        <v>11128</v>
      </c>
    </row>
    <row r="3052" spans="1:4" x14ac:dyDescent="0.25">
      <c r="A3052" t="s">
        <v>5609</v>
      </c>
      <c r="D3052" t="s">
        <v>11129</v>
      </c>
    </row>
    <row r="3053" spans="1:4" x14ac:dyDescent="0.25">
      <c r="A3053" t="s">
        <v>5610</v>
      </c>
      <c r="D3053" t="s">
        <v>11130</v>
      </c>
    </row>
    <row r="3054" spans="1:4" x14ac:dyDescent="0.25">
      <c r="A3054" t="s">
        <v>5611</v>
      </c>
      <c r="D3054" t="s">
        <v>11131</v>
      </c>
    </row>
    <row r="3055" spans="1:4" x14ac:dyDescent="0.25">
      <c r="A3055" t="s">
        <v>5612</v>
      </c>
      <c r="D3055" t="s">
        <v>11132</v>
      </c>
    </row>
    <row r="3056" spans="1:4" x14ac:dyDescent="0.25">
      <c r="A3056" t="s">
        <v>5613</v>
      </c>
      <c r="D3056" t="s">
        <v>11133</v>
      </c>
    </row>
    <row r="3057" spans="1:4" x14ac:dyDescent="0.25">
      <c r="A3057" t="s">
        <v>5614</v>
      </c>
      <c r="D3057" t="s">
        <v>11134</v>
      </c>
    </row>
    <row r="3058" spans="1:4" x14ac:dyDescent="0.25">
      <c r="A3058" t="s">
        <v>5615</v>
      </c>
      <c r="D3058" t="s">
        <v>11135</v>
      </c>
    </row>
    <row r="3059" spans="1:4" x14ac:dyDescent="0.25">
      <c r="A3059" t="s">
        <v>5616</v>
      </c>
      <c r="D3059" t="s">
        <v>11136</v>
      </c>
    </row>
    <row r="3060" spans="1:4" x14ac:dyDescent="0.25">
      <c r="A3060" t="s">
        <v>5617</v>
      </c>
      <c r="D3060" t="s">
        <v>11137</v>
      </c>
    </row>
    <row r="3061" spans="1:4" x14ac:dyDescent="0.25">
      <c r="A3061" t="s">
        <v>5618</v>
      </c>
      <c r="D3061" t="s">
        <v>11138</v>
      </c>
    </row>
    <row r="3062" spans="1:4" x14ac:dyDescent="0.25">
      <c r="A3062" t="s">
        <v>5619</v>
      </c>
      <c r="D3062" t="s">
        <v>11139</v>
      </c>
    </row>
    <row r="3063" spans="1:4" x14ac:dyDescent="0.25">
      <c r="A3063" t="s">
        <v>5620</v>
      </c>
      <c r="D3063" t="s">
        <v>11140</v>
      </c>
    </row>
    <row r="3064" spans="1:4" x14ac:dyDescent="0.25">
      <c r="A3064" t="s">
        <v>5621</v>
      </c>
      <c r="D3064" t="s">
        <v>11141</v>
      </c>
    </row>
    <row r="3065" spans="1:4" x14ac:dyDescent="0.25">
      <c r="A3065" t="s">
        <v>5622</v>
      </c>
      <c r="D3065" t="s">
        <v>11142</v>
      </c>
    </row>
    <row r="3066" spans="1:4" x14ac:dyDescent="0.25">
      <c r="A3066" t="s">
        <v>5623</v>
      </c>
      <c r="D3066" t="s">
        <v>11143</v>
      </c>
    </row>
    <row r="3067" spans="1:4" x14ac:dyDescent="0.25">
      <c r="A3067" t="s">
        <v>5624</v>
      </c>
      <c r="D3067" t="s">
        <v>11144</v>
      </c>
    </row>
    <row r="3068" spans="1:4" x14ac:dyDescent="0.25">
      <c r="A3068" t="s">
        <v>5625</v>
      </c>
      <c r="D3068" t="s">
        <v>11145</v>
      </c>
    </row>
    <row r="3069" spans="1:4" x14ac:dyDescent="0.25">
      <c r="A3069" t="s">
        <v>5626</v>
      </c>
      <c r="D3069" t="s">
        <v>11146</v>
      </c>
    </row>
    <row r="3070" spans="1:4" x14ac:dyDescent="0.25">
      <c r="A3070" t="s">
        <v>5627</v>
      </c>
      <c r="D3070" t="s">
        <v>11147</v>
      </c>
    </row>
    <row r="3071" spans="1:4" x14ac:dyDescent="0.25">
      <c r="A3071" t="s">
        <v>5628</v>
      </c>
      <c r="D3071" t="s">
        <v>11148</v>
      </c>
    </row>
    <row r="3072" spans="1:4" x14ac:dyDescent="0.25">
      <c r="A3072" t="s">
        <v>5629</v>
      </c>
      <c r="D3072" t="s">
        <v>11149</v>
      </c>
    </row>
    <row r="3073" spans="1:4" x14ac:dyDescent="0.25">
      <c r="A3073" t="s">
        <v>5630</v>
      </c>
      <c r="D3073" t="s">
        <v>11150</v>
      </c>
    </row>
    <row r="3074" spans="1:4" x14ac:dyDescent="0.25">
      <c r="A3074" t="s">
        <v>5631</v>
      </c>
      <c r="D3074" t="s">
        <v>11151</v>
      </c>
    </row>
    <row r="3075" spans="1:4" x14ac:dyDescent="0.25">
      <c r="A3075" t="s">
        <v>5632</v>
      </c>
      <c r="D3075" t="s">
        <v>11152</v>
      </c>
    </row>
    <row r="3076" spans="1:4" x14ac:dyDescent="0.25">
      <c r="A3076" t="s">
        <v>5633</v>
      </c>
      <c r="D3076" t="s">
        <v>11153</v>
      </c>
    </row>
    <row r="3077" spans="1:4" x14ac:dyDescent="0.25">
      <c r="A3077" t="s">
        <v>5634</v>
      </c>
      <c r="D3077" t="s">
        <v>11154</v>
      </c>
    </row>
    <row r="3078" spans="1:4" x14ac:dyDescent="0.25">
      <c r="A3078" t="s">
        <v>5635</v>
      </c>
      <c r="D3078" t="s">
        <v>11155</v>
      </c>
    </row>
    <row r="3079" spans="1:4" x14ac:dyDescent="0.25">
      <c r="A3079" t="s">
        <v>5636</v>
      </c>
      <c r="D3079" t="s">
        <v>11156</v>
      </c>
    </row>
    <row r="3080" spans="1:4" x14ac:dyDescent="0.25">
      <c r="A3080" t="s">
        <v>5637</v>
      </c>
      <c r="D3080" t="s">
        <v>11157</v>
      </c>
    </row>
    <row r="3081" spans="1:4" x14ac:dyDescent="0.25">
      <c r="A3081" t="s">
        <v>5638</v>
      </c>
      <c r="D3081" t="s">
        <v>11158</v>
      </c>
    </row>
    <row r="3082" spans="1:4" x14ac:dyDescent="0.25">
      <c r="A3082" t="s">
        <v>5639</v>
      </c>
      <c r="D3082" t="s">
        <v>11159</v>
      </c>
    </row>
    <row r="3083" spans="1:4" x14ac:dyDescent="0.25">
      <c r="A3083" t="s">
        <v>5640</v>
      </c>
      <c r="D3083" t="s">
        <v>11160</v>
      </c>
    </row>
    <row r="3084" spans="1:4" x14ac:dyDescent="0.25">
      <c r="A3084" t="s">
        <v>5641</v>
      </c>
      <c r="D3084" t="s">
        <v>11161</v>
      </c>
    </row>
    <row r="3085" spans="1:4" x14ac:dyDescent="0.25">
      <c r="A3085" t="s">
        <v>5642</v>
      </c>
      <c r="D3085" t="s">
        <v>11162</v>
      </c>
    </row>
    <row r="3086" spans="1:4" x14ac:dyDescent="0.25">
      <c r="A3086" t="s">
        <v>5643</v>
      </c>
      <c r="D3086" t="s">
        <v>11163</v>
      </c>
    </row>
    <row r="3087" spans="1:4" x14ac:dyDescent="0.25">
      <c r="A3087" t="s">
        <v>5644</v>
      </c>
      <c r="D3087" t="s">
        <v>11164</v>
      </c>
    </row>
    <row r="3088" spans="1:4" x14ac:dyDescent="0.25">
      <c r="A3088" t="s">
        <v>5645</v>
      </c>
      <c r="D3088" t="s">
        <v>11165</v>
      </c>
    </row>
    <row r="3089" spans="1:4" x14ac:dyDescent="0.25">
      <c r="A3089" t="s">
        <v>5646</v>
      </c>
      <c r="D3089" t="s">
        <v>11166</v>
      </c>
    </row>
    <row r="3090" spans="1:4" x14ac:dyDescent="0.25">
      <c r="A3090" t="s">
        <v>5647</v>
      </c>
      <c r="D3090" t="s">
        <v>11167</v>
      </c>
    </row>
    <row r="3091" spans="1:4" x14ac:dyDescent="0.25">
      <c r="A3091" t="s">
        <v>5648</v>
      </c>
      <c r="D3091" t="s">
        <v>11168</v>
      </c>
    </row>
    <row r="3092" spans="1:4" x14ac:dyDescent="0.25">
      <c r="A3092" t="s">
        <v>5649</v>
      </c>
      <c r="D3092" t="s">
        <v>11169</v>
      </c>
    </row>
    <row r="3093" spans="1:4" x14ac:dyDescent="0.25">
      <c r="A3093" t="s">
        <v>5650</v>
      </c>
      <c r="D3093" t="s">
        <v>11170</v>
      </c>
    </row>
    <row r="3094" spans="1:4" x14ac:dyDescent="0.25">
      <c r="A3094" t="s">
        <v>5651</v>
      </c>
      <c r="D3094" t="s">
        <v>11171</v>
      </c>
    </row>
    <row r="3095" spans="1:4" x14ac:dyDescent="0.25">
      <c r="A3095" t="s">
        <v>5652</v>
      </c>
      <c r="D3095" t="s">
        <v>11172</v>
      </c>
    </row>
    <row r="3096" spans="1:4" x14ac:dyDescent="0.25">
      <c r="A3096" t="s">
        <v>5653</v>
      </c>
      <c r="D3096" t="s">
        <v>11173</v>
      </c>
    </row>
    <row r="3097" spans="1:4" x14ac:dyDescent="0.25">
      <c r="A3097" t="s">
        <v>5654</v>
      </c>
      <c r="D3097" t="s">
        <v>11174</v>
      </c>
    </row>
    <row r="3098" spans="1:4" x14ac:dyDescent="0.25">
      <c r="A3098" t="s">
        <v>5655</v>
      </c>
      <c r="D3098" t="s">
        <v>11175</v>
      </c>
    </row>
    <row r="3099" spans="1:4" x14ac:dyDescent="0.25">
      <c r="A3099" t="s">
        <v>5656</v>
      </c>
      <c r="D3099" t="s">
        <v>11176</v>
      </c>
    </row>
    <row r="3100" spans="1:4" x14ac:dyDescent="0.25">
      <c r="A3100" t="s">
        <v>5657</v>
      </c>
      <c r="D3100" t="s">
        <v>11177</v>
      </c>
    </row>
    <row r="3101" spans="1:4" x14ac:dyDescent="0.25">
      <c r="A3101" t="s">
        <v>5658</v>
      </c>
      <c r="D3101" t="s">
        <v>11178</v>
      </c>
    </row>
    <row r="3102" spans="1:4" x14ac:dyDescent="0.25">
      <c r="A3102" t="s">
        <v>5659</v>
      </c>
      <c r="D3102" t="s">
        <v>11179</v>
      </c>
    </row>
    <row r="3103" spans="1:4" x14ac:dyDescent="0.25">
      <c r="A3103" t="s">
        <v>5660</v>
      </c>
      <c r="D3103" t="s">
        <v>11180</v>
      </c>
    </row>
    <row r="3104" spans="1:4" x14ac:dyDescent="0.25">
      <c r="A3104" t="s">
        <v>5661</v>
      </c>
      <c r="D3104" t="s">
        <v>11181</v>
      </c>
    </row>
    <row r="3105" spans="1:4" x14ac:dyDescent="0.25">
      <c r="A3105" t="s">
        <v>5662</v>
      </c>
      <c r="D3105" t="s">
        <v>11182</v>
      </c>
    </row>
    <row r="3106" spans="1:4" x14ac:dyDescent="0.25">
      <c r="A3106" t="s">
        <v>5663</v>
      </c>
      <c r="D3106" t="s">
        <v>11183</v>
      </c>
    </row>
    <row r="3107" spans="1:4" x14ac:dyDescent="0.25">
      <c r="A3107" t="s">
        <v>5664</v>
      </c>
      <c r="D3107" t="s">
        <v>11184</v>
      </c>
    </row>
    <row r="3108" spans="1:4" x14ac:dyDescent="0.25">
      <c r="A3108" t="s">
        <v>5665</v>
      </c>
      <c r="D3108" t="s">
        <v>11185</v>
      </c>
    </row>
    <row r="3109" spans="1:4" x14ac:dyDescent="0.25">
      <c r="A3109" t="s">
        <v>5666</v>
      </c>
      <c r="D3109" t="s">
        <v>11186</v>
      </c>
    </row>
    <row r="3110" spans="1:4" x14ac:dyDescent="0.25">
      <c r="A3110" t="s">
        <v>5667</v>
      </c>
      <c r="D3110" t="s">
        <v>11187</v>
      </c>
    </row>
    <row r="3111" spans="1:4" x14ac:dyDescent="0.25">
      <c r="A3111" t="s">
        <v>5668</v>
      </c>
      <c r="D3111" t="s">
        <v>11188</v>
      </c>
    </row>
    <row r="3112" spans="1:4" x14ac:dyDescent="0.25">
      <c r="A3112" t="s">
        <v>5669</v>
      </c>
      <c r="D3112" t="s">
        <v>11189</v>
      </c>
    </row>
    <row r="3113" spans="1:4" x14ac:dyDescent="0.25">
      <c r="A3113" t="s">
        <v>5670</v>
      </c>
      <c r="D3113" t="s">
        <v>11190</v>
      </c>
    </row>
    <row r="3114" spans="1:4" x14ac:dyDescent="0.25">
      <c r="A3114" t="s">
        <v>5671</v>
      </c>
      <c r="D3114" t="s">
        <v>11191</v>
      </c>
    </row>
    <row r="3115" spans="1:4" x14ac:dyDescent="0.25">
      <c r="A3115" t="s">
        <v>5672</v>
      </c>
      <c r="D3115" t="s">
        <v>11192</v>
      </c>
    </row>
    <row r="3116" spans="1:4" x14ac:dyDescent="0.25">
      <c r="A3116" t="s">
        <v>5673</v>
      </c>
      <c r="D3116" t="s">
        <v>11193</v>
      </c>
    </row>
    <row r="3117" spans="1:4" x14ac:dyDescent="0.25">
      <c r="A3117" t="s">
        <v>5674</v>
      </c>
      <c r="D3117" t="s">
        <v>11194</v>
      </c>
    </row>
    <row r="3118" spans="1:4" x14ac:dyDescent="0.25">
      <c r="A3118" t="s">
        <v>5675</v>
      </c>
      <c r="D3118" t="s">
        <v>11195</v>
      </c>
    </row>
    <row r="3119" spans="1:4" x14ac:dyDescent="0.25">
      <c r="A3119" t="s">
        <v>5676</v>
      </c>
      <c r="D3119" t="s">
        <v>11196</v>
      </c>
    </row>
    <row r="3120" spans="1:4" x14ac:dyDescent="0.25">
      <c r="A3120" t="s">
        <v>5677</v>
      </c>
      <c r="D3120" t="s">
        <v>11197</v>
      </c>
    </row>
    <row r="3121" spans="1:4" x14ac:dyDescent="0.25">
      <c r="A3121" t="s">
        <v>5678</v>
      </c>
      <c r="D3121" t="s">
        <v>11198</v>
      </c>
    </row>
    <row r="3122" spans="1:4" x14ac:dyDescent="0.25">
      <c r="A3122" t="s">
        <v>5679</v>
      </c>
      <c r="D3122" t="s">
        <v>11199</v>
      </c>
    </row>
    <row r="3123" spans="1:4" x14ac:dyDescent="0.25">
      <c r="A3123" t="s">
        <v>5680</v>
      </c>
      <c r="D3123" t="s">
        <v>11200</v>
      </c>
    </row>
    <row r="3124" spans="1:4" x14ac:dyDescent="0.25">
      <c r="A3124" t="s">
        <v>5681</v>
      </c>
      <c r="D3124" t="s">
        <v>11201</v>
      </c>
    </row>
    <row r="3125" spans="1:4" x14ac:dyDescent="0.25">
      <c r="A3125" t="s">
        <v>5682</v>
      </c>
      <c r="D3125" t="s">
        <v>11202</v>
      </c>
    </row>
    <row r="3126" spans="1:4" x14ac:dyDescent="0.25">
      <c r="A3126" t="s">
        <v>5683</v>
      </c>
      <c r="D3126" t="s">
        <v>11203</v>
      </c>
    </row>
    <row r="3127" spans="1:4" x14ac:dyDescent="0.25">
      <c r="A3127" t="s">
        <v>5684</v>
      </c>
      <c r="D3127" t="s">
        <v>11204</v>
      </c>
    </row>
    <row r="3128" spans="1:4" x14ac:dyDescent="0.25">
      <c r="A3128" t="s">
        <v>5685</v>
      </c>
      <c r="D3128" t="s">
        <v>11205</v>
      </c>
    </row>
    <row r="3129" spans="1:4" x14ac:dyDescent="0.25">
      <c r="A3129" t="s">
        <v>5686</v>
      </c>
      <c r="D3129" t="s">
        <v>11206</v>
      </c>
    </row>
    <row r="3130" spans="1:4" x14ac:dyDescent="0.25">
      <c r="A3130" t="s">
        <v>5687</v>
      </c>
      <c r="D3130" t="s">
        <v>11207</v>
      </c>
    </row>
    <row r="3131" spans="1:4" x14ac:dyDescent="0.25">
      <c r="A3131" t="s">
        <v>5688</v>
      </c>
      <c r="D3131" t="s">
        <v>11208</v>
      </c>
    </row>
    <row r="3132" spans="1:4" x14ac:dyDescent="0.25">
      <c r="A3132" t="s">
        <v>5689</v>
      </c>
      <c r="D3132" t="s">
        <v>11209</v>
      </c>
    </row>
    <row r="3133" spans="1:4" x14ac:dyDescent="0.25">
      <c r="A3133" t="s">
        <v>5690</v>
      </c>
      <c r="D3133" t="s">
        <v>11210</v>
      </c>
    </row>
    <row r="3134" spans="1:4" x14ac:dyDescent="0.25">
      <c r="A3134" t="s">
        <v>5691</v>
      </c>
      <c r="D3134" t="s">
        <v>11211</v>
      </c>
    </row>
    <row r="3135" spans="1:4" x14ac:dyDescent="0.25">
      <c r="A3135" t="s">
        <v>5692</v>
      </c>
      <c r="D3135" t="s">
        <v>11212</v>
      </c>
    </row>
    <row r="3136" spans="1:4" x14ac:dyDescent="0.25">
      <c r="A3136" t="s">
        <v>5693</v>
      </c>
      <c r="D3136" t="s">
        <v>11213</v>
      </c>
    </row>
    <row r="3137" spans="1:4" x14ac:dyDescent="0.25">
      <c r="A3137" t="s">
        <v>5694</v>
      </c>
      <c r="D3137" t="s">
        <v>11214</v>
      </c>
    </row>
    <row r="3138" spans="1:4" x14ac:dyDescent="0.25">
      <c r="A3138" t="s">
        <v>5695</v>
      </c>
      <c r="D3138" t="s">
        <v>11215</v>
      </c>
    </row>
    <row r="3139" spans="1:4" x14ac:dyDescent="0.25">
      <c r="A3139" t="s">
        <v>5696</v>
      </c>
      <c r="D3139" t="s">
        <v>11216</v>
      </c>
    </row>
    <row r="3140" spans="1:4" x14ac:dyDescent="0.25">
      <c r="A3140" t="s">
        <v>5697</v>
      </c>
      <c r="D3140" t="s">
        <v>11217</v>
      </c>
    </row>
    <row r="3141" spans="1:4" x14ac:dyDescent="0.25">
      <c r="A3141" t="s">
        <v>5698</v>
      </c>
      <c r="D3141" t="s">
        <v>11218</v>
      </c>
    </row>
    <row r="3142" spans="1:4" x14ac:dyDescent="0.25">
      <c r="A3142" t="s">
        <v>5699</v>
      </c>
      <c r="D3142" t="s">
        <v>11219</v>
      </c>
    </row>
    <row r="3143" spans="1:4" x14ac:dyDescent="0.25">
      <c r="A3143" t="s">
        <v>5700</v>
      </c>
      <c r="D3143" t="s">
        <v>11220</v>
      </c>
    </row>
    <row r="3144" spans="1:4" x14ac:dyDescent="0.25">
      <c r="A3144" t="s">
        <v>5701</v>
      </c>
      <c r="D3144" t="s">
        <v>11221</v>
      </c>
    </row>
    <row r="3145" spans="1:4" x14ac:dyDescent="0.25">
      <c r="A3145" t="s">
        <v>5702</v>
      </c>
      <c r="D3145" t="s">
        <v>11222</v>
      </c>
    </row>
    <row r="3146" spans="1:4" x14ac:dyDescent="0.25">
      <c r="A3146" t="s">
        <v>5703</v>
      </c>
      <c r="D3146" t="s">
        <v>11223</v>
      </c>
    </row>
    <row r="3147" spans="1:4" x14ac:dyDescent="0.25">
      <c r="A3147" t="s">
        <v>5704</v>
      </c>
      <c r="D3147" t="s">
        <v>11224</v>
      </c>
    </row>
    <row r="3148" spans="1:4" x14ac:dyDescent="0.25">
      <c r="A3148" t="s">
        <v>5705</v>
      </c>
      <c r="D3148" t="s">
        <v>11225</v>
      </c>
    </row>
    <row r="3149" spans="1:4" x14ac:dyDescent="0.25">
      <c r="A3149" t="s">
        <v>5706</v>
      </c>
      <c r="D3149" t="s">
        <v>11226</v>
      </c>
    </row>
    <row r="3150" spans="1:4" x14ac:dyDescent="0.25">
      <c r="A3150" t="s">
        <v>5707</v>
      </c>
      <c r="D3150" t="s">
        <v>11227</v>
      </c>
    </row>
    <row r="3151" spans="1:4" x14ac:dyDescent="0.25">
      <c r="A3151" t="s">
        <v>5708</v>
      </c>
      <c r="D3151" t="s">
        <v>11228</v>
      </c>
    </row>
    <row r="3152" spans="1:4" x14ac:dyDescent="0.25">
      <c r="A3152" t="s">
        <v>5709</v>
      </c>
      <c r="D3152" t="s">
        <v>11229</v>
      </c>
    </row>
    <row r="3153" spans="1:4" x14ac:dyDescent="0.25">
      <c r="A3153" t="s">
        <v>5710</v>
      </c>
      <c r="D3153" t="s">
        <v>11230</v>
      </c>
    </row>
    <row r="3154" spans="1:4" x14ac:dyDescent="0.25">
      <c r="A3154" t="s">
        <v>5711</v>
      </c>
      <c r="D3154" t="s">
        <v>11231</v>
      </c>
    </row>
    <row r="3155" spans="1:4" x14ac:dyDescent="0.25">
      <c r="A3155" t="s">
        <v>5712</v>
      </c>
      <c r="D3155" t="s">
        <v>11232</v>
      </c>
    </row>
    <row r="3156" spans="1:4" x14ac:dyDescent="0.25">
      <c r="A3156" t="s">
        <v>5713</v>
      </c>
      <c r="D3156" t="s">
        <v>11233</v>
      </c>
    </row>
    <row r="3157" spans="1:4" x14ac:dyDescent="0.25">
      <c r="A3157" t="s">
        <v>5714</v>
      </c>
      <c r="D3157" t="s">
        <v>11234</v>
      </c>
    </row>
    <row r="3158" spans="1:4" x14ac:dyDescent="0.25">
      <c r="A3158" t="s">
        <v>5715</v>
      </c>
      <c r="D3158" t="s">
        <v>11235</v>
      </c>
    </row>
    <row r="3159" spans="1:4" x14ac:dyDescent="0.25">
      <c r="A3159" t="s">
        <v>5716</v>
      </c>
      <c r="D3159" t="s">
        <v>11236</v>
      </c>
    </row>
    <row r="3160" spans="1:4" x14ac:dyDescent="0.25">
      <c r="A3160" t="s">
        <v>5717</v>
      </c>
      <c r="D3160" t="s">
        <v>11237</v>
      </c>
    </row>
    <row r="3161" spans="1:4" x14ac:dyDescent="0.25">
      <c r="A3161" t="s">
        <v>5718</v>
      </c>
      <c r="D3161" t="s">
        <v>11238</v>
      </c>
    </row>
    <row r="3162" spans="1:4" x14ac:dyDescent="0.25">
      <c r="A3162" t="s">
        <v>5719</v>
      </c>
      <c r="D3162" t="s">
        <v>11239</v>
      </c>
    </row>
    <row r="3163" spans="1:4" x14ac:dyDescent="0.25">
      <c r="A3163" t="s">
        <v>5720</v>
      </c>
      <c r="D3163" t="s">
        <v>11240</v>
      </c>
    </row>
    <row r="3164" spans="1:4" x14ac:dyDescent="0.25">
      <c r="A3164" t="s">
        <v>5721</v>
      </c>
      <c r="D3164" t="s">
        <v>11241</v>
      </c>
    </row>
    <row r="3165" spans="1:4" x14ac:dyDescent="0.25">
      <c r="A3165" t="s">
        <v>5722</v>
      </c>
      <c r="D3165" t="s">
        <v>11242</v>
      </c>
    </row>
    <row r="3166" spans="1:4" x14ac:dyDescent="0.25">
      <c r="A3166" t="s">
        <v>5723</v>
      </c>
      <c r="D3166" t="s">
        <v>11243</v>
      </c>
    </row>
    <row r="3167" spans="1:4" x14ac:dyDescent="0.25">
      <c r="A3167" t="s">
        <v>5724</v>
      </c>
      <c r="D3167" t="s">
        <v>11244</v>
      </c>
    </row>
    <row r="3168" spans="1:4" x14ac:dyDescent="0.25">
      <c r="A3168" t="s">
        <v>5725</v>
      </c>
      <c r="D3168" t="s">
        <v>11245</v>
      </c>
    </row>
    <row r="3169" spans="1:4" x14ac:dyDescent="0.25">
      <c r="A3169" t="s">
        <v>5726</v>
      </c>
      <c r="D3169" t="s">
        <v>11246</v>
      </c>
    </row>
    <row r="3170" spans="1:4" x14ac:dyDescent="0.25">
      <c r="A3170" t="s">
        <v>5727</v>
      </c>
      <c r="D3170" t="s">
        <v>11247</v>
      </c>
    </row>
    <row r="3171" spans="1:4" x14ac:dyDescent="0.25">
      <c r="A3171" t="s">
        <v>5728</v>
      </c>
      <c r="D3171" t="s">
        <v>11248</v>
      </c>
    </row>
    <row r="3172" spans="1:4" x14ac:dyDescent="0.25">
      <c r="A3172" t="s">
        <v>5729</v>
      </c>
      <c r="D3172" t="s">
        <v>11249</v>
      </c>
    </row>
    <row r="3173" spans="1:4" x14ac:dyDescent="0.25">
      <c r="A3173" t="s">
        <v>5730</v>
      </c>
      <c r="D3173" t="s">
        <v>11250</v>
      </c>
    </row>
    <row r="3174" spans="1:4" x14ac:dyDescent="0.25">
      <c r="A3174" t="s">
        <v>5731</v>
      </c>
      <c r="D3174" t="s">
        <v>11251</v>
      </c>
    </row>
    <row r="3175" spans="1:4" x14ac:dyDescent="0.25">
      <c r="A3175" t="s">
        <v>5732</v>
      </c>
      <c r="D3175" t="s">
        <v>11252</v>
      </c>
    </row>
    <row r="3176" spans="1:4" x14ac:dyDescent="0.25">
      <c r="A3176" t="s">
        <v>5733</v>
      </c>
      <c r="D3176" t="s">
        <v>11253</v>
      </c>
    </row>
    <row r="3177" spans="1:4" x14ac:dyDescent="0.25">
      <c r="A3177" t="s">
        <v>5734</v>
      </c>
      <c r="D3177" t="s">
        <v>11254</v>
      </c>
    </row>
    <row r="3178" spans="1:4" x14ac:dyDescent="0.25">
      <c r="A3178" t="s">
        <v>5735</v>
      </c>
      <c r="D3178" t="s">
        <v>11255</v>
      </c>
    </row>
    <row r="3179" spans="1:4" x14ac:dyDescent="0.25">
      <c r="A3179" t="s">
        <v>5736</v>
      </c>
      <c r="D3179" t="s">
        <v>11256</v>
      </c>
    </row>
    <row r="3180" spans="1:4" x14ac:dyDescent="0.25">
      <c r="A3180" t="s">
        <v>5737</v>
      </c>
      <c r="D3180" t="s">
        <v>11257</v>
      </c>
    </row>
    <row r="3181" spans="1:4" x14ac:dyDescent="0.25">
      <c r="A3181" t="s">
        <v>5738</v>
      </c>
      <c r="D3181" t="s">
        <v>11258</v>
      </c>
    </row>
    <row r="3182" spans="1:4" x14ac:dyDescent="0.25">
      <c r="A3182" t="s">
        <v>5739</v>
      </c>
      <c r="D3182" t="s">
        <v>11259</v>
      </c>
    </row>
    <row r="3183" spans="1:4" x14ac:dyDescent="0.25">
      <c r="A3183" t="s">
        <v>5740</v>
      </c>
      <c r="D3183" t="s">
        <v>11260</v>
      </c>
    </row>
    <row r="3184" spans="1:4" x14ac:dyDescent="0.25">
      <c r="A3184" t="s">
        <v>5741</v>
      </c>
      <c r="D3184" t="s">
        <v>11261</v>
      </c>
    </row>
    <row r="3185" spans="1:4" x14ac:dyDescent="0.25">
      <c r="A3185" t="s">
        <v>5742</v>
      </c>
      <c r="D3185" t="s">
        <v>11262</v>
      </c>
    </row>
    <row r="3186" spans="1:4" x14ac:dyDescent="0.25">
      <c r="A3186" t="s">
        <v>5743</v>
      </c>
      <c r="D3186" t="s">
        <v>11263</v>
      </c>
    </row>
    <row r="3187" spans="1:4" x14ac:dyDescent="0.25">
      <c r="A3187" t="s">
        <v>5744</v>
      </c>
      <c r="D3187" t="s">
        <v>11264</v>
      </c>
    </row>
    <row r="3188" spans="1:4" x14ac:dyDescent="0.25">
      <c r="A3188" t="s">
        <v>5745</v>
      </c>
      <c r="D3188" t="s">
        <v>11265</v>
      </c>
    </row>
    <row r="3189" spans="1:4" x14ac:dyDescent="0.25">
      <c r="A3189" t="s">
        <v>5746</v>
      </c>
      <c r="D3189" t="s">
        <v>11266</v>
      </c>
    </row>
    <row r="3190" spans="1:4" x14ac:dyDescent="0.25">
      <c r="A3190" t="s">
        <v>5747</v>
      </c>
      <c r="D3190" t="s">
        <v>11267</v>
      </c>
    </row>
    <row r="3191" spans="1:4" x14ac:dyDescent="0.25">
      <c r="A3191" t="s">
        <v>5748</v>
      </c>
      <c r="D3191" t="s">
        <v>11268</v>
      </c>
    </row>
    <row r="3192" spans="1:4" x14ac:dyDescent="0.25">
      <c r="A3192" t="s">
        <v>5749</v>
      </c>
      <c r="D3192" t="s">
        <v>11269</v>
      </c>
    </row>
    <row r="3193" spans="1:4" x14ac:dyDescent="0.25">
      <c r="A3193" t="s">
        <v>5750</v>
      </c>
      <c r="D3193" t="s">
        <v>11270</v>
      </c>
    </row>
    <row r="3194" spans="1:4" x14ac:dyDescent="0.25">
      <c r="A3194" t="s">
        <v>5751</v>
      </c>
      <c r="D3194" t="s">
        <v>11271</v>
      </c>
    </row>
    <row r="3195" spans="1:4" x14ac:dyDescent="0.25">
      <c r="A3195" t="s">
        <v>5752</v>
      </c>
      <c r="D3195" t="s">
        <v>11272</v>
      </c>
    </row>
    <row r="3196" spans="1:4" x14ac:dyDescent="0.25">
      <c r="A3196" t="s">
        <v>5753</v>
      </c>
      <c r="D3196" t="s">
        <v>11273</v>
      </c>
    </row>
    <row r="3197" spans="1:4" x14ac:dyDescent="0.25">
      <c r="A3197" t="s">
        <v>5754</v>
      </c>
      <c r="D3197" t="s">
        <v>11274</v>
      </c>
    </row>
    <row r="3198" spans="1:4" x14ac:dyDescent="0.25">
      <c r="A3198" t="s">
        <v>5755</v>
      </c>
      <c r="D3198" t="s">
        <v>11275</v>
      </c>
    </row>
    <row r="3199" spans="1:4" x14ac:dyDescent="0.25">
      <c r="A3199" t="s">
        <v>5756</v>
      </c>
      <c r="D3199" t="s">
        <v>11276</v>
      </c>
    </row>
    <row r="3200" spans="1:4" x14ac:dyDescent="0.25">
      <c r="A3200" t="s">
        <v>5757</v>
      </c>
      <c r="D3200" t="s">
        <v>11277</v>
      </c>
    </row>
    <row r="3201" spans="1:4" x14ac:dyDescent="0.25">
      <c r="A3201" t="s">
        <v>5758</v>
      </c>
      <c r="D3201" t="s">
        <v>11278</v>
      </c>
    </row>
    <row r="3202" spans="1:4" x14ac:dyDescent="0.25">
      <c r="A3202" t="s">
        <v>5759</v>
      </c>
      <c r="D3202" t="s">
        <v>11279</v>
      </c>
    </row>
    <row r="3203" spans="1:4" x14ac:dyDescent="0.25">
      <c r="A3203" t="s">
        <v>5760</v>
      </c>
      <c r="D3203" t="s">
        <v>11280</v>
      </c>
    </row>
    <row r="3204" spans="1:4" x14ac:dyDescent="0.25">
      <c r="A3204" t="s">
        <v>5761</v>
      </c>
      <c r="D3204" t="s">
        <v>11281</v>
      </c>
    </row>
    <row r="3205" spans="1:4" x14ac:dyDescent="0.25">
      <c r="A3205" t="s">
        <v>5762</v>
      </c>
      <c r="D3205" t="s">
        <v>11282</v>
      </c>
    </row>
    <row r="3206" spans="1:4" x14ac:dyDescent="0.25">
      <c r="A3206" t="s">
        <v>5763</v>
      </c>
      <c r="D3206" t="s">
        <v>11283</v>
      </c>
    </row>
    <row r="3207" spans="1:4" x14ac:dyDescent="0.25">
      <c r="A3207" t="s">
        <v>5764</v>
      </c>
      <c r="D3207" t="s">
        <v>11284</v>
      </c>
    </row>
    <row r="3208" spans="1:4" x14ac:dyDescent="0.25">
      <c r="A3208" t="s">
        <v>5765</v>
      </c>
      <c r="D3208" t="s">
        <v>11285</v>
      </c>
    </row>
    <row r="3209" spans="1:4" x14ac:dyDescent="0.25">
      <c r="A3209" t="s">
        <v>5766</v>
      </c>
      <c r="D3209" t="s">
        <v>11286</v>
      </c>
    </row>
    <row r="3210" spans="1:4" x14ac:dyDescent="0.25">
      <c r="A3210" t="s">
        <v>5767</v>
      </c>
      <c r="D3210" t="s">
        <v>11287</v>
      </c>
    </row>
    <row r="3211" spans="1:4" x14ac:dyDescent="0.25">
      <c r="A3211" t="s">
        <v>5768</v>
      </c>
      <c r="D3211" t="s">
        <v>11288</v>
      </c>
    </row>
    <row r="3212" spans="1:4" x14ac:dyDescent="0.25">
      <c r="A3212" t="s">
        <v>5769</v>
      </c>
      <c r="D3212" t="s">
        <v>11289</v>
      </c>
    </row>
    <row r="3213" spans="1:4" x14ac:dyDescent="0.25">
      <c r="A3213" t="s">
        <v>5770</v>
      </c>
      <c r="D3213" t="s">
        <v>11290</v>
      </c>
    </row>
    <row r="3214" spans="1:4" x14ac:dyDescent="0.25">
      <c r="A3214" t="s">
        <v>5771</v>
      </c>
      <c r="D3214" t="s">
        <v>11291</v>
      </c>
    </row>
    <row r="3215" spans="1:4" x14ac:dyDescent="0.25">
      <c r="A3215" t="s">
        <v>5772</v>
      </c>
      <c r="D3215" t="s">
        <v>11292</v>
      </c>
    </row>
    <row r="3216" spans="1:4" x14ac:dyDescent="0.25">
      <c r="A3216" t="s">
        <v>5773</v>
      </c>
      <c r="D3216" t="s">
        <v>11293</v>
      </c>
    </row>
    <row r="3217" spans="1:4" x14ac:dyDescent="0.25">
      <c r="A3217" t="s">
        <v>5774</v>
      </c>
      <c r="D3217" t="s">
        <v>11294</v>
      </c>
    </row>
    <row r="3218" spans="1:4" x14ac:dyDescent="0.25">
      <c r="A3218" t="s">
        <v>5775</v>
      </c>
      <c r="D3218" t="s">
        <v>11295</v>
      </c>
    </row>
    <row r="3219" spans="1:4" x14ac:dyDescent="0.25">
      <c r="A3219" t="s">
        <v>5776</v>
      </c>
      <c r="D3219" t="s">
        <v>11296</v>
      </c>
    </row>
    <row r="3220" spans="1:4" x14ac:dyDescent="0.25">
      <c r="A3220" t="s">
        <v>5777</v>
      </c>
      <c r="D3220" t="s">
        <v>11297</v>
      </c>
    </row>
    <row r="3221" spans="1:4" x14ac:dyDescent="0.25">
      <c r="A3221" t="s">
        <v>5778</v>
      </c>
      <c r="D3221" t="s">
        <v>11298</v>
      </c>
    </row>
    <row r="3222" spans="1:4" x14ac:dyDescent="0.25">
      <c r="A3222" t="s">
        <v>5779</v>
      </c>
      <c r="D3222" t="s">
        <v>11299</v>
      </c>
    </row>
    <row r="3223" spans="1:4" x14ac:dyDescent="0.25">
      <c r="A3223" t="s">
        <v>5780</v>
      </c>
      <c r="D3223" t="s">
        <v>11300</v>
      </c>
    </row>
    <row r="3224" spans="1:4" x14ac:dyDescent="0.25">
      <c r="A3224" t="s">
        <v>5781</v>
      </c>
      <c r="D3224" t="s">
        <v>11301</v>
      </c>
    </row>
    <row r="3225" spans="1:4" x14ac:dyDescent="0.25">
      <c r="A3225" t="s">
        <v>5782</v>
      </c>
      <c r="D3225" t="s">
        <v>11302</v>
      </c>
    </row>
    <row r="3226" spans="1:4" x14ac:dyDescent="0.25">
      <c r="A3226" t="s">
        <v>5783</v>
      </c>
      <c r="D3226" t="s">
        <v>11303</v>
      </c>
    </row>
    <row r="3227" spans="1:4" x14ac:dyDescent="0.25">
      <c r="A3227" t="s">
        <v>5784</v>
      </c>
      <c r="D3227" t="s">
        <v>11304</v>
      </c>
    </row>
    <row r="3228" spans="1:4" x14ac:dyDescent="0.25">
      <c r="A3228" t="s">
        <v>5785</v>
      </c>
      <c r="D3228" t="s">
        <v>11305</v>
      </c>
    </row>
    <row r="3229" spans="1:4" x14ac:dyDescent="0.25">
      <c r="A3229" t="s">
        <v>5786</v>
      </c>
      <c r="D3229" t="s">
        <v>11306</v>
      </c>
    </row>
    <row r="3230" spans="1:4" x14ac:dyDescent="0.25">
      <c r="A3230" t="s">
        <v>5787</v>
      </c>
      <c r="D3230" t="s">
        <v>11307</v>
      </c>
    </row>
    <row r="3231" spans="1:4" x14ac:dyDescent="0.25">
      <c r="A3231" t="s">
        <v>5788</v>
      </c>
      <c r="D3231" t="s">
        <v>11308</v>
      </c>
    </row>
    <row r="3232" spans="1:4" x14ac:dyDescent="0.25">
      <c r="A3232" t="s">
        <v>5789</v>
      </c>
      <c r="D3232" t="s">
        <v>11309</v>
      </c>
    </row>
    <row r="3233" spans="1:4" x14ac:dyDescent="0.25">
      <c r="A3233" t="s">
        <v>5790</v>
      </c>
      <c r="D3233" t="s">
        <v>11310</v>
      </c>
    </row>
    <row r="3234" spans="1:4" x14ac:dyDescent="0.25">
      <c r="A3234" t="s">
        <v>5791</v>
      </c>
      <c r="D3234" t="s">
        <v>11311</v>
      </c>
    </row>
    <row r="3235" spans="1:4" x14ac:dyDescent="0.25">
      <c r="A3235" t="s">
        <v>5792</v>
      </c>
      <c r="D3235" t="s">
        <v>11312</v>
      </c>
    </row>
    <row r="3236" spans="1:4" x14ac:dyDescent="0.25">
      <c r="A3236" t="s">
        <v>5793</v>
      </c>
      <c r="D3236" t="s">
        <v>11313</v>
      </c>
    </row>
    <row r="3237" spans="1:4" x14ac:dyDescent="0.25">
      <c r="A3237" t="s">
        <v>5794</v>
      </c>
      <c r="D3237" t="s">
        <v>11314</v>
      </c>
    </row>
    <row r="3238" spans="1:4" x14ac:dyDescent="0.25">
      <c r="A3238" t="s">
        <v>5795</v>
      </c>
      <c r="D3238" t="s">
        <v>11315</v>
      </c>
    </row>
    <row r="3239" spans="1:4" x14ac:dyDescent="0.25">
      <c r="A3239" t="s">
        <v>5796</v>
      </c>
      <c r="D3239" t="s">
        <v>11316</v>
      </c>
    </row>
    <row r="3240" spans="1:4" x14ac:dyDescent="0.25">
      <c r="A3240" t="s">
        <v>5797</v>
      </c>
      <c r="D3240" t="s">
        <v>11317</v>
      </c>
    </row>
    <row r="3241" spans="1:4" x14ac:dyDescent="0.25">
      <c r="A3241" t="s">
        <v>5798</v>
      </c>
      <c r="D3241" t="s">
        <v>11318</v>
      </c>
    </row>
    <row r="3242" spans="1:4" x14ac:dyDescent="0.25">
      <c r="A3242" t="s">
        <v>5799</v>
      </c>
      <c r="D3242" t="s">
        <v>11319</v>
      </c>
    </row>
    <row r="3243" spans="1:4" x14ac:dyDescent="0.25">
      <c r="A3243" t="s">
        <v>5800</v>
      </c>
      <c r="D3243" t="s">
        <v>11320</v>
      </c>
    </row>
    <row r="3244" spans="1:4" x14ac:dyDescent="0.25">
      <c r="A3244" t="s">
        <v>5801</v>
      </c>
      <c r="D3244" t="s">
        <v>11321</v>
      </c>
    </row>
    <row r="3245" spans="1:4" x14ac:dyDescent="0.25">
      <c r="A3245" t="s">
        <v>5802</v>
      </c>
      <c r="D3245" t="s">
        <v>11322</v>
      </c>
    </row>
    <row r="3246" spans="1:4" x14ac:dyDescent="0.25">
      <c r="A3246" t="s">
        <v>5803</v>
      </c>
      <c r="D3246" t="s">
        <v>11323</v>
      </c>
    </row>
    <row r="3247" spans="1:4" x14ac:dyDescent="0.25">
      <c r="A3247" t="s">
        <v>5804</v>
      </c>
      <c r="D3247" t="s">
        <v>11324</v>
      </c>
    </row>
    <row r="3248" spans="1:4" x14ac:dyDescent="0.25">
      <c r="A3248" t="s">
        <v>5805</v>
      </c>
      <c r="D3248" t="s">
        <v>11325</v>
      </c>
    </row>
    <row r="3249" spans="1:4" x14ac:dyDescent="0.25">
      <c r="A3249" t="s">
        <v>5806</v>
      </c>
      <c r="D3249" t="s">
        <v>11326</v>
      </c>
    </row>
    <row r="3250" spans="1:4" x14ac:dyDescent="0.25">
      <c r="A3250" t="s">
        <v>5807</v>
      </c>
      <c r="D3250" t="s">
        <v>11327</v>
      </c>
    </row>
    <row r="3251" spans="1:4" x14ac:dyDescent="0.25">
      <c r="A3251" t="s">
        <v>5808</v>
      </c>
      <c r="D3251" t="s">
        <v>11328</v>
      </c>
    </row>
    <row r="3252" spans="1:4" x14ac:dyDescent="0.25">
      <c r="A3252" t="s">
        <v>5809</v>
      </c>
      <c r="D3252" t="s">
        <v>11329</v>
      </c>
    </row>
    <row r="3253" spans="1:4" x14ac:dyDescent="0.25">
      <c r="A3253" t="s">
        <v>5810</v>
      </c>
      <c r="D3253" t="s">
        <v>11330</v>
      </c>
    </row>
    <row r="3254" spans="1:4" x14ac:dyDescent="0.25">
      <c r="A3254" t="s">
        <v>5811</v>
      </c>
      <c r="D3254" t="s">
        <v>11331</v>
      </c>
    </row>
    <row r="3255" spans="1:4" x14ac:dyDescent="0.25">
      <c r="A3255" t="s">
        <v>5812</v>
      </c>
      <c r="D3255" t="s">
        <v>11332</v>
      </c>
    </row>
    <row r="3256" spans="1:4" x14ac:dyDescent="0.25">
      <c r="A3256" t="s">
        <v>5813</v>
      </c>
      <c r="D3256" t="s">
        <v>11333</v>
      </c>
    </row>
    <row r="3257" spans="1:4" x14ac:dyDescent="0.25">
      <c r="A3257" t="s">
        <v>5814</v>
      </c>
      <c r="D3257" t="s">
        <v>11334</v>
      </c>
    </row>
    <row r="3258" spans="1:4" x14ac:dyDescent="0.25">
      <c r="A3258" t="s">
        <v>5815</v>
      </c>
      <c r="D3258" t="s">
        <v>11335</v>
      </c>
    </row>
    <row r="3259" spans="1:4" x14ac:dyDescent="0.25">
      <c r="A3259" t="s">
        <v>5816</v>
      </c>
      <c r="D3259" t="s">
        <v>11336</v>
      </c>
    </row>
    <row r="3260" spans="1:4" x14ac:dyDescent="0.25">
      <c r="A3260" t="s">
        <v>5817</v>
      </c>
      <c r="D3260" t="s">
        <v>11337</v>
      </c>
    </row>
    <row r="3261" spans="1:4" x14ac:dyDescent="0.25">
      <c r="A3261" t="s">
        <v>5818</v>
      </c>
      <c r="D3261" t="s">
        <v>11338</v>
      </c>
    </row>
    <row r="3262" spans="1:4" x14ac:dyDescent="0.25">
      <c r="A3262" t="s">
        <v>5819</v>
      </c>
      <c r="D3262" t="s">
        <v>11339</v>
      </c>
    </row>
    <row r="3263" spans="1:4" x14ac:dyDescent="0.25">
      <c r="A3263" t="s">
        <v>5820</v>
      </c>
      <c r="D3263" t="s">
        <v>11340</v>
      </c>
    </row>
    <row r="3264" spans="1:4" x14ac:dyDescent="0.25">
      <c r="A3264" t="s">
        <v>5821</v>
      </c>
      <c r="D3264" t="s">
        <v>11341</v>
      </c>
    </row>
    <row r="3265" spans="1:4" x14ac:dyDescent="0.25">
      <c r="A3265" t="s">
        <v>5822</v>
      </c>
      <c r="D3265" t="s">
        <v>11342</v>
      </c>
    </row>
    <row r="3266" spans="1:4" x14ac:dyDescent="0.25">
      <c r="A3266" t="s">
        <v>5823</v>
      </c>
      <c r="D3266" t="s">
        <v>11343</v>
      </c>
    </row>
    <row r="3267" spans="1:4" x14ac:dyDescent="0.25">
      <c r="A3267" t="s">
        <v>5824</v>
      </c>
      <c r="D3267" t="s">
        <v>11344</v>
      </c>
    </row>
    <row r="3268" spans="1:4" x14ac:dyDescent="0.25">
      <c r="A3268" t="s">
        <v>5825</v>
      </c>
      <c r="D3268" t="s">
        <v>11345</v>
      </c>
    </row>
    <row r="3269" spans="1:4" x14ac:dyDescent="0.25">
      <c r="A3269" t="s">
        <v>5826</v>
      </c>
      <c r="D3269" t="s">
        <v>11346</v>
      </c>
    </row>
    <row r="3270" spans="1:4" x14ac:dyDescent="0.25">
      <c r="A3270" t="s">
        <v>5827</v>
      </c>
      <c r="D3270" t="s">
        <v>11347</v>
      </c>
    </row>
    <row r="3271" spans="1:4" x14ac:dyDescent="0.25">
      <c r="A3271" t="s">
        <v>5828</v>
      </c>
      <c r="D3271" t="s">
        <v>11348</v>
      </c>
    </row>
    <row r="3272" spans="1:4" x14ac:dyDescent="0.25">
      <c r="A3272" t="s">
        <v>5829</v>
      </c>
      <c r="D3272" t="s">
        <v>11349</v>
      </c>
    </row>
    <row r="3273" spans="1:4" x14ac:dyDescent="0.25">
      <c r="A3273" t="s">
        <v>5830</v>
      </c>
      <c r="D3273" t="s">
        <v>11350</v>
      </c>
    </row>
    <row r="3274" spans="1:4" x14ac:dyDescent="0.25">
      <c r="A3274" t="s">
        <v>5831</v>
      </c>
      <c r="D3274" t="s">
        <v>11351</v>
      </c>
    </row>
    <row r="3275" spans="1:4" x14ac:dyDescent="0.25">
      <c r="A3275" t="s">
        <v>5832</v>
      </c>
      <c r="D3275" t="s">
        <v>11352</v>
      </c>
    </row>
    <row r="3276" spans="1:4" x14ac:dyDescent="0.25">
      <c r="A3276" t="s">
        <v>5833</v>
      </c>
      <c r="D3276" t="s">
        <v>11353</v>
      </c>
    </row>
    <row r="3277" spans="1:4" x14ac:dyDescent="0.25">
      <c r="A3277" t="s">
        <v>5834</v>
      </c>
      <c r="D3277" t="s">
        <v>11354</v>
      </c>
    </row>
    <row r="3278" spans="1:4" x14ac:dyDescent="0.25">
      <c r="A3278" t="s">
        <v>5835</v>
      </c>
      <c r="D3278" t="s">
        <v>11355</v>
      </c>
    </row>
    <row r="3279" spans="1:4" x14ac:dyDescent="0.25">
      <c r="A3279" t="s">
        <v>5836</v>
      </c>
      <c r="D3279" t="s">
        <v>11356</v>
      </c>
    </row>
    <row r="3280" spans="1:4" x14ac:dyDescent="0.25">
      <c r="A3280" t="s">
        <v>5837</v>
      </c>
      <c r="D3280" t="s">
        <v>11357</v>
      </c>
    </row>
    <row r="3281" spans="1:4" x14ac:dyDescent="0.25">
      <c r="A3281" t="s">
        <v>5838</v>
      </c>
      <c r="D3281" t="s">
        <v>11358</v>
      </c>
    </row>
    <row r="3282" spans="1:4" x14ac:dyDescent="0.25">
      <c r="A3282" t="s">
        <v>5839</v>
      </c>
      <c r="D3282" t="s">
        <v>11359</v>
      </c>
    </row>
    <row r="3283" spans="1:4" x14ac:dyDescent="0.25">
      <c r="A3283" t="s">
        <v>5840</v>
      </c>
      <c r="D3283" t="s">
        <v>11360</v>
      </c>
    </row>
    <row r="3284" spans="1:4" x14ac:dyDescent="0.25">
      <c r="A3284" t="s">
        <v>5841</v>
      </c>
      <c r="D3284" t="s">
        <v>11361</v>
      </c>
    </row>
    <row r="3285" spans="1:4" x14ac:dyDescent="0.25">
      <c r="A3285" t="s">
        <v>5842</v>
      </c>
      <c r="D3285" t="s">
        <v>11362</v>
      </c>
    </row>
    <row r="3286" spans="1:4" x14ac:dyDescent="0.25">
      <c r="A3286" t="s">
        <v>5843</v>
      </c>
      <c r="D3286" t="s">
        <v>11363</v>
      </c>
    </row>
    <row r="3287" spans="1:4" x14ac:dyDescent="0.25">
      <c r="A3287" t="s">
        <v>5844</v>
      </c>
      <c r="D3287" t="s">
        <v>11364</v>
      </c>
    </row>
    <row r="3288" spans="1:4" x14ac:dyDescent="0.25">
      <c r="A3288" t="s">
        <v>5845</v>
      </c>
      <c r="D3288" t="s">
        <v>11365</v>
      </c>
    </row>
    <row r="3289" spans="1:4" x14ac:dyDescent="0.25">
      <c r="A3289" t="s">
        <v>5846</v>
      </c>
      <c r="D3289" t="s">
        <v>11366</v>
      </c>
    </row>
    <row r="3290" spans="1:4" x14ac:dyDescent="0.25">
      <c r="A3290" t="s">
        <v>5847</v>
      </c>
      <c r="D3290" t="s">
        <v>11367</v>
      </c>
    </row>
    <row r="3291" spans="1:4" x14ac:dyDescent="0.25">
      <c r="A3291" t="s">
        <v>5848</v>
      </c>
      <c r="D3291" t="s">
        <v>11368</v>
      </c>
    </row>
    <row r="3292" spans="1:4" x14ac:dyDescent="0.25">
      <c r="A3292" t="s">
        <v>5849</v>
      </c>
      <c r="D3292" t="s">
        <v>11369</v>
      </c>
    </row>
    <row r="3293" spans="1:4" x14ac:dyDescent="0.25">
      <c r="A3293" t="s">
        <v>5850</v>
      </c>
      <c r="D3293" t="s">
        <v>11370</v>
      </c>
    </row>
    <row r="3294" spans="1:4" x14ac:dyDescent="0.25">
      <c r="A3294" t="s">
        <v>5851</v>
      </c>
      <c r="D3294" t="s">
        <v>11371</v>
      </c>
    </row>
    <row r="3295" spans="1:4" x14ac:dyDescent="0.25">
      <c r="A3295" t="s">
        <v>5852</v>
      </c>
      <c r="D3295" t="s">
        <v>11372</v>
      </c>
    </row>
    <row r="3296" spans="1:4" x14ac:dyDescent="0.25">
      <c r="A3296" t="s">
        <v>5853</v>
      </c>
      <c r="D3296" t="s">
        <v>11373</v>
      </c>
    </row>
    <row r="3297" spans="1:4" x14ac:dyDescent="0.25">
      <c r="A3297" t="s">
        <v>5854</v>
      </c>
      <c r="D3297" t="s">
        <v>11374</v>
      </c>
    </row>
    <row r="3298" spans="1:4" x14ac:dyDescent="0.25">
      <c r="A3298" t="s">
        <v>5855</v>
      </c>
      <c r="D3298" t="s">
        <v>11375</v>
      </c>
    </row>
    <row r="3299" spans="1:4" x14ac:dyDescent="0.25">
      <c r="A3299" t="s">
        <v>5856</v>
      </c>
      <c r="D3299" t="s">
        <v>11376</v>
      </c>
    </row>
    <row r="3300" spans="1:4" x14ac:dyDescent="0.25">
      <c r="A3300" t="s">
        <v>5857</v>
      </c>
      <c r="D3300" t="s">
        <v>11377</v>
      </c>
    </row>
    <row r="3301" spans="1:4" x14ac:dyDescent="0.25">
      <c r="A3301" t="s">
        <v>5858</v>
      </c>
      <c r="D3301" t="s">
        <v>11378</v>
      </c>
    </row>
    <row r="3302" spans="1:4" x14ac:dyDescent="0.25">
      <c r="A3302" t="s">
        <v>5859</v>
      </c>
      <c r="D3302" t="s">
        <v>11379</v>
      </c>
    </row>
    <row r="3303" spans="1:4" x14ac:dyDescent="0.25">
      <c r="A3303" t="s">
        <v>5860</v>
      </c>
      <c r="D3303" t="s">
        <v>11380</v>
      </c>
    </row>
    <row r="3304" spans="1:4" x14ac:dyDescent="0.25">
      <c r="A3304" t="s">
        <v>5861</v>
      </c>
      <c r="D3304" t="s">
        <v>11381</v>
      </c>
    </row>
    <row r="3305" spans="1:4" x14ac:dyDescent="0.25">
      <c r="A3305" t="s">
        <v>5862</v>
      </c>
      <c r="D3305" t="s">
        <v>11382</v>
      </c>
    </row>
    <row r="3306" spans="1:4" x14ac:dyDescent="0.25">
      <c r="A3306" t="s">
        <v>5863</v>
      </c>
      <c r="D3306" t="s">
        <v>11383</v>
      </c>
    </row>
    <row r="3307" spans="1:4" x14ac:dyDescent="0.25">
      <c r="A3307" t="s">
        <v>5864</v>
      </c>
      <c r="D3307" t="s">
        <v>11384</v>
      </c>
    </row>
    <row r="3308" spans="1:4" x14ac:dyDescent="0.25">
      <c r="A3308" t="s">
        <v>5865</v>
      </c>
      <c r="D3308" t="s">
        <v>11385</v>
      </c>
    </row>
    <row r="3309" spans="1:4" x14ac:dyDescent="0.25">
      <c r="A3309" t="s">
        <v>5866</v>
      </c>
      <c r="D3309" t="s">
        <v>11386</v>
      </c>
    </row>
    <row r="3310" spans="1:4" x14ac:dyDescent="0.25">
      <c r="A3310" t="s">
        <v>5867</v>
      </c>
      <c r="D3310" t="s">
        <v>11387</v>
      </c>
    </row>
    <row r="3311" spans="1:4" x14ac:dyDescent="0.25">
      <c r="A3311" t="s">
        <v>5868</v>
      </c>
      <c r="D3311" t="s">
        <v>11388</v>
      </c>
    </row>
    <row r="3312" spans="1:4" x14ac:dyDescent="0.25">
      <c r="A3312" t="s">
        <v>5869</v>
      </c>
      <c r="D3312" t="s">
        <v>11389</v>
      </c>
    </row>
    <row r="3313" spans="1:4" x14ac:dyDescent="0.25">
      <c r="A3313" t="s">
        <v>5870</v>
      </c>
      <c r="D3313" t="s">
        <v>11390</v>
      </c>
    </row>
    <row r="3314" spans="1:4" x14ac:dyDescent="0.25">
      <c r="A3314" t="s">
        <v>5871</v>
      </c>
      <c r="D3314" t="s">
        <v>11391</v>
      </c>
    </row>
    <row r="3315" spans="1:4" x14ac:dyDescent="0.25">
      <c r="A3315" t="s">
        <v>5872</v>
      </c>
      <c r="D3315" t="s">
        <v>11392</v>
      </c>
    </row>
    <row r="3316" spans="1:4" x14ac:dyDescent="0.25">
      <c r="A3316" t="s">
        <v>5873</v>
      </c>
      <c r="D3316" t="s">
        <v>11393</v>
      </c>
    </row>
    <row r="3317" spans="1:4" x14ac:dyDescent="0.25">
      <c r="A3317" t="s">
        <v>5874</v>
      </c>
      <c r="D3317" t="s">
        <v>11394</v>
      </c>
    </row>
    <row r="3318" spans="1:4" x14ac:dyDescent="0.25">
      <c r="A3318" t="s">
        <v>5875</v>
      </c>
      <c r="D3318" t="s">
        <v>11395</v>
      </c>
    </row>
    <row r="3319" spans="1:4" x14ac:dyDescent="0.25">
      <c r="A3319" t="s">
        <v>5876</v>
      </c>
      <c r="D3319" t="s">
        <v>11396</v>
      </c>
    </row>
    <row r="3320" spans="1:4" x14ac:dyDescent="0.25">
      <c r="A3320" t="s">
        <v>5877</v>
      </c>
      <c r="D3320" t="s">
        <v>11397</v>
      </c>
    </row>
    <row r="3321" spans="1:4" x14ac:dyDescent="0.25">
      <c r="A3321" t="s">
        <v>5878</v>
      </c>
      <c r="D3321" t="s">
        <v>11398</v>
      </c>
    </row>
    <row r="3322" spans="1:4" x14ac:dyDescent="0.25">
      <c r="A3322" t="s">
        <v>5879</v>
      </c>
      <c r="D3322" t="s">
        <v>11399</v>
      </c>
    </row>
    <row r="3323" spans="1:4" x14ac:dyDescent="0.25">
      <c r="A3323" t="s">
        <v>5880</v>
      </c>
      <c r="D3323" t="s">
        <v>11400</v>
      </c>
    </row>
    <row r="3324" spans="1:4" x14ac:dyDescent="0.25">
      <c r="A3324" t="s">
        <v>5881</v>
      </c>
      <c r="D3324" t="s">
        <v>11401</v>
      </c>
    </row>
    <row r="3325" spans="1:4" x14ac:dyDescent="0.25">
      <c r="A3325" t="s">
        <v>5882</v>
      </c>
      <c r="D3325" t="s">
        <v>11402</v>
      </c>
    </row>
    <row r="3326" spans="1:4" x14ac:dyDescent="0.25">
      <c r="A3326" t="s">
        <v>5883</v>
      </c>
      <c r="D3326" t="s">
        <v>11403</v>
      </c>
    </row>
    <row r="3327" spans="1:4" x14ac:dyDescent="0.25">
      <c r="A3327" t="s">
        <v>5884</v>
      </c>
      <c r="D3327" t="s">
        <v>11404</v>
      </c>
    </row>
    <row r="3328" spans="1:4" x14ac:dyDescent="0.25">
      <c r="A3328" t="s">
        <v>5885</v>
      </c>
      <c r="D3328" t="s">
        <v>11405</v>
      </c>
    </row>
    <row r="3329" spans="1:4" x14ac:dyDescent="0.25">
      <c r="A3329" t="s">
        <v>5886</v>
      </c>
      <c r="D3329" t="s">
        <v>11406</v>
      </c>
    </row>
    <row r="3330" spans="1:4" x14ac:dyDescent="0.25">
      <c r="A3330" t="s">
        <v>5887</v>
      </c>
      <c r="D3330" t="s">
        <v>11407</v>
      </c>
    </row>
    <row r="3331" spans="1:4" x14ac:dyDescent="0.25">
      <c r="A3331" t="s">
        <v>5888</v>
      </c>
      <c r="D3331" t="s">
        <v>11408</v>
      </c>
    </row>
    <row r="3332" spans="1:4" x14ac:dyDescent="0.25">
      <c r="A3332" t="s">
        <v>5889</v>
      </c>
      <c r="D3332" t="s">
        <v>11409</v>
      </c>
    </row>
    <row r="3333" spans="1:4" x14ac:dyDescent="0.25">
      <c r="A3333" t="s">
        <v>5890</v>
      </c>
      <c r="D3333" t="s">
        <v>11410</v>
      </c>
    </row>
    <row r="3334" spans="1:4" x14ac:dyDescent="0.25">
      <c r="A3334" t="s">
        <v>5891</v>
      </c>
      <c r="D3334" t="s">
        <v>11411</v>
      </c>
    </row>
    <row r="3335" spans="1:4" x14ac:dyDescent="0.25">
      <c r="A3335" t="s">
        <v>5892</v>
      </c>
      <c r="D3335" t="s">
        <v>11412</v>
      </c>
    </row>
    <row r="3336" spans="1:4" x14ac:dyDescent="0.25">
      <c r="A3336" t="s">
        <v>5893</v>
      </c>
      <c r="D3336" t="s">
        <v>11413</v>
      </c>
    </row>
    <row r="3337" spans="1:4" x14ac:dyDescent="0.25">
      <c r="A3337" t="s">
        <v>5894</v>
      </c>
      <c r="D3337" t="s">
        <v>11414</v>
      </c>
    </row>
    <row r="3338" spans="1:4" x14ac:dyDescent="0.25">
      <c r="A3338" t="s">
        <v>5895</v>
      </c>
      <c r="D3338" t="s">
        <v>11415</v>
      </c>
    </row>
    <row r="3339" spans="1:4" x14ac:dyDescent="0.25">
      <c r="A3339" t="s">
        <v>5896</v>
      </c>
      <c r="D3339" t="s">
        <v>11416</v>
      </c>
    </row>
    <row r="3340" spans="1:4" x14ac:dyDescent="0.25">
      <c r="A3340" t="s">
        <v>5897</v>
      </c>
      <c r="D3340" t="s">
        <v>11417</v>
      </c>
    </row>
    <row r="3341" spans="1:4" x14ac:dyDescent="0.25">
      <c r="A3341" t="s">
        <v>5898</v>
      </c>
      <c r="D3341" t="s">
        <v>11418</v>
      </c>
    </row>
    <row r="3342" spans="1:4" x14ac:dyDescent="0.25">
      <c r="A3342" t="s">
        <v>5899</v>
      </c>
      <c r="D3342" t="s">
        <v>11419</v>
      </c>
    </row>
    <row r="3343" spans="1:4" x14ac:dyDescent="0.25">
      <c r="A3343" t="s">
        <v>5900</v>
      </c>
      <c r="D3343" t="s">
        <v>11420</v>
      </c>
    </row>
    <row r="3344" spans="1:4" x14ac:dyDescent="0.25">
      <c r="A3344" t="s">
        <v>5901</v>
      </c>
      <c r="D3344" t="s">
        <v>11421</v>
      </c>
    </row>
    <row r="3345" spans="1:4" x14ac:dyDescent="0.25">
      <c r="A3345" t="s">
        <v>5902</v>
      </c>
      <c r="D3345" t="s">
        <v>11422</v>
      </c>
    </row>
    <row r="3346" spans="1:4" x14ac:dyDescent="0.25">
      <c r="A3346" t="s">
        <v>5903</v>
      </c>
      <c r="D3346" t="s">
        <v>11423</v>
      </c>
    </row>
    <row r="3347" spans="1:4" x14ac:dyDescent="0.25">
      <c r="A3347" t="s">
        <v>5904</v>
      </c>
      <c r="D3347" t="s">
        <v>11424</v>
      </c>
    </row>
    <row r="3348" spans="1:4" x14ac:dyDescent="0.25">
      <c r="A3348" t="s">
        <v>5905</v>
      </c>
      <c r="D3348" t="s">
        <v>11425</v>
      </c>
    </row>
    <row r="3349" spans="1:4" x14ac:dyDescent="0.25">
      <c r="A3349" t="s">
        <v>5906</v>
      </c>
      <c r="D3349" t="s">
        <v>11426</v>
      </c>
    </row>
    <row r="3350" spans="1:4" x14ac:dyDescent="0.25">
      <c r="A3350" t="s">
        <v>5907</v>
      </c>
      <c r="D3350" t="s">
        <v>11427</v>
      </c>
    </row>
    <row r="3351" spans="1:4" x14ac:dyDescent="0.25">
      <c r="A3351" t="s">
        <v>5908</v>
      </c>
      <c r="D3351" t="s">
        <v>11428</v>
      </c>
    </row>
    <row r="3352" spans="1:4" x14ac:dyDescent="0.25">
      <c r="A3352" t="s">
        <v>5909</v>
      </c>
      <c r="D3352" t="s">
        <v>11429</v>
      </c>
    </row>
    <row r="3353" spans="1:4" x14ac:dyDescent="0.25">
      <c r="A3353" t="s">
        <v>5910</v>
      </c>
      <c r="D3353" t="s">
        <v>11430</v>
      </c>
    </row>
    <row r="3354" spans="1:4" x14ac:dyDescent="0.25">
      <c r="A3354" t="s">
        <v>5911</v>
      </c>
      <c r="D3354" t="s">
        <v>11431</v>
      </c>
    </row>
    <row r="3355" spans="1:4" x14ac:dyDescent="0.25">
      <c r="A3355" t="s">
        <v>5912</v>
      </c>
      <c r="D3355" t="s">
        <v>11432</v>
      </c>
    </row>
    <row r="3356" spans="1:4" x14ac:dyDescent="0.25">
      <c r="A3356" t="s">
        <v>5913</v>
      </c>
      <c r="D3356" t="s">
        <v>11433</v>
      </c>
    </row>
    <row r="3357" spans="1:4" x14ac:dyDescent="0.25">
      <c r="A3357" t="s">
        <v>5914</v>
      </c>
      <c r="D3357" t="s">
        <v>11434</v>
      </c>
    </row>
    <row r="3358" spans="1:4" x14ac:dyDescent="0.25">
      <c r="A3358" t="s">
        <v>5915</v>
      </c>
      <c r="D3358" t="s">
        <v>11435</v>
      </c>
    </row>
    <row r="3359" spans="1:4" x14ac:dyDescent="0.25">
      <c r="A3359" t="s">
        <v>5916</v>
      </c>
      <c r="D3359" t="s">
        <v>11436</v>
      </c>
    </row>
    <row r="3360" spans="1:4" x14ac:dyDescent="0.25">
      <c r="A3360" t="s">
        <v>5917</v>
      </c>
      <c r="D3360" t="s">
        <v>11437</v>
      </c>
    </row>
    <row r="3361" spans="1:4" x14ac:dyDescent="0.25">
      <c r="A3361" t="s">
        <v>5918</v>
      </c>
      <c r="D3361" t="s">
        <v>11438</v>
      </c>
    </row>
    <row r="3362" spans="1:4" x14ac:dyDescent="0.25">
      <c r="A3362" t="s">
        <v>5919</v>
      </c>
      <c r="D3362" t="s">
        <v>11439</v>
      </c>
    </row>
    <row r="3363" spans="1:4" x14ac:dyDescent="0.25">
      <c r="A3363" t="s">
        <v>5920</v>
      </c>
      <c r="D3363" t="s">
        <v>11440</v>
      </c>
    </row>
    <row r="3364" spans="1:4" x14ac:dyDescent="0.25">
      <c r="A3364" t="s">
        <v>5921</v>
      </c>
      <c r="D3364" t="s">
        <v>11441</v>
      </c>
    </row>
    <row r="3365" spans="1:4" x14ac:dyDescent="0.25">
      <c r="A3365" t="s">
        <v>5922</v>
      </c>
      <c r="D3365" t="s">
        <v>11442</v>
      </c>
    </row>
    <row r="3366" spans="1:4" x14ac:dyDescent="0.25">
      <c r="A3366" t="s">
        <v>5923</v>
      </c>
      <c r="D3366" t="s">
        <v>11443</v>
      </c>
    </row>
    <row r="3367" spans="1:4" x14ac:dyDescent="0.25">
      <c r="A3367" t="s">
        <v>5924</v>
      </c>
      <c r="D3367" t="s">
        <v>11444</v>
      </c>
    </row>
    <row r="3368" spans="1:4" x14ac:dyDescent="0.25">
      <c r="A3368" t="s">
        <v>5925</v>
      </c>
      <c r="D3368" t="s">
        <v>11445</v>
      </c>
    </row>
    <row r="3369" spans="1:4" x14ac:dyDescent="0.25">
      <c r="A3369" t="s">
        <v>5926</v>
      </c>
      <c r="D3369" t="s">
        <v>11446</v>
      </c>
    </row>
    <row r="3370" spans="1:4" x14ac:dyDescent="0.25">
      <c r="A3370" t="s">
        <v>5927</v>
      </c>
      <c r="D3370" t="s">
        <v>11447</v>
      </c>
    </row>
    <row r="3371" spans="1:4" x14ac:dyDescent="0.25">
      <c r="A3371" t="s">
        <v>5928</v>
      </c>
      <c r="D3371" t="s">
        <v>11448</v>
      </c>
    </row>
    <row r="3372" spans="1:4" x14ac:dyDescent="0.25">
      <c r="A3372" t="s">
        <v>5929</v>
      </c>
      <c r="D3372" t="s">
        <v>11449</v>
      </c>
    </row>
    <row r="3373" spans="1:4" x14ac:dyDescent="0.25">
      <c r="A3373" t="s">
        <v>5930</v>
      </c>
      <c r="D3373" t="s">
        <v>11450</v>
      </c>
    </row>
    <row r="3374" spans="1:4" x14ac:dyDescent="0.25">
      <c r="A3374" t="s">
        <v>5931</v>
      </c>
      <c r="D3374" t="s">
        <v>11451</v>
      </c>
    </row>
    <row r="3375" spans="1:4" x14ac:dyDescent="0.25">
      <c r="A3375" t="s">
        <v>5932</v>
      </c>
      <c r="D3375" t="s">
        <v>11452</v>
      </c>
    </row>
    <row r="3376" spans="1:4" x14ac:dyDescent="0.25">
      <c r="A3376" t="s">
        <v>5933</v>
      </c>
      <c r="D3376" t="s">
        <v>11453</v>
      </c>
    </row>
    <row r="3377" spans="1:4" x14ac:dyDescent="0.25">
      <c r="A3377" t="s">
        <v>5934</v>
      </c>
      <c r="D3377" t="s">
        <v>11454</v>
      </c>
    </row>
    <row r="3378" spans="1:4" x14ac:dyDescent="0.25">
      <c r="A3378" t="s">
        <v>5935</v>
      </c>
      <c r="D3378" t="s">
        <v>11455</v>
      </c>
    </row>
    <row r="3379" spans="1:4" x14ac:dyDescent="0.25">
      <c r="A3379" t="s">
        <v>5936</v>
      </c>
      <c r="D3379" t="s">
        <v>11456</v>
      </c>
    </row>
    <row r="3380" spans="1:4" x14ac:dyDescent="0.25">
      <c r="A3380" t="s">
        <v>5937</v>
      </c>
      <c r="D3380" t="s">
        <v>11457</v>
      </c>
    </row>
    <row r="3381" spans="1:4" x14ac:dyDescent="0.25">
      <c r="A3381" t="s">
        <v>5938</v>
      </c>
      <c r="D3381" t="s">
        <v>11458</v>
      </c>
    </row>
    <row r="3382" spans="1:4" x14ac:dyDescent="0.25">
      <c r="A3382" t="s">
        <v>5939</v>
      </c>
      <c r="D3382" t="s">
        <v>11459</v>
      </c>
    </row>
    <row r="3383" spans="1:4" x14ac:dyDescent="0.25">
      <c r="A3383" t="s">
        <v>5940</v>
      </c>
      <c r="D3383" t="s">
        <v>11460</v>
      </c>
    </row>
    <row r="3384" spans="1:4" x14ac:dyDescent="0.25">
      <c r="A3384" t="s">
        <v>5941</v>
      </c>
      <c r="D3384" t="s">
        <v>11461</v>
      </c>
    </row>
    <row r="3385" spans="1:4" x14ac:dyDescent="0.25">
      <c r="A3385" t="s">
        <v>5942</v>
      </c>
      <c r="D3385" t="s">
        <v>11462</v>
      </c>
    </row>
    <row r="3386" spans="1:4" x14ac:dyDescent="0.25">
      <c r="A3386" t="s">
        <v>5943</v>
      </c>
      <c r="D3386" t="s">
        <v>11463</v>
      </c>
    </row>
    <row r="3387" spans="1:4" x14ac:dyDescent="0.25">
      <c r="A3387" t="s">
        <v>5944</v>
      </c>
      <c r="D3387" t="s">
        <v>11464</v>
      </c>
    </row>
    <row r="3388" spans="1:4" x14ac:dyDescent="0.25">
      <c r="A3388" t="s">
        <v>5945</v>
      </c>
      <c r="D3388" t="s">
        <v>11465</v>
      </c>
    </row>
    <row r="3389" spans="1:4" x14ac:dyDescent="0.25">
      <c r="A3389" t="s">
        <v>5946</v>
      </c>
      <c r="D3389" t="s">
        <v>11466</v>
      </c>
    </row>
    <row r="3390" spans="1:4" x14ac:dyDescent="0.25">
      <c r="A3390" t="s">
        <v>5947</v>
      </c>
      <c r="D3390" t="s">
        <v>11467</v>
      </c>
    </row>
    <row r="3391" spans="1:4" x14ac:dyDescent="0.25">
      <c r="A3391" t="s">
        <v>5948</v>
      </c>
      <c r="D3391" t="s">
        <v>11468</v>
      </c>
    </row>
    <row r="3392" spans="1:4" x14ac:dyDescent="0.25">
      <c r="A3392" t="s">
        <v>5949</v>
      </c>
      <c r="D3392" t="s">
        <v>11469</v>
      </c>
    </row>
    <row r="3393" spans="1:4" x14ac:dyDescent="0.25">
      <c r="A3393" t="s">
        <v>5950</v>
      </c>
      <c r="D3393" t="s">
        <v>11470</v>
      </c>
    </row>
    <row r="3394" spans="1:4" x14ac:dyDescent="0.25">
      <c r="A3394" t="s">
        <v>5951</v>
      </c>
      <c r="D3394" t="s">
        <v>11471</v>
      </c>
    </row>
    <row r="3395" spans="1:4" x14ac:dyDescent="0.25">
      <c r="A3395" t="s">
        <v>5952</v>
      </c>
      <c r="D3395" t="s">
        <v>11472</v>
      </c>
    </row>
    <row r="3396" spans="1:4" x14ac:dyDescent="0.25">
      <c r="A3396" t="s">
        <v>5953</v>
      </c>
      <c r="D3396" t="s">
        <v>11473</v>
      </c>
    </row>
    <row r="3397" spans="1:4" x14ac:dyDescent="0.25">
      <c r="A3397" t="s">
        <v>5954</v>
      </c>
      <c r="D3397" t="s">
        <v>11474</v>
      </c>
    </row>
    <row r="3398" spans="1:4" x14ac:dyDescent="0.25">
      <c r="A3398" t="s">
        <v>5955</v>
      </c>
      <c r="D3398" t="s">
        <v>11475</v>
      </c>
    </row>
    <row r="3399" spans="1:4" x14ac:dyDescent="0.25">
      <c r="A3399" t="s">
        <v>5956</v>
      </c>
      <c r="D3399" t="s">
        <v>11476</v>
      </c>
    </row>
    <row r="3400" spans="1:4" x14ac:dyDescent="0.25">
      <c r="A3400" t="s">
        <v>5957</v>
      </c>
      <c r="D3400" t="s">
        <v>11477</v>
      </c>
    </row>
    <row r="3401" spans="1:4" x14ac:dyDescent="0.25">
      <c r="A3401" t="s">
        <v>5958</v>
      </c>
      <c r="D3401" t="s">
        <v>11478</v>
      </c>
    </row>
    <row r="3402" spans="1:4" x14ac:dyDescent="0.25">
      <c r="A3402" t="s">
        <v>5959</v>
      </c>
      <c r="D3402" t="s">
        <v>11479</v>
      </c>
    </row>
    <row r="3403" spans="1:4" x14ac:dyDescent="0.25">
      <c r="A3403" t="s">
        <v>5960</v>
      </c>
      <c r="D3403" t="s">
        <v>11480</v>
      </c>
    </row>
    <row r="3404" spans="1:4" x14ac:dyDescent="0.25">
      <c r="A3404" t="s">
        <v>5961</v>
      </c>
      <c r="D3404" t="s">
        <v>11481</v>
      </c>
    </row>
    <row r="3405" spans="1:4" x14ac:dyDescent="0.25">
      <c r="A3405" t="s">
        <v>5962</v>
      </c>
      <c r="D3405" t="s">
        <v>11482</v>
      </c>
    </row>
    <row r="3406" spans="1:4" x14ac:dyDescent="0.25">
      <c r="A3406" t="s">
        <v>5963</v>
      </c>
      <c r="D3406" t="s">
        <v>11483</v>
      </c>
    </row>
    <row r="3407" spans="1:4" x14ac:dyDescent="0.25">
      <c r="A3407" t="s">
        <v>5964</v>
      </c>
      <c r="D3407" t="s">
        <v>11484</v>
      </c>
    </row>
    <row r="3408" spans="1:4" x14ac:dyDescent="0.25">
      <c r="A3408" t="s">
        <v>5965</v>
      </c>
      <c r="D3408" t="s">
        <v>11485</v>
      </c>
    </row>
    <row r="3409" spans="1:4" x14ac:dyDescent="0.25">
      <c r="A3409" t="s">
        <v>5966</v>
      </c>
      <c r="D3409" t="s">
        <v>11486</v>
      </c>
    </row>
    <row r="3410" spans="1:4" x14ac:dyDescent="0.25">
      <c r="A3410" t="s">
        <v>5967</v>
      </c>
      <c r="D3410" t="s">
        <v>11487</v>
      </c>
    </row>
    <row r="3411" spans="1:4" x14ac:dyDescent="0.25">
      <c r="A3411" t="s">
        <v>5968</v>
      </c>
      <c r="D3411" t="s">
        <v>11488</v>
      </c>
    </row>
    <row r="3412" spans="1:4" x14ac:dyDescent="0.25">
      <c r="A3412" t="s">
        <v>5969</v>
      </c>
      <c r="D3412" t="s">
        <v>11489</v>
      </c>
    </row>
    <row r="3413" spans="1:4" x14ac:dyDescent="0.25">
      <c r="A3413" t="s">
        <v>5970</v>
      </c>
      <c r="D3413" t="s">
        <v>11490</v>
      </c>
    </row>
    <row r="3414" spans="1:4" x14ac:dyDescent="0.25">
      <c r="A3414" t="s">
        <v>5971</v>
      </c>
      <c r="D3414" t="s">
        <v>11491</v>
      </c>
    </row>
    <row r="3415" spans="1:4" x14ac:dyDescent="0.25">
      <c r="A3415" t="s">
        <v>5972</v>
      </c>
      <c r="D3415" t="s">
        <v>11492</v>
      </c>
    </row>
    <row r="3416" spans="1:4" x14ac:dyDescent="0.25">
      <c r="A3416" t="s">
        <v>5973</v>
      </c>
      <c r="D3416" t="s">
        <v>11493</v>
      </c>
    </row>
    <row r="3417" spans="1:4" x14ac:dyDescent="0.25">
      <c r="A3417" t="s">
        <v>5974</v>
      </c>
      <c r="D3417" t="s">
        <v>11494</v>
      </c>
    </row>
    <row r="3418" spans="1:4" x14ac:dyDescent="0.25">
      <c r="A3418" t="s">
        <v>5975</v>
      </c>
      <c r="D3418" t="s">
        <v>11495</v>
      </c>
    </row>
    <row r="3419" spans="1:4" x14ac:dyDescent="0.25">
      <c r="A3419" t="s">
        <v>5976</v>
      </c>
      <c r="D3419" t="s">
        <v>11496</v>
      </c>
    </row>
    <row r="3420" spans="1:4" x14ac:dyDescent="0.25">
      <c r="A3420" t="s">
        <v>5977</v>
      </c>
      <c r="D3420" t="s">
        <v>11497</v>
      </c>
    </row>
    <row r="3421" spans="1:4" x14ac:dyDescent="0.25">
      <c r="A3421" t="s">
        <v>5978</v>
      </c>
      <c r="D3421" t="s">
        <v>11498</v>
      </c>
    </row>
    <row r="3422" spans="1:4" x14ac:dyDescent="0.25">
      <c r="A3422" t="s">
        <v>5979</v>
      </c>
      <c r="D3422" t="s">
        <v>11499</v>
      </c>
    </row>
    <row r="3423" spans="1:4" x14ac:dyDescent="0.25">
      <c r="A3423" t="s">
        <v>5980</v>
      </c>
      <c r="D3423" t="s">
        <v>11500</v>
      </c>
    </row>
    <row r="3424" spans="1:4" x14ac:dyDescent="0.25">
      <c r="A3424" t="s">
        <v>5981</v>
      </c>
      <c r="D3424" t="s">
        <v>11501</v>
      </c>
    </row>
    <row r="3425" spans="1:4" x14ac:dyDescent="0.25">
      <c r="A3425" t="s">
        <v>5982</v>
      </c>
      <c r="D3425" t="s">
        <v>11502</v>
      </c>
    </row>
    <row r="3426" spans="1:4" x14ac:dyDescent="0.25">
      <c r="A3426" t="s">
        <v>5983</v>
      </c>
      <c r="D3426" t="s">
        <v>11503</v>
      </c>
    </row>
    <row r="3427" spans="1:4" x14ac:dyDescent="0.25">
      <c r="A3427" t="s">
        <v>5984</v>
      </c>
      <c r="D3427" t="s">
        <v>11504</v>
      </c>
    </row>
    <row r="3428" spans="1:4" x14ac:dyDescent="0.25">
      <c r="A3428" t="s">
        <v>5985</v>
      </c>
      <c r="D3428" t="s">
        <v>11505</v>
      </c>
    </row>
    <row r="3429" spans="1:4" x14ac:dyDescent="0.25">
      <c r="A3429" t="s">
        <v>5986</v>
      </c>
      <c r="D3429" t="s">
        <v>11506</v>
      </c>
    </row>
    <row r="3430" spans="1:4" x14ac:dyDescent="0.25">
      <c r="A3430" t="s">
        <v>5987</v>
      </c>
      <c r="D3430" t="s">
        <v>11507</v>
      </c>
    </row>
    <row r="3431" spans="1:4" x14ac:dyDescent="0.25">
      <c r="A3431" t="s">
        <v>5988</v>
      </c>
      <c r="D3431" t="s">
        <v>11508</v>
      </c>
    </row>
    <row r="3432" spans="1:4" x14ac:dyDescent="0.25">
      <c r="A3432" t="s">
        <v>5989</v>
      </c>
      <c r="D3432" t="s">
        <v>11509</v>
      </c>
    </row>
    <row r="3433" spans="1:4" x14ac:dyDescent="0.25">
      <c r="A3433" t="s">
        <v>5990</v>
      </c>
      <c r="D3433" t="s">
        <v>11510</v>
      </c>
    </row>
    <row r="3434" spans="1:4" x14ac:dyDescent="0.25">
      <c r="A3434" t="s">
        <v>5991</v>
      </c>
      <c r="D3434" t="s">
        <v>11511</v>
      </c>
    </row>
    <row r="3435" spans="1:4" x14ac:dyDescent="0.25">
      <c r="A3435" t="s">
        <v>5992</v>
      </c>
      <c r="D3435" t="s">
        <v>11512</v>
      </c>
    </row>
    <row r="3436" spans="1:4" x14ac:dyDescent="0.25">
      <c r="A3436" t="s">
        <v>5993</v>
      </c>
      <c r="D3436" t="s">
        <v>11513</v>
      </c>
    </row>
    <row r="3437" spans="1:4" x14ac:dyDescent="0.25">
      <c r="A3437" t="s">
        <v>5994</v>
      </c>
      <c r="D3437" t="s">
        <v>11514</v>
      </c>
    </row>
    <row r="3438" spans="1:4" x14ac:dyDescent="0.25">
      <c r="A3438" t="s">
        <v>5995</v>
      </c>
      <c r="D3438" t="s">
        <v>11515</v>
      </c>
    </row>
    <row r="3439" spans="1:4" x14ac:dyDescent="0.25">
      <c r="A3439" t="s">
        <v>5996</v>
      </c>
      <c r="D3439" t="s">
        <v>11516</v>
      </c>
    </row>
    <row r="3440" spans="1:4" x14ac:dyDescent="0.25">
      <c r="A3440" t="s">
        <v>5997</v>
      </c>
      <c r="D3440" t="s">
        <v>11517</v>
      </c>
    </row>
    <row r="3441" spans="1:4" x14ac:dyDescent="0.25">
      <c r="A3441" t="s">
        <v>5998</v>
      </c>
      <c r="D3441" t="s">
        <v>11518</v>
      </c>
    </row>
    <row r="3442" spans="1:4" x14ac:dyDescent="0.25">
      <c r="A3442" t="s">
        <v>5999</v>
      </c>
      <c r="D3442" t="s">
        <v>11519</v>
      </c>
    </row>
    <row r="3443" spans="1:4" x14ac:dyDescent="0.25">
      <c r="A3443" t="s">
        <v>6000</v>
      </c>
      <c r="D3443" t="s">
        <v>11520</v>
      </c>
    </row>
    <row r="3444" spans="1:4" x14ac:dyDescent="0.25">
      <c r="A3444" t="s">
        <v>6001</v>
      </c>
      <c r="D3444" t="s">
        <v>11521</v>
      </c>
    </row>
    <row r="3445" spans="1:4" x14ac:dyDescent="0.25">
      <c r="A3445" t="s">
        <v>6002</v>
      </c>
      <c r="D3445" t="s">
        <v>11522</v>
      </c>
    </row>
    <row r="3446" spans="1:4" x14ac:dyDescent="0.25">
      <c r="A3446" t="s">
        <v>6003</v>
      </c>
      <c r="D3446" t="s">
        <v>11523</v>
      </c>
    </row>
    <row r="3447" spans="1:4" x14ac:dyDescent="0.25">
      <c r="A3447" t="s">
        <v>6004</v>
      </c>
      <c r="D3447" t="s">
        <v>11524</v>
      </c>
    </row>
    <row r="3448" spans="1:4" x14ac:dyDescent="0.25">
      <c r="A3448" t="s">
        <v>6005</v>
      </c>
      <c r="D3448" t="s">
        <v>11525</v>
      </c>
    </row>
    <row r="3449" spans="1:4" x14ac:dyDescent="0.25">
      <c r="A3449" t="s">
        <v>6006</v>
      </c>
      <c r="D3449" t="s">
        <v>11526</v>
      </c>
    </row>
    <row r="3450" spans="1:4" x14ac:dyDescent="0.25">
      <c r="A3450" t="s">
        <v>6007</v>
      </c>
      <c r="D3450" t="s">
        <v>11527</v>
      </c>
    </row>
    <row r="3451" spans="1:4" x14ac:dyDescent="0.25">
      <c r="A3451" t="s">
        <v>6008</v>
      </c>
      <c r="D3451" t="s">
        <v>11528</v>
      </c>
    </row>
    <row r="3452" spans="1:4" x14ac:dyDescent="0.25">
      <c r="A3452" t="s">
        <v>6009</v>
      </c>
      <c r="D3452" t="s">
        <v>11529</v>
      </c>
    </row>
    <row r="3453" spans="1:4" x14ac:dyDescent="0.25">
      <c r="A3453" t="s">
        <v>6010</v>
      </c>
      <c r="D3453" t="s">
        <v>11530</v>
      </c>
    </row>
    <row r="3454" spans="1:4" x14ac:dyDescent="0.25">
      <c r="A3454" t="s">
        <v>6011</v>
      </c>
      <c r="D3454" t="s">
        <v>11531</v>
      </c>
    </row>
    <row r="3455" spans="1:4" x14ac:dyDescent="0.25">
      <c r="A3455" t="s">
        <v>6012</v>
      </c>
      <c r="D3455" t="s">
        <v>11532</v>
      </c>
    </row>
    <row r="3456" spans="1:4" x14ac:dyDescent="0.25">
      <c r="A3456" t="s">
        <v>6013</v>
      </c>
      <c r="D3456" t="s">
        <v>11533</v>
      </c>
    </row>
    <row r="3457" spans="1:4" x14ac:dyDescent="0.25">
      <c r="A3457" t="s">
        <v>6014</v>
      </c>
      <c r="D3457" t="s">
        <v>11534</v>
      </c>
    </row>
    <row r="3458" spans="1:4" x14ac:dyDescent="0.25">
      <c r="A3458" t="s">
        <v>6015</v>
      </c>
      <c r="D3458" t="s">
        <v>11535</v>
      </c>
    </row>
    <row r="3459" spans="1:4" x14ac:dyDescent="0.25">
      <c r="A3459" t="s">
        <v>6016</v>
      </c>
      <c r="D3459" t="s">
        <v>11536</v>
      </c>
    </row>
    <row r="3460" spans="1:4" x14ac:dyDescent="0.25">
      <c r="A3460" t="s">
        <v>6017</v>
      </c>
      <c r="D3460" t="s">
        <v>11537</v>
      </c>
    </row>
    <row r="3461" spans="1:4" x14ac:dyDescent="0.25">
      <c r="A3461" t="s">
        <v>6018</v>
      </c>
      <c r="D3461" t="s">
        <v>11538</v>
      </c>
    </row>
    <row r="3462" spans="1:4" x14ac:dyDescent="0.25">
      <c r="A3462" t="s">
        <v>6019</v>
      </c>
      <c r="D3462" t="s">
        <v>11539</v>
      </c>
    </row>
    <row r="3463" spans="1:4" x14ac:dyDescent="0.25">
      <c r="A3463" t="s">
        <v>6020</v>
      </c>
      <c r="D3463" t="s">
        <v>11540</v>
      </c>
    </row>
    <row r="3464" spans="1:4" x14ac:dyDescent="0.25">
      <c r="A3464" t="s">
        <v>6021</v>
      </c>
      <c r="D3464" t="s">
        <v>11541</v>
      </c>
    </row>
    <row r="3465" spans="1:4" x14ac:dyDescent="0.25">
      <c r="A3465" t="s">
        <v>6022</v>
      </c>
      <c r="D3465" t="s">
        <v>11542</v>
      </c>
    </row>
    <row r="3466" spans="1:4" x14ac:dyDescent="0.25">
      <c r="A3466" t="s">
        <v>6023</v>
      </c>
      <c r="D3466" t="s">
        <v>11543</v>
      </c>
    </row>
    <row r="3467" spans="1:4" x14ac:dyDescent="0.25">
      <c r="A3467" t="s">
        <v>6024</v>
      </c>
      <c r="D3467" t="s">
        <v>11544</v>
      </c>
    </row>
    <row r="3468" spans="1:4" x14ac:dyDescent="0.25">
      <c r="A3468" t="s">
        <v>6025</v>
      </c>
      <c r="D3468" t="s">
        <v>11545</v>
      </c>
    </row>
    <row r="3469" spans="1:4" x14ac:dyDescent="0.25">
      <c r="A3469" t="s">
        <v>6026</v>
      </c>
      <c r="D3469" t="s">
        <v>11546</v>
      </c>
    </row>
    <row r="3470" spans="1:4" x14ac:dyDescent="0.25">
      <c r="A3470" t="s">
        <v>6027</v>
      </c>
      <c r="D3470" t="s">
        <v>11547</v>
      </c>
    </row>
    <row r="3471" spans="1:4" x14ac:dyDescent="0.25">
      <c r="A3471" t="s">
        <v>6028</v>
      </c>
      <c r="D3471" t="s">
        <v>11548</v>
      </c>
    </row>
    <row r="3472" spans="1:4" x14ac:dyDescent="0.25">
      <c r="A3472" t="s">
        <v>6029</v>
      </c>
      <c r="D3472" t="s">
        <v>11549</v>
      </c>
    </row>
    <row r="3473" spans="1:4" x14ac:dyDescent="0.25">
      <c r="A3473" t="s">
        <v>6030</v>
      </c>
      <c r="D3473" t="s">
        <v>11550</v>
      </c>
    </row>
    <row r="3474" spans="1:4" x14ac:dyDescent="0.25">
      <c r="A3474" t="s">
        <v>6031</v>
      </c>
      <c r="D3474" t="s">
        <v>11551</v>
      </c>
    </row>
    <row r="3475" spans="1:4" x14ac:dyDescent="0.25">
      <c r="A3475" t="s">
        <v>6032</v>
      </c>
      <c r="D3475" t="s">
        <v>11552</v>
      </c>
    </row>
    <row r="3476" spans="1:4" x14ac:dyDescent="0.25">
      <c r="A3476" t="s">
        <v>6033</v>
      </c>
      <c r="D3476" t="s">
        <v>11553</v>
      </c>
    </row>
    <row r="3477" spans="1:4" x14ac:dyDescent="0.25">
      <c r="A3477" t="s">
        <v>6034</v>
      </c>
      <c r="D3477" t="s">
        <v>11554</v>
      </c>
    </row>
    <row r="3478" spans="1:4" x14ac:dyDescent="0.25">
      <c r="A3478" t="s">
        <v>6035</v>
      </c>
      <c r="D3478" t="s">
        <v>11555</v>
      </c>
    </row>
    <row r="3479" spans="1:4" x14ac:dyDescent="0.25">
      <c r="A3479" t="s">
        <v>6036</v>
      </c>
      <c r="D3479" t="s">
        <v>11556</v>
      </c>
    </row>
    <row r="3480" spans="1:4" x14ac:dyDescent="0.25">
      <c r="A3480" t="s">
        <v>6037</v>
      </c>
      <c r="D3480" t="s">
        <v>11557</v>
      </c>
    </row>
    <row r="3481" spans="1:4" x14ac:dyDescent="0.25">
      <c r="A3481" t="s">
        <v>6038</v>
      </c>
      <c r="D3481" t="s">
        <v>11558</v>
      </c>
    </row>
    <row r="3482" spans="1:4" x14ac:dyDescent="0.25">
      <c r="A3482" t="s">
        <v>6039</v>
      </c>
      <c r="D3482" t="s">
        <v>11559</v>
      </c>
    </row>
    <row r="3483" spans="1:4" x14ac:dyDescent="0.25">
      <c r="A3483" t="s">
        <v>6040</v>
      </c>
      <c r="D3483" t="s">
        <v>11560</v>
      </c>
    </row>
    <row r="3484" spans="1:4" x14ac:dyDescent="0.25">
      <c r="A3484" t="s">
        <v>6041</v>
      </c>
      <c r="D3484" t="s">
        <v>11561</v>
      </c>
    </row>
    <row r="3485" spans="1:4" x14ac:dyDescent="0.25">
      <c r="A3485" t="s">
        <v>6042</v>
      </c>
      <c r="D3485" t="s">
        <v>11562</v>
      </c>
    </row>
    <row r="3486" spans="1:4" x14ac:dyDescent="0.25">
      <c r="A3486" t="s">
        <v>6043</v>
      </c>
      <c r="D3486" t="s">
        <v>11563</v>
      </c>
    </row>
    <row r="3487" spans="1:4" x14ac:dyDescent="0.25">
      <c r="A3487" t="s">
        <v>6044</v>
      </c>
      <c r="D3487" t="s">
        <v>11564</v>
      </c>
    </row>
    <row r="3488" spans="1:4" x14ac:dyDescent="0.25">
      <c r="A3488" t="s">
        <v>6045</v>
      </c>
      <c r="D3488" t="s">
        <v>11565</v>
      </c>
    </row>
    <row r="3489" spans="1:4" x14ac:dyDescent="0.25">
      <c r="A3489" t="s">
        <v>6046</v>
      </c>
      <c r="D3489" t="s">
        <v>11566</v>
      </c>
    </row>
    <row r="3490" spans="1:4" x14ac:dyDescent="0.25">
      <c r="A3490" t="s">
        <v>6047</v>
      </c>
      <c r="D3490" t="s">
        <v>11567</v>
      </c>
    </row>
    <row r="3491" spans="1:4" x14ac:dyDescent="0.25">
      <c r="A3491" t="s">
        <v>6048</v>
      </c>
      <c r="D3491" t="s">
        <v>11568</v>
      </c>
    </row>
    <row r="3492" spans="1:4" x14ac:dyDescent="0.25">
      <c r="A3492" t="s">
        <v>6049</v>
      </c>
      <c r="D3492" t="s">
        <v>11569</v>
      </c>
    </row>
    <row r="3493" spans="1:4" x14ac:dyDescent="0.25">
      <c r="A3493" t="s">
        <v>6050</v>
      </c>
      <c r="D3493" t="s">
        <v>11570</v>
      </c>
    </row>
    <row r="3494" spans="1:4" x14ac:dyDescent="0.25">
      <c r="A3494" t="s">
        <v>6051</v>
      </c>
      <c r="D3494" t="s">
        <v>11571</v>
      </c>
    </row>
    <row r="3495" spans="1:4" x14ac:dyDescent="0.25">
      <c r="A3495" t="s">
        <v>6052</v>
      </c>
      <c r="D3495" t="s">
        <v>11572</v>
      </c>
    </row>
    <row r="3496" spans="1:4" x14ac:dyDescent="0.25">
      <c r="A3496" t="s">
        <v>6053</v>
      </c>
      <c r="D3496" t="s">
        <v>11573</v>
      </c>
    </row>
    <row r="3497" spans="1:4" x14ac:dyDescent="0.25">
      <c r="A3497" t="s">
        <v>6054</v>
      </c>
      <c r="D3497" t="s">
        <v>11574</v>
      </c>
    </row>
    <row r="3498" spans="1:4" x14ac:dyDescent="0.25">
      <c r="A3498" t="s">
        <v>6055</v>
      </c>
      <c r="D3498" t="s">
        <v>11575</v>
      </c>
    </row>
    <row r="3499" spans="1:4" x14ac:dyDescent="0.25">
      <c r="A3499" t="s">
        <v>6056</v>
      </c>
      <c r="D3499" t="s">
        <v>11576</v>
      </c>
    </row>
    <row r="3500" spans="1:4" x14ac:dyDescent="0.25">
      <c r="A3500" t="s">
        <v>6057</v>
      </c>
      <c r="D3500" t="s">
        <v>11577</v>
      </c>
    </row>
    <row r="3501" spans="1:4" x14ac:dyDescent="0.25">
      <c r="A3501" t="s">
        <v>6058</v>
      </c>
      <c r="D3501" t="s">
        <v>11578</v>
      </c>
    </row>
    <row r="3502" spans="1:4" x14ac:dyDescent="0.25">
      <c r="A3502" t="s">
        <v>6059</v>
      </c>
      <c r="D3502" t="s">
        <v>11579</v>
      </c>
    </row>
    <row r="3503" spans="1:4" x14ac:dyDescent="0.25">
      <c r="A3503" t="s">
        <v>6060</v>
      </c>
      <c r="D3503" t="s">
        <v>11580</v>
      </c>
    </row>
    <row r="3504" spans="1:4" x14ac:dyDescent="0.25">
      <c r="A3504" t="s">
        <v>6061</v>
      </c>
      <c r="D3504" t="s">
        <v>11581</v>
      </c>
    </row>
    <row r="3505" spans="1:4" x14ac:dyDescent="0.25">
      <c r="A3505" t="s">
        <v>6062</v>
      </c>
      <c r="D3505" t="s">
        <v>11582</v>
      </c>
    </row>
    <row r="3506" spans="1:4" x14ac:dyDescent="0.25">
      <c r="A3506" t="s">
        <v>6063</v>
      </c>
      <c r="D3506" t="s">
        <v>11583</v>
      </c>
    </row>
    <row r="3507" spans="1:4" x14ac:dyDescent="0.25">
      <c r="A3507" t="s">
        <v>6064</v>
      </c>
      <c r="D3507" t="s">
        <v>11584</v>
      </c>
    </row>
    <row r="3508" spans="1:4" x14ac:dyDescent="0.25">
      <c r="A3508" t="s">
        <v>6065</v>
      </c>
      <c r="D3508" t="s">
        <v>11585</v>
      </c>
    </row>
    <row r="3509" spans="1:4" x14ac:dyDescent="0.25">
      <c r="A3509" t="s">
        <v>6066</v>
      </c>
      <c r="D3509" t="s">
        <v>11586</v>
      </c>
    </row>
    <row r="3510" spans="1:4" x14ac:dyDescent="0.25">
      <c r="A3510" t="s">
        <v>6067</v>
      </c>
      <c r="D3510" t="s">
        <v>11587</v>
      </c>
    </row>
    <row r="3511" spans="1:4" x14ac:dyDescent="0.25">
      <c r="A3511" t="s">
        <v>6068</v>
      </c>
      <c r="D3511" t="s">
        <v>11588</v>
      </c>
    </row>
    <row r="3512" spans="1:4" x14ac:dyDescent="0.25">
      <c r="A3512" t="s">
        <v>6069</v>
      </c>
      <c r="D3512" t="s">
        <v>11589</v>
      </c>
    </row>
    <row r="3513" spans="1:4" x14ac:dyDescent="0.25">
      <c r="A3513" t="s">
        <v>6070</v>
      </c>
      <c r="D3513" t="s">
        <v>11590</v>
      </c>
    </row>
    <row r="3514" spans="1:4" x14ac:dyDescent="0.25">
      <c r="A3514" t="s">
        <v>6071</v>
      </c>
      <c r="D3514" t="s">
        <v>11591</v>
      </c>
    </row>
    <row r="3515" spans="1:4" x14ac:dyDescent="0.25">
      <c r="A3515" t="s">
        <v>6072</v>
      </c>
      <c r="D3515" t="s">
        <v>11592</v>
      </c>
    </row>
    <row r="3516" spans="1:4" x14ac:dyDescent="0.25">
      <c r="A3516" t="s">
        <v>6073</v>
      </c>
      <c r="D3516" t="s">
        <v>11593</v>
      </c>
    </row>
    <row r="3517" spans="1:4" x14ac:dyDescent="0.25">
      <c r="A3517" t="s">
        <v>6074</v>
      </c>
      <c r="D3517" t="s">
        <v>11594</v>
      </c>
    </row>
    <row r="3518" spans="1:4" x14ac:dyDescent="0.25">
      <c r="A3518" t="s">
        <v>6075</v>
      </c>
      <c r="D3518" t="s">
        <v>11595</v>
      </c>
    </row>
    <row r="3519" spans="1:4" x14ac:dyDescent="0.25">
      <c r="A3519" t="s">
        <v>6076</v>
      </c>
      <c r="D3519" t="s">
        <v>11596</v>
      </c>
    </row>
    <row r="3520" spans="1:4" x14ac:dyDescent="0.25">
      <c r="A3520" t="s">
        <v>6077</v>
      </c>
      <c r="D3520" t="s">
        <v>11597</v>
      </c>
    </row>
    <row r="3521" spans="1:4" x14ac:dyDescent="0.25">
      <c r="A3521" t="s">
        <v>6078</v>
      </c>
      <c r="D3521" t="s">
        <v>11598</v>
      </c>
    </row>
    <row r="3522" spans="1:4" x14ac:dyDescent="0.25">
      <c r="A3522" t="s">
        <v>6079</v>
      </c>
      <c r="D3522" t="s">
        <v>11599</v>
      </c>
    </row>
    <row r="3523" spans="1:4" x14ac:dyDescent="0.25">
      <c r="A3523" t="s">
        <v>6080</v>
      </c>
      <c r="D3523" t="s">
        <v>11600</v>
      </c>
    </row>
    <row r="3524" spans="1:4" x14ac:dyDescent="0.25">
      <c r="A3524" t="s">
        <v>6081</v>
      </c>
      <c r="D3524" t="s">
        <v>11601</v>
      </c>
    </row>
    <row r="3525" spans="1:4" x14ac:dyDescent="0.25">
      <c r="A3525" t="s">
        <v>6082</v>
      </c>
      <c r="D3525" t="s">
        <v>11602</v>
      </c>
    </row>
    <row r="3526" spans="1:4" x14ac:dyDescent="0.25">
      <c r="A3526" t="s">
        <v>6083</v>
      </c>
      <c r="D3526" t="s">
        <v>11603</v>
      </c>
    </row>
    <row r="3527" spans="1:4" x14ac:dyDescent="0.25">
      <c r="A3527" t="s">
        <v>6084</v>
      </c>
      <c r="D3527" t="s">
        <v>11604</v>
      </c>
    </row>
    <row r="3528" spans="1:4" x14ac:dyDescent="0.25">
      <c r="A3528" t="s">
        <v>6085</v>
      </c>
      <c r="D3528" t="s">
        <v>11605</v>
      </c>
    </row>
    <row r="3529" spans="1:4" x14ac:dyDescent="0.25">
      <c r="A3529" t="s">
        <v>6086</v>
      </c>
      <c r="D3529" t="s">
        <v>11606</v>
      </c>
    </row>
    <row r="3530" spans="1:4" x14ac:dyDescent="0.25">
      <c r="A3530" t="s">
        <v>6087</v>
      </c>
      <c r="D3530" t="s">
        <v>11607</v>
      </c>
    </row>
    <row r="3531" spans="1:4" x14ac:dyDescent="0.25">
      <c r="A3531" t="s">
        <v>6088</v>
      </c>
      <c r="D3531" t="s">
        <v>11608</v>
      </c>
    </row>
    <row r="3532" spans="1:4" x14ac:dyDescent="0.25">
      <c r="A3532" t="s">
        <v>6089</v>
      </c>
      <c r="D3532" t="s">
        <v>11609</v>
      </c>
    </row>
    <row r="3533" spans="1:4" x14ac:dyDescent="0.25">
      <c r="A3533" t="s">
        <v>6090</v>
      </c>
      <c r="D3533" t="s">
        <v>11610</v>
      </c>
    </row>
    <row r="3534" spans="1:4" x14ac:dyDescent="0.25">
      <c r="A3534" t="s">
        <v>6091</v>
      </c>
      <c r="D3534" t="s">
        <v>11611</v>
      </c>
    </row>
    <row r="3535" spans="1:4" x14ac:dyDescent="0.25">
      <c r="A3535" t="s">
        <v>6092</v>
      </c>
      <c r="D3535" t="s">
        <v>11612</v>
      </c>
    </row>
    <row r="3536" spans="1:4" x14ac:dyDescent="0.25">
      <c r="A3536" t="s">
        <v>6093</v>
      </c>
      <c r="D3536" t="s">
        <v>11613</v>
      </c>
    </row>
    <row r="3537" spans="1:4" x14ac:dyDescent="0.25">
      <c r="A3537" t="s">
        <v>6094</v>
      </c>
      <c r="D3537" t="s">
        <v>11614</v>
      </c>
    </row>
    <row r="3538" spans="1:4" x14ac:dyDescent="0.25">
      <c r="A3538" t="s">
        <v>6095</v>
      </c>
      <c r="D3538" t="s">
        <v>11615</v>
      </c>
    </row>
    <row r="3539" spans="1:4" x14ac:dyDescent="0.25">
      <c r="A3539" t="s">
        <v>6096</v>
      </c>
      <c r="D3539" t="s">
        <v>11616</v>
      </c>
    </row>
    <row r="3540" spans="1:4" x14ac:dyDescent="0.25">
      <c r="A3540" t="s">
        <v>6097</v>
      </c>
      <c r="D3540" t="s">
        <v>11617</v>
      </c>
    </row>
    <row r="3541" spans="1:4" x14ac:dyDescent="0.25">
      <c r="A3541" t="s">
        <v>6098</v>
      </c>
      <c r="D3541" t="s">
        <v>11618</v>
      </c>
    </row>
    <row r="3542" spans="1:4" x14ac:dyDescent="0.25">
      <c r="A3542" t="s">
        <v>6099</v>
      </c>
      <c r="D3542" t="s">
        <v>11619</v>
      </c>
    </row>
    <row r="3543" spans="1:4" x14ac:dyDescent="0.25">
      <c r="A3543" t="s">
        <v>6100</v>
      </c>
      <c r="D3543" t="s">
        <v>11620</v>
      </c>
    </row>
    <row r="3544" spans="1:4" x14ac:dyDescent="0.25">
      <c r="A3544" t="s">
        <v>6101</v>
      </c>
      <c r="D3544" t="s">
        <v>11621</v>
      </c>
    </row>
    <row r="3545" spans="1:4" x14ac:dyDescent="0.25">
      <c r="A3545" t="s">
        <v>6102</v>
      </c>
      <c r="D3545" t="s">
        <v>11622</v>
      </c>
    </row>
    <row r="3546" spans="1:4" x14ac:dyDescent="0.25">
      <c r="A3546" t="s">
        <v>6103</v>
      </c>
      <c r="D3546" t="s">
        <v>11623</v>
      </c>
    </row>
    <row r="3547" spans="1:4" x14ac:dyDescent="0.25">
      <c r="A3547" t="s">
        <v>6104</v>
      </c>
      <c r="D3547" t="s">
        <v>11624</v>
      </c>
    </row>
    <row r="3548" spans="1:4" x14ac:dyDescent="0.25">
      <c r="A3548" t="s">
        <v>6105</v>
      </c>
      <c r="D3548" t="s">
        <v>11625</v>
      </c>
    </row>
    <row r="3549" spans="1:4" x14ac:dyDescent="0.25">
      <c r="A3549" t="s">
        <v>6106</v>
      </c>
      <c r="D3549" t="s">
        <v>11626</v>
      </c>
    </row>
    <row r="3550" spans="1:4" x14ac:dyDescent="0.25">
      <c r="A3550" t="s">
        <v>6107</v>
      </c>
      <c r="D3550" t="s">
        <v>11627</v>
      </c>
    </row>
    <row r="3551" spans="1:4" x14ac:dyDescent="0.25">
      <c r="A3551" t="s">
        <v>6108</v>
      </c>
      <c r="D3551" t="s">
        <v>11628</v>
      </c>
    </row>
    <row r="3552" spans="1:4" x14ac:dyDescent="0.25">
      <c r="A3552" t="s">
        <v>6109</v>
      </c>
      <c r="D3552" t="s">
        <v>11629</v>
      </c>
    </row>
    <row r="3553" spans="1:4" x14ac:dyDescent="0.25">
      <c r="A3553" t="s">
        <v>6110</v>
      </c>
      <c r="D3553" t="s">
        <v>11630</v>
      </c>
    </row>
    <row r="3554" spans="1:4" x14ac:dyDescent="0.25">
      <c r="A3554" t="s">
        <v>6111</v>
      </c>
      <c r="D3554" t="s">
        <v>11631</v>
      </c>
    </row>
    <row r="3555" spans="1:4" x14ac:dyDescent="0.25">
      <c r="A3555" t="s">
        <v>6112</v>
      </c>
      <c r="D3555" t="s">
        <v>11632</v>
      </c>
    </row>
    <row r="3556" spans="1:4" x14ac:dyDescent="0.25">
      <c r="A3556" t="s">
        <v>6113</v>
      </c>
      <c r="D3556" t="s">
        <v>11633</v>
      </c>
    </row>
    <row r="3557" spans="1:4" x14ac:dyDescent="0.25">
      <c r="A3557" t="s">
        <v>6114</v>
      </c>
      <c r="D3557" t="s">
        <v>11634</v>
      </c>
    </row>
    <row r="3558" spans="1:4" x14ac:dyDescent="0.25">
      <c r="A3558" t="s">
        <v>6115</v>
      </c>
      <c r="D3558" t="s">
        <v>11635</v>
      </c>
    </row>
    <row r="3559" spans="1:4" x14ac:dyDescent="0.25">
      <c r="A3559" t="s">
        <v>6116</v>
      </c>
      <c r="D3559" t="s">
        <v>11636</v>
      </c>
    </row>
    <row r="3560" spans="1:4" x14ac:dyDescent="0.25">
      <c r="A3560" t="s">
        <v>6117</v>
      </c>
      <c r="D3560" t="s">
        <v>11637</v>
      </c>
    </row>
    <row r="3561" spans="1:4" x14ac:dyDescent="0.25">
      <c r="A3561" t="s">
        <v>6118</v>
      </c>
      <c r="D3561" t="s">
        <v>11638</v>
      </c>
    </row>
    <row r="3562" spans="1:4" x14ac:dyDescent="0.25">
      <c r="A3562" t="s">
        <v>6119</v>
      </c>
      <c r="D3562" t="s">
        <v>11639</v>
      </c>
    </row>
    <row r="3563" spans="1:4" x14ac:dyDescent="0.25">
      <c r="A3563" t="s">
        <v>6120</v>
      </c>
      <c r="D3563" t="s">
        <v>11640</v>
      </c>
    </row>
    <row r="3564" spans="1:4" x14ac:dyDescent="0.25">
      <c r="A3564" t="s">
        <v>6121</v>
      </c>
      <c r="D3564" t="s">
        <v>11641</v>
      </c>
    </row>
    <row r="3565" spans="1:4" x14ac:dyDescent="0.25">
      <c r="A3565" t="s">
        <v>6122</v>
      </c>
      <c r="D3565" t="s">
        <v>11642</v>
      </c>
    </row>
    <row r="3566" spans="1:4" x14ac:dyDescent="0.25">
      <c r="A3566" t="s">
        <v>6123</v>
      </c>
      <c r="D3566" t="s">
        <v>11643</v>
      </c>
    </row>
    <row r="3567" spans="1:4" x14ac:dyDescent="0.25">
      <c r="A3567" t="s">
        <v>6124</v>
      </c>
      <c r="D3567" t="s">
        <v>11644</v>
      </c>
    </row>
    <row r="3568" spans="1:4" x14ac:dyDescent="0.25">
      <c r="A3568" t="s">
        <v>6125</v>
      </c>
      <c r="D3568" t="s">
        <v>11645</v>
      </c>
    </row>
    <row r="3569" spans="1:4" x14ac:dyDescent="0.25">
      <c r="A3569" t="s">
        <v>6126</v>
      </c>
      <c r="D3569" t="s">
        <v>11646</v>
      </c>
    </row>
    <row r="3570" spans="1:4" x14ac:dyDescent="0.25">
      <c r="A3570" t="s">
        <v>6127</v>
      </c>
      <c r="D3570" t="s">
        <v>11647</v>
      </c>
    </row>
    <row r="3571" spans="1:4" x14ac:dyDescent="0.25">
      <c r="A3571" t="s">
        <v>6128</v>
      </c>
      <c r="D3571" t="s">
        <v>11648</v>
      </c>
    </row>
    <row r="3572" spans="1:4" x14ac:dyDescent="0.25">
      <c r="A3572" t="s">
        <v>6129</v>
      </c>
      <c r="D3572" t="s">
        <v>11649</v>
      </c>
    </row>
    <row r="3573" spans="1:4" x14ac:dyDescent="0.25">
      <c r="A3573" t="s">
        <v>6130</v>
      </c>
      <c r="D3573" t="s">
        <v>11650</v>
      </c>
    </row>
    <row r="3574" spans="1:4" x14ac:dyDescent="0.25">
      <c r="A3574" t="s">
        <v>6131</v>
      </c>
      <c r="D3574" t="s">
        <v>11651</v>
      </c>
    </row>
    <row r="3575" spans="1:4" x14ac:dyDescent="0.25">
      <c r="A3575" t="s">
        <v>6132</v>
      </c>
      <c r="D3575" t="s">
        <v>11652</v>
      </c>
    </row>
    <row r="3576" spans="1:4" x14ac:dyDescent="0.25">
      <c r="A3576" t="s">
        <v>6133</v>
      </c>
      <c r="D3576" t="s">
        <v>11653</v>
      </c>
    </row>
    <row r="3577" spans="1:4" x14ac:dyDescent="0.25">
      <c r="A3577" t="s">
        <v>6134</v>
      </c>
      <c r="D3577" t="s">
        <v>11654</v>
      </c>
    </row>
    <row r="3578" spans="1:4" x14ac:dyDescent="0.25">
      <c r="A3578" t="s">
        <v>6135</v>
      </c>
      <c r="D3578" t="s">
        <v>11655</v>
      </c>
    </row>
    <row r="3579" spans="1:4" x14ac:dyDescent="0.25">
      <c r="A3579" t="s">
        <v>6136</v>
      </c>
      <c r="D3579" t="s">
        <v>11656</v>
      </c>
    </row>
    <row r="3580" spans="1:4" x14ac:dyDescent="0.25">
      <c r="A3580" t="s">
        <v>6137</v>
      </c>
      <c r="D3580" t="s">
        <v>11657</v>
      </c>
    </row>
    <row r="3581" spans="1:4" x14ac:dyDescent="0.25">
      <c r="A3581" t="s">
        <v>6138</v>
      </c>
      <c r="D3581" t="s">
        <v>11658</v>
      </c>
    </row>
    <row r="3582" spans="1:4" x14ac:dyDescent="0.25">
      <c r="A3582" t="s">
        <v>6139</v>
      </c>
      <c r="D3582" t="s">
        <v>11659</v>
      </c>
    </row>
    <row r="3583" spans="1:4" x14ac:dyDescent="0.25">
      <c r="A3583" t="s">
        <v>6140</v>
      </c>
      <c r="D3583" t="s">
        <v>11660</v>
      </c>
    </row>
    <row r="3584" spans="1:4" x14ac:dyDescent="0.25">
      <c r="A3584" t="s">
        <v>6141</v>
      </c>
      <c r="D3584" t="s">
        <v>11661</v>
      </c>
    </row>
    <row r="3585" spans="1:4" x14ac:dyDescent="0.25">
      <c r="A3585" t="s">
        <v>6142</v>
      </c>
      <c r="D3585" t="s">
        <v>11662</v>
      </c>
    </row>
    <row r="3586" spans="1:4" x14ac:dyDescent="0.25">
      <c r="A3586" t="s">
        <v>6143</v>
      </c>
      <c r="D3586" t="s">
        <v>11663</v>
      </c>
    </row>
    <row r="3587" spans="1:4" x14ac:dyDescent="0.25">
      <c r="A3587" t="s">
        <v>6144</v>
      </c>
      <c r="D3587" t="s">
        <v>11664</v>
      </c>
    </row>
    <row r="3588" spans="1:4" x14ac:dyDescent="0.25">
      <c r="A3588" t="s">
        <v>6145</v>
      </c>
      <c r="D3588" t="s">
        <v>11665</v>
      </c>
    </row>
    <row r="3589" spans="1:4" x14ac:dyDescent="0.25">
      <c r="A3589" t="s">
        <v>6146</v>
      </c>
      <c r="D3589" t="s">
        <v>11666</v>
      </c>
    </row>
    <row r="3590" spans="1:4" x14ac:dyDescent="0.25">
      <c r="A3590" t="s">
        <v>6147</v>
      </c>
      <c r="D3590" t="s">
        <v>11667</v>
      </c>
    </row>
    <row r="3591" spans="1:4" x14ac:dyDescent="0.25">
      <c r="A3591" t="s">
        <v>6148</v>
      </c>
      <c r="D3591" t="s">
        <v>11668</v>
      </c>
    </row>
    <row r="3592" spans="1:4" x14ac:dyDescent="0.25">
      <c r="A3592" t="s">
        <v>6149</v>
      </c>
      <c r="D3592" t="s">
        <v>11669</v>
      </c>
    </row>
    <row r="3593" spans="1:4" x14ac:dyDescent="0.25">
      <c r="A3593" t="s">
        <v>6150</v>
      </c>
      <c r="D3593" t="s">
        <v>11670</v>
      </c>
    </row>
    <row r="3594" spans="1:4" x14ac:dyDescent="0.25">
      <c r="A3594" t="s">
        <v>6151</v>
      </c>
      <c r="D3594" t="s">
        <v>11671</v>
      </c>
    </row>
    <row r="3595" spans="1:4" x14ac:dyDescent="0.25">
      <c r="A3595" t="s">
        <v>6152</v>
      </c>
      <c r="D3595" t="s">
        <v>11672</v>
      </c>
    </row>
    <row r="3596" spans="1:4" x14ac:dyDescent="0.25">
      <c r="A3596" t="s">
        <v>6153</v>
      </c>
      <c r="D3596" t="s">
        <v>11673</v>
      </c>
    </row>
    <row r="3597" spans="1:4" x14ac:dyDescent="0.25">
      <c r="A3597" t="s">
        <v>6154</v>
      </c>
      <c r="D3597" t="s">
        <v>11674</v>
      </c>
    </row>
    <row r="3598" spans="1:4" x14ac:dyDescent="0.25">
      <c r="A3598" t="s">
        <v>6155</v>
      </c>
      <c r="D3598" t="s">
        <v>11675</v>
      </c>
    </row>
    <row r="3599" spans="1:4" x14ac:dyDescent="0.25">
      <c r="A3599" t="s">
        <v>6156</v>
      </c>
      <c r="D3599" t="s">
        <v>11676</v>
      </c>
    </row>
    <row r="3600" spans="1:4" x14ac:dyDescent="0.25">
      <c r="A3600" t="s">
        <v>6157</v>
      </c>
      <c r="D3600" t="s">
        <v>11677</v>
      </c>
    </row>
    <row r="3601" spans="1:4" x14ac:dyDescent="0.25">
      <c r="A3601" t="s">
        <v>6158</v>
      </c>
      <c r="D3601" t="s">
        <v>11678</v>
      </c>
    </row>
    <row r="3602" spans="1:4" x14ac:dyDescent="0.25">
      <c r="A3602" t="s">
        <v>6159</v>
      </c>
      <c r="D3602" t="s">
        <v>11679</v>
      </c>
    </row>
    <row r="3603" spans="1:4" x14ac:dyDescent="0.25">
      <c r="A3603" t="s">
        <v>6160</v>
      </c>
      <c r="D3603" t="s">
        <v>11680</v>
      </c>
    </row>
    <row r="3604" spans="1:4" x14ac:dyDescent="0.25">
      <c r="A3604" t="s">
        <v>6161</v>
      </c>
      <c r="D3604" t="s">
        <v>11681</v>
      </c>
    </row>
    <row r="3605" spans="1:4" x14ac:dyDescent="0.25">
      <c r="A3605" t="s">
        <v>6162</v>
      </c>
      <c r="D3605" t="s">
        <v>11682</v>
      </c>
    </row>
    <row r="3606" spans="1:4" x14ac:dyDescent="0.25">
      <c r="A3606" t="s">
        <v>6163</v>
      </c>
      <c r="D3606" t="s">
        <v>11683</v>
      </c>
    </row>
    <row r="3607" spans="1:4" x14ac:dyDescent="0.25">
      <c r="A3607" t="s">
        <v>6164</v>
      </c>
      <c r="D3607" t="s">
        <v>11684</v>
      </c>
    </row>
    <row r="3608" spans="1:4" x14ac:dyDescent="0.25">
      <c r="A3608" t="s">
        <v>6165</v>
      </c>
      <c r="D3608" t="s">
        <v>11685</v>
      </c>
    </row>
    <row r="3609" spans="1:4" x14ac:dyDescent="0.25">
      <c r="A3609" t="s">
        <v>6166</v>
      </c>
      <c r="D3609" t="s">
        <v>11686</v>
      </c>
    </row>
    <row r="3610" spans="1:4" x14ac:dyDescent="0.25">
      <c r="A3610" t="s">
        <v>6167</v>
      </c>
      <c r="D3610" t="s">
        <v>11687</v>
      </c>
    </row>
    <row r="3611" spans="1:4" x14ac:dyDescent="0.25">
      <c r="A3611" t="s">
        <v>6168</v>
      </c>
      <c r="D3611" t="s">
        <v>11688</v>
      </c>
    </row>
    <row r="3612" spans="1:4" x14ac:dyDescent="0.25">
      <c r="A3612" t="s">
        <v>6169</v>
      </c>
      <c r="D3612" t="s">
        <v>11689</v>
      </c>
    </row>
    <row r="3613" spans="1:4" x14ac:dyDescent="0.25">
      <c r="A3613" t="s">
        <v>6170</v>
      </c>
      <c r="D3613" t="s">
        <v>11690</v>
      </c>
    </row>
    <row r="3614" spans="1:4" x14ac:dyDescent="0.25">
      <c r="A3614" t="s">
        <v>6171</v>
      </c>
      <c r="D3614" t="s">
        <v>11691</v>
      </c>
    </row>
    <row r="3615" spans="1:4" x14ac:dyDescent="0.25">
      <c r="A3615" t="s">
        <v>6172</v>
      </c>
      <c r="D3615" t="s">
        <v>11692</v>
      </c>
    </row>
    <row r="3616" spans="1:4" x14ac:dyDescent="0.25">
      <c r="A3616" t="s">
        <v>6173</v>
      </c>
      <c r="D3616" t="s">
        <v>11693</v>
      </c>
    </row>
    <row r="3617" spans="1:4" x14ac:dyDescent="0.25">
      <c r="A3617" t="s">
        <v>6174</v>
      </c>
      <c r="D3617" t="s">
        <v>11694</v>
      </c>
    </row>
    <row r="3618" spans="1:4" x14ac:dyDescent="0.25">
      <c r="A3618" t="s">
        <v>6175</v>
      </c>
      <c r="D3618" t="s">
        <v>11695</v>
      </c>
    </row>
    <row r="3619" spans="1:4" x14ac:dyDescent="0.25">
      <c r="A3619" t="s">
        <v>6176</v>
      </c>
      <c r="D3619" t="s">
        <v>11696</v>
      </c>
    </row>
    <row r="3620" spans="1:4" x14ac:dyDescent="0.25">
      <c r="A3620" t="s">
        <v>6177</v>
      </c>
      <c r="D3620" t="s">
        <v>11697</v>
      </c>
    </row>
    <row r="3621" spans="1:4" x14ac:dyDescent="0.25">
      <c r="A3621" t="s">
        <v>6178</v>
      </c>
      <c r="D3621" t="s">
        <v>11698</v>
      </c>
    </row>
    <row r="3622" spans="1:4" x14ac:dyDescent="0.25">
      <c r="A3622" t="s">
        <v>6179</v>
      </c>
      <c r="D3622" t="s">
        <v>11699</v>
      </c>
    </row>
    <row r="3623" spans="1:4" x14ac:dyDescent="0.25">
      <c r="A3623" t="s">
        <v>6180</v>
      </c>
      <c r="D3623" t="s">
        <v>11700</v>
      </c>
    </row>
    <row r="3624" spans="1:4" x14ac:dyDescent="0.25">
      <c r="A3624" t="s">
        <v>6181</v>
      </c>
      <c r="D3624" t="s">
        <v>11701</v>
      </c>
    </row>
    <row r="3625" spans="1:4" x14ac:dyDescent="0.25">
      <c r="A3625" t="s">
        <v>6182</v>
      </c>
      <c r="D3625" t="s">
        <v>11702</v>
      </c>
    </row>
    <row r="3626" spans="1:4" x14ac:dyDescent="0.25">
      <c r="A3626" t="s">
        <v>6183</v>
      </c>
      <c r="D3626" t="s">
        <v>11703</v>
      </c>
    </row>
    <row r="3627" spans="1:4" x14ac:dyDescent="0.25">
      <c r="A3627" t="s">
        <v>6184</v>
      </c>
      <c r="D3627" t="s">
        <v>11704</v>
      </c>
    </row>
    <row r="3628" spans="1:4" x14ac:dyDescent="0.25">
      <c r="A3628" t="s">
        <v>6185</v>
      </c>
      <c r="D3628" t="s">
        <v>11705</v>
      </c>
    </row>
    <row r="3629" spans="1:4" x14ac:dyDescent="0.25">
      <c r="A3629" t="s">
        <v>6186</v>
      </c>
      <c r="D3629" t="s">
        <v>11706</v>
      </c>
    </row>
    <row r="3630" spans="1:4" x14ac:dyDescent="0.25">
      <c r="A3630" t="s">
        <v>6187</v>
      </c>
      <c r="D3630" t="s">
        <v>11707</v>
      </c>
    </row>
    <row r="3631" spans="1:4" x14ac:dyDescent="0.25">
      <c r="A3631" t="s">
        <v>6188</v>
      </c>
      <c r="D3631" t="s">
        <v>11708</v>
      </c>
    </row>
    <row r="3632" spans="1:4" x14ac:dyDescent="0.25">
      <c r="A3632" t="s">
        <v>6189</v>
      </c>
      <c r="D3632" t="s">
        <v>11709</v>
      </c>
    </row>
    <row r="3633" spans="1:4" x14ac:dyDescent="0.25">
      <c r="A3633" t="s">
        <v>6190</v>
      </c>
      <c r="D3633" t="s">
        <v>11710</v>
      </c>
    </row>
    <row r="3634" spans="1:4" x14ac:dyDescent="0.25">
      <c r="A3634" t="s">
        <v>6191</v>
      </c>
      <c r="D3634" t="s">
        <v>11711</v>
      </c>
    </row>
    <row r="3635" spans="1:4" x14ac:dyDescent="0.25">
      <c r="A3635" t="s">
        <v>6192</v>
      </c>
      <c r="D3635" t="s">
        <v>11712</v>
      </c>
    </row>
    <row r="3636" spans="1:4" x14ac:dyDescent="0.25">
      <c r="A3636" t="s">
        <v>6193</v>
      </c>
      <c r="D3636" t="s">
        <v>11713</v>
      </c>
    </row>
    <row r="3637" spans="1:4" x14ac:dyDescent="0.25">
      <c r="A3637" t="s">
        <v>6194</v>
      </c>
      <c r="D3637" t="s">
        <v>11714</v>
      </c>
    </row>
    <row r="3638" spans="1:4" x14ac:dyDescent="0.25">
      <c r="A3638" t="s">
        <v>6195</v>
      </c>
      <c r="D3638" t="s">
        <v>11715</v>
      </c>
    </row>
    <row r="3639" spans="1:4" x14ac:dyDescent="0.25">
      <c r="A3639" t="s">
        <v>6196</v>
      </c>
      <c r="D3639" t="s">
        <v>11716</v>
      </c>
    </row>
    <row r="3640" spans="1:4" x14ac:dyDescent="0.25">
      <c r="A3640" t="s">
        <v>6197</v>
      </c>
      <c r="D3640" t="s">
        <v>11717</v>
      </c>
    </row>
    <row r="3641" spans="1:4" x14ac:dyDescent="0.25">
      <c r="A3641" t="s">
        <v>6198</v>
      </c>
      <c r="D3641" t="s">
        <v>11718</v>
      </c>
    </row>
    <row r="3642" spans="1:4" x14ac:dyDescent="0.25">
      <c r="A3642" t="s">
        <v>6199</v>
      </c>
      <c r="D3642" t="s">
        <v>11719</v>
      </c>
    </row>
    <row r="3643" spans="1:4" x14ac:dyDescent="0.25">
      <c r="A3643" t="s">
        <v>6200</v>
      </c>
      <c r="D3643" t="s">
        <v>11720</v>
      </c>
    </row>
    <row r="3644" spans="1:4" x14ac:dyDescent="0.25">
      <c r="A3644" t="s">
        <v>6201</v>
      </c>
      <c r="D3644" t="s">
        <v>11721</v>
      </c>
    </row>
    <row r="3645" spans="1:4" x14ac:dyDescent="0.25">
      <c r="A3645" t="s">
        <v>6202</v>
      </c>
      <c r="D3645" t="s">
        <v>11722</v>
      </c>
    </row>
    <row r="3646" spans="1:4" x14ac:dyDescent="0.25">
      <c r="A3646" t="s">
        <v>6203</v>
      </c>
      <c r="D3646" t="s">
        <v>11723</v>
      </c>
    </row>
    <row r="3647" spans="1:4" x14ac:dyDescent="0.25">
      <c r="A3647" t="s">
        <v>6204</v>
      </c>
      <c r="D3647" t="s">
        <v>11724</v>
      </c>
    </row>
    <row r="3648" spans="1:4" x14ac:dyDescent="0.25">
      <c r="A3648" t="s">
        <v>6205</v>
      </c>
      <c r="D3648" t="s">
        <v>11725</v>
      </c>
    </row>
    <row r="3649" spans="1:4" x14ac:dyDescent="0.25">
      <c r="A3649" t="s">
        <v>6206</v>
      </c>
      <c r="D3649" t="s">
        <v>11726</v>
      </c>
    </row>
    <row r="3650" spans="1:4" x14ac:dyDescent="0.25">
      <c r="A3650" t="s">
        <v>6207</v>
      </c>
      <c r="D3650" t="s">
        <v>11727</v>
      </c>
    </row>
    <row r="3651" spans="1:4" x14ac:dyDescent="0.25">
      <c r="A3651" t="s">
        <v>6208</v>
      </c>
      <c r="D3651" t="s">
        <v>11728</v>
      </c>
    </row>
    <row r="3652" spans="1:4" x14ac:dyDescent="0.25">
      <c r="A3652" t="s">
        <v>6209</v>
      </c>
      <c r="D3652" t="s">
        <v>11729</v>
      </c>
    </row>
    <row r="3653" spans="1:4" x14ac:dyDescent="0.25">
      <c r="A3653" t="s">
        <v>6210</v>
      </c>
      <c r="D3653" t="s">
        <v>11730</v>
      </c>
    </row>
    <row r="3654" spans="1:4" x14ac:dyDescent="0.25">
      <c r="A3654" t="s">
        <v>6211</v>
      </c>
      <c r="D3654" t="s">
        <v>11731</v>
      </c>
    </row>
    <row r="3655" spans="1:4" x14ac:dyDescent="0.25">
      <c r="A3655" t="s">
        <v>6212</v>
      </c>
      <c r="D3655" t="s">
        <v>11732</v>
      </c>
    </row>
    <row r="3656" spans="1:4" x14ac:dyDescent="0.25">
      <c r="A3656" t="s">
        <v>6213</v>
      </c>
      <c r="D3656" t="s">
        <v>11733</v>
      </c>
    </row>
    <row r="3657" spans="1:4" x14ac:dyDescent="0.25">
      <c r="A3657" t="s">
        <v>6214</v>
      </c>
      <c r="D3657" t="s">
        <v>11734</v>
      </c>
    </row>
    <row r="3658" spans="1:4" x14ac:dyDescent="0.25">
      <c r="A3658" t="s">
        <v>6215</v>
      </c>
      <c r="D3658" t="s">
        <v>11735</v>
      </c>
    </row>
    <row r="3659" spans="1:4" x14ac:dyDescent="0.25">
      <c r="A3659" t="s">
        <v>6216</v>
      </c>
      <c r="D3659" t="s">
        <v>11736</v>
      </c>
    </row>
    <row r="3660" spans="1:4" x14ac:dyDescent="0.25">
      <c r="A3660" t="s">
        <v>6217</v>
      </c>
      <c r="D3660" t="s">
        <v>11737</v>
      </c>
    </row>
    <row r="3661" spans="1:4" x14ac:dyDescent="0.25">
      <c r="A3661" t="s">
        <v>6218</v>
      </c>
      <c r="D3661" t="s">
        <v>11738</v>
      </c>
    </row>
    <row r="3662" spans="1:4" x14ac:dyDescent="0.25">
      <c r="A3662" t="s">
        <v>6219</v>
      </c>
      <c r="D3662" t="s">
        <v>11739</v>
      </c>
    </row>
    <row r="3663" spans="1:4" x14ac:dyDescent="0.25">
      <c r="A3663" t="s">
        <v>6220</v>
      </c>
      <c r="D3663" t="s">
        <v>11740</v>
      </c>
    </row>
    <row r="3664" spans="1:4" x14ac:dyDescent="0.25">
      <c r="A3664" t="s">
        <v>6221</v>
      </c>
      <c r="D3664" t="s">
        <v>11741</v>
      </c>
    </row>
    <row r="3665" spans="1:4" x14ac:dyDescent="0.25">
      <c r="A3665" t="s">
        <v>6222</v>
      </c>
      <c r="D3665" t="s">
        <v>11742</v>
      </c>
    </row>
    <row r="3666" spans="1:4" x14ac:dyDescent="0.25">
      <c r="A3666" t="s">
        <v>6223</v>
      </c>
      <c r="D3666" t="s">
        <v>11743</v>
      </c>
    </row>
    <row r="3667" spans="1:4" x14ac:dyDescent="0.25">
      <c r="A3667" t="s">
        <v>6224</v>
      </c>
      <c r="D3667" t="s">
        <v>11744</v>
      </c>
    </row>
    <row r="3668" spans="1:4" x14ac:dyDescent="0.25">
      <c r="A3668" t="s">
        <v>6225</v>
      </c>
      <c r="D3668" t="s">
        <v>11745</v>
      </c>
    </row>
    <row r="3669" spans="1:4" x14ac:dyDescent="0.25">
      <c r="A3669" t="s">
        <v>6226</v>
      </c>
      <c r="D3669" t="s">
        <v>11746</v>
      </c>
    </row>
    <row r="3670" spans="1:4" x14ac:dyDescent="0.25">
      <c r="A3670" t="s">
        <v>6227</v>
      </c>
      <c r="D3670" t="s">
        <v>11747</v>
      </c>
    </row>
    <row r="3671" spans="1:4" x14ac:dyDescent="0.25">
      <c r="A3671" t="s">
        <v>6228</v>
      </c>
      <c r="D3671" t="s">
        <v>11748</v>
      </c>
    </row>
    <row r="3672" spans="1:4" x14ac:dyDescent="0.25">
      <c r="A3672" t="s">
        <v>6229</v>
      </c>
      <c r="D3672" t="s">
        <v>11749</v>
      </c>
    </row>
    <row r="3673" spans="1:4" x14ac:dyDescent="0.25">
      <c r="A3673" t="s">
        <v>6230</v>
      </c>
      <c r="D3673" t="s">
        <v>11750</v>
      </c>
    </row>
    <row r="3674" spans="1:4" x14ac:dyDescent="0.25">
      <c r="A3674" t="s">
        <v>6231</v>
      </c>
      <c r="D3674" t="s">
        <v>11751</v>
      </c>
    </row>
    <row r="3675" spans="1:4" x14ac:dyDescent="0.25">
      <c r="A3675" t="s">
        <v>6232</v>
      </c>
      <c r="D3675" t="s">
        <v>11752</v>
      </c>
    </row>
    <row r="3676" spans="1:4" x14ac:dyDescent="0.25">
      <c r="A3676" t="s">
        <v>6233</v>
      </c>
      <c r="D3676" t="s">
        <v>11753</v>
      </c>
    </row>
    <row r="3677" spans="1:4" x14ac:dyDescent="0.25">
      <c r="A3677" t="s">
        <v>6234</v>
      </c>
      <c r="D3677" t="s">
        <v>11754</v>
      </c>
    </row>
    <row r="3678" spans="1:4" x14ac:dyDescent="0.25">
      <c r="A3678" t="s">
        <v>6235</v>
      </c>
      <c r="D3678" t="s">
        <v>11755</v>
      </c>
    </row>
    <row r="3679" spans="1:4" x14ac:dyDescent="0.25">
      <c r="A3679" t="s">
        <v>6236</v>
      </c>
      <c r="D3679" t="s">
        <v>11756</v>
      </c>
    </row>
    <row r="3680" spans="1:4" x14ac:dyDescent="0.25">
      <c r="A3680" t="s">
        <v>6237</v>
      </c>
      <c r="D3680" t="s">
        <v>11757</v>
      </c>
    </row>
    <row r="3681" spans="1:4" x14ac:dyDescent="0.25">
      <c r="A3681" t="s">
        <v>6238</v>
      </c>
      <c r="D3681" t="s">
        <v>11758</v>
      </c>
    </row>
    <row r="3682" spans="1:4" x14ac:dyDescent="0.25">
      <c r="A3682" t="s">
        <v>6239</v>
      </c>
      <c r="D3682" t="s">
        <v>11759</v>
      </c>
    </row>
    <row r="3683" spans="1:4" x14ac:dyDescent="0.25">
      <c r="A3683" t="s">
        <v>6240</v>
      </c>
      <c r="D3683" t="s">
        <v>11760</v>
      </c>
    </row>
    <row r="3684" spans="1:4" x14ac:dyDescent="0.25">
      <c r="A3684" t="s">
        <v>6241</v>
      </c>
      <c r="D3684" t="s">
        <v>11761</v>
      </c>
    </row>
    <row r="3685" spans="1:4" x14ac:dyDescent="0.25">
      <c r="A3685" t="s">
        <v>6242</v>
      </c>
      <c r="D3685" t="s">
        <v>11762</v>
      </c>
    </row>
    <row r="3686" spans="1:4" x14ac:dyDescent="0.25">
      <c r="A3686" t="s">
        <v>6243</v>
      </c>
      <c r="D3686" t="s">
        <v>11763</v>
      </c>
    </row>
    <row r="3687" spans="1:4" x14ac:dyDescent="0.25">
      <c r="A3687" t="s">
        <v>6244</v>
      </c>
      <c r="D3687" t="s">
        <v>11764</v>
      </c>
    </row>
    <row r="3688" spans="1:4" x14ac:dyDescent="0.25">
      <c r="A3688" t="s">
        <v>6245</v>
      </c>
      <c r="D3688" t="s">
        <v>11765</v>
      </c>
    </row>
    <row r="3689" spans="1:4" x14ac:dyDescent="0.25">
      <c r="A3689" t="s">
        <v>6246</v>
      </c>
      <c r="D3689" t="s">
        <v>11766</v>
      </c>
    </row>
    <row r="3690" spans="1:4" x14ac:dyDescent="0.25">
      <c r="A3690" t="s">
        <v>6247</v>
      </c>
      <c r="D3690" t="s">
        <v>11767</v>
      </c>
    </row>
    <row r="3691" spans="1:4" x14ac:dyDescent="0.25">
      <c r="A3691" t="s">
        <v>6248</v>
      </c>
      <c r="D3691" t="s">
        <v>11768</v>
      </c>
    </row>
    <row r="3692" spans="1:4" x14ac:dyDescent="0.25">
      <c r="A3692" t="s">
        <v>6249</v>
      </c>
      <c r="D3692" t="s">
        <v>11769</v>
      </c>
    </row>
    <row r="3693" spans="1:4" x14ac:dyDescent="0.25">
      <c r="A3693" t="s">
        <v>6250</v>
      </c>
      <c r="D3693" t="s">
        <v>11770</v>
      </c>
    </row>
    <row r="3694" spans="1:4" x14ac:dyDescent="0.25">
      <c r="A3694" t="s">
        <v>6251</v>
      </c>
      <c r="D3694" t="s">
        <v>11771</v>
      </c>
    </row>
    <row r="3695" spans="1:4" x14ac:dyDescent="0.25">
      <c r="A3695" t="s">
        <v>6252</v>
      </c>
      <c r="D3695" t="s">
        <v>11772</v>
      </c>
    </row>
    <row r="3696" spans="1:4" x14ac:dyDescent="0.25">
      <c r="A3696" t="s">
        <v>6253</v>
      </c>
      <c r="D3696" t="s">
        <v>11773</v>
      </c>
    </row>
    <row r="3697" spans="1:4" x14ac:dyDescent="0.25">
      <c r="A3697" t="s">
        <v>6254</v>
      </c>
      <c r="D3697" t="s">
        <v>11774</v>
      </c>
    </row>
    <row r="3698" spans="1:4" x14ac:dyDescent="0.25">
      <c r="A3698" t="s">
        <v>6255</v>
      </c>
      <c r="D3698" t="s">
        <v>11775</v>
      </c>
    </row>
    <row r="3699" spans="1:4" x14ac:dyDescent="0.25">
      <c r="A3699" t="s">
        <v>6256</v>
      </c>
      <c r="D3699" t="s">
        <v>11776</v>
      </c>
    </row>
    <row r="3700" spans="1:4" x14ac:dyDescent="0.25">
      <c r="A3700" t="s">
        <v>6257</v>
      </c>
      <c r="D3700" t="s">
        <v>11777</v>
      </c>
    </row>
    <row r="3701" spans="1:4" x14ac:dyDescent="0.25">
      <c r="A3701" t="s">
        <v>6258</v>
      </c>
      <c r="D3701" t="s">
        <v>11778</v>
      </c>
    </row>
    <row r="3702" spans="1:4" x14ac:dyDescent="0.25">
      <c r="A3702" t="s">
        <v>6259</v>
      </c>
      <c r="D3702" t="s">
        <v>11779</v>
      </c>
    </row>
    <row r="3703" spans="1:4" x14ac:dyDescent="0.25">
      <c r="A3703" t="s">
        <v>6260</v>
      </c>
      <c r="D3703" t="s">
        <v>11780</v>
      </c>
    </row>
    <row r="3704" spans="1:4" x14ac:dyDescent="0.25">
      <c r="A3704" t="s">
        <v>6261</v>
      </c>
      <c r="D3704" t="s">
        <v>11781</v>
      </c>
    </row>
    <row r="3705" spans="1:4" x14ac:dyDescent="0.25">
      <c r="A3705" t="s">
        <v>6262</v>
      </c>
      <c r="D3705" t="s">
        <v>11782</v>
      </c>
    </row>
    <row r="3706" spans="1:4" x14ac:dyDescent="0.25">
      <c r="A3706" t="s">
        <v>6263</v>
      </c>
      <c r="D3706" t="s">
        <v>11783</v>
      </c>
    </row>
    <row r="3707" spans="1:4" x14ac:dyDescent="0.25">
      <c r="A3707" t="s">
        <v>6264</v>
      </c>
      <c r="D3707" t="s">
        <v>11784</v>
      </c>
    </row>
    <row r="3708" spans="1:4" x14ac:dyDescent="0.25">
      <c r="A3708" t="s">
        <v>6265</v>
      </c>
      <c r="D3708" t="s">
        <v>11785</v>
      </c>
    </row>
    <row r="3709" spans="1:4" x14ac:dyDescent="0.25">
      <c r="A3709" t="s">
        <v>6266</v>
      </c>
      <c r="D3709" t="s">
        <v>11786</v>
      </c>
    </row>
    <row r="3710" spans="1:4" x14ac:dyDescent="0.25">
      <c r="A3710" t="s">
        <v>6267</v>
      </c>
      <c r="D3710" t="s">
        <v>11787</v>
      </c>
    </row>
    <row r="3711" spans="1:4" x14ac:dyDescent="0.25">
      <c r="A3711" t="s">
        <v>6268</v>
      </c>
      <c r="D3711" t="s">
        <v>11788</v>
      </c>
    </row>
    <row r="3712" spans="1:4" x14ac:dyDescent="0.25">
      <c r="A3712" t="s">
        <v>6269</v>
      </c>
      <c r="D3712" t="s">
        <v>11789</v>
      </c>
    </row>
    <row r="3713" spans="1:4" x14ac:dyDescent="0.25">
      <c r="A3713" t="s">
        <v>6270</v>
      </c>
      <c r="D3713" t="s">
        <v>11790</v>
      </c>
    </row>
    <row r="3714" spans="1:4" x14ac:dyDescent="0.25">
      <c r="A3714" t="s">
        <v>6271</v>
      </c>
      <c r="D3714" t="s">
        <v>11791</v>
      </c>
    </row>
    <row r="3715" spans="1:4" x14ac:dyDescent="0.25">
      <c r="A3715" t="s">
        <v>6272</v>
      </c>
      <c r="D3715" t="s">
        <v>11792</v>
      </c>
    </row>
    <row r="3716" spans="1:4" x14ac:dyDescent="0.25">
      <c r="A3716" t="s">
        <v>6273</v>
      </c>
      <c r="D3716" t="s">
        <v>11793</v>
      </c>
    </row>
    <row r="3717" spans="1:4" x14ac:dyDescent="0.25">
      <c r="A3717" t="s">
        <v>6274</v>
      </c>
      <c r="D3717" t="s">
        <v>11794</v>
      </c>
    </row>
    <row r="3718" spans="1:4" x14ac:dyDescent="0.25">
      <c r="A3718" t="s">
        <v>6275</v>
      </c>
      <c r="D3718" t="s">
        <v>11795</v>
      </c>
    </row>
    <row r="3719" spans="1:4" x14ac:dyDescent="0.25">
      <c r="A3719" t="s">
        <v>6276</v>
      </c>
      <c r="D3719" t="s">
        <v>11796</v>
      </c>
    </row>
    <row r="3720" spans="1:4" x14ac:dyDescent="0.25">
      <c r="A3720" t="s">
        <v>6277</v>
      </c>
      <c r="D3720" t="s">
        <v>11797</v>
      </c>
    </row>
    <row r="3721" spans="1:4" x14ac:dyDescent="0.25">
      <c r="A3721" t="s">
        <v>6278</v>
      </c>
      <c r="D3721" t="s">
        <v>11798</v>
      </c>
    </row>
    <row r="3722" spans="1:4" x14ac:dyDescent="0.25">
      <c r="A3722" t="s">
        <v>6279</v>
      </c>
      <c r="D3722" t="s">
        <v>11799</v>
      </c>
    </row>
    <row r="3723" spans="1:4" x14ac:dyDescent="0.25">
      <c r="A3723" t="s">
        <v>6280</v>
      </c>
      <c r="D3723" t="s">
        <v>11800</v>
      </c>
    </row>
    <row r="3724" spans="1:4" x14ac:dyDescent="0.25">
      <c r="A3724" t="s">
        <v>6281</v>
      </c>
      <c r="D3724" t="s">
        <v>11801</v>
      </c>
    </row>
    <row r="3725" spans="1:4" x14ac:dyDescent="0.25">
      <c r="A3725" t="s">
        <v>6282</v>
      </c>
      <c r="D3725" t="s">
        <v>11802</v>
      </c>
    </row>
    <row r="3726" spans="1:4" x14ac:dyDescent="0.25">
      <c r="A3726" t="s">
        <v>6283</v>
      </c>
      <c r="D3726" t="s">
        <v>11803</v>
      </c>
    </row>
    <row r="3727" spans="1:4" x14ac:dyDescent="0.25">
      <c r="A3727" t="s">
        <v>6284</v>
      </c>
      <c r="D3727" t="s">
        <v>11804</v>
      </c>
    </row>
    <row r="3728" spans="1:4" x14ac:dyDescent="0.25">
      <c r="A3728" t="s">
        <v>6285</v>
      </c>
      <c r="D3728" t="s">
        <v>11805</v>
      </c>
    </row>
    <row r="3729" spans="1:4" x14ac:dyDescent="0.25">
      <c r="A3729" t="s">
        <v>6286</v>
      </c>
      <c r="D3729" t="s">
        <v>11806</v>
      </c>
    </row>
    <row r="3730" spans="1:4" x14ac:dyDescent="0.25">
      <c r="A3730" t="s">
        <v>6287</v>
      </c>
      <c r="D3730" t="s">
        <v>11807</v>
      </c>
    </row>
    <row r="3731" spans="1:4" x14ac:dyDescent="0.25">
      <c r="A3731" t="s">
        <v>6288</v>
      </c>
      <c r="D3731" t="s">
        <v>11808</v>
      </c>
    </row>
    <row r="3732" spans="1:4" x14ac:dyDescent="0.25">
      <c r="A3732" t="s">
        <v>6289</v>
      </c>
      <c r="D3732" t="s">
        <v>11809</v>
      </c>
    </row>
    <row r="3733" spans="1:4" x14ac:dyDescent="0.25">
      <c r="A3733" t="s">
        <v>6290</v>
      </c>
      <c r="D3733" t="s">
        <v>11810</v>
      </c>
    </row>
    <row r="3734" spans="1:4" x14ac:dyDescent="0.25">
      <c r="A3734" t="s">
        <v>6291</v>
      </c>
      <c r="D3734" t="s">
        <v>11811</v>
      </c>
    </row>
    <row r="3735" spans="1:4" x14ac:dyDescent="0.25">
      <c r="A3735" t="s">
        <v>6292</v>
      </c>
      <c r="D3735" t="s">
        <v>11812</v>
      </c>
    </row>
    <row r="3736" spans="1:4" x14ac:dyDescent="0.25">
      <c r="A3736" t="s">
        <v>6293</v>
      </c>
      <c r="D3736" t="s">
        <v>11813</v>
      </c>
    </row>
    <row r="3737" spans="1:4" x14ac:dyDescent="0.25">
      <c r="A3737" t="s">
        <v>6294</v>
      </c>
      <c r="D3737" t="s">
        <v>11814</v>
      </c>
    </row>
    <row r="3738" spans="1:4" x14ac:dyDescent="0.25">
      <c r="A3738" t="s">
        <v>6295</v>
      </c>
      <c r="D3738" t="s">
        <v>11815</v>
      </c>
    </row>
    <row r="3739" spans="1:4" x14ac:dyDescent="0.25">
      <c r="A3739" t="s">
        <v>6296</v>
      </c>
      <c r="D3739" t="s">
        <v>11816</v>
      </c>
    </row>
    <row r="3740" spans="1:4" x14ac:dyDescent="0.25">
      <c r="A3740" t="s">
        <v>6297</v>
      </c>
      <c r="D3740" t="s">
        <v>11817</v>
      </c>
    </row>
    <row r="3741" spans="1:4" x14ac:dyDescent="0.25">
      <c r="A3741" t="s">
        <v>6298</v>
      </c>
      <c r="D3741" t="s">
        <v>11818</v>
      </c>
    </row>
    <row r="3742" spans="1:4" x14ac:dyDescent="0.25">
      <c r="A3742" t="s">
        <v>6299</v>
      </c>
      <c r="D3742" t="s">
        <v>11819</v>
      </c>
    </row>
    <row r="3743" spans="1:4" x14ac:dyDescent="0.25">
      <c r="A3743" t="s">
        <v>6300</v>
      </c>
      <c r="D3743" t="s">
        <v>11820</v>
      </c>
    </row>
    <row r="3744" spans="1:4" x14ac:dyDescent="0.25">
      <c r="A3744" t="s">
        <v>6301</v>
      </c>
      <c r="D3744" t="s">
        <v>11821</v>
      </c>
    </row>
    <row r="3745" spans="1:4" x14ac:dyDescent="0.25">
      <c r="A3745" t="s">
        <v>6302</v>
      </c>
      <c r="D3745" t="s">
        <v>11822</v>
      </c>
    </row>
    <row r="3746" spans="1:4" x14ac:dyDescent="0.25">
      <c r="A3746" t="s">
        <v>6303</v>
      </c>
      <c r="D3746" t="s">
        <v>11823</v>
      </c>
    </row>
    <row r="3747" spans="1:4" x14ac:dyDescent="0.25">
      <c r="A3747" t="s">
        <v>6304</v>
      </c>
      <c r="D3747" t="s">
        <v>11824</v>
      </c>
    </row>
    <row r="3748" spans="1:4" x14ac:dyDescent="0.25">
      <c r="A3748" t="s">
        <v>6305</v>
      </c>
      <c r="D3748" t="s">
        <v>11825</v>
      </c>
    </row>
    <row r="3749" spans="1:4" x14ac:dyDescent="0.25">
      <c r="A3749" t="s">
        <v>6306</v>
      </c>
      <c r="D3749" t="s">
        <v>11826</v>
      </c>
    </row>
    <row r="3750" spans="1:4" x14ac:dyDescent="0.25">
      <c r="A3750" t="s">
        <v>6307</v>
      </c>
      <c r="D3750" t="s">
        <v>11827</v>
      </c>
    </row>
    <row r="3751" spans="1:4" x14ac:dyDescent="0.25">
      <c r="A3751" t="s">
        <v>6308</v>
      </c>
      <c r="D3751" t="s">
        <v>11828</v>
      </c>
    </row>
    <row r="3752" spans="1:4" x14ac:dyDescent="0.25">
      <c r="A3752" t="s">
        <v>6309</v>
      </c>
      <c r="D3752" t="s">
        <v>11829</v>
      </c>
    </row>
    <row r="3753" spans="1:4" x14ac:dyDescent="0.25">
      <c r="A3753" t="s">
        <v>6310</v>
      </c>
      <c r="D3753" t="s">
        <v>11830</v>
      </c>
    </row>
    <row r="3754" spans="1:4" x14ac:dyDescent="0.25">
      <c r="A3754" t="s">
        <v>6311</v>
      </c>
      <c r="D3754" t="s">
        <v>11831</v>
      </c>
    </row>
    <row r="3755" spans="1:4" x14ac:dyDescent="0.25">
      <c r="A3755" t="s">
        <v>6312</v>
      </c>
      <c r="D3755" t="s">
        <v>11832</v>
      </c>
    </row>
    <row r="3756" spans="1:4" x14ac:dyDescent="0.25">
      <c r="A3756" t="s">
        <v>6313</v>
      </c>
      <c r="D3756" t="s">
        <v>11833</v>
      </c>
    </row>
    <row r="3757" spans="1:4" x14ac:dyDescent="0.25">
      <c r="A3757" t="s">
        <v>6314</v>
      </c>
      <c r="D3757" t="s">
        <v>11834</v>
      </c>
    </row>
    <row r="3758" spans="1:4" x14ac:dyDescent="0.25">
      <c r="A3758" t="s">
        <v>6315</v>
      </c>
      <c r="D3758" t="s">
        <v>11835</v>
      </c>
    </row>
    <row r="3759" spans="1:4" x14ac:dyDescent="0.25">
      <c r="A3759" t="s">
        <v>6316</v>
      </c>
      <c r="D3759" t="s">
        <v>11836</v>
      </c>
    </row>
    <row r="3760" spans="1:4" x14ac:dyDescent="0.25">
      <c r="A3760" t="s">
        <v>6317</v>
      </c>
      <c r="D3760" t="s">
        <v>11837</v>
      </c>
    </row>
    <row r="3761" spans="1:4" x14ac:dyDescent="0.25">
      <c r="A3761" t="s">
        <v>6318</v>
      </c>
      <c r="D3761" t="s">
        <v>11838</v>
      </c>
    </row>
    <row r="3762" spans="1:4" x14ac:dyDescent="0.25">
      <c r="A3762" t="s">
        <v>6319</v>
      </c>
      <c r="D3762" t="s">
        <v>11839</v>
      </c>
    </row>
    <row r="3763" spans="1:4" x14ac:dyDescent="0.25">
      <c r="A3763" t="s">
        <v>6320</v>
      </c>
      <c r="D3763" t="s">
        <v>11840</v>
      </c>
    </row>
    <row r="3764" spans="1:4" x14ac:dyDescent="0.25">
      <c r="A3764" t="s">
        <v>6321</v>
      </c>
      <c r="D3764" t="s">
        <v>11841</v>
      </c>
    </row>
    <row r="3765" spans="1:4" x14ac:dyDescent="0.25">
      <c r="A3765" t="s">
        <v>6322</v>
      </c>
      <c r="D3765" t="s">
        <v>11842</v>
      </c>
    </row>
    <row r="3766" spans="1:4" x14ac:dyDescent="0.25">
      <c r="A3766" t="s">
        <v>6323</v>
      </c>
      <c r="D3766" t="s">
        <v>11843</v>
      </c>
    </row>
    <row r="3767" spans="1:4" x14ac:dyDescent="0.25">
      <c r="A3767" t="s">
        <v>6324</v>
      </c>
      <c r="D3767" t="s">
        <v>11844</v>
      </c>
    </row>
    <row r="3768" spans="1:4" x14ac:dyDescent="0.25">
      <c r="A3768" t="s">
        <v>6325</v>
      </c>
      <c r="D3768" t="s">
        <v>11845</v>
      </c>
    </row>
    <row r="3769" spans="1:4" x14ac:dyDescent="0.25">
      <c r="A3769" t="s">
        <v>6326</v>
      </c>
      <c r="D3769" t="s">
        <v>11846</v>
      </c>
    </row>
    <row r="3770" spans="1:4" x14ac:dyDescent="0.25">
      <c r="A3770" t="s">
        <v>6327</v>
      </c>
      <c r="D3770" t="s">
        <v>11847</v>
      </c>
    </row>
    <row r="3771" spans="1:4" x14ac:dyDescent="0.25">
      <c r="A3771" t="s">
        <v>6328</v>
      </c>
      <c r="D3771" t="s">
        <v>11848</v>
      </c>
    </row>
    <row r="3772" spans="1:4" x14ac:dyDescent="0.25">
      <c r="A3772" t="s">
        <v>6329</v>
      </c>
      <c r="D3772" t="s">
        <v>11849</v>
      </c>
    </row>
    <row r="3773" spans="1:4" x14ac:dyDescent="0.25">
      <c r="A3773" t="s">
        <v>6330</v>
      </c>
      <c r="D3773" t="s">
        <v>11850</v>
      </c>
    </row>
    <row r="3774" spans="1:4" x14ac:dyDescent="0.25">
      <c r="A3774" t="s">
        <v>6331</v>
      </c>
      <c r="D3774" t="s">
        <v>11851</v>
      </c>
    </row>
    <row r="3775" spans="1:4" x14ac:dyDescent="0.25">
      <c r="A3775" t="s">
        <v>6332</v>
      </c>
      <c r="D3775" t="s">
        <v>11852</v>
      </c>
    </row>
    <row r="3776" spans="1:4" x14ac:dyDescent="0.25">
      <c r="A3776" t="s">
        <v>6333</v>
      </c>
      <c r="D3776" t="s">
        <v>11853</v>
      </c>
    </row>
    <row r="3777" spans="1:4" x14ac:dyDescent="0.25">
      <c r="A3777" t="s">
        <v>6334</v>
      </c>
      <c r="D3777" t="s">
        <v>11854</v>
      </c>
    </row>
    <row r="3778" spans="1:4" x14ac:dyDescent="0.25">
      <c r="A3778" t="s">
        <v>6335</v>
      </c>
      <c r="D3778" t="s">
        <v>11855</v>
      </c>
    </row>
    <row r="3779" spans="1:4" x14ac:dyDescent="0.25">
      <c r="A3779" t="s">
        <v>6336</v>
      </c>
      <c r="D3779" t="s">
        <v>11856</v>
      </c>
    </row>
    <row r="3780" spans="1:4" x14ac:dyDescent="0.25">
      <c r="A3780" t="s">
        <v>6337</v>
      </c>
      <c r="D3780" t="s">
        <v>11857</v>
      </c>
    </row>
    <row r="3781" spans="1:4" x14ac:dyDescent="0.25">
      <c r="A3781" t="s">
        <v>6338</v>
      </c>
      <c r="D3781" t="s">
        <v>11858</v>
      </c>
    </row>
    <row r="3782" spans="1:4" x14ac:dyDescent="0.25">
      <c r="A3782" t="s">
        <v>6339</v>
      </c>
      <c r="D3782" t="s">
        <v>11859</v>
      </c>
    </row>
    <row r="3783" spans="1:4" x14ac:dyDescent="0.25">
      <c r="A3783" t="s">
        <v>6340</v>
      </c>
      <c r="D3783" t="s">
        <v>11860</v>
      </c>
    </row>
    <row r="3784" spans="1:4" x14ac:dyDescent="0.25">
      <c r="A3784" t="s">
        <v>6341</v>
      </c>
      <c r="D3784" t="s">
        <v>11861</v>
      </c>
    </row>
    <row r="3785" spans="1:4" x14ac:dyDescent="0.25">
      <c r="A3785" t="s">
        <v>6342</v>
      </c>
      <c r="D3785" t="s">
        <v>11862</v>
      </c>
    </row>
    <row r="3786" spans="1:4" x14ac:dyDescent="0.25">
      <c r="A3786" t="s">
        <v>6343</v>
      </c>
      <c r="D3786" t="s">
        <v>11863</v>
      </c>
    </row>
    <row r="3787" spans="1:4" x14ac:dyDescent="0.25">
      <c r="A3787" t="s">
        <v>6344</v>
      </c>
      <c r="D3787" t="s">
        <v>11864</v>
      </c>
    </row>
    <row r="3788" spans="1:4" x14ac:dyDescent="0.25">
      <c r="A3788" t="s">
        <v>6345</v>
      </c>
      <c r="D3788" t="s">
        <v>11865</v>
      </c>
    </row>
    <row r="3789" spans="1:4" x14ac:dyDescent="0.25">
      <c r="A3789" t="s">
        <v>6346</v>
      </c>
      <c r="D3789" t="s">
        <v>11866</v>
      </c>
    </row>
    <row r="3790" spans="1:4" x14ac:dyDescent="0.25">
      <c r="A3790" t="s">
        <v>6347</v>
      </c>
      <c r="D3790" t="s">
        <v>11867</v>
      </c>
    </row>
    <row r="3791" spans="1:4" x14ac:dyDescent="0.25">
      <c r="A3791" t="s">
        <v>6348</v>
      </c>
      <c r="D3791" t="s">
        <v>11868</v>
      </c>
    </row>
    <row r="3792" spans="1:4" x14ac:dyDescent="0.25">
      <c r="A3792" t="s">
        <v>6349</v>
      </c>
      <c r="D3792" t="s">
        <v>11869</v>
      </c>
    </row>
    <row r="3793" spans="1:4" x14ac:dyDescent="0.25">
      <c r="A3793" t="s">
        <v>6350</v>
      </c>
      <c r="D3793" t="s">
        <v>11870</v>
      </c>
    </row>
    <row r="3794" spans="1:4" x14ac:dyDescent="0.25">
      <c r="A3794" t="s">
        <v>6351</v>
      </c>
      <c r="D3794" t="s">
        <v>11871</v>
      </c>
    </row>
    <row r="3795" spans="1:4" x14ac:dyDescent="0.25">
      <c r="A3795" t="s">
        <v>6352</v>
      </c>
      <c r="D3795" t="s">
        <v>11872</v>
      </c>
    </row>
    <row r="3796" spans="1:4" x14ac:dyDescent="0.25">
      <c r="A3796" t="s">
        <v>6353</v>
      </c>
      <c r="D3796" t="s">
        <v>11873</v>
      </c>
    </row>
    <row r="3797" spans="1:4" x14ac:dyDescent="0.25">
      <c r="A3797" t="s">
        <v>6354</v>
      </c>
      <c r="D3797" t="s">
        <v>11874</v>
      </c>
    </row>
    <row r="3798" spans="1:4" x14ac:dyDescent="0.25">
      <c r="A3798" t="s">
        <v>6355</v>
      </c>
      <c r="D3798" t="s">
        <v>11875</v>
      </c>
    </row>
    <row r="3799" spans="1:4" x14ac:dyDescent="0.25">
      <c r="A3799" t="s">
        <v>6356</v>
      </c>
      <c r="D3799" t="s">
        <v>11876</v>
      </c>
    </row>
    <row r="3800" spans="1:4" x14ac:dyDescent="0.25">
      <c r="A3800" t="s">
        <v>6357</v>
      </c>
      <c r="D3800" t="s">
        <v>11877</v>
      </c>
    </row>
    <row r="3801" spans="1:4" x14ac:dyDescent="0.25">
      <c r="A3801" t="s">
        <v>6358</v>
      </c>
      <c r="D3801" t="s">
        <v>11878</v>
      </c>
    </row>
    <row r="3802" spans="1:4" x14ac:dyDescent="0.25">
      <c r="A3802" t="s">
        <v>6359</v>
      </c>
      <c r="D3802" t="s">
        <v>11879</v>
      </c>
    </row>
    <row r="3803" spans="1:4" x14ac:dyDescent="0.25">
      <c r="A3803" t="s">
        <v>6360</v>
      </c>
      <c r="D3803" t="s">
        <v>11880</v>
      </c>
    </row>
    <row r="3804" spans="1:4" x14ac:dyDescent="0.25">
      <c r="A3804" t="s">
        <v>6361</v>
      </c>
      <c r="D3804" t="s">
        <v>11881</v>
      </c>
    </row>
    <row r="3805" spans="1:4" x14ac:dyDescent="0.25">
      <c r="A3805" t="s">
        <v>6362</v>
      </c>
      <c r="D3805" t="s">
        <v>11882</v>
      </c>
    </row>
    <row r="3806" spans="1:4" x14ac:dyDescent="0.25">
      <c r="A3806" t="s">
        <v>6363</v>
      </c>
      <c r="D3806" t="s">
        <v>11883</v>
      </c>
    </row>
    <row r="3807" spans="1:4" x14ac:dyDescent="0.25">
      <c r="A3807" t="s">
        <v>6364</v>
      </c>
      <c r="D3807" t="s">
        <v>11884</v>
      </c>
    </row>
    <row r="3808" spans="1:4" x14ac:dyDescent="0.25">
      <c r="A3808" t="s">
        <v>6365</v>
      </c>
      <c r="D3808" t="s">
        <v>11885</v>
      </c>
    </row>
    <row r="3809" spans="1:4" x14ac:dyDescent="0.25">
      <c r="A3809" t="s">
        <v>6366</v>
      </c>
      <c r="D3809" t="s">
        <v>11886</v>
      </c>
    </row>
    <row r="3810" spans="1:4" x14ac:dyDescent="0.25">
      <c r="A3810" t="s">
        <v>6367</v>
      </c>
      <c r="D3810" t="s">
        <v>11887</v>
      </c>
    </row>
    <row r="3811" spans="1:4" x14ac:dyDescent="0.25">
      <c r="A3811" t="s">
        <v>6368</v>
      </c>
      <c r="D3811" t="s">
        <v>11888</v>
      </c>
    </row>
    <row r="3812" spans="1:4" x14ac:dyDescent="0.25">
      <c r="A3812" t="s">
        <v>6369</v>
      </c>
      <c r="D3812" t="s">
        <v>11889</v>
      </c>
    </row>
    <row r="3813" spans="1:4" x14ac:dyDescent="0.25">
      <c r="A3813" t="s">
        <v>6370</v>
      </c>
      <c r="D3813" t="s">
        <v>11890</v>
      </c>
    </row>
    <row r="3814" spans="1:4" x14ac:dyDescent="0.25">
      <c r="A3814" t="s">
        <v>6371</v>
      </c>
      <c r="D3814" t="s">
        <v>11891</v>
      </c>
    </row>
    <row r="3815" spans="1:4" x14ac:dyDescent="0.25">
      <c r="A3815" t="s">
        <v>6372</v>
      </c>
      <c r="D3815" t="s">
        <v>11892</v>
      </c>
    </row>
    <row r="3816" spans="1:4" x14ac:dyDescent="0.25">
      <c r="A3816" t="s">
        <v>6373</v>
      </c>
      <c r="D3816" t="s">
        <v>11893</v>
      </c>
    </row>
    <row r="3817" spans="1:4" x14ac:dyDescent="0.25">
      <c r="A3817" t="s">
        <v>6374</v>
      </c>
      <c r="D3817" t="s">
        <v>11894</v>
      </c>
    </row>
    <row r="3818" spans="1:4" x14ac:dyDescent="0.25">
      <c r="A3818" t="s">
        <v>6375</v>
      </c>
      <c r="D3818" t="s">
        <v>11895</v>
      </c>
    </row>
    <row r="3819" spans="1:4" x14ac:dyDescent="0.25">
      <c r="A3819" t="s">
        <v>6376</v>
      </c>
      <c r="D3819" t="s">
        <v>11896</v>
      </c>
    </row>
    <row r="3820" spans="1:4" x14ac:dyDescent="0.25">
      <c r="A3820" t="s">
        <v>6377</v>
      </c>
      <c r="D3820" t="s">
        <v>11897</v>
      </c>
    </row>
    <row r="3821" spans="1:4" x14ac:dyDescent="0.25">
      <c r="A3821" t="s">
        <v>6378</v>
      </c>
      <c r="D3821" t="s">
        <v>11898</v>
      </c>
    </row>
    <row r="3822" spans="1:4" x14ac:dyDescent="0.25">
      <c r="A3822" t="s">
        <v>6379</v>
      </c>
      <c r="D3822" t="s">
        <v>11899</v>
      </c>
    </row>
    <row r="3823" spans="1:4" x14ac:dyDescent="0.25">
      <c r="A3823" t="s">
        <v>6380</v>
      </c>
      <c r="D3823" t="s">
        <v>11900</v>
      </c>
    </row>
    <row r="3824" spans="1:4" x14ac:dyDescent="0.25">
      <c r="A3824" t="s">
        <v>6381</v>
      </c>
      <c r="D3824" t="s">
        <v>11901</v>
      </c>
    </row>
    <row r="3825" spans="1:4" x14ac:dyDescent="0.25">
      <c r="A3825" t="s">
        <v>6382</v>
      </c>
      <c r="D3825" t="s">
        <v>11902</v>
      </c>
    </row>
    <row r="3826" spans="1:4" x14ac:dyDescent="0.25">
      <c r="A3826" t="s">
        <v>6383</v>
      </c>
      <c r="D3826" t="s">
        <v>11903</v>
      </c>
    </row>
    <row r="3827" spans="1:4" x14ac:dyDescent="0.25">
      <c r="A3827" t="s">
        <v>6384</v>
      </c>
      <c r="D3827" t="s">
        <v>11904</v>
      </c>
    </row>
    <row r="3828" spans="1:4" x14ac:dyDescent="0.25">
      <c r="A3828" t="s">
        <v>6385</v>
      </c>
      <c r="D3828" t="s">
        <v>11905</v>
      </c>
    </row>
    <row r="3829" spans="1:4" x14ac:dyDescent="0.25">
      <c r="A3829" t="s">
        <v>6386</v>
      </c>
      <c r="D3829" t="s">
        <v>11906</v>
      </c>
    </row>
    <row r="3830" spans="1:4" x14ac:dyDescent="0.25">
      <c r="A3830" t="s">
        <v>6387</v>
      </c>
      <c r="D3830" t="s">
        <v>11907</v>
      </c>
    </row>
    <row r="3831" spans="1:4" x14ac:dyDescent="0.25">
      <c r="A3831" t="s">
        <v>6388</v>
      </c>
      <c r="D3831" t="s">
        <v>11908</v>
      </c>
    </row>
    <row r="3832" spans="1:4" x14ac:dyDescent="0.25">
      <c r="A3832" t="s">
        <v>6389</v>
      </c>
      <c r="D3832" t="s">
        <v>11909</v>
      </c>
    </row>
    <row r="3833" spans="1:4" x14ac:dyDescent="0.25">
      <c r="A3833" t="s">
        <v>6390</v>
      </c>
      <c r="D3833" t="s">
        <v>11910</v>
      </c>
    </row>
    <row r="3834" spans="1:4" x14ac:dyDescent="0.25">
      <c r="A3834" t="s">
        <v>6391</v>
      </c>
      <c r="D3834" t="s">
        <v>11911</v>
      </c>
    </row>
    <row r="3835" spans="1:4" x14ac:dyDescent="0.25">
      <c r="A3835" t="s">
        <v>6392</v>
      </c>
      <c r="D3835" t="s">
        <v>11912</v>
      </c>
    </row>
    <row r="3836" spans="1:4" x14ac:dyDescent="0.25">
      <c r="A3836" t="s">
        <v>6393</v>
      </c>
      <c r="D3836" t="s">
        <v>11913</v>
      </c>
    </row>
    <row r="3837" spans="1:4" x14ac:dyDescent="0.25">
      <c r="A3837" t="s">
        <v>6394</v>
      </c>
      <c r="D3837" t="s">
        <v>11914</v>
      </c>
    </row>
    <row r="3838" spans="1:4" x14ac:dyDescent="0.25">
      <c r="A3838" t="s">
        <v>6395</v>
      </c>
      <c r="D3838" t="s">
        <v>11915</v>
      </c>
    </row>
    <row r="3839" spans="1:4" x14ac:dyDescent="0.25">
      <c r="A3839" t="s">
        <v>6396</v>
      </c>
      <c r="D3839" t="s">
        <v>11916</v>
      </c>
    </row>
    <row r="3840" spans="1:4" x14ac:dyDescent="0.25">
      <c r="A3840" t="s">
        <v>6397</v>
      </c>
      <c r="D3840" t="s">
        <v>11917</v>
      </c>
    </row>
    <row r="3841" spans="1:4" x14ac:dyDescent="0.25">
      <c r="A3841" t="s">
        <v>6398</v>
      </c>
      <c r="D3841" t="s">
        <v>11918</v>
      </c>
    </row>
    <row r="3842" spans="1:4" x14ac:dyDescent="0.25">
      <c r="A3842" t="s">
        <v>6399</v>
      </c>
      <c r="D3842" t="s">
        <v>11919</v>
      </c>
    </row>
    <row r="3843" spans="1:4" x14ac:dyDescent="0.25">
      <c r="A3843" t="s">
        <v>6400</v>
      </c>
      <c r="D3843" t="s">
        <v>11920</v>
      </c>
    </row>
    <row r="3844" spans="1:4" x14ac:dyDescent="0.25">
      <c r="A3844" t="s">
        <v>6401</v>
      </c>
      <c r="D3844" t="s">
        <v>11921</v>
      </c>
    </row>
    <row r="3845" spans="1:4" x14ac:dyDescent="0.25">
      <c r="A3845" t="s">
        <v>6402</v>
      </c>
      <c r="D3845" t="s">
        <v>11922</v>
      </c>
    </row>
    <row r="3846" spans="1:4" x14ac:dyDescent="0.25">
      <c r="A3846" t="s">
        <v>6403</v>
      </c>
      <c r="D3846" t="s">
        <v>11923</v>
      </c>
    </row>
    <row r="3847" spans="1:4" x14ac:dyDescent="0.25">
      <c r="A3847" t="s">
        <v>6404</v>
      </c>
      <c r="D3847" t="s">
        <v>11924</v>
      </c>
    </row>
    <row r="3848" spans="1:4" x14ac:dyDescent="0.25">
      <c r="A3848" t="s">
        <v>6405</v>
      </c>
      <c r="D3848" t="s">
        <v>11925</v>
      </c>
    </row>
    <row r="3849" spans="1:4" x14ac:dyDescent="0.25">
      <c r="A3849" t="s">
        <v>6406</v>
      </c>
      <c r="D3849" t="s">
        <v>11926</v>
      </c>
    </row>
    <row r="3850" spans="1:4" x14ac:dyDescent="0.25">
      <c r="A3850" t="s">
        <v>6407</v>
      </c>
      <c r="D3850" t="s">
        <v>11927</v>
      </c>
    </row>
    <row r="3851" spans="1:4" x14ac:dyDescent="0.25">
      <c r="A3851" t="s">
        <v>6408</v>
      </c>
      <c r="D3851" t="s">
        <v>11928</v>
      </c>
    </row>
    <row r="3852" spans="1:4" x14ac:dyDescent="0.25">
      <c r="A3852" t="s">
        <v>6409</v>
      </c>
      <c r="D3852" t="s">
        <v>11929</v>
      </c>
    </row>
    <row r="3853" spans="1:4" x14ac:dyDescent="0.25">
      <c r="A3853" t="s">
        <v>6410</v>
      </c>
      <c r="D3853" t="s">
        <v>11930</v>
      </c>
    </row>
    <row r="3854" spans="1:4" x14ac:dyDescent="0.25">
      <c r="A3854" t="s">
        <v>6411</v>
      </c>
      <c r="D3854" t="s">
        <v>11931</v>
      </c>
    </row>
    <row r="3855" spans="1:4" x14ac:dyDescent="0.25">
      <c r="A3855" t="s">
        <v>6412</v>
      </c>
      <c r="D3855" t="s">
        <v>11932</v>
      </c>
    </row>
    <row r="3856" spans="1:4" x14ac:dyDescent="0.25">
      <c r="A3856" t="s">
        <v>6413</v>
      </c>
      <c r="D3856" t="s">
        <v>11933</v>
      </c>
    </row>
    <row r="3857" spans="1:4" x14ac:dyDescent="0.25">
      <c r="A3857" t="s">
        <v>6414</v>
      </c>
      <c r="D3857" t="s">
        <v>11934</v>
      </c>
    </row>
    <row r="3858" spans="1:4" x14ac:dyDescent="0.25">
      <c r="A3858" t="s">
        <v>6415</v>
      </c>
      <c r="D3858" t="s">
        <v>11935</v>
      </c>
    </row>
    <row r="3859" spans="1:4" x14ac:dyDescent="0.25">
      <c r="A3859" t="s">
        <v>6416</v>
      </c>
      <c r="D3859" t="s">
        <v>11936</v>
      </c>
    </row>
    <row r="3860" spans="1:4" x14ac:dyDescent="0.25">
      <c r="A3860" t="s">
        <v>6417</v>
      </c>
      <c r="D3860" t="s">
        <v>11937</v>
      </c>
    </row>
    <row r="3861" spans="1:4" x14ac:dyDescent="0.25">
      <c r="A3861" t="s">
        <v>6418</v>
      </c>
      <c r="D3861" t="s">
        <v>11938</v>
      </c>
    </row>
    <row r="3862" spans="1:4" x14ac:dyDescent="0.25">
      <c r="A3862" t="s">
        <v>6419</v>
      </c>
      <c r="D3862" t="s">
        <v>11939</v>
      </c>
    </row>
    <row r="3863" spans="1:4" x14ac:dyDescent="0.25">
      <c r="A3863" t="s">
        <v>6420</v>
      </c>
      <c r="D3863" t="s">
        <v>11940</v>
      </c>
    </row>
    <row r="3864" spans="1:4" x14ac:dyDescent="0.25">
      <c r="A3864" t="s">
        <v>6421</v>
      </c>
      <c r="D3864" t="s">
        <v>11941</v>
      </c>
    </row>
    <row r="3865" spans="1:4" x14ac:dyDescent="0.25">
      <c r="A3865" t="s">
        <v>6422</v>
      </c>
      <c r="D3865" t="s">
        <v>11942</v>
      </c>
    </row>
    <row r="3866" spans="1:4" x14ac:dyDescent="0.25">
      <c r="A3866" t="s">
        <v>6423</v>
      </c>
      <c r="D3866" t="s">
        <v>11943</v>
      </c>
    </row>
    <row r="3867" spans="1:4" x14ac:dyDescent="0.25">
      <c r="A3867" t="s">
        <v>6424</v>
      </c>
      <c r="D3867" t="s">
        <v>11944</v>
      </c>
    </row>
    <row r="3868" spans="1:4" x14ac:dyDescent="0.25">
      <c r="A3868" t="s">
        <v>6425</v>
      </c>
      <c r="D3868" t="s">
        <v>11945</v>
      </c>
    </row>
    <row r="3869" spans="1:4" x14ac:dyDescent="0.25">
      <c r="A3869" t="s">
        <v>6426</v>
      </c>
      <c r="D3869" t="s">
        <v>11946</v>
      </c>
    </row>
    <row r="3870" spans="1:4" x14ac:dyDescent="0.25">
      <c r="A3870" t="s">
        <v>6427</v>
      </c>
      <c r="D3870" t="s">
        <v>11947</v>
      </c>
    </row>
    <row r="3871" spans="1:4" x14ac:dyDescent="0.25">
      <c r="A3871" t="s">
        <v>6428</v>
      </c>
      <c r="D3871" t="s">
        <v>11948</v>
      </c>
    </row>
    <row r="3872" spans="1:4" x14ac:dyDescent="0.25">
      <c r="A3872" t="s">
        <v>6429</v>
      </c>
      <c r="D3872" t="s">
        <v>11949</v>
      </c>
    </row>
    <row r="3873" spans="1:4" x14ac:dyDescent="0.25">
      <c r="A3873" t="s">
        <v>6430</v>
      </c>
      <c r="D3873" t="s">
        <v>11950</v>
      </c>
    </row>
    <row r="3874" spans="1:4" x14ac:dyDescent="0.25">
      <c r="A3874" t="s">
        <v>6431</v>
      </c>
      <c r="D3874" t="s">
        <v>11951</v>
      </c>
    </row>
    <row r="3875" spans="1:4" x14ac:dyDescent="0.25">
      <c r="A3875" t="s">
        <v>6432</v>
      </c>
      <c r="D3875" t="s">
        <v>11952</v>
      </c>
    </row>
    <row r="3876" spans="1:4" x14ac:dyDescent="0.25">
      <c r="A3876" t="s">
        <v>6433</v>
      </c>
      <c r="D3876" t="s">
        <v>11953</v>
      </c>
    </row>
    <row r="3877" spans="1:4" x14ac:dyDescent="0.25">
      <c r="A3877" t="s">
        <v>6434</v>
      </c>
      <c r="D3877" t="s">
        <v>11954</v>
      </c>
    </row>
    <row r="3878" spans="1:4" x14ac:dyDescent="0.25">
      <c r="A3878" t="s">
        <v>6435</v>
      </c>
      <c r="D3878" t="s">
        <v>11955</v>
      </c>
    </row>
    <row r="3879" spans="1:4" x14ac:dyDescent="0.25">
      <c r="A3879" t="s">
        <v>6436</v>
      </c>
      <c r="D3879" t="s">
        <v>11956</v>
      </c>
    </row>
    <row r="3880" spans="1:4" x14ac:dyDescent="0.25">
      <c r="A3880" t="s">
        <v>6437</v>
      </c>
      <c r="D3880" t="s">
        <v>11957</v>
      </c>
    </row>
    <row r="3881" spans="1:4" x14ac:dyDescent="0.25">
      <c r="A3881" t="s">
        <v>6438</v>
      </c>
      <c r="D3881" t="s">
        <v>11958</v>
      </c>
    </row>
    <row r="3882" spans="1:4" x14ac:dyDescent="0.25">
      <c r="A3882" t="s">
        <v>6439</v>
      </c>
      <c r="D3882" t="s">
        <v>11959</v>
      </c>
    </row>
    <row r="3883" spans="1:4" x14ac:dyDescent="0.25">
      <c r="A3883" t="s">
        <v>6440</v>
      </c>
      <c r="D3883" t="s">
        <v>11960</v>
      </c>
    </row>
    <row r="3884" spans="1:4" x14ac:dyDescent="0.25">
      <c r="A3884" t="s">
        <v>6441</v>
      </c>
      <c r="D3884" t="s">
        <v>11961</v>
      </c>
    </row>
    <row r="3885" spans="1:4" x14ac:dyDescent="0.25">
      <c r="A3885" t="s">
        <v>6442</v>
      </c>
      <c r="D3885" t="s">
        <v>11962</v>
      </c>
    </row>
    <row r="3886" spans="1:4" x14ac:dyDescent="0.25">
      <c r="A3886" t="s">
        <v>6443</v>
      </c>
      <c r="D3886" t="s">
        <v>11963</v>
      </c>
    </row>
    <row r="3887" spans="1:4" x14ac:dyDescent="0.25">
      <c r="A3887" t="s">
        <v>6444</v>
      </c>
      <c r="D3887" t="s">
        <v>11964</v>
      </c>
    </row>
    <row r="3888" spans="1:4" x14ac:dyDescent="0.25">
      <c r="A3888" t="s">
        <v>6445</v>
      </c>
      <c r="D3888" t="s">
        <v>11965</v>
      </c>
    </row>
    <row r="3889" spans="1:4" x14ac:dyDescent="0.25">
      <c r="A3889" t="s">
        <v>6446</v>
      </c>
      <c r="D3889" t="s">
        <v>11966</v>
      </c>
    </row>
    <row r="3890" spans="1:4" x14ac:dyDescent="0.25">
      <c r="A3890" t="s">
        <v>6447</v>
      </c>
      <c r="D3890" t="s">
        <v>11967</v>
      </c>
    </row>
    <row r="3891" spans="1:4" x14ac:dyDescent="0.25">
      <c r="A3891" t="s">
        <v>6448</v>
      </c>
      <c r="D3891" t="s">
        <v>11968</v>
      </c>
    </row>
    <row r="3892" spans="1:4" x14ac:dyDescent="0.25">
      <c r="A3892" t="s">
        <v>6449</v>
      </c>
      <c r="D3892" t="s">
        <v>11969</v>
      </c>
    </row>
    <row r="3893" spans="1:4" x14ac:dyDescent="0.25">
      <c r="A3893" t="s">
        <v>6450</v>
      </c>
      <c r="D3893" t="s">
        <v>11970</v>
      </c>
    </row>
    <row r="3894" spans="1:4" x14ac:dyDescent="0.25">
      <c r="A3894" t="s">
        <v>6451</v>
      </c>
      <c r="D3894" t="s">
        <v>11971</v>
      </c>
    </row>
    <row r="3895" spans="1:4" x14ac:dyDescent="0.25">
      <c r="A3895" t="s">
        <v>6452</v>
      </c>
      <c r="D3895" t="s">
        <v>11972</v>
      </c>
    </row>
    <row r="3896" spans="1:4" x14ac:dyDescent="0.25">
      <c r="A3896" t="s">
        <v>6453</v>
      </c>
      <c r="D3896" t="s">
        <v>11973</v>
      </c>
    </row>
    <row r="3897" spans="1:4" x14ac:dyDescent="0.25">
      <c r="A3897" t="s">
        <v>6454</v>
      </c>
      <c r="D3897" t="s">
        <v>11974</v>
      </c>
    </row>
    <row r="3898" spans="1:4" x14ac:dyDescent="0.25">
      <c r="A3898" t="s">
        <v>6455</v>
      </c>
      <c r="D3898" t="s">
        <v>11975</v>
      </c>
    </row>
    <row r="3899" spans="1:4" x14ac:dyDescent="0.25">
      <c r="A3899" t="s">
        <v>6456</v>
      </c>
      <c r="D3899" t="s">
        <v>11976</v>
      </c>
    </row>
    <row r="3900" spans="1:4" x14ac:dyDescent="0.25">
      <c r="A3900" t="s">
        <v>6457</v>
      </c>
      <c r="D3900" t="s">
        <v>11977</v>
      </c>
    </row>
    <row r="3901" spans="1:4" x14ac:dyDescent="0.25">
      <c r="A3901" t="s">
        <v>6458</v>
      </c>
      <c r="D3901" t="s">
        <v>11978</v>
      </c>
    </row>
    <row r="3902" spans="1:4" x14ac:dyDescent="0.25">
      <c r="A3902" t="s">
        <v>6459</v>
      </c>
      <c r="D3902" t="s">
        <v>11979</v>
      </c>
    </row>
    <row r="3903" spans="1:4" x14ac:dyDescent="0.25">
      <c r="A3903" t="s">
        <v>6460</v>
      </c>
      <c r="D3903" t="s">
        <v>11980</v>
      </c>
    </row>
    <row r="3904" spans="1:4" x14ac:dyDescent="0.25">
      <c r="A3904" t="s">
        <v>6461</v>
      </c>
      <c r="D3904" t="s">
        <v>11981</v>
      </c>
    </row>
    <row r="3905" spans="1:4" x14ac:dyDescent="0.25">
      <c r="A3905" t="s">
        <v>6462</v>
      </c>
      <c r="D3905" t="s">
        <v>11982</v>
      </c>
    </row>
    <row r="3906" spans="1:4" x14ac:dyDescent="0.25">
      <c r="A3906" t="s">
        <v>6463</v>
      </c>
      <c r="D3906" t="s">
        <v>11983</v>
      </c>
    </row>
    <row r="3907" spans="1:4" x14ac:dyDescent="0.25">
      <c r="A3907" t="s">
        <v>6464</v>
      </c>
      <c r="D3907" t="s">
        <v>11984</v>
      </c>
    </row>
    <row r="3908" spans="1:4" x14ac:dyDescent="0.25">
      <c r="A3908" t="s">
        <v>6465</v>
      </c>
      <c r="D3908" t="s">
        <v>11985</v>
      </c>
    </row>
    <row r="3909" spans="1:4" x14ac:dyDescent="0.25">
      <c r="A3909" t="s">
        <v>6466</v>
      </c>
      <c r="D3909" t="s">
        <v>11986</v>
      </c>
    </row>
    <row r="3910" spans="1:4" x14ac:dyDescent="0.25">
      <c r="A3910" t="s">
        <v>6467</v>
      </c>
      <c r="D3910" t="s">
        <v>11987</v>
      </c>
    </row>
    <row r="3911" spans="1:4" x14ac:dyDescent="0.25">
      <c r="A3911" t="s">
        <v>6468</v>
      </c>
      <c r="D3911" t="s">
        <v>11988</v>
      </c>
    </row>
    <row r="3912" spans="1:4" x14ac:dyDescent="0.25">
      <c r="A3912" t="s">
        <v>6469</v>
      </c>
      <c r="D3912" t="s">
        <v>11989</v>
      </c>
    </row>
    <row r="3913" spans="1:4" x14ac:dyDescent="0.25">
      <c r="A3913" t="s">
        <v>6470</v>
      </c>
      <c r="D3913" t="s">
        <v>11990</v>
      </c>
    </row>
    <row r="3914" spans="1:4" x14ac:dyDescent="0.25">
      <c r="A3914" t="s">
        <v>6471</v>
      </c>
      <c r="D3914" t="s">
        <v>11991</v>
      </c>
    </row>
    <row r="3915" spans="1:4" x14ac:dyDescent="0.25">
      <c r="A3915" t="s">
        <v>6472</v>
      </c>
      <c r="D3915" t="s">
        <v>11992</v>
      </c>
    </row>
    <row r="3916" spans="1:4" x14ac:dyDescent="0.25">
      <c r="A3916" t="s">
        <v>6473</v>
      </c>
      <c r="D3916" t="s">
        <v>11993</v>
      </c>
    </row>
    <row r="3917" spans="1:4" x14ac:dyDescent="0.25">
      <c r="A3917" t="s">
        <v>6474</v>
      </c>
      <c r="D3917" t="s">
        <v>11994</v>
      </c>
    </row>
    <row r="3918" spans="1:4" x14ac:dyDescent="0.25">
      <c r="A3918" t="s">
        <v>6475</v>
      </c>
      <c r="D3918" t="s">
        <v>11995</v>
      </c>
    </row>
    <row r="3919" spans="1:4" x14ac:dyDescent="0.25">
      <c r="A3919" t="s">
        <v>6476</v>
      </c>
      <c r="D3919" t="s">
        <v>11996</v>
      </c>
    </row>
    <row r="3920" spans="1:4" x14ac:dyDescent="0.25">
      <c r="A3920" t="s">
        <v>6477</v>
      </c>
      <c r="D3920" t="s">
        <v>11997</v>
      </c>
    </row>
    <row r="3921" spans="1:4" x14ac:dyDescent="0.25">
      <c r="A3921" t="s">
        <v>6478</v>
      </c>
      <c r="D3921" t="s">
        <v>11998</v>
      </c>
    </row>
    <row r="3922" spans="1:4" x14ac:dyDescent="0.25">
      <c r="A3922" t="s">
        <v>6479</v>
      </c>
      <c r="D3922" t="s">
        <v>11999</v>
      </c>
    </row>
    <row r="3923" spans="1:4" x14ac:dyDescent="0.25">
      <c r="A3923" t="s">
        <v>6480</v>
      </c>
      <c r="D3923" t="s">
        <v>12000</v>
      </c>
    </row>
    <row r="3924" spans="1:4" x14ac:dyDescent="0.25">
      <c r="A3924" t="s">
        <v>6481</v>
      </c>
      <c r="D3924" t="s">
        <v>12001</v>
      </c>
    </row>
    <row r="3925" spans="1:4" x14ac:dyDescent="0.25">
      <c r="A3925" t="s">
        <v>6482</v>
      </c>
      <c r="D3925" t="s">
        <v>12002</v>
      </c>
    </row>
    <row r="3926" spans="1:4" x14ac:dyDescent="0.25">
      <c r="A3926" t="s">
        <v>6483</v>
      </c>
      <c r="D3926" t="s">
        <v>12003</v>
      </c>
    </row>
    <row r="3927" spans="1:4" x14ac:dyDescent="0.25">
      <c r="A3927" t="s">
        <v>6484</v>
      </c>
      <c r="D3927" t="s">
        <v>12004</v>
      </c>
    </row>
    <row r="3928" spans="1:4" x14ac:dyDescent="0.25">
      <c r="A3928" t="s">
        <v>6485</v>
      </c>
      <c r="D3928" t="s">
        <v>12005</v>
      </c>
    </row>
    <row r="3929" spans="1:4" x14ac:dyDescent="0.25">
      <c r="A3929" t="s">
        <v>6486</v>
      </c>
      <c r="D3929" t="s">
        <v>12006</v>
      </c>
    </row>
    <row r="3930" spans="1:4" x14ac:dyDescent="0.25">
      <c r="A3930" t="s">
        <v>6487</v>
      </c>
      <c r="D3930" t="s">
        <v>12007</v>
      </c>
    </row>
    <row r="3931" spans="1:4" x14ac:dyDescent="0.25">
      <c r="A3931" t="s">
        <v>6488</v>
      </c>
      <c r="D3931" t="s">
        <v>12008</v>
      </c>
    </row>
    <row r="3932" spans="1:4" x14ac:dyDescent="0.25">
      <c r="A3932" t="s">
        <v>6489</v>
      </c>
      <c r="D3932" t="s">
        <v>12009</v>
      </c>
    </row>
    <row r="3933" spans="1:4" x14ac:dyDescent="0.25">
      <c r="A3933" t="s">
        <v>6490</v>
      </c>
      <c r="D3933" t="s">
        <v>12010</v>
      </c>
    </row>
    <row r="3934" spans="1:4" x14ac:dyDescent="0.25">
      <c r="A3934" t="s">
        <v>6491</v>
      </c>
      <c r="D3934" t="s">
        <v>12011</v>
      </c>
    </row>
    <row r="3935" spans="1:4" x14ac:dyDescent="0.25">
      <c r="A3935" t="s">
        <v>6492</v>
      </c>
      <c r="D3935" t="s">
        <v>12012</v>
      </c>
    </row>
    <row r="3936" spans="1:4" x14ac:dyDescent="0.25">
      <c r="A3936" t="s">
        <v>6493</v>
      </c>
      <c r="D3936" t="s">
        <v>12013</v>
      </c>
    </row>
    <row r="3937" spans="1:4" x14ac:dyDescent="0.25">
      <c r="A3937" t="s">
        <v>6494</v>
      </c>
      <c r="D3937" t="s">
        <v>12014</v>
      </c>
    </row>
    <row r="3938" spans="1:4" x14ac:dyDescent="0.25">
      <c r="A3938" t="s">
        <v>6495</v>
      </c>
      <c r="D3938" t="s">
        <v>12015</v>
      </c>
    </row>
    <row r="3939" spans="1:4" x14ac:dyDescent="0.25">
      <c r="A3939" t="s">
        <v>6496</v>
      </c>
      <c r="D3939" t="s">
        <v>12016</v>
      </c>
    </row>
    <row r="3940" spans="1:4" x14ac:dyDescent="0.25">
      <c r="A3940" t="s">
        <v>6497</v>
      </c>
      <c r="D3940" t="s">
        <v>12017</v>
      </c>
    </row>
    <row r="3941" spans="1:4" x14ac:dyDescent="0.25">
      <c r="A3941" t="s">
        <v>6498</v>
      </c>
      <c r="D3941" t="s">
        <v>12018</v>
      </c>
    </row>
    <row r="3942" spans="1:4" x14ac:dyDescent="0.25">
      <c r="A3942" t="s">
        <v>6499</v>
      </c>
      <c r="D3942" t="s">
        <v>12019</v>
      </c>
    </row>
    <row r="3943" spans="1:4" x14ac:dyDescent="0.25">
      <c r="A3943" t="s">
        <v>6500</v>
      </c>
      <c r="D3943" t="s">
        <v>12020</v>
      </c>
    </row>
    <row r="3944" spans="1:4" x14ac:dyDescent="0.25">
      <c r="A3944" t="s">
        <v>6501</v>
      </c>
      <c r="D3944" t="s">
        <v>12021</v>
      </c>
    </row>
    <row r="3945" spans="1:4" x14ac:dyDescent="0.25">
      <c r="A3945" t="s">
        <v>6502</v>
      </c>
      <c r="D3945" t="s">
        <v>12022</v>
      </c>
    </row>
    <row r="3946" spans="1:4" x14ac:dyDescent="0.25">
      <c r="A3946" t="s">
        <v>6503</v>
      </c>
      <c r="D3946" t="s">
        <v>12023</v>
      </c>
    </row>
    <row r="3947" spans="1:4" x14ac:dyDescent="0.25">
      <c r="A3947" t="s">
        <v>6504</v>
      </c>
      <c r="D3947" t="s">
        <v>12024</v>
      </c>
    </row>
    <row r="3948" spans="1:4" x14ac:dyDescent="0.25">
      <c r="A3948" t="s">
        <v>6505</v>
      </c>
      <c r="D3948" t="s">
        <v>12025</v>
      </c>
    </row>
    <row r="3949" spans="1:4" x14ac:dyDescent="0.25">
      <c r="A3949" t="s">
        <v>6506</v>
      </c>
      <c r="D3949" t="s">
        <v>12026</v>
      </c>
    </row>
    <row r="3950" spans="1:4" x14ac:dyDescent="0.25">
      <c r="A3950" t="s">
        <v>6507</v>
      </c>
      <c r="D3950" t="s">
        <v>12027</v>
      </c>
    </row>
    <row r="3951" spans="1:4" x14ac:dyDescent="0.25">
      <c r="A3951" t="s">
        <v>6508</v>
      </c>
      <c r="D3951" t="s">
        <v>12028</v>
      </c>
    </row>
    <row r="3952" spans="1:4" x14ac:dyDescent="0.25">
      <c r="A3952" t="s">
        <v>6509</v>
      </c>
      <c r="D3952" t="s">
        <v>12029</v>
      </c>
    </row>
    <row r="3953" spans="1:4" x14ac:dyDescent="0.25">
      <c r="A3953" t="s">
        <v>6510</v>
      </c>
      <c r="D3953" t="s">
        <v>12030</v>
      </c>
    </row>
    <row r="3954" spans="1:4" x14ac:dyDescent="0.25">
      <c r="A3954" t="s">
        <v>6511</v>
      </c>
      <c r="D3954" t="s">
        <v>12031</v>
      </c>
    </row>
    <row r="3955" spans="1:4" x14ac:dyDescent="0.25">
      <c r="A3955" t="s">
        <v>6512</v>
      </c>
      <c r="D3955" t="s">
        <v>12032</v>
      </c>
    </row>
    <row r="3956" spans="1:4" x14ac:dyDescent="0.25">
      <c r="A3956" t="s">
        <v>6513</v>
      </c>
      <c r="D3956" t="s">
        <v>12033</v>
      </c>
    </row>
    <row r="3957" spans="1:4" x14ac:dyDescent="0.25">
      <c r="A3957" t="s">
        <v>6514</v>
      </c>
      <c r="D3957" t="s">
        <v>12034</v>
      </c>
    </row>
    <row r="3958" spans="1:4" x14ac:dyDescent="0.25">
      <c r="A3958" t="s">
        <v>6515</v>
      </c>
      <c r="D3958" t="s">
        <v>12035</v>
      </c>
    </row>
    <row r="3959" spans="1:4" x14ac:dyDescent="0.25">
      <c r="A3959" t="s">
        <v>6516</v>
      </c>
      <c r="D3959" t="s">
        <v>12036</v>
      </c>
    </row>
    <row r="3960" spans="1:4" x14ac:dyDescent="0.25">
      <c r="A3960" t="s">
        <v>6517</v>
      </c>
      <c r="D3960" t="s">
        <v>12037</v>
      </c>
    </row>
    <row r="3961" spans="1:4" x14ac:dyDescent="0.25">
      <c r="A3961" t="s">
        <v>6518</v>
      </c>
      <c r="D3961" t="s">
        <v>12038</v>
      </c>
    </row>
    <row r="3962" spans="1:4" x14ac:dyDescent="0.25">
      <c r="A3962" t="s">
        <v>6519</v>
      </c>
      <c r="D3962" t="s">
        <v>12039</v>
      </c>
    </row>
    <row r="3963" spans="1:4" x14ac:dyDescent="0.25">
      <c r="A3963" t="s">
        <v>6520</v>
      </c>
      <c r="D3963" t="s">
        <v>12040</v>
      </c>
    </row>
    <row r="3964" spans="1:4" x14ac:dyDescent="0.25">
      <c r="A3964" t="s">
        <v>6521</v>
      </c>
      <c r="D3964" t="s">
        <v>12041</v>
      </c>
    </row>
    <row r="3965" spans="1:4" x14ac:dyDescent="0.25">
      <c r="A3965" t="s">
        <v>6522</v>
      </c>
      <c r="D3965" t="s">
        <v>12042</v>
      </c>
    </row>
    <row r="3966" spans="1:4" x14ac:dyDescent="0.25">
      <c r="A3966" t="s">
        <v>6523</v>
      </c>
      <c r="D3966" t="s">
        <v>12043</v>
      </c>
    </row>
    <row r="3967" spans="1:4" x14ac:dyDescent="0.25">
      <c r="A3967" t="s">
        <v>6524</v>
      </c>
      <c r="D3967" t="s">
        <v>12044</v>
      </c>
    </row>
    <row r="3968" spans="1:4" x14ac:dyDescent="0.25">
      <c r="A3968" t="s">
        <v>6525</v>
      </c>
      <c r="D3968" t="s">
        <v>12045</v>
      </c>
    </row>
    <row r="3969" spans="1:4" x14ac:dyDescent="0.25">
      <c r="A3969" t="s">
        <v>6526</v>
      </c>
      <c r="D3969" t="s">
        <v>12046</v>
      </c>
    </row>
    <row r="3970" spans="1:4" x14ac:dyDescent="0.25">
      <c r="A3970" t="s">
        <v>6527</v>
      </c>
      <c r="D3970" t="s">
        <v>12047</v>
      </c>
    </row>
    <row r="3971" spans="1:4" x14ac:dyDescent="0.25">
      <c r="A3971" t="s">
        <v>6528</v>
      </c>
      <c r="D3971" t="s">
        <v>12048</v>
      </c>
    </row>
    <row r="3972" spans="1:4" x14ac:dyDescent="0.25">
      <c r="A3972" t="s">
        <v>6529</v>
      </c>
      <c r="D3972" t="s">
        <v>12049</v>
      </c>
    </row>
    <row r="3973" spans="1:4" x14ac:dyDescent="0.25">
      <c r="A3973" t="s">
        <v>6530</v>
      </c>
      <c r="D3973" t="s">
        <v>12050</v>
      </c>
    </row>
    <row r="3974" spans="1:4" x14ac:dyDescent="0.25">
      <c r="A3974" t="s">
        <v>6531</v>
      </c>
      <c r="D3974" t="s">
        <v>12051</v>
      </c>
    </row>
    <row r="3975" spans="1:4" x14ac:dyDescent="0.25">
      <c r="A3975" t="s">
        <v>6532</v>
      </c>
      <c r="D3975" t="s">
        <v>12052</v>
      </c>
    </row>
    <row r="3976" spans="1:4" x14ac:dyDescent="0.25">
      <c r="A3976" t="s">
        <v>6533</v>
      </c>
      <c r="D3976" t="s">
        <v>12053</v>
      </c>
    </row>
    <row r="3977" spans="1:4" x14ac:dyDescent="0.25">
      <c r="A3977" t="s">
        <v>6534</v>
      </c>
      <c r="D3977" t="s">
        <v>12054</v>
      </c>
    </row>
    <row r="3978" spans="1:4" x14ac:dyDescent="0.25">
      <c r="A3978" t="s">
        <v>6535</v>
      </c>
      <c r="D3978" t="s">
        <v>12055</v>
      </c>
    </row>
    <row r="3979" spans="1:4" x14ac:dyDescent="0.25">
      <c r="A3979" t="s">
        <v>6536</v>
      </c>
      <c r="D3979" t="s">
        <v>12056</v>
      </c>
    </row>
    <row r="3980" spans="1:4" x14ac:dyDescent="0.25">
      <c r="A3980" t="s">
        <v>6537</v>
      </c>
      <c r="D3980" t="s">
        <v>12057</v>
      </c>
    </row>
    <row r="3981" spans="1:4" x14ac:dyDescent="0.25">
      <c r="A3981" t="s">
        <v>6538</v>
      </c>
      <c r="D3981" t="s">
        <v>12058</v>
      </c>
    </row>
    <row r="3982" spans="1:4" x14ac:dyDescent="0.25">
      <c r="A3982" t="s">
        <v>6539</v>
      </c>
      <c r="D3982" t="s">
        <v>12059</v>
      </c>
    </row>
    <row r="3983" spans="1:4" x14ac:dyDescent="0.25">
      <c r="A3983" t="s">
        <v>6540</v>
      </c>
      <c r="D3983" t="s">
        <v>12060</v>
      </c>
    </row>
    <row r="3984" spans="1:4" x14ac:dyDescent="0.25">
      <c r="A3984" t="s">
        <v>6541</v>
      </c>
      <c r="D3984" t="s">
        <v>12061</v>
      </c>
    </row>
    <row r="3985" spans="1:4" x14ac:dyDescent="0.25">
      <c r="A3985" t="s">
        <v>6542</v>
      </c>
      <c r="D3985" t="s">
        <v>12062</v>
      </c>
    </row>
    <row r="3986" spans="1:4" x14ac:dyDescent="0.25">
      <c r="A3986" t="s">
        <v>6543</v>
      </c>
      <c r="D3986" t="s">
        <v>12063</v>
      </c>
    </row>
    <row r="3987" spans="1:4" x14ac:dyDescent="0.25">
      <c r="A3987" t="s">
        <v>6544</v>
      </c>
      <c r="D3987" t="s">
        <v>12064</v>
      </c>
    </row>
    <row r="3988" spans="1:4" x14ac:dyDescent="0.25">
      <c r="A3988" t="s">
        <v>6545</v>
      </c>
      <c r="D3988" t="s">
        <v>12065</v>
      </c>
    </row>
    <row r="3989" spans="1:4" x14ac:dyDescent="0.25">
      <c r="A3989" t="s">
        <v>6546</v>
      </c>
      <c r="D3989" t="s">
        <v>12066</v>
      </c>
    </row>
    <row r="3990" spans="1:4" x14ac:dyDescent="0.25">
      <c r="A3990" t="s">
        <v>6547</v>
      </c>
      <c r="D3990" t="s">
        <v>12067</v>
      </c>
    </row>
    <row r="3991" spans="1:4" x14ac:dyDescent="0.25">
      <c r="A3991" t="s">
        <v>6548</v>
      </c>
      <c r="D3991" t="s">
        <v>12068</v>
      </c>
    </row>
    <row r="3992" spans="1:4" x14ac:dyDescent="0.25">
      <c r="A3992" t="s">
        <v>6549</v>
      </c>
      <c r="D3992" t="s">
        <v>12069</v>
      </c>
    </row>
    <row r="3993" spans="1:4" x14ac:dyDescent="0.25">
      <c r="A3993" t="s">
        <v>6550</v>
      </c>
      <c r="D3993" t="s">
        <v>12070</v>
      </c>
    </row>
    <row r="3994" spans="1:4" x14ac:dyDescent="0.25">
      <c r="A3994" t="s">
        <v>6551</v>
      </c>
      <c r="D3994" t="s">
        <v>12071</v>
      </c>
    </row>
    <row r="3995" spans="1:4" x14ac:dyDescent="0.25">
      <c r="A3995" t="s">
        <v>6552</v>
      </c>
      <c r="D3995" t="s">
        <v>12072</v>
      </c>
    </row>
    <row r="3996" spans="1:4" x14ac:dyDescent="0.25">
      <c r="A3996" t="s">
        <v>6553</v>
      </c>
      <c r="D3996" t="s">
        <v>12073</v>
      </c>
    </row>
    <row r="3997" spans="1:4" x14ac:dyDescent="0.25">
      <c r="A3997" t="s">
        <v>6554</v>
      </c>
      <c r="D3997" t="s">
        <v>12074</v>
      </c>
    </row>
    <row r="3998" spans="1:4" x14ac:dyDescent="0.25">
      <c r="A3998" t="s">
        <v>6555</v>
      </c>
      <c r="D3998" t="s">
        <v>12075</v>
      </c>
    </row>
    <row r="3999" spans="1:4" x14ac:dyDescent="0.25">
      <c r="A3999" t="s">
        <v>6556</v>
      </c>
      <c r="D3999" t="s">
        <v>12076</v>
      </c>
    </row>
    <row r="4000" spans="1:4" x14ac:dyDescent="0.25">
      <c r="A4000" t="s">
        <v>6557</v>
      </c>
      <c r="D4000" t="s">
        <v>12077</v>
      </c>
    </row>
    <row r="4001" spans="1:4" x14ac:dyDescent="0.25">
      <c r="A4001" t="s">
        <v>6558</v>
      </c>
      <c r="D4001" t="s">
        <v>12078</v>
      </c>
    </row>
    <row r="4002" spans="1:4" x14ac:dyDescent="0.25">
      <c r="A4002" t="s">
        <v>6559</v>
      </c>
      <c r="D4002" t="s">
        <v>12079</v>
      </c>
    </row>
    <row r="4003" spans="1:4" x14ac:dyDescent="0.25">
      <c r="A4003" t="s">
        <v>6560</v>
      </c>
      <c r="D4003" t="s">
        <v>12080</v>
      </c>
    </row>
    <row r="4004" spans="1:4" x14ac:dyDescent="0.25">
      <c r="A4004" t="s">
        <v>6561</v>
      </c>
      <c r="D4004" t="s">
        <v>12081</v>
      </c>
    </row>
    <row r="4005" spans="1:4" x14ac:dyDescent="0.25">
      <c r="A4005" t="s">
        <v>6562</v>
      </c>
      <c r="D4005" t="s">
        <v>12082</v>
      </c>
    </row>
    <row r="4006" spans="1:4" x14ac:dyDescent="0.25">
      <c r="A4006" t="s">
        <v>6563</v>
      </c>
      <c r="D4006" t="s">
        <v>12083</v>
      </c>
    </row>
    <row r="4007" spans="1:4" x14ac:dyDescent="0.25">
      <c r="A4007" t="s">
        <v>6564</v>
      </c>
      <c r="D4007" t="s">
        <v>12084</v>
      </c>
    </row>
    <row r="4008" spans="1:4" x14ac:dyDescent="0.25">
      <c r="A4008" t="s">
        <v>6565</v>
      </c>
      <c r="D4008" t="s">
        <v>12085</v>
      </c>
    </row>
    <row r="4009" spans="1:4" x14ac:dyDescent="0.25">
      <c r="A4009" t="s">
        <v>6566</v>
      </c>
      <c r="D4009" t="s">
        <v>12086</v>
      </c>
    </row>
    <row r="4010" spans="1:4" x14ac:dyDescent="0.25">
      <c r="A4010" t="s">
        <v>6567</v>
      </c>
      <c r="D4010" t="s">
        <v>12087</v>
      </c>
    </row>
    <row r="4011" spans="1:4" x14ac:dyDescent="0.25">
      <c r="A4011" t="s">
        <v>6568</v>
      </c>
      <c r="D4011" t="s">
        <v>12088</v>
      </c>
    </row>
    <row r="4012" spans="1:4" x14ac:dyDescent="0.25">
      <c r="A4012" t="s">
        <v>6569</v>
      </c>
      <c r="D4012" t="s">
        <v>12089</v>
      </c>
    </row>
    <row r="4013" spans="1:4" x14ac:dyDescent="0.25">
      <c r="A4013" t="s">
        <v>6570</v>
      </c>
      <c r="D4013" t="s">
        <v>12090</v>
      </c>
    </row>
    <row r="4014" spans="1:4" x14ac:dyDescent="0.25">
      <c r="A4014" t="s">
        <v>6571</v>
      </c>
      <c r="D4014" t="s">
        <v>12091</v>
      </c>
    </row>
    <row r="4015" spans="1:4" x14ac:dyDescent="0.25">
      <c r="A4015" t="s">
        <v>6572</v>
      </c>
      <c r="D4015" t="s">
        <v>12092</v>
      </c>
    </row>
    <row r="4016" spans="1:4" x14ac:dyDescent="0.25">
      <c r="A4016" t="s">
        <v>6573</v>
      </c>
      <c r="D4016" t="s">
        <v>12093</v>
      </c>
    </row>
    <row r="4017" spans="1:4" x14ac:dyDescent="0.25">
      <c r="A4017" t="s">
        <v>6574</v>
      </c>
      <c r="D4017" t="s">
        <v>12094</v>
      </c>
    </row>
    <row r="4018" spans="1:4" x14ac:dyDescent="0.25">
      <c r="A4018" t="s">
        <v>6575</v>
      </c>
      <c r="D4018" t="s">
        <v>12095</v>
      </c>
    </row>
    <row r="4019" spans="1:4" x14ac:dyDescent="0.25">
      <c r="A4019" t="s">
        <v>6576</v>
      </c>
      <c r="D4019" t="s">
        <v>12096</v>
      </c>
    </row>
    <row r="4020" spans="1:4" x14ac:dyDescent="0.25">
      <c r="A4020" t="s">
        <v>6577</v>
      </c>
      <c r="D4020" t="s">
        <v>12097</v>
      </c>
    </row>
    <row r="4021" spans="1:4" x14ac:dyDescent="0.25">
      <c r="A4021" t="s">
        <v>6578</v>
      </c>
      <c r="D4021" t="s">
        <v>12098</v>
      </c>
    </row>
    <row r="4022" spans="1:4" x14ac:dyDescent="0.25">
      <c r="A4022" t="s">
        <v>6579</v>
      </c>
      <c r="D4022" t="s">
        <v>12099</v>
      </c>
    </row>
    <row r="4023" spans="1:4" x14ac:dyDescent="0.25">
      <c r="A4023" t="s">
        <v>6580</v>
      </c>
      <c r="D4023" t="s">
        <v>12100</v>
      </c>
    </row>
    <row r="4024" spans="1:4" x14ac:dyDescent="0.25">
      <c r="A4024" t="s">
        <v>6581</v>
      </c>
      <c r="D4024" t="s">
        <v>12101</v>
      </c>
    </row>
    <row r="4025" spans="1:4" x14ac:dyDescent="0.25">
      <c r="A4025" t="s">
        <v>6582</v>
      </c>
      <c r="D4025" t="s">
        <v>12102</v>
      </c>
    </row>
    <row r="4026" spans="1:4" x14ac:dyDescent="0.25">
      <c r="A4026" t="s">
        <v>6583</v>
      </c>
      <c r="D4026" t="s">
        <v>12103</v>
      </c>
    </row>
    <row r="4027" spans="1:4" x14ac:dyDescent="0.25">
      <c r="A4027" t="s">
        <v>6584</v>
      </c>
      <c r="D4027" t="s">
        <v>12104</v>
      </c>
    </row>
    <row r="4028" spans="1:4" x14ac:dyDescent="0.25">
      <c r="A4028" t="s">
        <v>6585</v>
      </c>
      <c r="D4028" t="s">
        <v>12105</v>
      </c>
    </row>
    <row r="4029" spans="1:4" x14ac:dyDescent="0.25">
      <c r="A4029" t="s">
        <v>6586</v>
      </c>
      <c r="D4029" t="s">
        <v>12106</v>
      </c>
    </row>
    <row r="4030" spans="1:4" x14ac:dyDescent="0.25">
      <c r="A4030" t="s">
        <v>6587</v>
      </c>
      <c r="D4030" t="s">
        <v>12107</v>
      </c>
    </row>
    <row r="4031" spans="1:4" x14ac:dyDescent="0.25">
      <c r="A4031" t="s">
        <v>6588</v>
      </c>
      <c r="D4031" t="s">
        <v>12108</v>
      </c>
    </row>
    <row r="4032" spans="1:4" x14ac:dyDescent="0.25">
      <c r="A4032" t="s">
        <v>6589</v>
      </c>
      <c r="D4032" t="s">
        <v>12109</v>
      </c>
    </row>
    <row r="4033" spans="1:4" x14ac:dyDescent="0.25">
      <c r="A4033" t="s">
        <v>6590</v>
      </c>
      <c r="D4033" t="s">
        <v>12110</v>
      </c>
    </row>
    <row r="4034" spans="1:4" x14ac:dyDescent="0.25">
      <c r="A4034" t="s">
        <v>6591</v>
      </c>
      <c r="D4034" t="s">
        <v>12111</v>
      </c>
    </row>
    <row r="4035" spans="1:4" x14ac:dyDescent="0.25">
      <c r="A4035" t="s">
        <v>6592</v>
      </c>
      <c r="D4035" t="s">
        <v>12112</v>
      </c>
    </row>
    <row r="4036" spans="1:4" x14ac:dyDescent="0.25">
      <c r="A4036" t="s">
        <v>6593</v>
      </c>
      <c r="D4036" t="s">
        <v>12113</v>
      </c>
    </row>
    <row r="4037" spans="1:4" x14ac:dyDescent="0.25">
      <c r="A4037" t="s">
        <v>6594</v>
      </c>
      <c r="D4037" t="s">
        <v>12114</v>
      </c>
    </row>
    <row r="4038" spans="1:4" x14ac:dyDescent="0.25">
      <c r="A4038" t="s">
        <v>6595</v>
      </c>
      <c r="D4038" t="s">
        <v>12115</v>
      </c>
    </row>
    <row r="4039" spans="1:4" x14ac:dyDescent="0.25">
      <c r="A4039" t="s">
        <v>6596</v>
      </c>
      <c r="D4039" t="s">
        <v>12116</v>
      </c>
    </row>
    <row r="4040" spans="1:4" x14ac:dyDescent="0.25">
      <c r="A4040" t="s">
        <v>6597</v>
      </c>
      <c r="D4040" t="s">
        <v>12117</v>
      </c>
    </row>
    <row r="4041" spans="1:4" x14ac:dyDescent="0.25">
      <c r="A4041" t="s">
        <v>6598</v>
      </c>
      <c r="D4041" t="s">
        <v>12118</v>
      </c>
    </row>
    <row r="4042" spans="1:4" x14ac:dyDescent="0.25">
      <c r="A4042" t="s">
        <v>6599</v>
      </c>
      <c r="D4042" t="s">
        <v>12119</v>
      </c>
    </row>
    <row r="4043" spans="1:4" x14ac:dyDescent="0.25">
      <c r="A4043" t="s">
        <v>6600</v>
      </c>
      <c r="D4043" t="s">
        <v>12120</v>
      </c>
    </row>
    <row r="4044" spans="1:4" x14ac:dyDescent="0.25">
      <c r="A4044" t="s">
        <v>6601</v>
      </c>
      <c r="D4044" t="s">
        <v>12121</v>
      </c>
    </row>
    <row r="4045" spans="1:4" x14ac:dyDescent="0.25">
      <c r="A4045" t="s">
        <v>6602</v>
      </c>
      <c r="D4045" t="s">
        <v>12122</v>
      </c>
    </row>
    <row r="4046" spans="1:4" x14ac:dyDescent="0.25">
      <c r="A4046" t="s">
        <v>6603</v>
      </c>
      <c r="D4046" t="s">
        <v>12123</v>
      </c>
    </row>
    <row r="4047" spans="1:4" x14ac:dyDescent="0.25">
      <c r="A4047" t="s">
        <v>6604</v>
      </c>
      <c r="D4047" t="s">
        <v>12124</v>
      </c>
    </row>
    <row r="4048" spans="1:4" x14ac:dyDescent="0.25">
      <c r="A4048" t="s">
        <v>6605</v>
      </c>
      <c r="D4048" t="s">
        <v>12125</v>
      </c>
    </row>
    <row r="4049" spans="1:4" x14ac:dyDescent="0.25">
      <c r="A4049" t="s">
        <v>6606</v>
      </c>
      <c r="D4049" t="s">
        <v>12126</v>
      </c>
    </row>
    <row r="4050" spans="1:4" x14ac:dyDescent="0.25">
      <c r="A4050" t="s">
        <v>6607</v>
      </c>
      <c r="D4050" t="s">
        <v>12127</v>
      </c>
    </row>
    <row r="4051" spans="1:4" x14ac:dyDescent="0.25">
      <c r="A4051" t="s">
        <v>6608</v>
      </c>
      <c r="D4051" t="s">
        <v>12128</v>
      </c>
    </row>
    <row r="4052" spans="1:4" x14ac:dyDescent="0.25">
      <c r="A4052" t="s">
        <v>6609</v>
      </c>
      <c r="D4052" t="s">
        <v>12129</v>
      </c>
    </row>
    <row r="4053" spans="1:4" x14ac:dyDescent="0.25">
      <c r="A4053" t="s">
        <v>6610</v>
      </c>
      <c r="D4053" t="s">
        <v>12130</v>
      </c>
    </row>
    <row r="4054" spans="1:4" x14ac:dyDescent="0.25">
      <c r="A4054" t="s">
        <v>6611</v>
      </c>
      <c r="D4054" t="s">
        <v>12131</v>
      </c>
    </row>
    <row r="4055" spans="1:4" x14ac:dyDescent="0.25">
      <c r="A4055" t="s">
        <v>6612</v>
      </c>
      <c r="D4055" t="s">
        <v>12132</v>
      </c>
    </row>
    <row r="4056" spans="1:4" x14ac:dyDescent="0.25">
      <c r="A4056" t="s">
        <v>6613</v>
      </c>
      <c r="D4056" t="s">
        <v>12133</v>
      </c>
    </row>
    <row r="4057" spans="1:4" x14ac:dyDescent="0.25">
      <c r="A4057" t="s">
        <v>6614</v>
      </c>
      <c r="D4057" t="s">
        <v>12134</v>
      </c>
    </row>
    <row r="4058" spans="1:4" x14ac:dyDescent="0.25">
      <c r="A4058" t="s">
        <v>6615</v>
      </c>
      <c r="D4058" t="s">
        <v>12135</v>
      </c>
    </row>
    <row r="4059" spans="1:4" x14ac:dyDescent="0.25">
      <c r="A4059" t="s">
        <v>6616</v>
      </c>
      <c r="D4059" t="s">
        <v>12136</v>
      </c>
    </row>
    <row r="4060" spans="1:4" x14ac:dyDescent="0.25">
      <c r="A4060" t="s">
        <v>6617</v>
      </c>
      <c r="D4060" t="s">
        <v>12137</v>
      </c>
    </row>
    <row r="4061" spans="1:4" x14ac:dyDescent="0.25">
      <c r="A4061" t="s">
        <v>6618</v>
      </c>
      <c r="D4061" t="s">
        <v>12138</v>
      </c>
    </row>
    <row r="4062" spans="1:4" x14ac:dyDescent="0.25">
      <c r="A4062" t="s">
        <v>6619</v>
      </c>
      <c r="D4062" t="s">
        <v>12139</v>
      </c>
    </row>
    <row r="4063" spans="1:4" x14ac:dyDescent="0.25">
      <c r="A4063" t="s">
        <v>6620</v>
      </c>
      <c r="D4063" t="s">
        <v>12140</v>
      </c>
    </row>
    <row r="4064" spans="1:4" x14ac:dyDescent="0.25">
      <c r="A4064" t="s">
        <v>6621</v>
      </c>
      <c r="D4064" t="s">
        <v>12141</v>
      </c>
    </row>
    <row r="4065" spans="1:4" x14ac:dyDescent="0.25">
      <c r="A4065" t="s">
        <v>6622</v>
      </c>
      <c r="D4065" t="s">
        <v>12142</v>
      </c>
    </row>
    <row r="4066" spans="1:4" x14ac:dyDescent="0.25">
      <c r="A4066" t="s">
        <v>6623</v>
      </c>
      <c r="D4066" t="s">
        <v>12143</v>
      </c>
    </row>
    <row r="4067" spans="1:4" x14ac:dyDescent="0.25">
      <c r="A4067" t="s">
        <v>6624</v>
      </c>
      <c r="D4067" t="s">
        <v>12144</v>
      </c>
    </row>
    <row r="4068" spans="1:4" x14ac:dyDescent="0.25">
      <c r="A4068" t="s">
        <v>6625</v>
      </c>
      <c r="D4068" t="s">
        <v>12145</v>
      </c>
    </row>
    <row r="4069" spans="1:4" x14ac:dyDescent="0.25">
      <c r="A4069" t="s">
        <v>6626</v>
      </c>
      <c r="D4069" t="s">
        <v>12146</v>
      </c>
    </row>
    <row r="4070" spans="1:4" x14ac:dyDescent="0.25">
      <c r="A4070" t="s">
        <v>6627</v>
      </c>
      <c r="D4070" t="s">
        <v>12147</v>
      </c>
    </row>
    <row r="4071" spans="1:4" x14ac:dyDescent="0.25">
      <c r="A4071" t="s">
        <v>6628</v>
      </c>
      <c r="D4071" t="s">
        <v>12148</v>
      </c>
    </row>
    <row r="4072" spans="1:4" x14ac:dyDescent="0.25">
      <c r="A4072" t="s">
        <v>6629</v>
      </c>
      <c r="D4072" t="s">
        <v>12149</v>
      </c>
    </row>
    <row r="4073" spans="1:4" x14ac:dyDescent="0.25">
      <c r="A4073" t="s">
        <v>6630</v>
      </c>
      <c r="D4073" t="s">
        <v>12150</v>
      </c>
    </row>
    <row r="4074" spans="1:4" x14ac:dyDescent="0.25">
      <c r="A4074" t="s">
        <v>6631</v>
      </c>
      <c r="D4074" t="s">
        <v>12151</v>
      </c>
    </row>
    <row r="4075" spans="1:4" x14ac:dyDescent="0.25">
      <c r="A4075" t="s">
        <v>6632</v>
      </c>
      <c r="D4075" t="s">
        <v>12152</v>
      </c>
    </row>
    <row r="4076" spans="1:4" x14ac:dyDescent="0.25">
      <c r="A4076" t="s">
        <v>6633</v>
      </c>
      <c r="D4076" t="s">
        <v>12153</v>
      </c>
    </row>
    <row r="4077" spans="1:4" x14ac:dyDescent="0.25">
      <c r="A4077" t="s">
        <v>6634</v>
      </c>
      <c r="D4077" t="s">
        <v>12154</v>
      </c>
    </row>
    <row r="4078" spans="1:4" x14ac:dyDescent="0.25">
      <c r="A4078" t="s">
        <v>6635</v>
      </c>
      <c r="D4078" t="s">
        <v>12155</v>
      </c>
    </row>
    <row r="4079" spans="1:4" x14ac:dyDescent="0.25">
      <c r="A4079" t="s">
        <v>6636</v>
      </c>
      <c r="D4079" t="s">
        <v>12156</v>
      </c>
    </row>
    <row r="4080" spans="1:4" x14ac:dyDescent="0.25">
      <c r="A4080" t="s">
        <v>6637</v>
      </c>
      <c r="D4080" t="s">
        <v>12157</v>
      </c>
    </row>
    <row r="4081" spans="1:4" x14ac:dyDescent="0.25">
      <c r="A4081" t="s">
        <v>6638</v>
      </c>
      <c r="D4081" t="s">
        <v>12158</v>
      </c>
    </row>
    <row r="4082" spans="1:4" x14ac:dyDescent="0.25">
      <c r="A4082" t="s">
        <v>6639</v>
      </c>
      <c r="D4082" t="s">
        <v>12159</v>
      </c>
    </row>
    <row r="4083" spans="1:4" x14ac:dyDescent="0.25">
      <c r="A4083" t="s">
        <v>6640</v>
      </c>
      <c r="D4083" t="s">
        <v>12160</v>
      </c>
    </row>
    <row r="4084" spans="1:4" x14ac:dyDescent="0.25">
      <c r="A4084" t="s">
        <v>6641</v>
      </c>
      <c r="D4084" t="s">
        <v>12161</v>
      </c>
    </row>
    <row r="4085" spans="1:4" x14ac:dyDescent="0.25">
      <c r="A4085" t="s">
        <v>6642</v>
      </c>
      <c r="D4085" t="s">
        <v>12162</v>
      </c>
    </row>
    <row r="4086" spans="1:4" x14ac:dyDescent="0.25">
      <c r="A4086" t="s">
        <v>6643</v>
      </c>
      <c r="D4086" t="s">
        <v>12163</v>
      </c>
    </row>
    <row r="4087" spans="1:4" x14ac:dyDescent="0.25">
      <c r="A4087" t="s">
        <v>6644</v>
      </c>
      <c r="D4087" t="s">
        <v>12164</v>
      </c>
    </row>
    <row r="4088" spans="1:4" x14ac:dyDescent="0.25">
      <c r="A4088" t="s">
        <v>6645</v>
      </c>
      <c r="D4088" t="s">
        <v>12165</v>
      </c>
    </row>
    <row r="4089" spans="1:4" x14ac:dyDescent="0.25">
      <c r="A4089" t="s">
        <v>6646</v>
      </c>
      <c r="D4089" t="s">
        <v>12166</v>
      </c>
    </row>
    <row r="4090" spans="1:4" x14ac:dyDescent="0.25">
      <c r="A4090" t="s">
        <v>6647</v>
      </c>
      <c r="D4090" t="s">
        <v>12167</v>
      </c>
    </row>
    <row r="4091" spans="1:4" x14ac:dyDescent="0.25">
      <c r="A4091" t="s">
        <v>6648</v>
      </c>
      <c r="D4091" t="s">
        <v>12168</v>
      </c>
    </row>
    <row r="4092" spans="1:4" x14ac:dyDescent="0.25">
      <c r="A4092" t="s">
        <v>6649</v>
      </c>
      <c r="D4092" t="s">
        <v>12169</v>
      </c>
    </row>
    <row r="4093" spans="1:4" x14ac:dyDescent="0.25">
      <c r="A4093" t="s">
        <v>6650</v>
      </c>
      <c r="D4093" t="s">
        <v>12170</v>
      </c>
    </row>
    <row r="4094" spans="1:4" x14ac:dyDescent="0.25">
      <c r="A4094" t="s">
        <v>6651</v>
      </c>
      <c r="D4094" t="s">
        <v>12171</v>
      </c>
    </row>
    <row r="4095" spans="1:4" x14ac:dyDescent="0.25">
      <c r="A4095" t="s">
        <v>6652</v>
      </c>
      <c r="D4095" t="s">
        <v>12172</v>
      </c>
    </row>
    <row r="4096" spans="1:4" x14ac:dyDescent="0.25">
      <c r="A4096" t="s">
        <v>6653</v>
      </c>
      <c r="D4096" t="s">
        <v>12173</v>
      </c>
    </row>
    <row r="4097" spans="1:4" x14ac:dyDescent="0.25">
      <c r="A4097" t="s">
        <v>6654</v>
      </c>
      <c r="D4097" t="s">
        <v>12174</v>
      </c>
    </row>
    <row r="4098" spans="1:4" x14ac:dyDescent="0.25">
      <c r="A4098" t="s">
        <v>6655</v>
      </c>
      <c r="D4098" t="s">
        <v>12175</v>
      </c>
    </row>
    <row r="4099" spans="1:4" x14ac:dyDescent="0.25">
      <c r="A4099" t="s">
        <v>6656</v>
      </c>
      <c r="D4099" t="s">
        <v>12176</v>
      </c>
    </row>
    <row r="4100" spans="1:4" x14ac:dyDescent="0.25">
      <c r="A4100" t="s">
        <v>6657</v>
      </c>
      <c r="D4100" t="s">
        <v>12177</v>
      </c>
    </row>
    <row r="4101" spans="1:4" x14ac:dyDescent="0.25">
      <c r="A4101" t="s">
        <v>6658</v>
      </c>
      <c r="D4101" t="s">
        <v>12178</v>
      </c>
    </row>
    <row r="4102" spans="1:4" x14ac:dyDescent="0.25">
      <c r="A4102" t="s">
        <v>6659</v>
      </c>
      <c r="D4102" t="s">
        <v>12179</v>
      </c>
    </row>
    <row r="4103" spans="1:4" x14ac:dyDescent="0.25">
      <c r="A4103" t="s">
        <v>6660</v>
      </c>
      <c r="D4103" t="s">
        <v>12180</v>
      </c>
    </row>
    <row r="4104" spans="1:4" x14ac:dyDescent="0.25">
      <c r="A4104" t="s">
        <v>6661</v>
      </c>
      <c r="D4104" t="s">
        <v>12181</v>
      </c>
    </row>
    <row r="4105" spans="1:4" x14ac:dyDescent="0.25">
      <c r="A4105" t="s">
        <v>6662</v>
      </c>
      <c r="D4105" t="s">
        <v>12182</v>
      </c>
    </row>
    <row r="4106" spans="1:4" x14ac:dyDescent="0.25">
      <c r="A4106" t="s">
        <v>6663</v>
      </c>
      <c r="D4106" t="s">
        <v>12183</v>
      </c>
    </row>
    <row r="4107" spans="1:4" x14ac:dyDescent="0.25">
      <c r="A4107" t="s">
        <v>6664</v>
      </c>
      <c r="D4107" t="s">
        <v>12184</v>
      </c>
    </row>
    <row r="4108" spans="1:4" x14ac:dyDescent="0.25">
      <c r="A4108" t="s">
        <v>6665</v>
      </c>
      <c r="D4108" t="s">
        <v>12185</v>
      </c>
    </row>
    <row r="4109" spans="1:4" x14ac:dyDescent="0.25">
      <c r="A4109" t="s">
        <v>6666</v>
      </c>
      <c r="D4109" t="s">
        <v>12186</v>
      </c>
    </row>
    <row r="4110" spans="1:4" x14ac:dyDescent="0.25">
      <c r="A4110" t="s">
        <v>6667</v>
      </c>
      <c r="D4110" t="s">
        <v>12187</v>
      </c>
    </row>
    <row r="4111" spans="1:4" x14ac:dyDescent="0.25">
      <c r="A4111" t="s">
        <v>6668</v>
      </c>
      <c r="D4111" t="s">
        <v>12188</v>
      </c>
    </row>
    <row r="4112" spans="1:4" x14ac:dyDescent="0.25">
      <c r="A4112" t="s">
        <v>6669</v>
      </c>
      <c r="D4112" t="s">
        <v>12189</v>
      </c>
    </row>
    <row r="4113" spans="1:4" x14ac:dyDescent="0.25">
      <c r="A4113" t="s">
        <v>6670</v>
      </c>
      <c r="D4113" t="s">
        <v>12190</v>
      </c>
    </row>
    <row r="4114" spans="1:4" x14ac:dyDescent="0.25">
      <c r="A4114" t="s">
        <v>6671</v>
      </c>
      <c r="D4114" t="s">
        <v>12191</v>
      </c>
    </row>
    <row r="4115" spans="1:4" x14ac:dyDescent="0.25">
      <c r="A4115" t="s">
        <v>6672</v>
      </c>
      <c r="D4115" t="s">
        <v>12192</v>
      </c>
    </row>
    <row r="4116" spans="1:4" x14ac:dyDescent="0.25">
      <c r="A4116" t="s">
        <v>6673</v>
      </c>
      <c r="D4116" t="s">
        <v>12193</v>
      </c>
    </row>
    <row r="4117" spans="1:4" x14ac:dyDescent="0.25">
      <c r="A4117" t="s">
        <v>6674</v>
      </c>
      <c r="D4117" t="s">
        <v>12194</v>
      </c>
    </row>
    <row r="4118" spans="1:4" x14ac:dyDescent="0.25">
      <c r="A4118" t="s">
        <v>6675</v>
      </c>
      <c r="D4118" t="s">
        <v>12195</v>
      </c>
    </row>
    <row r="4119" spans="1:4" x14ac:dyDescent="0.25">
      <c r="A4119" t="s">
        <v>6676</v>
      </c>
      <c r="D4119" t="s">
        <v>12196</v>
      </c>
    </row>
    <row r="4120" spans="1:4" x14ac:dyDescent="0.25">
      <c r="A4120" t="s">
        <v>6677</v>
      </c>
      <c r="D4120" t="s">
        <v>12197</v>
      </c>
    </row>
    <row r="4121" spans="1:4" x14ac:dyDescent="0.25">
      <c r="A4121" t="s">
        <v>6678</v>
      </c>
      <c r="D4121" t="s">
        <v>12198</v>
      </c>
    </row>
    <row r="4122" spans="1:4" x14ac:dyDescent="0.25">
      <c r="A4122" t="s">
        <v>6679</v>
      </c>
      <c r="D4122" t="s">
        <v>12199</v>
      </c>
    </row>
    <row r="4123" spans="1:4" x14ac:dyDescent="0.25">
      <c r="A4123" t="s">
        <v>6680</v>
      </c>
      <c r="D4123" t="s">
        <v>12200</v>
      </c>
    </row>
    <row r="4124" spans="1:4" x14ac:dyDescent="0.25">
      <c r="A4124" t="s">
        <v>6681</v>
      </c>
      <c r="D4124" t="s">
        <v>12201</v>
      </c>
    </row>
    <row r="4125" spans="1:4" x14ac:dyDescent="0.25">
      <c r="A4125" t="s">
        <v>6682</v>
      </c>
      <c r="D4125" t="s">
        <v>12202</v>
      </c>
    </row>
    <row r="4126" spans="1:4" x14ac:dyDescent="0.25">
      <c r="A4126" t="s">
        <v>6683</v>
      </c>
      <c r="D4126" t="s">
        <v>12203</v>
      </c>
    </row>
    <row r="4127" spans="1:4" x14ac:dyDescent="0.25">
      <c r="A4127" t="s">
        <v>6684</v>
      </c>
      <c r="D4127" t="s">
        <v>12204</v>
      </c>
    </row>
    <row r="4128" spans="1:4" x14ac:dyDescent="0.25">
      <c r="A4128" t="s">
        <v>6685</v>
      </c>
      <c r="D4128" t="s">
        <v>12205</v>
      </c>
    </row>
    <row r="4129" spans="1:4" x14ac:dyDescent="0.25">
      <c r="A4129" t="s">
        <v>6686</v>
      </c>
      <c r="D4129" t="s">
        <v>12206</v>
      </c>
    </row>
    <row r="4130" spans="1:4" x14ac:dyDescent="0.25">
      <c r="A4130" t="s">
        <v>6687</v>
      </c>
      <c r="D4130" t="s">
        <v>12207</v>
      </c>
    </row>
    <row r="4131" spans="1:4" x14ac:dyDescent="0.25">
      <c r="A4131" t="s">
        <v>6688</v>
      </c>
      <c r="D4131" t="s">
        <v>12208</v>
      </c>
    </row>
    <row r="4132" spans="1:4" x14ac:dyDescent="0.25">
      <c r="A4132" t="s">
        <v>6689</v>
      </c>
      <c r="D4132" t="s">
        <v>12209</v>
      </c>
    </row>
    <row r="4133" spans="1:4" x14ac:dyDescent="0.25">
      <c r="A4133" t="s">
        <v>6690</v>
      </c>
      <c r="D4133" t="s">
        <v>12210</v>
      </c>
    </row>
    <row r="4134" spans="1:4" x14ac:dyDescent="0.25">
      <c r="A4134" t="s">
        <v>6691</v>
      </c>
      <c r="D4134" t="s">
        <v>12211</v>
      </c>
    </row>
    <row r="4135" spans="1:4" x14ac:dyDescent="0.25">
      <c r="A4135" t="s">
        <v>6692</v>
      </c>
      <c r="D4135" t="s">
        <v>12212</v>
      </c>
    </row>
    <row r="4136" spans="1:4" x14ac:dyDescent="0.25">
      <c r="A4136" t="s">
        <v>6693</v>
      </c>
      <c r="D4136" t="s">
        <v>12213</v>
      </c>
    </row>
    <row r="4137" spans="1:4" x14ac:dyDescent="0.25">
      <c r="A4137" t="s">
        <v>6694</v>
      </c>
      <c r="D4137" t="s">
        <v>12214</v>
      </c>
    </row>
    <row r="4138" spans="1:4" x14ac:dyDescent="0.25">
      <c r="A4138" t="s">
        <v>6695</v>
      </c>
      <c r="D4138" t="s">
        <v>12215</v>
      </c>
    </row>
    <row r="4139" spans="1:4" x14ac:dyDescent="0.25">
      <c r="A4139" t="s">
        <v>6696</v>
      </c>
      <c r="D4139" t="s">
        <v>12216</v>
      </c>
    </row>
    <row r="4140" spans="1:4" x14ac:dyDescent="0.25">
      <c r="A4140" t="s">
        <v>6697</v>
      </c>
      <c r="D4140" t="s">
        <v>12217</v>
      </c>
    </row>
    <row r="4141" spans="1:4" x14ac:dyDescent="0.25">
      <c r="A4141" t="s">
        <v>6698</v>
      </c>
      <c r="D4141" t="s">
        <v>12218</v>
      </c>
    </row>
    <row r="4142" spans="1:4" x14ac:dyDescent="0.25">
      <c r="A4142" t="s">
        <v>6699</v>
      </c>
      <c r="D4142" t="s">
        <v>12219</v>
      </c>
    </row>
    <row r="4143" spans="1:4" x14ac:dyDescent="0.25">
      <c r="A4143" t="s">
        <v>6700</v>
      </c>
      <c r="D4143" t="s">
        <v>12220</v>
      </c>
    </row>
    <row r="4144" spans="1:4" x14ac:dyDescent="0.25">
      <c r="A4144" t="s">
        <v>6701</v>
      </c>
      <c r="D4144" t="s">
        <v>12221</v>
      </c>
    </row>
    <row r="4145" spans="1:4" x14ac:dyDescent="0.25">
      <c r="A4145" t="s">
        <v>6702</v>
      </c>
      <c r="D4145" t="s">
        <v>12222</v>
      </c>
    </row>
    <row r="4146" spans="1:4" x14ac:dyDescent="0.25">
      <c r="A4146" t="s">
        <v>6703</v>
      </c>
      <c r="D4146" t="s">
        <v>12223</v>
      </c>
    </row>
    <row r="4147" spans="1:4" x14ac:dyDescent="0.25">
      <c r="A4147" t="s">
        <v>6704</v>
      </c>
      <c r="D4147" t="s">
        <v>12224</v>
      </c>
    </row>
    <row r="4148" spans="1:4" x14ac:dyDescent="0.25">
      <c r="A4148" t="s">
        <v>6705</v>
      </c>
      <c r="D4148" t="s">
        <v>12225</v>
      </c>
    </row>
    <row r="4149" spans="1:4" x14ac:dyDescent="0.25">
      <c r="A4149" t="s">
        <v>6706</v>
      </c>
      <c r="D4149" t="s">
        <v>12226</v>
      </c>
    </row>
    <row r="4150" spans="1:4" x14ac:dyDescent="0.25">
      <c r="A4150" t="s">
        <v>6707</v>
      </c>
      <c r="D4150" t="s">
        <v>12227</v>
      </c>
    </row>
    <row r="4151" spans="1:4" x14ac:dyDescent="0.25">
      <c r="A4151" t="s">
        <v>6708</v>
      </c>
      <c r="D4151" t="s">
        <v>12228</v>
      </c>
    </row>
    <row r="4152" spans="1:4" x14ac:dyDescent="0.25">
      <c r="A4152" t="s">
        <v>6709</v>
      </c>
      <c r="D4152" t="s">
        <v>12229</v>
      </c>
    </row>
    <row r="4153" spans="1:4" x14ac:dyDescent="0.25">
      <c r="A4153" t="s">
        <v>6710</v>
      </c>
      <c r="D4153" t="s">
        <v>12230</v>
      </c>
    </row>
    <row r="4154" spans="1:4" x14ac:dyDescent="0.25">
      <c r="A4154" t="s">
        <v>6711</v>
      </c>
      <c r="D4154" t="s">
        <v>12231</v>
      </c>
    </row>
    <row r="4155" spans="1:4" x14ac:dyDescent="0.25">
      <c r="A4155" t="s">
        <v>6712</v>
      </c>
      <c r="D4155" t="s">
        <v>12232</v>
      </c>
    </row>
    <row r="4156" spans="1:4" x14ac:dyDescent="0.25">
      <c r="A4156" t="s">
        <v>6713</v>
      </c>
      <c r="D4156" t="s">
        <v>12233</v>
      </c>
    </row>
    <row r="4157" spans="1:4" x14ac:dyDescent="0.25">
      <c r="A4157" t="s">
        <v>6714</v>
      </c>
      <c r="D4157" t="s">
        <v>12234</v>
      </c>
    </row>
    <row r="4158" spans="1:4" x14ac:dyDescent="0.25">
      <c r="A4158" t="s">
        <v>6715</v>
      </c>
      <c r="D4158" t="s">
        <v>12235</v>
      </c>
    </row>
    <row r="4159" spans="1:4" x14ac:dyDescent="0.25">
      <c r="A4159" t="s">
        <v>6716</v>
      </c>
      <c r="D4159" t="s">
        <v>12236</v>
      </c>
    </row>
    <row r="4160" spans="1:4" x14ac:dyDescent="0.25">
      <c r="A4160" t="s">
        <v>6717</v>
      </c>
      <c r="D4160" t="s">
        <v>12237</v>
      </c>
    </row>
    <row r="4161" spans="1:4" x14ac:dyDescent="0.25">
      <c r="A4161" t="s">
        <v>6718</v>
      </c>
      <c r="D4161" t="s">
        <v>12238</v>
      </c>
    </row>
    <row r="4162" spans="1:4" x14ac:dyDescent="0.25">
      <c r="A4162" t="s">
        <v>6719</v>
      </c>
      <c r="D4162" t="s">
        <v>12239</v>
      </c>
    </row>
    <row r="4163" spans="1:4" x14ac:dyDescent="0.25">
      <c r="A4163" t="s">
        <v>6720</v>
      </c>
      <c r="D4163" t="s">
        <v>12240</v>
      </c>
    </row>
    <row r="4164" spans="1:4" x14ac:dyDescent="0.25">
      <c r="A4164" t="s">
        <v>6721</v>
      </c>
      <c r="D4164" t="s">
        <v>12241</v>
      </c>
    </row>
    <row r="4165" spans="1:4" x14ac:dyDescent="0.25">
      <c r="A4165" t="s">
        <v>6722</v>
      </c>
      <c r="D4165" t="s">
        <v>12242</v>
      </c>
    </row>
    <row r="4166" spans="1:4" x14ac:dyDescent="0.25">
      <c r="A4166" t="s">
        <v>6723</v>
      </c>
      <c r="D4166" t="s">
        <v>12243</v>
      </c>
    </row>
    <row r="4167" spans="1:4" x14ac:dyDescent="0.25">
      <c r="A4167" t="s">
        <v>6724</v>
      </c>
      <c r="D4167" t="s">
        <v>12244</v>
      </c>
    </row>
    <row r="4168" spans="1:4" x14ac:dyDescent="0.25">
      <c r="A4168" t="s">
        <v>6725</v>
      </c>
      <c r="D4168" t="s">
        <v>12245</v>
      </c>
    </row>
    <row r="4169" spans="1:4" x14ac:dyDescent="0.25">
      <c r="A4169" t="s">
        <v>6726</v>
      </c>
      <c r="D4169" t="s">
        <v>12246</v>
      </c>
    </row>
    <row r="4170" spans="1:4" x14ac:dyDescent="0.25">
      <c r="A4170" t="s">
        <v>6727</v>
      </c>
      <c r="D4170" t="s">
        <v>12247</v>
      </c>
    </row>
    <row r="4171" spans="1:4" x14ac:dyDescent="0.25">
      <c r="A4171" t="s">
        <v>6728</v>
      </c>
      <c r="D4171" t="s">
        <v>12248</v>
      </c>
    </row>
    <row r="4172" spans="1:4" x14ac:dyDescent="0.25">
      <c r="A4172" t="s">
        <v>6729</v>
      </c>
      <c r="D4172" t="s">
        <v>12249</v>
      </c>
    </row>
    <row r="4173" spans="1:4" x14ac:dyDescent="0.25">
      <c r="A4173" t="s">
        <v>6730</v>
      </c>
      <c r="D4173" t="s">
        <v>12250</v>
      </c>
    </row>
    <row r="4174" spans="1:4" x14ac:dyDescent="0.25">
      <c r="A4174" t="s">
        <v>6731</v>
      </c>
      <c r="D4174" t="s">
        <v>12251</v>
      </c>
    </row>
    <row r="4175" spans="1:4" x14ac:dyDescent="0.25">
      <c r="A4175" t="s">
        <v>6732</v>
      </c>
      <c r="D4175" t="s">
        <v>12252</v>
      </c>
    </row>
    <row r="4176" spans="1:4" x14ac:dyDescent="0.25">
      <c r="A4176" t="s">
        <v>6733</v>
      </c>
      <c r="D4176" t="s">
        <v>12253</v>
      </c>
    </row>
    <row r="4177" spans="1:4" x14ac:dyDescent="0.25">
      <c r="A4177" t="s">
        <v>6734</v>
      </c>
      <c r="D4177" t="s">
        <v>12254</v>
      </c>
    </row>
    <row r="4178" spans="1:4" x14ac:dyDescent="0.25">
      <c r="A4178" t="s">
        <v>6735</v>
      </c>
      <c r="D4178" t="s">
        <v>12255</v>
      </c>
    </row>
    <row r="4179" spans="1:4" x14ac:dyDescent="0.25">
      <c r="A4179" t="s">
        <v>6736</v>
      </c>
      <c r="D4179" t="s">
        <v>12256</v>
      </c>
    </row>
    <row r="4180" spans="1:4" x14ac:dyDescent="0.25">
      <c r="A4180" t="s">
        <v>6737</v>
      </c>
      <c r="D4180" t="s">
        <v>12257</v>
      </c>
    </row>
    <row r="4181" spans="1:4" x14ac:dyDescent="0.25">
      <c r="A4181" t="s">
        <v>6738</v>
      </c>
      <c r="D4181" t="s">
        <v>12258</v>
      </c>
    </row>
    <row r="4182" spans="1:4" x14ac:dyDescent="0.25">
      <c r="A4182" t="s">
        <v>6739</v>
      </c>
      <c r="D4182" t="s">
        <v>12259</v>
      </c>
    </row>
    <row r="4183" spans="1:4" x14ac:dyDescent="0.25">
      <c r="A4183" t="s">
        <v>6740</v>
      </c>
      <c r="D4183" t="s">
        <v>12260</v>
      </c>
    </row>
    <row r="4184" spans="1:4" x14ac:dyDescent="0.25">
      <c r="A4184" t="s">
        <v>6741</v>
      </c>
      <c r="D4184" t="s">
        <v>12261</v>
      </c>
    </row>
    <row r="4185" spans="1:4" x14ac:dyDescent="0.25">
      <c r="A4185" t="s">
        <v>6742</v>
      </c>
      <c r="D4185" t="s">
        <v>12262</v>
      </c>
    </row>
    <row r="4186" spans="1:4" x14ac:dyDescent="0.25">
      <c r="A4186" t="s">
        <v>6743</v>
      </c>
      <c r="D4186" t="s">
        <v>12263</v>
      </c>
    </row>
    <row r="4187" spans="1:4" x14ac:dyDescent="0.25">
      <c r="A4187" t="s">
        <v>6744</v>
      </c>
      <c r="D4187" t="s">
        <v>12264</v>
      </c>
    </row>
    <row r="4188" spans="1:4" x14ac:dyDescent="0.25">
      <c r="A4188" t="s">
        <v>6745</v>
      </c>
      <c r="D4188" t="s">
        <v>12265</v>
      </c>
    </row>
    <row r="4189" spans="1:4" x14ac:dyDescent="0.25">
      <c r="A4189" t="s">
        <v>6746</v>
      </c>
      <c r="D4189" t="s">
        <v>12266</v>
      </c>
    </row>
    <row r="4190" spans="1:4" x14ac:dyDescent="0.25">
      <c r="A4190" t="s">
        <v>6747</v>
      </c>
      <c r="D4190" t="s">
        <v>12267</v>
      </c>
    </row>
    <row r="4191" spans="1:4" x14ac:dyDescent="0.25">
      <c r="A4191" t="s">
        <v>6748</v>
      </c>
      <c r="D4191" t="s">
        <v>12268</v>
      </c>
    </row>
    <row r="4192" spans="1:4" x14ac:dyDescent="0.25">
      <c r="A4192" t="s">
        <v>6749</v>
      </c>
      <c r="D4192" t="s">
        <v>12269</v>
      </c>
    </row>
    <row r="4193" spans="1:4" x14ac:dyDescent="0.25">
      <c r="A4193" t="s">
        <v>6750</v>
      </c>
      <c r="D4193" t="s">
        <v>12270</v>
      </c>
    </row>
    <row r="4194" spans="1:4" x14ac:dyDescent="0.25">
      <c r="A4194" t="s">
        <v>6751</v>
      </c>
      <c r="D4194" t="s">
        <v>12271</v>
      </c>
    </row>
    <row r="4195" spans="1:4" x14ac:dyDescent="0.25">
      <c r="A4195" t="s">
        <v>6752</v>
      </c>
      <c r="D4195" t="s">
        <v>12272</v>
      </c>
    </row>
    <row r="4196" spans="1:4" x14ac:dyDescent="0.25">
      <c r="A4196" t="s">
        <v>6753</v>
      </c>
      <c r="D4196" t="s">
        <v>12273</v>
      </c>
    </row>
    <row r="4197" spans="1:4" x14ac:dyDescent="0.25">
      <c r="A4197" t="s">
        <v>6754</v>
      </c>
      <c r="D4197" t="s">
        <v>12274</v>
      </c>
    </row>
    <row r="4198" spans="1:4" x14ac:dyDescent="0.25">
      <c r="A4198" t="s">
        <v>6755</v>
      </c>
      <c r="D4198" t="s">
        <v>12275</v>
      </c>
    </row>
    <row r="4199" spans="1:4" x14ac:dyDescent="0.25">
      <c r="A4199" t="s">
        <v>6756</v>
      </c>
      <c r="D4199" t="s">
        <v>12276</v>
      </c>
    </row>
    <row r="4200" spans="1:4" x14ac:dyDescent="0.25">
      <c r="A4200" t="s">
        <v>6757</v>
      </c>
      <c r="D4200" t="s">
        <v>12277</v>
      </c>
    </row>
    <row r="4201" spans="1:4" x14ac:dyDescent="0.25">
      <c r="A4201" t="s">
        <v>6758</v>
      </c>
      <c r="D4201" t="s">
        <v>12278</v>
      </c>
    </row>
    <row r="4202" spans="1:4" x14ac:dyDescent="0.25">
      <c r="A4202" t="s">
        <v>6759</v>
      </c>
      <c r="D4202" t="s">
        <v>12279</v>
      </c>
    </row>
    <row r="4203" spans="1:4" x14ac:dyDescent="0.25">
      <c r="A4203" t="s">
        <v>6760</v>
      </c>
      <c r="D4203" t="s">
        <v>12280</v>
      </c>
    </row>
    <row r="4204" spans="1:4" x14ac:dyDescent="0.25">
      <c r="A4204" t="s">
        <v>6761</v>
      </c>
      <c r="D4204" t="s">
        <v>12281</v>
      </c>
    </row>
    <row r="4205" spans="1:4" x14ac:dyDescent="0.25">
      <c r="A4205" t="s">
        <v>6762</v>
      </c>
      <c r="D4205" t="s">
        <v>12282</v>
      </c>
    </row>
    <row r="4206" spans="1:4" x14ac:dyDescent="0.25">
      <c r="A4206" t="s">
        <v>6763</v>
      </c>
      <c r="D4206" t="s">
        <v>12283</v>
      </c>
    </row>
    <row r="4207" spans="1:4" x14ac:dyDescent="0.25">
      <c r="A4207" t="s">
        <v>6764</v>
      </c>
      <c r="D4207" t="s">
        <v>12284</v>
      </c>
    </row>
    <row r="4208" spans="1:4" x14ac:dyDescent="0.25">
      <c r="A4208" t="s">
        <v>6765</v>
      </c>
      <c r="D4208" t="s">
        <v>12285</v>
      </c>
    </row>
    <row r="4209" spans="1:4" x14ac:dyDescent="0.25">
      <c r="A4209" t="s">
        <v>6766</v>
      </c>
      <c r="D4209" t="s">
        <v>12286</v>
      </c>
    </row>
    <row r="4210" spans="1:4" x14ac:dyDescent="0.25">
      <c r="A4210" t="s">
        <v>6767</v>
      </c>
      <c r="D4210" t="s">
        <v>12287</v>
      </c>
    </row>
    <row r="4211" spans="1:4" x14ac:dyDescent="0.25">
      <c r="A4211" t="s">
        <v>6768</v>
      </c>
      <c r="D4211" t="s">
        <v>12288</v>
      </c>
    </row>
    <row r="4212" spans="1:4" x14ac:dyDescent="0.25">
      <c r="A4212" t="s">
        <v>6769</v>
      </c>
      <c r="D4212" t="s">
        <v>12289</v>
      </c>
    </row>
    <row r="4213" spans="1:4" x14ac:dyDescent="0.25">
      <c r="A4213" t="s">
        <v>6770</v>
      </c>
      <c r="D4213" t="s">
        <v>12290</v>
      </c>
    </row>
    <row r="4214" spans="1:4" x14ac:dyDescent="0.25">
      <c r="A4214" t="s">
        <v>6771</v>
      </c>
      <c r="D4214" t="s">
        <v>12291</v>
      </c>
    </row>
    <row r="4215" spans="1:4" x14ac:dyDescent="0.25">
      <c r="A4215" t="s">
        <v>6772</v>
      </c>
      <c r="D4215" t="s">
        <v>12292</v>
      </c>
    </row>
    <row r="4216" spans="1:4" x14ac:dyDescent="0.25">
      <c r="A4216" t="s">
        <v>6773</v>
      </c>
      <c r="D4216" t="s">
        <v>12293</v>
      </c>
    </row>
    <row r="4217" spans="1:4" x14ac:dyDescent="0.25">
      <c r="A4217" t="s">
        <v>6774</v>
      </c>
      <c r="D4217" t="s">
        <v>12294</v>
      </c>
    </row>
    <row r="4218" spans="1:4" x14ac:dyDescent="0.25">
      <c r="A4218" t="s">
        <v>6775</v>
      </c>
      <c r="D4218" t="s">
        <v>12295</v>
      </c>
    </row>
    <row r="4219" spans="1:4" x14ac:dyDescent="0.25">
      <c r="A4219" t="s">
        <v>6776</v>
      </c>
      <c r="D4219" t="s">
        <v>12296</v>
      </c>
    </row>
    <row r="4220" spans="1:4" x14ac:dyDescent="0.25">
      <c r="A4220" t="s">
        <v>6777</v>
      </c>
      <c r="D4220" t="s">
        <v>12297</v>
      </c>
    </row>
    <row r="4221" spans="1:4" x14ac:dyDescent="0.25">
      <c r="A4221" t="s">
        <v>6778</v>
      </c>
      <c r="D4221" t="s">
        <v>12298</v>
      </c>
    </row>
    <row r="4222" spans="1:4" x14ac:dyDescent="0.25">
      <c r="A4222" t="s">
        <v>6779</v>
      </c>
      <c r="D4222" t="s">
        <v>12299</v>
      </c>
    </row>
    <row r="4223" spans="1:4" x14ac:dyDescent="0.25">
      <c r="A4223" t="s">
        <v>6780</v>
      </c>
      <c r="D4223" t="s">
        <v>12300</v>
      </c>
    </row>
    <row r="4224" spans="1:4" x14ac:dyDescent="0.25">
      <c r="A4224" t="s">
        <v>6781</v>
      </c>
      <c r="D4224" t="s">
        <v>12301</v>
      </c>
    </row>
    <row r="4225" spans="1:4" x14ac:dyDescent="0.25">
      <c r="A4225" t="s">
        <v>6782</v>
      </c>
      <c r="D4225" t="s">
        <v>12302</v>
      </c>
    </row>
    <row r="4226" spans="1:4" x14ac:dyDescent="0.25">
      <c r="A4226" t="s">
        <v>6783</v>
      </c>
      <c r="D4226" t="s">
        <v>12303</v>
      </c>
    </row>
    <row r="4227" spans="1:4" x14ac:dyDescent="0.25">
      <c r="A4227" t="s">
        <v>6784</v>
      </c>
      <c r="D4227" t="s">
        <v>12304</v>
      </c>
    </row>
    <row r="4228" spans="1:4" x14ac:dyDescent="0.25">
      <c r="A4228" t="s">
        <v>6785</v>
      </c>
      <c r="D4228" t="s">
        <v>12305</v>
      </c>
    </row>
    <row r="4229" spans="1:4" x14ac:dyDescent="0.25">
      <c r="A4229" t="s">
        <v>6786</v>
      </c>
      <c r="D4229" t="s">
        <v>12306</v>
      </c>
    </row>
    <row r="4230" spans="1:4" x14ac:dyDescent="0.25">
      <c r="A4230" t="s">
        <v>6787</v>
      </c>
      <c r="D4230" t="s">
        <v>12307</v>
      </c>
    </row>
    <row r="4231" spans="1:4" x14ac:dyDescent="0.25">
      <c r="A4231" t="s">
        <v>6788</v>
      </c>
      <c r="D4231" t="s">
        <v>12308</v>
      </c>
    </row>
    <row r="4232" spans="1:4" x14ac:dyDescent="0.25">
      <c r="A4232" t="s">
        <v>6789</v>
      </c>
      <c r="D4232" t="s">
        <v>12309</v>
      </c>
    </row>
    <row r="4233" spans="1:4" x14ac:dyDescent="0.25">
      <c r="A4233" t="s">
        <v>6790</v>
      </c>
      <c r="D4233" t="s">
        <v>12310</v>
      </c>
    </row>
    <row r="4234" spans="1:4" x14ac:dyDescent="0.25">
      <c r="A4234" t="s">
        <v>6791</v>
      </c>
      <c r="D4234" t="s">
        <v>12311</v>
      </c>
    </row>
    <row r="4235" spans="1:4" x14ac:dyDescent="0.25">
      <c r="A4235" t="s">
        <v>6792</v>
      </c>
      <c r="D4235" t="s">
        <v>12312</v>
      </c>
    </row>
    <row r="4236" spans="1:4" x14ac:dyDescent="0.25">
      <c r="A4236" t="s">
        <v>6793</v>
      </c>
      <c r="D4236" t="s">
        <v>12313</v>
      </c>
    </row>
    <row r="4237" spans="1:4" x14ac:dyDescent="0.25">
      <c r="A4237" t="s">
        <v>6794</v>
      </c>
      <c r="D4237" t="s">
        <v>12314</v>
      </c>
    </row>
    <row r="4238" spans="1:4" x14ac:dyDescent="0.25">
      <c r="A4238" t="s">
        <v>6795</v>
      </c>
      <c r="D4238" t="s">
        <v>12315</v>
      </c>
    </row>
    <row r="4239" spans="1:4" x14ac:dyDescent="0.25">
      <c r="A4239" t="s">
        <v>6796</v>
      </c>
      <c r="D4239" t="s">
        <v>12316</v>
      </c>
    </row>
    <row r="4240" spans="1:4" x14ac:dyDescent="0.25">
      <c r="A4240" t="s">
        <v>6797</v>
      </c>
      <c r="D4240" t="s">
        <v>12317</v>
      </c>
    </row>
    <row r="4241" spans="1:4" x14ac:dyDescent="0.25">
      <c r="A4241" t="s">
        <v>6798</v>
      </c>
      <c r="D4241" t="s">
        <v>12318</v>
      </c>
    </row>
    <row r="4242" spans="1:4" x14ac:dyDescent="0.25">
      <c r="A4242" t="s">
        <v>6799</v>
      </c>
      <c r="D4242" t="s">
        <v>12319</v>
      </c>
    </row>
    <row r="4243" spans="1:4" x14ac:dyDescent="0.25">
      <c r="A4243" t="s">
        <v>6800</v>
      </c>
      <c r="D4243" t="s">
        <v>12320</v>
      </c>
    </row>
    <row r="4244" spans="1:4" x14ac:dyDescent="0.25">
      <c r="A4244" t="s">
        <v>6801</v>
      </c>
      <c r="D4244" t="s">
        <v>12321</v>
      </c>
    </row>
    <row r="4245" spans="1:4" x14ac:dyDescent="0.25">
      <c r="A4245" t="s">
        <v>6802</v>
      </c>
      <c r="D4245" t="s">
        <v>12322</v>
      </c>
    </row>
    <row r="4246" spans="1:4" x14ac:dyDescent="0.25">
      <c r="A4246" t="s">
        <v>6803</v>
      </c>
      <c r="D4246" t="s">
        <v>12323</v>
      </c>
    </row>
    <row r="4247" spans="1:4" x14ac:dyDescent="0.25">
      <c r="A4247" t="s">
        <v>6804</v>
      </c>
      <c r="D4247" t="s">
        <v>12324</v>
      </c>
    </row>
    <row r="4248" spans="1:4" x14ac:dyDescent="0.25">
      <c r="A4248" t="s">
        <v>6805</v>
      </c>
      <c r="D4248" t="s">
        <v>12325</v>
      </c>
    </row>
    <row r="4249" spans="1:4" x14ac:dyDescent="0.25">
      <c r="A4249" t="s">
        <v>6806</v>
      </c>
      <c r="D4249" t="s">
        <v>12326</v>
      </c>
    </row>
    <row r="4250" spans="1:4" x14ac:dyDescent="0.25">
      <c r="A4250" t="s">
        <v>6807</v>
      </c>
      <c r="D4250" t="s">
        <v>12327</v>
      </c>
    </row>
    <row r="4251" spans="1:4" x14ac:dyDescent="0.25">
      <c r="A4251" t="s">
        <v>6808</v>
      </c>
      <c r="D4251" t="s">
        <v>12328</v>
      </c>
    </row>
    <row r="4252" spans="1:4" x14ac:dyDescent="0.25">
      <c r="A4252" t="s">
        <v>6809</v>
      </c>
      <c r="D4252" t="s">
        <v>12329</v>
      </c>
    </row>
    <row r="4253" spans="1:4" x14ac:dyDescent="0.25">
      <c r="A4253" t="s">
        <v>6810</v>
      </c>
      <c r="D4253" t="s">
        <v>12330</v>
      </c>
    </row>
    <row r="4254" spans="1:4" x14ac:dyDescent="0.25">
      <c r="A4254" t="s">
        <v>6811</v>
      </c>
      <c r="D4254" t="s">
        <v>12331</v>
      </c>
    </row>
    <row r="4255" spans="1:4" x14ac:dyDescent="0.25">
      <c r="A4255" t="s">
        <v>6812</v>
      </c>
      <c r="D4255" t="s">
        <v>12332</v>
      </c>
    </row>
    <row r="4256" spans="1:4" x14ac:dyDescent="0.25">
      <c r="A4256" t="s">
        <v>6813</v>
      </c>
      <c r="D4256" t="s">
        <v>12333</v>
      </c>
    </row>
    <row r="4257" spans="1:4" x14ac:dyDescent="0.25">
      <c r="A4257" t="s">
        <v>6814</v>
      </c>
      <c r="D4257" t="s">
        <v>12334</v>
      </c>
    </row>
    <row r="4258" spans="1:4" x14ac:dyDescent="0.25">
      <c r="A4258" t="s">
        <v>6815</v>
      </c>
      <c r="D4258" t="s">
        <v>12335</v>
      </c>
    </row>
    <row r="4259" spans="1:4" x14ac:dyDescent="0.25">
      <c r="A4259" t="s">
        <v>6816</v>
      </c>
      <c r="D4259" t="s">
        <v>12336</v>
      </c>
    </row>
    <row r="4260" spans="1:4" x14ac:dyDescent="0.25">
      <c r="A4260" t="s">
        <v>6817</v>
      </c>
      <c r="D4260" t="s">
        <v>12337</v>
      </c>
    </row>
    <row r="4261" spans="1:4" x14ac:dyDescent="0.25">
      <c r="A4261" t="s">
        <v>6818</v>
      </c>
      <c r="D4261" t="s">
        <v>12338</v>
      </c>
    </row>
    <row r="4262" spans="1:4" x14ac:dyDescent="0.25">
      <c r="A4262" t="s">
        <v>6819</v>
      </c>
      <c r="D4262" t="s">
        <v>12339</v>
      </c>
    </row>
    <row r="4263" spans="1:4" x14ac:dyDescent="0.25">
      <c r="A4263" t="s">
        <v>6820</v>
      </c>
      <c r="D4263" t="s">
        <v>12340</v>
      </c>
    </row>
    <row r="4264" spans="1:4" x14ac:dyDescent="0.25">
      <c r="A4264" t="s">
        <v>6821</v>
      </c>
      <c r="D4264" t="s">
        <v>12341</v>
      </c>
    </row>
    <row r="4265" spans="1:4" x14ac:dyDescent="0.25">
      <c r="A4265" t="s">
        <v>6822</v>
      </c>
      <c r="D4265" t="s">
        <v>12342</v>
      </c>
    </row>
    <row r="4266" spans="1:4" x14ac:dyDescent="0.25">
      <c r="A4266" t="s">
        <v>6823</v>
      </c>
      <c r="D4266" t="s">
        <v>12343</v>
      </c>
    </row>
    <row r="4267" spans="1:4" x14ac:dyDescent="0.25">
      <c r="A4267" t="s">
        <v>6824</v>
      </c>
      <c r="D4267" t="s">
        <v>12344</v>
      </c>
    </row>
    <row r="4268" spans="1:4" x14ac:dyDescent="0.25">
      <c r="A4268" t="s">
        <v>6825</v>
      </c>
      <c r="D4268" t="s">
        <v>12345</v>
      </c>
    </row>
    <row r="4269" spans="1:4" x14ac:dyDescent="0.25">
      <c r="A4269" t="s">
        <v>6826</v>
      </c>
      <c r="D4269" t="s">
        <v>12346</v>
      </c>
    </row>
    <row r="4270" spans="1:4" x14ac:dyDescent="0.25">
      <c r="A4270" t="s">
        <v>6827</v>
      </c>
      <c r="D4270" t="s">
        <v>12347</v>
      </c>
    </row>
    <row r="4271" spans="1:4" x14ac:dyDescent="0.25">
      <c r="A4271" t="s">
        <v>6828</v>
      </c>
      <c r="D4271" t="s">
        <v>12348</v>
      </c>
    </row>
    <row r="4272" spans="1:4" x14ac:dyDescent="0.25">
      <c r="A4272" t="s">
        <v>6829</v>
      </c>
      <c r="D4272" t="s">
        <v>12349</v>
      </c>
    </row>
    <row r="4273" spans="1:4" x14ac:dyDescent="0.25">
      <c r="A4273" t="s">
        <v>6830</v>
      </c>
      <c r="D4273" t="s">
        <v>12350</v>
      </c>
    </row>
    <row r="4274" spans="1:4" x14ac:dyDescent="0.25">
      <c r="A4274" t="s">
        <v>6831</v>
      </c>
      <c r="D4274" t="s">
        <v>12351</v>
      </c>
    </row>
    <row r="4275" spans="1:4" x14ac:dyDescent="0.25">
      <c r="A4275" t="s">
        <v>6832</v>
      </c>
      <c r="D4275" t="s">
        <v>12352</v>
      </c>
    </row>
    <row r="4276" spans="1:4" x14ac:dyDescent="0.25">
      <c r="A4276" t="s">
        <v>6833</v>
      </c>
      <c r="D4276" t="s">
        <v>12353</v>
      </c>
    </row>
    <row r="4277" spans="1:4" x14ac:dyDescent="0.25">
      <c r="A4277" t="s">
        <v>6834</v>
      </c>
      <c r="D4277" t="s">
        <v>12354</v>
      </c>
    </row>
    <row r="4278" spans="1:4" x14ac:dyDescent="0.25">
      <c r="A4278" t="s">
        <v>6835</v>
      </c>
      <c r="D4278" t="s">
        <v>12355</v>
      </c>
    </row>
    <row r="4279" spans="1:4" x14ac:dyDescent="0.25">
      <c r="A4279" t="s">
        <v>6836</v>
      </c>
      <c r="D4279" t="s">
        <v>12356</v>
      </c>
    </row>
    <row r="4280" spans="1:4" x14ac:dyDescent="0.25">
      <c r="A4280" t="s">
        <v>6837</v>
      </c>
      <c r="D4280" t="s">
        <v>12357</v>
      </c>
    </row>
    <row r="4281" spans="1:4" x14ac:dyDescent="0.25">
      <c r="A4281" t="s">
        <v>6838</v>
      </c>
      <c r="D4281" t="s">
        <v>12358</v>
      </c>
    </row>
    <row r="4282" spans="1:4" x14ac:dyDescent="0.25">
      <c r="A4282" t="s">
        <v>6839</v>
      </c>
      <c r="D4282" t="s">
        <v>12359</v>
      </c>
    </row>
    <row r="4283" spans="1:4" x14ac:dyDescent="0.25">
      <c r="A4283" t="s">
        <v>6840</v>
      </c>
      <c r="D4283" t="s">
        <v>12360</v>
      </c>
    </row>
    <row r="4284" spans="1:4" x14ac:dyDescent="0.25">
      <c r="A4284" t="s">
        <v>6841</v>
      </c>
      <c r="D4284" t="s">
        <v>12361</v>
      </c>
    </row>
    <row r="4285" spans="1:4" x14ac:dyDescent="0.25">
      <c r="A4285" t="s">
        <v>6842</v>
      </c>
      <c r="D4285" t="s">
        <v>12362</v>
      </c>
    </row>
    <row r="4286" spans="1:4" x14ac:dyDescent="0.25">
      <c r="A4286" t="s">
        <v>6843</v>
      </c>
      <c r="D4286" t="s">
        <v>12363</v>
      </c>
    </row>
    <row r="4287" spans="1:4" x14ac:dyDescent="0.25">
      <c r="A4287" t="s">
        <v>6844</v>
      </c>
      <c r="D4287" t="s">
        <v>12364</v>
      </c>
    </row>
    <row r="4288" spans="1:4" x14ac:dyDescent="0.25">
      <c r="A4288" t="s">
        <v>6845</v>
      </c>
      <c r="D4288" t="s">
        <v>12365</v>
      </c>
    </row>
    <row r="4289" spans="1:4" x14ac:dyDescent="0.25">
      <c r="A4289" t="s">
        <v>6846</v>
      </c>
      <c r="D4289" t="s">
        <v>12366</v>
      </c>
    </row>
    <row r="4290" spans="1:4" x14ac:dyDescent="0.25">
      <c r="A4290" t="s">
        <v>6847</v>
      </c>
      <c r="D4290" t="s">
        <v>12367</v>
      </c>
    </row>
    <row r="4291" spans="1:4" x14ac:dyDescent="0.25">
      <c r="A4291" t="s">
        <v>6848</v>
      </c>
      <c r="D4291" t="s">
        <v>12368</v>
      </c>
    </row>
    <row r="4292" spans="1:4" x14ac:dyDescent="0.25">
      <c r="A4292" t="s">
        <v>6849</v>
      </c>
      <c r="D4292" t="s">
        <v>12369</v>
      </c>
    </row>
    <row r="4293" spans="1:4" x14ac:dyDescent="0.25">
      <c r="A4293" t="s">
        <v>6850</v>
      </c>
      <c r="D4293" t="s">
        <v>12370</v>
      </c>
    </row>
    <row r="4294" spans="1:4" x14ac:dyDescent="0.25">
      <c r="A4294" t="s">
        <v>6851</v>
      </c>
      <c r="D4294" t="s">
        <v>12371</v>
      </c>
    </row>
    <row r="4295" spans="1:4" x14ac:dyDescent="0.25">
      <c r="A4295" t="s">
        <v>6852</v>
      </c>
      <c r="D4295" t="s">
        <v>12372</v>
      </c>
    </row>
    <row r="4296" spans="1:4" x14ac:dyDescent="0.25">
      <c r="A4296" t="s">
        <v>6853</v>
      </c>
      <c r="D4296" t="s">
        <v>12373</v>
      </c>
    </row>
    <row r="4297" spans="1:4" x14ac:dyDescent="0.25">
      <c r="A4297" t="s">
        <v>6854</v>
      </c>
      <c r="D4297" t="s">
        <v>12374</v>
      </c>
    </row>
    <row r="4298" spans="1:4" x14ac:dyDescent="0.25">
      <c r="A4298" t="s">
        <v>6855</v>
      </c>
      <c r="D4298" t="s">
        <v>12375</v>
      </c>
    </row>
    <row r="4299" spans="1:4" x14ac:dyDescent="0.25">
      <c r="A4299" t="s">
        <v>6856</v>
      </c>
      <c r="D4299" t="s">
        <v>12376</v>
      </c>
    </row>
    <row r="4300" spans="1:4" x14ac:dyDescent="0.25">
      <c r="A4300" t="s">
        <v>6857</v>
      </c>
      <c r="D4300" t="s">
        <v>12377</v>
      </c>
    </row>
    <row r="4301" spans="1:4" x14ac:dyDescent="0.25">
      <c r="A4301" t="s">
        <v>6858</v>
      </c>
      <c r="D4301" t="s">
        <v>12378</v>
      </c>
    </row>
    <row r="4302" spans="1:4" x14ac:dyDescent="0.25">
      <c r="A4302" t="s">
        <v>6859</v>
      </c>
      <c r="D4302" t="s">
        <v>12379</v>
      </c>
    </row>
    <row r="4303" spans="1:4" x14ac:dyDescent="0.25">
      <c r="A4303" t="s">
        <v>6860</v>
      </c>
      <c r="D4303" t="s">
        <v>12380</v>
      </c>
    </row>
    <row r="4304" spans="1:4" x14ac:dyDescent="0.25">
      <c r="A4304" t="s">
        <v>6861</v>
      </c>
      <c r="D4304" t="s">
        <v>12381</v>
      </c>
    </row>
    <row r="4305" spans="1:4" x14ac:dyDescent="0.25">
      <c r="A4305" t="s">
        <v>6862</v>
      </c>
      <c r="D4305" t="s">
        <v>12382</v>
      </c>
    </row>
    <row r="4306" spans="1:4" x14ac:dyDescent="0.25">
      <c r="A4306" t="s">
        <v>6863</v>
      </c>
      <c r="D4306" t="s">
        <v>12383</v>
      </c>
    </row>
    <row r="4307" spans="1:4" x14ac:dyDescent="0.25">
      <c r="A4307" t="s">
        <v>6864</v>
      </c>
      <c r="D4307" t="s">
        <v>12384</v>
      </c>
    </row>
    <row r="4308" spans="1:4" x14ac:dyDescent="0.25">
      <c r="A4308" t="s">
        <v>6865</v>
      </c>
      <c r="D4308" t="s">
        <v>12385</v>
      </c>
    </row>
    <row r="4309" spans="1:4" x14ac:dyDescent="0.25">
      <c r="A4309" t="s">
        <v>6866</v>
      </c>
      <c r="D4309" t="s">
        <v>12386</v>
      </c>
    </row>
    <row r="4310" spans="1:4" x14ac:dyDescent="0.25">
      <c r="A4310" t="s">
        <v>6867</v>
      </c>
      <c r="D4310" t="s">
        <v>12387</v>
      </c>
    </row>
    <row r="4311" spans="1:4" x14ac:dyDescent="0.25">
      <c r="A4311" t="s">
        <v>6868</v>
      </c>
      <c r="D4311" t="s">
        <v>12388</v>
      </c>
    </row>
    <row r="4312" spans="1:4" x14ac:dyDescent="0.25">
      <c r="A4312" t="s">
        <v>6869</v>
      </c>
      <c r="D4312" t="s">
        <v>12389</v>
      </c>
    </row>
    <row r="4313" spans="1:4" x14ac:dyDescent="0.25">
      <c r="A4313" t="s">
        <v>6870</v>
      </c>
      <c r="D4313" t="s">
        <v>12390</v>
      </c>
    </row>
    <row r="4314" spans="1:4" x14ac:dyDescent="0.25">
      <c r="A4314" t="s">
        <v>6871</v>
      </c>
      <c r="D4314" t="s">
        <v>12391</v>
      </c>
    </row>
    <row r="4315" spans="1:4" x14ac:dyDescent="0.25">
      <c r="A4315" t="s">
        <v>6872</v>
      </c>
      <c r="D4315" t="s">
        <v>12392</v>
      </c>
    </row>
    <row r="4316" spans="1:4" x14ac:dyDescent="0.25">
      <c r="A4316" t="s">
        <v>6873</v>
      </c>
      <c r="D4316" t="s">
        <v>12393</v>
      </c>
    </row>
    <row r="4317" spans="1:4" x14ac:dyDescent="0.25">
      <c r="A4317" t="s">
        <v>6874</v>
      </c>
      <c r="D4317" t="s">
        <v>12394</v>
      </c>
    </row>
    <row r="4318" spans="1:4" x14ac:dyDescent="0.25">
      <c r="A4318" t="s">
        <v>6875</v>
      </c>
      <c r="D4318" t="s">
        <v>12395</v>
      </c>
    </row>
    <row r="4319" spans="1:4" x14ac:dyDescent="0.25">
      <c r="A4319" t="s">
        <v>6876</v>
      </c>
      <c r="D4319" t="s">
        <v>12396</v>
      </c>
    </row>
    <row r="4320" spans="1:4" x14ac:dyDescent="0.25">
      <c r="A4320" t="s">
        <v>6877</v>
      </c>
      <c r="D4320" t="s">
        <v>12397</v>
      </c>
    </row>
    <row r="4321" spans="1:4" x14ac:dyDescent="0.25">
      <c r="A4321" t="s">
        <v>6878</v>
      </c>
      <c r="D4321" t="s">
        <v>12398</v>
      </c>
    </row>
    <row r="4322" spans="1:4" x14ac:dyDescent="0.25">
      <c r="A4322" t="s">
        <v>6879</v>
      </c>
      <c r="D4322" t="s">
        <v>12399</v>
      </c>
    </row>
    <row r="4323" spans="1:4" x14ac:dyDescent="0.25">
      <c r="A4323" t="s">
        <v>6880</v>
      </c>
      <c r="D4323" t="s">
        <v>12400</v>
      </c>
    </row>
    <row r="4324" spans="1:4" x14ac:dyDescent="0.25">
      <c r="A4324" t="s">
        <v>6881</v>
      </c>
      <c r="D4324" t="s">
        <v>12401</v>
      </c>
    </row>
    <row r="4325" spans="1:4" x14ac:dyDescent="0.25">
      <c r="A4325" t="s">
        <v>6882</v>
      </c>
      <c r="D4325" t="s">
        <v>12402</v>
      </c>
    </row>
    <row r="4326" spans="1:4" x14ac:dyDescent="0.25">
      <c r="A4326" t="s">
        <v>6883</v>
      </c>
      <c r="D4326" t="s">
        <v>12403</v>
      </c>
    </row>
    <row r="4327" spans="1:4" x14ac:dyDescent="0.25">
      <c r="A4327" t="s">
        <v>6884</v>
      </c>
      <c r="D4327" t="s">
        <v>12404</v>
      </c>
    </row>
    <row r="4328" spans="1:4" x14ac:dyDescent="0.25">
      <c r="A4328" t="s">
        <v>6885</v>
      </c>
      <c r="D4328" t="s">
        <v>12405</v>
      </c>
    </row>
    <row r="4329" spans="1:4" x14ac:dyDescent="0.25">
      <c r="A4329" t="s">
        <v>6886</v>
      </c>
      <c r="D4329" t="s">
        <v>12406</v>
      </c>
    </row>
    <row r="4330" spans="1:4" x14ac:dyDescent="0.25">
      <c r="A4330" t="s">
        <v>6887</v>
      </c>
      <c r="D4330" t="s">
        <v>12407</v>
      </c>
    </row>
    <row r="4331" spans="1:4" x14ac:dyDescent="0.25">
      <c r="A4331" t="s">
        <v>6888</v>
      </c>
      <c r="D4331" t="s">
        <v>12408</v>
      </c>
    </row>
    <row r="4332" spans="1:4" x14ac:dyDescent="0.25">
      <c r="A4332" t="s">
        <v>6889</v>
      </c>
      <c r="D4332" t="s">
        <v>12409</v>
      </c>
    </row>
    <row r="4333" spans="1:4" x14ac:dyDescent="0.25">
      <c r="A4333" t="s">
        <v>6890</v>
      </c>
      <c r="D4333" t="s">
        <v>12410</v>
      </c>
    </row>
    <row r="4334" spans="1:4" x14ac:dyDescent="0.25">
      <c r="A4334" t="s">
        <v>6891</v>
      </c>
      <c r="D4334" t="s">
        <v>12411</v>
      </c>
    </row>
    <row r="4335" spans="1:4" x14ac:dyDescent="0.25">
      <c r="A4335" t="s">
        <v>6892</v>
      </c>
      <c r="D4335" t="s">
        <v>12412</v>
      </c>
    </row>
    <row r="4336" spans="1:4" x14ac:dyDescent="0.25">
      <c r="A4336" t="s">
        <v>6893</v>
      </c>
      <c r="D4336" t="s">
        <v>12413</v>
      </c>
    </row>
    <row r="4337" spans="1:4" x14ac:dyDescent="0.25">
      <c r="A4337" t="s">
        <v>6894</v>
      </c>
      <c r="D4337" t="s">
        <v>12414</v>
      </c>
    </row>
    <row r="4338" spans="1:4" x14ac:dyDescent="0.25">
      <c r="A4338" t="s">
        <v>6895</v>
      </c>
      <c r="D4338" t="s">
        <v>12415</v>
      </c>
    </row>
    <row r="4339" spans="1:4" x14ac:dyDescent="0.25">
      <c r="A4339" t="s">
        <v>6896</v>
      </c>
      <c r="D4339" t="s">
        <v>12416</v>
      </c>
    </row>
    <row r="4340" spans="1:4" x14ac:dyDescent="0.25">
      <c r="A4340" t="s">
        <v>6897</v>
      </c>
      <c r="D4340" t="s">
        <v>12417</v>
      </c>
    </row>
    <row r="4341" spans="1:4" x14ac:dyDescent="0.25">
      <c r="A4341" t="s">
        <v>6898</v>
      </c>
      <c r="D4341" t="s">
        <v>12418</v>
      </c>
    </row>
    <row r="4342" spans="1:4" x14ac:dyDescent="0.25">
      <c r="A4342" t="s">
        <v>6899</v>
      </c>
      <c r="D4342" t="s">
        <v>12419</v>
      </c>
    </row>
    <row r="4343" spans="1:4" x14ac:dyDescent="0.25">
      <c r="A4343" t="s">
        <v>6900</v>
      </c>
      <c r="D4343" t="s">
        <v>12420</v>
      </c>
    </row>
    <row r="4344" spans="1:4" x14ac:dyDescent="0.25">
      <c r="A4344" t="s">
        <v>6901</v>
      </c>
      <c r="D4344" t="s">
        <v>12421</v>
      </c>
    </row>
    <row r="4345" spans="1:4" x14ac:dyDescent="0.25">
      <c r="A4345" t="s">
        <v>6902</v>
      </c>
      <c r="D4345" t="s">
        <v>12422</v>
      </c>
    </row>
    <row r="4346" spans="1:4" x14ac:dyDescent="0.25">
      <c r="A4346" t="s">
        <v>6903</v>
      </c>
      <c r="D4346" t="s">
        <v>12423</v>
      </c>
    </row>
    <row r="4347" spans="1:4" x14ac:dyDescent="0.25">
      <c r="A4347" t="s">
        <v>6904</v>
      </c>
      <c r="D4347" t="s">
        <v>12424</v>
      </c>
    </row>
    <row r="4348" spans="1:4" x14ac:dyDescent="0.25">
      <c r="A4348" t="s">
        <v>6905</v>
      </c>
      <c r="D4348" t="s">
        <v>12425</v>
      </c>
    </row>
    <row r="4349" spans="1:4" x14ac:dyDescent="0.25">
      <c r="A4349" t="s">
        <v>6906</v>
      </c>
      <c r="D4349" t="s">
        <v>12426</v>
      </c>
    </row>
    <row r="4350" spans="1:4" x14ac:dyDescent="0.25">
      <c r="A4350" t="s">
        <v>6907</v>
      </c>
      <c r="D4350" t="s">
        <v>12427</v>
      </c>
    </row>
    <row r="4351" spans="1:4" x14ac:dyDescent="0.25">
      <c r="A4351" t="s">
        <v>6908</v>
      </c>
      <c r="D4351" t="s">
        <v>12428</v>
      </c>
    </row>
    <row r="4352" spans="1:4" x14ac:dyDescent="0.25">
      <c r="A4352" t="s">
        <v>6909</v>
      </c>
      <c r="D4352" t="s">
        <v>12429</v>
      </c>
    </row>
    <row r="4353" spans="1:4" x14ac:dyDescent="0.25">
      <c r="A4353" t="s">
        <v>6910</v>
      </c>
      <c r="D4353" t="s">
        <v>12430</v>
      </c>
    </row>
    <row r="4354" spans="1:4" x14ac:dyDescent="0.25">
      <c r="A4354" t="s">
        <v>6911</v>
      </c>
      <c r="D4354" t="s">
        <v>12431</v>
      </c>
    </row>
    <row r="4355" spans="1:4" x14ac:dyDescent="0.25">
      <c r="A4355" t="s">
        <v>6912</v>
      </c>
      <c r="D4355" t="s">
        <v>12432</v>
      </c>
    </row>
    <row r="4356" spans="1:4" x14ac:dyDescent="0.25">
      <c r="A4356" t="s">
        <v>6913</v>
      </c>
      <c r="D4356" t="s">
        <v>12433</v>
      </c>
    </row>
    <row r="4357" spans="1:4" x14ac:dyDescent="0.25">
      <c r="A4357" t="s">
        <v>6914</v>
      </c>
      <c r="D4357" t="s">
        <v>12434</v>
      </c>
    </row>
    <row r="4358" spans="1:4" x14ac:dyDescent="0.25">
      <c r="A4358" t="s">
        <v>6915</v>
      </c>
      <c r="D4358" t="s">
        <v>12435</v>
      </c>
    </row>
    <row r="4359" spans="1:4" x14ac:dyDescent="0.25">
      <c r="A4359" t="s">
        <v>6916</v>
      </c>
      <c r="D4359" t="s">
        <v>12436</v>
      </c>
    </row>
    <row r="4360" spans="1:4" x14ac:dyDescent="0.25">
      <c r="A4360" t="s">
        <v>6917</v>
      </c>
      <c r="D4360" t="s">
        <v>12437</v>
      </c>
    </row>
    <row r="4361" spans="1:4" x14ac:dyDescent="0.25">
      <c r="A4361" t="s">
        <v>6918</v>
      </c>
      <c r="D4361" t="s">
        <v>12438</v>
      </c>
    </row>
    <row r="4362" spans="1:4" x14ac:dyDescent="0.25">
      <c r="A4362" t="s">
        <v>6919</v>
      </c>
      <c r="D4362" t="s">
        <v>12439</v>
      </c>
    </row>
    <row r="4363" spans="1:4" x14ac:dyDescent="0.25">
      <c r="A4363" t="s">
        <v>6920</v>
      </c>
      <c r="D4363" t="s">
        <v>12440</v>
      </c>
    </row>
    <row r="4364" spans="1:4" x14ac:dyDescent="0.25">
      <c r="A4364" t="s">
        <v>6921</v>
      </c>
      <c r="D4364" t="s">
        <v>12441</v>
      </c>
    </row>
    <row r="4365" spans="1:4" x14ac:dyDescent="0.25">
      <c r="A4365" t="s">
        <v>6922</v>
      </c>
      <c r="D4365" t="s">
        <v>12442</v>
      </c>
    </row>
    <row r="4366" spans="1:4" x14ac:dyDescent="0.25">
      <c r="A4366" t="s">
        <v>6923</v>
      </c>
      <c r="D4366" t="s">
        <v>12443</v>
      </c>
    </row>
    <row r="4367" spans="1:4" x14ac:dyDescent="0.25">
      <c r="A4367" t="s">
        <v>6924</v>
      </c>
      <c r="D4367" t="s">
        <v>12444</v>
      </c>
    </row>
    <row r="4368" spans="1:4" x14ac:dyDescent="0.25">
      <c r="A4368" t="s">
        <v>6925</v>
      </c>
      <c r="D4368" t="s">
        <v>12445</v>
      </c>
    </row>
    <row r="4369" spans="1:4" x14ac:dyDescent="0.25">
      <c r="A4369" t="s">
        <v>6926</v>
      </c>
      <c r="D4369" t="s">
        <v>12446</v>
      </c>
    </row>
    <row r="4370" spans="1:4" x14ac:dyDescent="0.25">
      <c r="A4370" t="s">
        <v>6927</v>
      </c>
      <c r="D4370" t="s">
        <v>12447</v>
      </c>
    </row>
    <row r="4371" spans="1:4" x14ac:dyDescent="0.25">
      <c r="A4371" t="s">
        <v>6928</v>
      </c>
      <c r="D4371" t="s">
        <v>12448</v>
      </c>
    </row>
    <row r="4372" spans="1:4" x14ac:dyDescent="0.25">
      <c r="A4372" t="s">
        <v>6929</v>
      </c>
      <c r="D4372" t="s">
        <v>12449</v>
      </c>
    </row>
    <row r="4373" spans="1:4" x14ac:dyDescent="0.25">
      <c r="A4373" t="s">
        <v>6930</v>
      </c>
      <c r="D4373" t="s">
        <v>12450</v>
      </c>
    </row>
    <row r="4374" spans="1:4" x14ac:dyDescent="0.25">
      <c r="A4374" t="s">
        <v>6931</v>
      </c>
      <c r="D4374" t="s">
        <v>12451</v>
      </c>
    </row>
    <row r="4375" spans="1:4" x14ac:dyDescent="0.25">
      <c r="A4375" t="s">
        <v>6932</v>
      </c>
      <c r="D4375" t="s">
        <v>12452</v>
      </c>
    </row>
    <row r="4376" spans="1:4" x14ac:dyDescent="0.25">
      <c r="A4376" t="s">
        <v>6933</v>
      </c>
      <c r="D4376" t="s">
        <v>12453</v>
      </c>
    </row>
    <row r="4377" spans="1:4" x14ac:dyDescent="0.25">
      <c r="A4377" t="s">
        <v>6934</v>
      </c>
      <c r="D4377" t="s">
        <v>12454</v>
      </c>
    </row>
    <row r="4378" spans="1:4" x14ac:dyDescent="0.25">
      <c r="A4378" t="s">
        <v>6935</v>
      </c>
      <c r="D4378" t="s">
        <v>12455</v>
      </c>
    </row>
    <row r="4379" spans="1:4" x14ac:dyDescent="0.25">
      <c r="A4379" t="s">
        <v>6936</v>
      </c>
      <c r="D4379" t="s">
        <v>12456</v>
      </c>
    </row>
    <row r="4380" spans="1:4" x14ac:dyDescent="0.25">
      <c r="A4380" t="s">
        <v>6937</v>
      </c>
      <c r="D4380" t="s">
        <v>12457</v>
      </c>
    </row>
    <row r="4381" spans="1:4" x14ac:dyDescent="0.25">
      <c r="A4381" t="s">
        <v>6938</v>
      </c>
      <c r="D4381" t="s">
        <v>12458</v>
      </c>
    </row>
    <row r="4382" spans="1:4" x14ac:dyDescent="0.25">
      <c r="A4382" t="s">
        <v>6939</v>
      </c>
      <c r="D4382" t="s">
        <v>12459</v>
      </c>
    </row>
    <row r="4383" spans="1:4" x14ac:dyDescent="0.25">
      <c r="A4383" t="s">
        <v>6940</v>
      </c>
      <c r="D4383" t="s">
        <v>12460</v>
      </c>
    </row>
    <row r="4384" spans="1:4" x14ac:dyDescent="0.25">
      <c r="A4384" t="s">
        <v>6941</v>
      </c>
      <c r="D4384" t="s">
        <v>12461</v>
      </c>
    </row>
    <row r="4385" spans="1:4" x14ac:dyDescent="0.25">
      <c r="A4385" t="s">
        <v>6942</v>
      </c>
      <c r="D4385" t="s">
        <v>12462</v>
      </c>
    </row>
    <row r="4386" spans="1:4" x14ac:dyDescent="0.25">
      <c r="A4386" t="s">
        <v>6943</v>
      </c>
      <c r="D4386" t="s">
        <v>12463</v>
      </c>
    </row>
    <row r="4387" spans="1:4" x14ac:dyDescent="0.25">
      <c r="A4387" t="s">
        <v>6944</v>
      </c>
      <c r="D4387" t="s">
        <v>12464</v>
      </c>
    </row>
    <row r="4388" spans="1:4" x14ac:dyDescent="0.25">
      <c r="A4388" t="s">
        <v>6945</v>
      </c>
      <c r="D4388" t="s">
        <v>12465</v>
      </c>
    </row>
    <row r="4389" spans="1:4" x14ac:dyDescent="0.25">
      <c r="A4389" t="s">
        <v>6946</v>
      </c>
      <c r="D4389" t="s">
        <v>12466</v>
      </c>
    </row>
    <row r="4390" spans="1:4" x14ac:dyDescent="0.25">
      <c r="A4390" t="s">
        <v>6947</v>
      </c>
      <c r="D4390" t="s">
        <v>12467</v>
      </c>
    </row>
    <row r="4391" spans="1:4" x14ac:dyDescent="0.25">
      <c r="A4391" t="s">
        <v>6948</v>
      </c>
      <c r="D4391" t="s">
        <v>12468</v>
      </c>
    </row>
    <row r="4392" spans="1:4" x14ac:dyDescent="0.25">
      <c r="A4392" t="s">
        <v>6949</v>
      </c>
      <c r="D4392" t="s">
        <v>12469</v>
      </c>
    </row>
    <row r="4393" spans="1:4" x14ac:dyDescent="0.25">
      <c r="A4393" t="s">
        <v>6950</v>
      </c>
      <c r="D4393" t="s">
        <v>12470</v>
      </c>
    </row>
    <row r="4394" spans="1:4" x14ac:dyDescent="0.25">
      <c r="A4394" t="s">
        <v>6951</v>
      </c>
      <c r="D4394" t="s">
        <v>12471</v>
      </c>
    </row>
    <row r="4395" spans="1:4" x14ac:dyDescent="0.25">
      <c r="A4395" t="s">
        <v>6952</v>
      </c>
      <c r="D4395" t="s">
        <v>12472</v>
      </c>
    </row>
    <row r="4396" spans="1:4" x14ac:dyDescent="0.25">
      <c r="A4396" t="s">
        <v>6953</v>
      </c>
      <c r="D4396" t="s">
        <v>12473</v>
      </c>
    </row>
    <row r="4397" spans="1:4" x14ac:dyDescent="0.25">
      <c r="A4397" t="s">
        <v>6954</v>
      </c>
      <c r="D4397" t="s">
        <v>12474</v>
      </c>
    </row>
    <row r="4398" spans="1:4" x14ac:dyDescent="0.25">
      <c r="A4398" t="s">
        <v>6955</v>
      </c>
      <c r="D4398" t="s">
        <v>12475</v>
      </c>
    </row>
    <row r="4399" spans="1:4" x14ac:dyDescent="0.25">
      <c r="A4399" t="s">
        <v>6956</v>
      </c>
      <c r="D4399" t="s">
        <v>12476</v>
      </c>
    </row>
    <row r="4400" spans="1:4" x14ac:dyDescent="0.25">
      <c r="A4400" t="s">
        <v>6957</v>
      </c>
      <c r="D4400" t="s">
        <v>12477</v>
      </c>
    </row>
    <row r="4401" spans="1:4" x14ac:dyDescent="0.25">
      <c r="A4401" t="s">
        <v>6958</v>
      </c>
      <c r="D4401" t="s">
        <v>12478</v>
      </c>
    </row>
    <row r="4402" spans="1:4" x14ac:dyDescent="0.25">
      <c r="A4402" t="s">
        <v>6959</v>
      </c>
      <c r="D4402" t="s">
        <v>12479</v>
      </c>
    </row>
    <row r="4403" spans="1:4" x14ac:dyDescent="0.25">
      <c r="A4403" t="s">
        <v>6960</v>
      </c>
      <c r="D4403" t="s">
        <v>12480</v>
      </c>
    </row>
    <row r="4404" spans="1:4" x14ac:dyDescent="0.25">
      <c r="A4404" t="s">
        <v>6961</v>
      </c>
      <c r="D4404" t="s">
        <v>12481</v>
      </c>
    </row>
    <row r="4405" spans="1:4" x14ac:dyDescent="0.25">
      <c r="A4405" t="s">
        <v>6962</v>
      </c>
      <c r="D4405" t="s">
        <v>12482</v>
      </c>
    </row>
    <row r="4406" spans="1:4" x14ac:dyDescent="0.25">
      <c r="A4406" t="s">
        <v>6963</v>
      </c>
      <c r="D4406" t="s">
        <v>12483</v>
      </c>
    </row>
    <row r="4407" spans="1:4" x14ac:dyDescent="0.25">
      <c r="A4407" t="s">
        <v>6964</v>
      </c>
      <c r="D4407" t="s">
        <v>12484</v>
      </c>
    </row>
    <row r="4408" spans="1:4" x14ac:dyDescent="0.25">
      <c r="A4408" t="s">
        <v>6965</v>
      </c>
      <c r="D4408" t="s">
        <v>12485</v>
      </c>
    </row>
    <row r="4409" spans="1:4" x14ac:dyDescent="0.25">
      <c r="A4409" t="s">
        <v>6966</v>
      </c>
      <c r="D4409" t="s">
        <v>12486</v>
      </c>
    </row>
    <row r="4410" spans="1:4" x14ac:dyDescent="0.25">
      <c r="A4410" t="s">
        <v>6967</v>
      </c>
      <c r="D4410" t="s">
        <v>12487</v>
      </c>
    </row>
    <row r="4411" spans="1:4" x14ac:dyDescent="0.25">
      <c r="A4411" t="s">
        <v>6968</v>
      </c>
      <c r="D4411" t="s">
        <v>12488</v>
      </c>
    </row>
    <row r="4412" spans="1:4" x14ac:dyDescent="0.25">
      <c r="A4412" t="s">
        <v>6969</v>
      </c>
      <c r="D4412" t="s">
        <v>12489</v>
      </c>
    </row>
    <row r="4413" spans="1:4" x14ac:dyDescent="0.25">
      <c r="A4413" t="s">
        <v>6970</v>
      </c>
      <c r="D4413" t="s">
        <v>12490</v>
      </c>
    </row>
    <row r="4414" spans="1:4" x14ac:dyDescent="0.25">
      <c r="A4414" t="s">
        <v>6971</v>
      </c>
      <c r="D4414" t="s">
        <v>12491</v>
      </c>
    </row>
    <row r="4415" spans="1:4" x14ac:dyDescent="0.25">
      <c r="A4415" t="s">
        <v>6972</v>
      </c>
      <c r="D4415" t="s">
        <v>12492</v>
      </c>
    </row>
    <row r="4416" spans="1:4" x14ac:dyDescent="0.25">
      <c r="A4416" t="s">
        <v>6973</v>
      </c>
      <c r="D4416" t="s">
        <v>12493</v>
      </c>
    </row>
    <row r="4417" spans="1:4" x14ac:dyDescent="0.25">
      <c r="A4417" t="s">
        <v>6974</v>
      </c>
      <c r="D4417" t="s">
        <v>12494</v>
      </c>
    </row>
    <row r="4418" spans="1:4" x14ac:dyDescent="0.25">
      <c r="A4418" t="s">
        <v>6975</v>
      </c>
      <c r="D4418" t="s">
        <v>12495</v>
      </c>
    </row>
    <row r="4419" spans="1:4" x14ac:dyDescent="0.25">
      <c r="A4419" t="s">
        <v>6976</v>
      </c>
      <c r="D4419" t="s">
        <v>12496</v>
      </c>
    </row>
    <row r="4420" spans="1:4" x14ac:dyDescent="0.25">
      <c r="A4420" t="s">
        <v>6977</v>
      </c>
      <c r="D4420" t="s">
        <v>12497</v>
      </c>
    </row>
    <row r="4421" spans="1:4" x14ac:dyDescent="0.25">
      <c r="A4421" t="s">
        <v>6978</v>
      </c>
      <c r="D4421" t="s">
        <v>12498</v>
      </c>
    </row>
    <row r="4422" spans="1:4" x14ac:dyDescent="0.25">
      <c r="A4422" t="s">
        <v>6979</v>
      </c>
      <c r="D4422" t="s">
        <v>12499</v>
      </c>
    </row>
    <row r="4423" spans="1:4" x14ac:dyDescent="0.25">
      <c r="A4423" t="s">
        <v>6980</v>
      </c>
      <c r="D4423" t="s">
        <v>12500</v>
      </c>
    </row>
    <row r="4424" spans="1:4" x14ac:dyDescent="0.25">
      <c r="A4424" t="s">
        <v>6981</v>
      </c>
      <c r="D4424" t="s">
        <v>12501</v>
      </c>
    </row>
    <row r="4425" spans="1:4" x14ac:dyDescent="0.25">
      <c r="A4425" t="s">
        <v>6982</v>
      </c>
      <c r="D4425" t="s">
        <v>12502</v>
      </c>
    </row>
    <row r="4426" spans="1:4" x14ac:dyDescent="0.25">
      <c r="A4426" t="s">
        <v>6983</v>
      </c>
      <c r="D4426" t="s">
        <v>12503</v>
      </c>
    </row>
    <row r="4427" spans="1:4" x14ac:dyDescent="0.25">
      <c r="A4427" t="s">
        <v>6984</v>
      </c>
      <c r="D4427" t="s">
        <v>12504</v>
      </c>
    </row>
    <row r="4428" spans="1:4" x14ac:dyDescent="0.25">
      <c r="A4428" t="s">
        <v>6985</v>
      </c>
      <c r="D4428" t="s">
        <v>12505</v>
      </c>
    </row>
    <row r="4429" spans="1:4" x14ac:dyDescent="0.25">
      <c r="A4429" t="s">
        <v>6986</v>
      </c>
      <c r="D4429" t="s">
        <v>12506</v>
      </c>
    </row>
    <row r="4430" spans="1:4" x14ac:dyDescent="0.25">
      <c r="A4430" t="s">
        <v>6987</v>
      </c>
      <c r="D4430" t="s">
        <v>12507</v>
      </c>
    </row>
    <row r="4431" spans="1:4" x14ac:dyDescent="0.25">
      <c r="A4431" t="s">
        <v>6988</v>
      </c>
      <c r="D4431" t="s">
        <v>12508</v>
      </c>
    </row>
    <row r="4432" spans="1:4" x14ac:dyDescent="0.25">
      <c r="A4432" t="s">
        <v>6989</v>
      </c>
      <c r="D4432" t="s">
        <v>12509</v>
      </c>
    </row>
    <row r="4433" spans="1:4" x14ac:dyDescent="0.25">
      <c r="A4433" t="s">
        <v>6990</v>
      </c>
      <c r="D4433" t="s">
        <v>12510</v>
      </c>
    </row>
    <row r="4434" spans="1:4" x14ac:dyDescent="0.25">
      <c r="A4434" t="s">
        <v>6991</v>
      </c>
      <c r="D4434" t="s">
        <v>12511</v>
      </c>
    </row>
    <row r="4435" spans="1:4" x14ac:dyDescent="0.25">
      <c r="A4435" t="s">
        <v>6992</v>
      </c>
      <c r="D4435" t="s">
        <v>12512</v>
      </c>
    </row>
    <row r="4436" spans="1:4" x14ac:dyDescent="0.25">
      <c r="A4436" t="s">
        <v>6993</v>
      </c>
      <c r="D4436" t="s">
        <v>12513</v>
      </c>
    </row>
    <row r="4437" spans="1:4" x14ac:dyDescent="0.25">
      <c r="A4437" t="s">
        <v>6994</v>
      </c>
      <c r="D4437" t="s">
        <v>12514</v>
      </c>
    </row>
    <row r="4438" spans="1:4" x14ac:dyDescent="0.25">
      <c r="A4438" t="s">
        <v>6995</v>
      </c>
      <c r="D4438" t="s">
        <v>12515</v>
      </c>
    </row>
    <row r="4439" spans="1:4" x14ac:dyDescent="0.25">
      <c r="A4439" t="s">
        <v>6996</v>
      </c>
      <c r="D4439" t="s">
        <v>12516</v>
      </c>
    </row>
    <row r="4440" spans="1:4" x14ac:dyDescent="0.25">
      <c r="A4440" t="s">
        <v>6997</v>
      </c>
      <c r="D4440" t="s">
        <v>12517</v>
      </c>
    </row>
    <row r="4441" spans="1:4" x14ac:dyDescent="0.25">
      <c r="A4441" t="s">
        <v>6998</v>
      </c>
      <c r="D4441" t="s">
        <v>12518</v>
      </c>
    </row>
    <row r="4442" spans="1:4" x14ac:dyDescent="0.25">
      <c r="A4442" t="s">
        <v>6999</v>
      </c>
      <c r="D4442" t="s">
        <v>12519</v>
      </c>
    </row>
    <row r="4443" spans="1:4" x14ac:dyDescent="0.25">
      <c r="A4443" t="s">
        <v>7000</v>
      </c>
      <c r="D4443" t="s">
        <v>12520</v>
      </c>
    </row>
    <row r="4444" spans="1:4" x14ac:dyDescent="0.25">
      <c r="A4444" t="s">
        <v>7001</v>
      </c>
      <c r="D4444" t="s">
        <v>12521</v>
      </c>
    </row>
    <row r="4445" spans="1:4" x14ac:dyDescent="0.25">
      <c r="A4445" t="s">
        <v>7002</v>
      </c>
      <c r="D4445" t="s">
        <v>12522</v>
      </c>
    </row>
    <row r="4446" spans="1:4" x14ac:dyDescent="0.25">
      <c r="A4446" t="s">
        <v>7003</v>
      </c>
      <c r="D4446" t="s">
        <v>12523</v>
      </c>
    </row>
    <row r="4447" spans="1:4" x14ac:dyDescent="0.25">
      <c r="A4447" t="s">
        <v>7004</v>
      </c>
      <c r="D4447" t="s">
        <v>12524</v>
      </c>
    </row>
    <row r="4448" spans="1:4" x14ac:dyDescent="0.25">
      <c r="A4448" t="s">
        <v>7005</v>
      </c>
      <c r="D4448" t="s">
        <v>12525</v>
      </c>
    </row>
    <row r="4449" spans="1:4" x14ac:dyDescent="0.25">
      <c r="A4449" t="s">
        <v>7006</v>
      </c>
      <c r="D4449" t="s">
        <v>12526</v>
      </c>
    </row>
    <row r="4450" spans="1:4" x14ac:dyDescent="0.25">
      <c r="A4450" t="s">
        <v>7007</v>
      </c>
      <c r="D4450" t="s">
        <v>12527</v>
      </c>
    </row>
    <row r="4451" spans="1:4" x14ac:dyDescent="0.25">
      <c r="A4451" t="s">
        <v>7008</v>
      </c>
      <c r="D4451" t="s">
        <v>12528</v>
      </c>
    </row>
    <row r="4452" spans="1:4" x14ac:dyDescent="0.25">
      <c r="A4452" t="s">
        <v>7009</v>
      </c>
      <c r="D4452" t="s">
        <v>12529</v>
      </c>
    </row>
    <row r="4453" spans="1:4" x14ac:dyDescent="0.25">
      <c r="A4453" t="s">
        <v>7010</v>
      </c>
      <c r="D4453" t="s">
        <v>12530</v>
      </c>
    </row>
    <row r="4454" spans="1:4" x14ac:dyDescent="0.25">
      <c r="A4454" t="s">
        <v>7011</v>
      </c>
      <c r="D4454" t="s">
        <v>12531</v>
      </c>
    </row>
    <row r="4455" spans="1:4" x14ac:dyDescent="0.25">
      <c r="A4455" t="s">
        <v>7012</v>
      </c>
      <c r="D4455" t="s">
        <v>12532</v>
      </c>
    </row>
    <row r="4456" spans="1:4" x14ac:dyDescent="0.25">
      <c r="A4456" t="s">
        <v>7013</v>
      </c>
      <c r="D4456" t="s">
        <v>12533</v>
      </c>
    </row>
    <row r="4457" spans="1:4" x14ac:dyDescent="0.25">
      <c r="A4457" t="s">
        <v>7014</v>
      </c>
      <c r="D4457" t="s">
        <v>12534</v>
      </c>
    </row>
    <row r="4458" spans="1:4" x14ac:dyDescent="0.25">
      <c r="A4458" t="s">
        <v>7015</v>
      </c>
      <c r="D4458" t="s">
        <v>12535</v>
      </c>
    </row>
    <row r="4459" spans="1:4" x14ac:dyDescent="0.25">
      <c r="A4459" t="s">
        <v>7016</v>
      </c>
      <c r="D4459" t="s">
        <v>12536</v>
      </c>
    </row>
    <row r="4460" spans="1:4" x14ac:dyDescent="0.25">
      <c r="A4460" t="s">
        <v>7017</v>
      </c>
      <c r="D4460" t="s">
        <v>12537</v>
      </c>
    </row>
    <row r="4461" spans="1:4" x14ac:dyDescent="0.25">
      <c r="A4461" t="s">
        <v>7018</v>
      </c>
      <c r="D4461" t="s">
        <v>12538</v>
      </c>
    </row>
    <row r="4462" spans="1:4" x14ac:dyDescent="0.25">
      <c r="A4462" t="s">
        <v>7019</v>
      </c>
      <c r="D4462" t="s">
        <v>12539</v>
      </c>
    </row>
    <row r="4463" spans="1:4" x14ac:dyDescent="0.25">
      <c r="A4463" t="s">
        <v>7020</v>
      </c>
      <c r="D4463" t="s">
        <v>12540</v>
      </c>
    </row>
    <row r="4464" spans="1:4" x14ac:dyDescent="0.25">
      <c r="A4464" t="s">
        <v>7021</v>
      </c>
      <c r="D4464" t="s">
        <v>12541</v>
      </c>
    </row>
    <row r="4465" spans="1:4" x14ac:dyDescent="0.25">
      <c r="A4465" t="s">
        <v>7022</v>
      </c>
      <c r="D4465" t="s">
        <v>12542</v>
      </c>
    </row>
    <row r="4466" spans="1:4" x14ac:dyDescent="0.25">
      <c r="A4466" t="s">
        <v>7023</v>
      </c>
      <c r="D4466" t="s">
        <v>12543</v>
      </c>
    </row>
    <row r="4467" spans="1:4" x14ac:dyDescent="0.25">
      <c r="A4467" t="s">
        <v>7024</v>
      </c>
      <c r="D4467" t="s">
        <v>12544</v>
      </c>
    </row>
    <row r="4468" spans="1:4" x14ac:dyDescent="0.25">
      <c r="A4468" t="s">
        <v>7025</v>
      </c>
      <c r="D4468" t="s">
        <v>12545</v>
      </c>
    </row>
    <row r="4469" spans="1:4" x14ac:dyDescent="0.25">
      <c r="A4469" t="s">
        <v>7026</v>
      </c>
      <c r="D4469" t="s">
        <v>12546</v>
      </c>
    </row>
    <row r="4470" spans="1:4" x14ac:dyDescent="0.25">
      <c r="A4470" t="s">
        <v>7027</v>
      </c>
      <c r="D4470" t="s">
        <v>12547</v>
      </c>
    </row>
    <row r="4471" spans="1:4" x14ac:dyDescent="0.25">
      <c r="A4471" t="s">
        <v>7028</v>
      </c>
      <c r="D4471" t="s">
        <v>12548</v>
      </c>
    </row>
    <row r="4472" spans="1:4" x14ac:dyDescent="0.25">
      <c r="A4472" t="s">
        <v>7029</v>
      </c>
      <c r="D4472" t="s">
        <v>12549</v>
      </c>
    </row>
    <row r="4473" spans="1:4" x14ac:dyDescent="0.25">
      <c r="A4473" t="s">
        <v>7030</v>
      </c>
      <c r="D4473" t="s">
        <v>12550</v>
      </c>
    </row>
    <row r="4474" spans="1:4" x14ac:dyDescent="0.25">
      <c r="A4474" t="s">
        <v>7031</v>
      </c>
      <c r="D4474" t="s">
        <v>12551</v>
      </c>
    </row>
    <row r="4475" spans="1:4" x14ac:dyDescent="0.25">
      <c r="A4475" t="s">
        <v>7032</v>
      </c>
      <c r="D4475" t="s">
        <v>12552</v>
      </c>
    </row>
    <row r="4476" spans="1:4" x14ac:dyDescent="0.25">
      <c r="A4476" t="s">
        <v>7033</v>
      </c>
      <c r="D4476" t="s">
        <v>12553</v>
      </c>
    </row>
    <row r="4477" spans="1:4" x14ac:dyDescent="0.25">
      <c r="A4477" t="s">
        <v>7034</v>
      </c>
      <c r="D4477" t="s">
        <v>12554</v>
      </c>
    </row>
    <row r="4478" spans="1:4" x14ac:dyDescent="0.25">
      <c r="A4478" t="s">
        <v>7035</v>
      </c>
      <c r="D4478" t="s">
        <v>12555</v>
      </c>
    </row>
    <row r="4479" spans="1:4" x14ac:dyDescent="0.25">
      <c r="A4479" t="s">
        <v>7036</v>
      </c>
      <c r="D4479" t="s">
        <v>12556</v>
      </c>
    </row>
    <row r="4480" spans="1:4" x14ac:dyDescent="0.25">
      <c r="A4480" t="s">
        <v>7037</v>
      </c>
      <c r="D4480" t="s">
        <v>12557</v>
      </c>
    </row>
    <row r="4481" spans="1:4" x14ac:dyDescent="0.25">
      <c r="A4481" t="s">
        <v>7038</v>
      </c>
      <c r="D4481" t="s">
        <v>12558</v>
      </c>
    </row>
    <row r="4482" spans="1:4" x14ac:dyDescent="0.25">
      <c r="A4482" t="s">
        <v>7039</v>
      </c>
      <c r="D4482" t="s">
        <v>12559</v>
      </c>
    </row>
    <row r="4483" spans="1:4" x14ac:dyDescent="0.25">
      <c r="A4483" t="s">
        <v>7040</v>
      </c>
      <c r="D4483" t="s">
        <v>12560</v>
      </c>
    </row>
    <row r="4484" spans="1:4" x14ac:dyDescent="0.25">
      <c r="A4484" t="s">
        <v>7041</v>
      </c>
      <c r="D4484" t="s">
        <v>12561</v>
      </c>
    </row>
    <row r="4485" spans="1:4" x14ac:dyDescent="0.25">
      <c r="A4485" t="s">
        <v>7042</v>
      </c>
      <c r="D4485" t="s">
        <v>12562</v>
      </c>
    </row>
    <row r="4486" spans="1:4" x14ac:dyDescent="0.25">
      <c r="A4486" t="s">
        <v>7043</v>
      </c>
      <c r="D4486" t="s">
        <v>12563</v>
      </c>
    </row>
    <row r="4487" spans="1:4" x14ac:dyDescent="0.25">
      <c r="A4487" t="s">
        <v>7044</v>
      </c>
      <c r="D4487" t="s">
        <v>12564</v>
      </c>
    </row>
    <row r="4488" spans="1:4" x14ac:dyDescent="0.25">
      <c r="A4488" t="s">
        <v>7045</v>
      </c>
      <c r="D4488" t="s">
        <v>12565</v>
      </c>
    </row>
    <row r="4489" spans="1:4" x14ac:dyDescent="0.25">
      <c r="A4489" t="s">
        <v>7046</v>
      </c>
      <c r="D4489" t="s">
        <v>12566</v>
      </c>
    </row>
    <row r="4490" spans="1:4" x14ac:dyDescent="0.25">
      <c r="A4490" t="s">
        <v>7047</v>
      </c>
      <c r="D4490" t="s">
        <v>12567</v>
      </c>
    </row>
    <row r="4491" spans="1:4" x14ac:dyDescent="0.25">
      <c r="A4491" t="s">
        <v>7048</v>
      </c>
      <c r="D4491" t="s">
        <v>12568</v>
      </c>
    </row>
    <row r="4492" spans="1:4" x14ac:dyDescent="0.25">
      <c r="A4492" t="s">
        <v>7049</v>
      </c>
      <c r="D4492" t="s">
        <v>12569</v>
      </c>
    </row>
    <row r="4493" spans="1:4" x14ac:dyDescent="0.25">
      <c r="A4493" t="s">
        <v>7050</v>
      </c>
      <c r="D4493" t="s">
        <v>12570</v>
      </c>
    </row>
    <row r="4494" spans="1:4" x14ac:dyDescent="0.25">
      <c r="A4494" t="s">
        <v>7051</v>
      </c>
      <c r="D4494" t="s">
        <v>12571</v>
      </c>
    </row>
    <row r="4495" spans="1:4" x14ac:dyDescent="0.25">
      <c r="A4495" t="s">
        <v>7052</v>
      </c>
      <c r="D4495" t="s">
        <v>12572</v>
      </c>
    </row>
    <row r="4496" spans="1:4" x14ac:dyDescent="0.25">
      <c r="A4496" t="s">
        <v>7053</v>
      </c>
      <c r="D4496" t="s">
        <v>12573</v>
      </c>
    </row>
    <row r="4497" spans="1:4" x14ac:dyDescent="0.25">
      <c r="A4497" t="s">
        <v>7054</v>
      </c>
      <c r="D4497" t="s">
        <v>12574</v>
      </c>
    </row>
    <row r="4498" spans="1:4" x14ac:dyDescent="0.25">
      <c r="A4498" t="s">
        <v>7055</v>
      </c>
      <c r="D4498" t="s">
        <v>12575</v>
      </c>
    </row>
    <row r="4499" spans="1:4" x14ac:dyDescent="0.25">
      <c r="A4499" t="s">
        <v>7056</v>
      </c>
      <c r="D4499" t="s">
        <v>12576</v>
      </c>
    </row>
    <row r="4500" spans="1:4" x14ac:dyDescent="0.25">
      <c r="A4500" t="s">
        <v>7057</v>
      </c>
      <c r="D4500" t="s">
        <v>12577</v>
      </c>
    </row>
    <row r="4501" spans="1:4" x14ac:dyDescent="0.25">
      <c r="A4501" t="s">
        <v>7058</v>
      </c>
      <c r="D4501" t="s">
        <v>12578</v>
      </c>
    </row>
    <row r="4502" spans="1:4" x14ac:dyDescent="0.25">
      <c r="A4502" t="s">
        <v>7059</v>
      </c>
      <c r="D4502" t="s">
        <v>12579</v>
      </c>
    </row>
    <row r="4503" spans="1:4" x14ac:dyDescent="0.25">
      <c r="A4503" t="s">
        <v>7060</v>
      </c>
      <c r="D4503" t="s">
        <v>12580</v>
      </c>
    </row>
    <row r="4504" spans="1:4" x14ac:dyDescent="0.25">
      <c r="A4504" t="s">
        <v>7061</v>
      </c>
      <c r="D4504" t="s">
        <v>12581</v>
      </c>
    </row>
    <row r="4505" spans="1:4" x14ac:dyDescent="0.25">
      <c r="A4505" t="s">
        <v>7062</v>
      </c>
      <c r="D4505" t="s">
        <v>12582</v>
      </c>
    </row>
    <row r="4506" spans="1:4" x14ac:dyDescent="0.25">
      <c r="A4506" t="s">
        <v>7063</v>
      </c>
      <c r="D4506" t="s">
        <v>12583</v>
      </c>
    </row>
    <row r="4507" spans="1:4" x14ac:dyDescent="0.25">
      <c r="A4507" t="s">
        <v>7064</v>
      </c>
      <c r="D4507" t="s">
        <v>12584</v>
      </c>
    </row>
    <row r="4508" spans="1:4" x14ac:dyDescent="0.25">
      <c r="A4508" t="s">
        <v>7065</v>
      </c>
      <c r="D4508" t="s">
        <v>12585</v>
      </c>
    </row>
    <row r="4509" spans="1:4" x14ac:dyDescent="0.25">
      <c r="A4509" t="s">
        <v>7066</v>
      </c>
      <c r="D4509" t="s">
        <v>12586</v>
      </c>
    </row>
    <row r="4510" spans="1:4" x14ac:dyDescent="0.25">
      <c r="A4510" t="s">
        <v>7067</v>
      </c>
      <c r="D4510" t="s">
        <v>12587</v>
      </c>
    </row>
    <row r="4511" spans="1:4" x14ac:dyDescent="0.25">
      <c r="A4511" t="s">
        <v>7068</v>
      </c>
      <c r="D4511" t="s">
        <v>12588</v>
      </c>
    </row>
    <row r="4512" spans="1:4" x14ac:dyDescent="0.25">
      <c r="A4512" t="s">
        <v>7069</v>
      </c>
      <c r="D4512" t="s">
        <v>12589</v>
      </c>
    </row>
    <row r="4513" spans="1:4" x14ac:dyDescent="0.25">
      <c r="A4513" t="s">
        <v>7070</v>
      </c>
      <c r="D4513" t="s">
        <v>12590</v>
      </c>
    </row>
    <row r="4514" spans="1:4" x14ac:dyDescent="0.25">
      <c r="A4514" t="s">
        <v>7071</v>
      </c>
      <c r="D4514" t="s">
        <v>12591</v>
      </c>
    </row>
    <row r="4515" spans="1:4" x14ac:dyDescent="0.25">
      <c r="A4515" t="s">
        <v>7072</v>
      </c>
      <c r="D4515" t="s">
        <v>12592</v>
      </c>
    </row>
    <row r="4516" spans="1:4" x14ac:dyDescent="0.25">
      <c r="A4516" t="s">
        <v>7073</v>
      </c>
      <c r="D4516" t="s">
        <v>12593</v>
      </c>
    </row>
    <row r="4517" spans="1:4" x14ac:dyDescent="0.25">
      <c r="A4517" t="s">
        <v>7074</v>
      </c>
      <c r="D4517" t="s">
        <v>12594</v>
      </c>
    </row>
    <row r="4518" spans="1:4" x14ac:dyDescent="0.25">
      <c r="A4518" t="s">
        <v>7075</v>
      </c>
      <c r="D4518" t="s">
        <v>12595</v>
      </c>
    </row>
    <row r="4519" spans="1:4" x14ac:dyDescent="0.25">
      <c r="A4519" t="s">
        <v>7076</v>
      </c>
      <c r="D4519" t="s">
        <v>12596</v>
      </c>
    </row>
    <row r="4520" spans="1:4" x14ac:dyDescent="0.25">
      <c r="A4520" t="s">
        <v>7077</v>
      </c>
      <c r="D4520" t="s">
        <v>12597</v>
      </c>
    </row>
    <row r="4521" spans="1:4" x14ac:dyDescent="0.25">
      <c r="A4521" t="s">
        <v>7078</v>
      </c>
      <c r="D4521" t="s">
        <v>12598</v>
      </c>
    </row>
    <row r="4522" spans="1:4" x14ac:dyDescent="0.25">
      <c r="A4522" t="s">
        <v>7079</v>
      </c>
      <c r="D4522" t="s">
        <v>12599</v>
      </c>
    </row>
    <row r="4523" spans="1:4" x14ac:dyDescent="0.25">
      <c r="A4523" t="s">
        <v>7080</v>
      </c>
      <c r="D4523" t="s">
        <v>12600</v>
      </c>
    </row>
    <row r="4524" spans="1:4" x14ac:dyDescent="0.25">
      <c r="A4524" t="s">
        <v>7081</v>
      </c>
      <c r="D4524" t="s">
        <v>12601</v>
      </c>
    </row>
    <row r="4525" spans="1:4" x14ac:dyDescent="0.25">
      <c r="A4525" t="s">
        <v>7082</v>
      </c>
      <c r="D4525" t="s">
        <v>12602</v>
      </c>
    </row>
    <row r="4526" spans="1:4" x14ac:dyDescent="0.25">
      <c r="A4526" t="s">
        <v>7083</v>
      </c>
      <c r="D4526" t="s">
        <v>12603</v>
      </c>
    </row>
    <row r="4527" spans="1:4" x14ac:dyDescent="0.25">
      <c r="A4527" t="s">
        <v>7084</v>
      </c>
      <c r="D4527" t="s">
        <v>12604</v>
      </c>
    </row>
    <row r="4528" spans="1:4" x14ac:dyDescent="0.25">
      <c r="A4528" t="s">
        <v>7085</v>
      </c>
      <c r="D4528" t="s">
        <v>12605</v>
      </c>
    </row>
    <row r="4529" spans="1:4" x14ac:dyDescent="0.25">
      <c r="A4529" t="s">
        <v>7086</v>
      </c>
      <c r="D4529" t="s">
        <v>12606</v>
      </c>
    </row>
    <row r="4530" spans="1:4" x14ac:dyDescent="0.25">
      <c r="A4530" t="s">
        <v>7087</v>
      </c>
      <c r="D4530" t="s">
        <v>12607</v>
      </c>
    </row>
    <row r="4531" spans="1:4" x14ac:dyDescent="0.25">
      <c r="A4531" t="s">
        <v>7088</v>
      </c>
      <c r="D4531" t="s">
        <v>12608</v>
      </c>
    </row>
    <row r="4532" spans="1:4" x14ac:dyDescent="0.25">
      <c r="A4532" t="s">
        <v>7089</v>
      </c>
      <c r="D4532" t="s">
        <v>12609</v>
      </c>
    </row>
    <row r="4533" spans="1:4" x14ac:dyDescent="0.25">
      <c r="A4533" t="s">
        <v>7090</v>
      </c>
      <c r="D4533" t="s">
        <v>12610</v>
      </c>
    </row>
    <row r="4534" spans="1:4" x14ac:dyDescent="0.25">
      <c r="A4534" t="s">
        <v>7091</v>
      </c>
      <c r="D4534" t="s">
        <v>12611</v>
      </c>
    </row>
    <row r="4535" spans="1:4" x14ac:dyDescent="0.25">
      <c r="A4535" t="s">
        <v>7092</v>
      </c>
      <c r="D4535" t="s">
        <v>12612</v>
      </c>
    </row>
    <row r="4536" spans="1:4" x14ac:dyDescent="0.25">
      <c r="A4536" t="s">
        <v>7093</v>
      </c>
      <c r="D4536" t="s">
        <v>12613</v>
      </c>
    </row>
    <row r="4537" spans="1:4" x14ac:dyDescent="0.25">
      <c r="A4537" t="s">
        <v>7094</v>
      </c>
      <c r="D4537" t="s">
        <v>12614</v>
      </c>
    </row>
    <row r="4538" spans="1:4" x14ac:dyDescent="0.25">
      <c r="A4538" t="s">
        <v>7095</v>
      </c>
      <c r="D4538" t="s">
        <v>12615</v>
      </c>
    </row>
    <row r="4539" spans="1:4" x14ac:dyDescent="0.25">
      <c r="A4539" t="s">
        <v>7096</v>
      </c>
      <c r="D4539" t="s">
        <v>12616</v>
      </c>
    </row>
    <row r="4540" spans="1:4" x14ac:dyDescent="0.25">
      <c r="A4540" t="s">
        <v>7097</v>
      </c>
      <c r="D4540" t="s">
        <v>12617</v>
      </c>
    </row>
    <row r="4541" spans="1:4" x14ac:dyDescent="0.25">
      <c r="A4541" t="s">
        <v>7098</v>
      </c>
      <c r="D4541" t="s">
        <v>12618</v>
      </c>
    </row>
    <row r="4542" spans="1:4" x14ac:dyDescent="0.25">
      <c r="A4542" t="s">
        <v>7099</v>
      </c>
      <c r="D4542" t="s">
        <v>12619</v>
      </c>
    </row>
    <row r="4543" spans="1:4" x14ac:dyDescent="0.25">
      <c r="A4543" t="s">
        <v>7100</v>
      </c>
      <c r="D4543" t="s">
        <v>12620</v>
      </c>
    </row>
    <row r="4544" spans="1:4" x14ac:dyDescent="0.25">
      <c r="A4544" t="s">
        <v>7101</v>
      </c>
      <c r="D4544" t="s">
        <v>12621</v>
      </c>
    </row>
    <row r="4545" spans="1:4" x14ac:dyDescent="0.25">
      <c r="A4545" t="s">
        <v>7102</v>
      </c>
      <c r="D4545" t="s">
        <v>12622</v>
      </c>
    </row>
    <row r="4546" spans="1:4" x14ac:dyDescent="0.25">
      <c r="A4546" t="s">
        <v>7103</v>
      </c>
      <c r="D4546" t="s">
        <v>12623</v>
      </c>
    </row>
    <row r="4547" spans="1:4" x14ac:dyDescent="0.25">
      <c r="A4547" t="s">
        <v>7104</v>
      </c>
      <c r="D4547" t="s">
        <v>12624</v>
      </c>
    </row>
    <row r="4548" spans="1:4" x14ac:dyDescent="0.25">
      <c r="A4548" t="s">
        <v>7105</v>
      </c>
      <c r="D4548" t="s">
        <v>12625</v>
      </c>
    </row>
    <row r="4549" spans="1:4" x14ac:dyDescent="0.25">
      <c r="A4549" t="s">
        <v>7106</v>
      </c>
      <c r="D4549" t="s">
        <v>12626</v>
      </c>
    </row>
    <row r="4550" spans="1:4" x14ac:dyDescent="0.25">
      <c r="A4550" t="s">
        <v>7107</v>
      </c>
      <c r="D4550" t="s">
        <v>12627</v>
      </c>
    </row>
    <row r="4551" spans="1:4" x14ac:dyDescent="0.25">
      <c r="A4551" t="s">
        <v>7108</v>
      </c>
      <c r="D4551" t="s">
        <v>12628</v>
      </c>
    </row>
    <row r="4552" spans="1:4" x14ac:dyDescent="0.25">
      <c r="A4552" t="s">
        <v>7109</v>
      </c>
      <c r="D4552" t="s">
        <v>12629</v>
      </c>
    </row>
    <row r="4553" spans="1:4" x14ac:dyDescent="0.25">
      <c r="A4553" t="s">
        <v>7110</v>
      </c>
      <c r="D4553" t="s">
        <v>12630</v>
      </c>
    </row>
    <row r="4554" spans="1:4" x14ac:dyDescent="0.25">
      <c r="A4554" t="s">
        <v>7111</v>
      </c>
      <c r="D4554" t="s">
        <v>12631</v>
      </c>
    </row>
    <row r="4555" spans="1:4" x14ac:dyDescent="0.25">
      <c r="A4555" t="s">
        <v>7112</v>
      </c>
      <c r="D4555" t="s">
        <v>12632</v>
      </c>
    </row>
    <row r="4556" spans="1:4" x14ac:dyDescent="0.25">
      <c r="A4556" t="s">
        <v>7113</v>
      </c>
      <c r="D4556" t="s">
        <v>12633</v>
      </c>
    </row>
    <row r="4557" spans="1:4" x14ac:dyDescent="0.25">
      <c r="A4557" t="s">
        <v>7114</v>
      </c>
      <c r="D4557" t="s">
        <v>12634</v>
      </c>
    </row>
    <row r="4558" spans="1:4" x14ac:dyDescent="0.25">
      <c r="A4558" t="s">
        <v>7115</v>
      </c>
      <c r="D4558" t="s">
        <v>12635</v>
      </c>
    </row>
    <row r="4559" spans="1:4" x14ac:dyDescent="0.25">
      <c r="A4559" t="s">
        <v>7116</v>
      </c>
      <c r="D4559" t="s">
        <v>12636</v>
      </c>
    </row>
    <row r="4560" spans="1:4" x14ac:dyDescent="0.25">
      <c r="A4560" t="s">
        <v>7117</v>
      </c>
      <c r="D4560" t="s">
        <v>12637</v>
      </c>
    </row>
    <row r="4561" spans="1:4" x14ac:dyDescent="0.25">
      <c r="A4561" t="s">
        <v>7118</v>
      </c>
      <c r="D4561" t="s">
        <v>12638</v>
      </c>
    </row>
    <row r="4562" spans="1:4" x14ac:dyDescent="0.25">
      <c r="A4562" t="s">
        <v>7119</v>
      </c>
      <c r="D4562" t="s">
        <v>12639</v>
      </c>
    </row>
    <row r="4563" spans="1:4" x14ac:dyDescent="0.25">
      <c r="A4563" t="s">
        <v>7120</v>
      </c>
      <c r="D4563" t="s">
        <v>12640</v>
      </c>
    </row>
    <row r="4564" spans="1:4" x14ac:dyDescent="0.25">
      <c r="A4564" t="s">
        <v>7121</v>
      </c>
      <c r="D4564" t="s">
        <v>12641</v>
      </c>
    </row>
    <row r="4565" spans="1:4" x14ac:dyDescent="0.25">
      <c r="A4565" t="s">
        <v>7122</v>
      </c>
      <c r="D4565" t="s">
        <v>12642</v>
      </c>
    </row>
    <row r="4566" spans="1:4" x14ac:dyDescent="0.25">
      <c r="A4566" t="s">
        <v>7123</v>
      </c>
      <c r="D4566" t="s">
        <v>12643</v>
      </c>
    </row>
    <row r="4567" spans="1:4" x14ac:dyDescent="0.25">
      <c r="A4567" t="s">
        <v>7124</v>
      </c>
      <c r="D4567" t="s">
        <v>12644</v>
      </c>
    </row>
    <row r="4568" spans="1:4" x14ac:dyDescent="0.25">
      <c r="A4568" t="s">
        <v>7125</v>
      </c>
      <c r="D4568" t="s">
        <v>12645</v>
      </c>
    </row>
    <row r="4569" spans="1:4" x14ac:dyDescent="0.25">
      <c r="A4569" t="s">
        <v>7126</v>
      </c>
      <c r="D4569" t="s">
        <v>12646</v>
      </c>
    </row>
    <row r="4570" spans="1:4" x14ac:dyDescent="0.25">
      <c r="A4570" t="s">
        <v>7127</v>
      </c>
      <c r="D4570" t="s">
        <v>12647</v>
      </c>
    </row>
    <row r="4571" spans="1:4" x14ac:dyDescent="0.25">
      <c r="A4571" t="s">
        <v>7128</v>
      </c>
      <c r="D4571" t="s">
        <v>12648</v>
      </c>
    </row>
    <row r="4572" spans="1:4" x14ac:dyDescent="0.25">
      <c r="A4572" t="s">
        <v>7129</v>
      </c>
      <c r="D4572" t="s">
        <v>12649</v>
      </c>
    </row>
    <row r="4573" spans="1:4" x14ac:dyDescent="0.25">
      <c r="A4573" t="s">
        <v>7130</v>
      </c>
      <c r="D4573" t="s">
        <v>12650</v>
      </c>
    </row>
    <row r="4574" spans="1:4" x14ac:dyDescent="0.25">
      <c r="A4574" t="s">
        <v>7131</v>
      </c>
      <c r="D4574" t="s">
        <v>12651</v>
      </c>
    </row>
    <row r="4575" spans="1:4" x14ac:dyDescent="0.25">
      <c r="A4575" t="s">
        <v>7132</v>
      </c>
      <c r="D4575" t="s">
        <v>12652</v>
      </c>
    </row>
    <row r="4576" spans="1:4" x14ac:dyDescent="0.25">
      <c r="A4576" t="s">
        <v>7133</v>
      </c>
      <c r="D4576" t="s">
        <v>12653</v>
      </c>
    </row>
    <row r="4577" spans="1:4" x14ac:dyDescent="0.25">
      <c r="A4577" t="s">
        <v>7134</v>
      </c>
      <c r="D4577" t="s">
        <v>12654</v>
      </c>
    </row>
    <row r="4578" spans="1:4" x14ac:dyDescent="0.25">
      <c r="A4578" t="s">
        <v>7135</v>
      </c>
      <c r="D4578" t="s">
        <v>12655</v>
      </c>
    </row>
    <row r="4579" spans="1:4" x14ac:dyDescent="0.25">
      <c r="A4579" t="s">
        <v>7136</v>
      </c>
      <c r="D4579" t="s">
        <v>12656</v>
      </c>
    </row>
    <row r="4580" spans="1:4" x14ac:dyDescent="0.25">
      <c r="A4580" t="s">
        <v>7137</v>
      </c>
      <c r="D4580" t="s">
        <v>12657</v>
      </c>
    </row>
    <row r="4581" spans="1:4" x14ac:dyDescent="0.25">
      <c r="A4581" t="s">
        <v>7138</v>
      </c>
      <c r="D4581" t="s">
        <v>12658</v>
      </c>
    </row>
    <row r="4582" spans="1:4" x14ac:dyDescent="0.25">
      <c r="A4582" t="s">
        <v>7139</v>
      </c>
      <c r="D4582" t="s">
        <v>12659</v>
      </c>
    </row>
    <row r="4583" spans="1:4" x14ac:dyDescent="0.25">
      <c r="A4583" t="s">
        <v>7140</v>
      </c>
      <c r="D4583" t="s">
        <v>12660</v>
      </c>
    </row>
    <row r="4584" spans="1:4" x14ac:dyDescent="0.25">
      <c r="A4584" t="s">
        <v>7141</v>
      </c>
      <c r="D4584" t="s">
        <v>12661</v>
      </c>
    </row>
    <row r="4585" spans="1:4" x14ac:dyDescent="0.25">
      <c r="A4585" t="s">
        <v>7142</v>
      </c>
      <c r="D4585" t="s">
        <v>12662</v>
      </c>
    </row>
    <row r="4586" spans="1:4" x14ac:dyDescent="0.25">
      <c r="A4586" t="s">
        <v>7143</v>
      </c>
      <c r="D4586" t="s">
        <v>12663</v>
      </c>
    </row>
    <row r="4587" spans="1:4" x14ac:dyDescent="0.25">
      <c r="A4587" t="s">
        <v>7144</v>
      </c>
      <c r="D4587" t="s">
        <v>12664</v>
      </c>
    </row>
    <row r="4588" spans="1:4" x14ac:dyDescent="0.25">
      <c r="A4588" t="s">
        <v>7145</v>
      </c>
      <c r="D4588" t="s">
        <v>12665</v>
      </c>
    </row>
    <row r="4589" spans="1:4" x14ac:dyDescent="0.25">
      <c r="A4589" t="s">
        <v>7146</v>
      </c>
      <c r="D4589" t="s">
        <v>12666</v>
      </c>
    </row>
    <row r="4590" spans="1:4" x14ac:dyDescent="0.25">
      <c r="A4590" t="s">
        <v>7147</v>
      </c>
      <c r="D4590" t="s">
        <v>12667</v>
      </c>
    </row>
    <row r="4591" spans="1:4" x14ac:dyDescent="0.25">
      <c r="A4591" t="s">
        <v>7148</v>
      </c>
      <c r="D4591" t="s">
        <v>12668</v>
      </c>
    </row>
    <row r="4592" spans="1:4" x14ac:dyDescent="0.25">
      <c r="A4592" t="s">
        <v>7149</v>
      </c>
      <c r="D4592" t="s">
        <v>12669</v>
      </c>
    </row>
    <row r="4593" spans="1:4" x14ac:dyDescent="0.25">
      <c r="A4593" t="s">
        <v>7150</v>
      </c>
      <c r="D4593" t="s">
        <v>12670</v>
      </c>
    </row>
    <row r="4594" spans="1:4" x14ac:dyDescent="0.25">
      <c r="A4594" t="s">
        <v>7151</v>
      </c>
      <c r="D4594" t="s">
        <v>12671</v>
      </c>
    </row>
    <row r="4595" spans="1:4" x14ac:dyDescent="0.25">
      <c r="A4595" t="s">
        <v>7152</v>
      </c>
      <c r="D4595" t="s">
        <v>12672</v>
      </c>
    </row>
    <row r="4596" spans="1:4" x14ac:dyDescent="0.25">
      <c r="A4596" t="s">
        <v>7153</v>
      </c>
      <c r="D4596" t="s">
        <v>12673</v>
      </c>
    </row>
    <row r="4597" spans="1:4" x14ac:dyDescent="0.25">
      <c r="A4597" t="s">
        <v>7154</v>
      </c>
      <c r="D4597" t="s">
        <v>12674</v>
      </c>
    </row>
    <row r="4598" spans="1:4" x14ac:dyDescent="0.25">
      <c r="A4598" t="s">
        <v>7155</v>
      </c>
      <c r="D4598" t="s">
        <v>12675</v>
      </c>
    </row>
    <row r="4599" spans="1:4" x14ac:dyDescent="0.25">
      <c r="A4599" t="s">
        <v>7156</v>
      </c>
      <c r="D4599" t="s">
        <v>12676</v>
      </c>
    </row>
    <row r="4600" spans="1:4" x14ac:dyDescent="0.25">
      <c r="A4600" t="s">
        <v>7157</v>
      </c>
      <c r="D4600" t="s">
        <v>12677</v>
      </c>
    </row>
    <row r="4601" spans="1:4" x14ac:dyDescent="0.25">
      <c r="A4601" t="s">
        <v>7158</v>
      </c>
      <c r="D4601" t="s">
        <v>12678</v>
      </c>
    </row>
    <row r="4602" spans="1:4" x14ac:dyDescent="0.25">
      <c r="A4602" t="s">
        <v>7159</v>
      </c>
      <c r="D4602" t="s">
        <v>12679</v>
      </c>
    </row>
    <row r="4603" spans="1:4" x14ac:dyDescent="0.25">
      <c r="A4603" t="s">
        <v>7160</v>
      </c>
      <c r="D4603" t="s">
        <v>12680</v>
      </c>
    </row>
    <row r="4604" spans="1:4" x14ac:dyDescent="0.25">
      <c r="A4604" t="s">
        <v>7161</v>
      </c>
      <c r="D4604" t="s">
        <v>12681</v>
      </c>
    </row>
    <row r="4605" spans="1:4" x14ac:dyDescent="0.25">
      <c r="A4605" t="s">
        <v>7162</v>
      </c>
      <c r="D4605" t="s">
        <v>12682</v>
      </c>
    </row>
    <row r="4606" spans="1:4" x14ac:dyDescent="0.25">
      <c r="A4606" t="s">
        <v>7163</v>
      </c>
      <c r="D4606" t="s">
        <v>12683</v>
      </c>
    </row>
    <row r="4607" spans="1:4" x14ac:dyDescent="0.25">
      <c r="A4607" t="s">
        <v>7164</v>
      </c>
      <c r="D4607" t="s">
        <v>12684</v>
      </c>
    </row>
    <row r="4608" spans="1:4" x14ac:dyDescent="0.25">
      <c r="A4608" t="s">
        <v>7165</v>
      </c>
      <c r="D4608" t="s">
        <v>12685</v>
      </c>
    </row>
    <row r="4609" spans="1:4" x14ac:dyDescent="0.25">
      <c r="A4609" t="s">
        <v>7166</v>
      </c>
      <c r="D4609" t="s">
        <v>12686</v>
      </c>
    </row>
    <row r="4610" spans="1:4" x14ac:dyDescent="0.25">
      <c r="A4610" t="s">
        <v>7167</v>
      </c>
      <c r="D4610" t="s">
        <v>12687</v>
      </c>
    </row>
    <row r="4611" spans="1:4" x14ac:dyDescent="0.25">
      <c r="A4611" t="s">
        <v>7168</v>
      </c>
      <c r="D4611" t="s">
        <v>12688</v>
      </c>
    </row>
    <row r="4612" spans="1:4" x14ac:dyDescent="0.25">
      <c r="A4612" t="s">
        <v>7169</v>
      </c>
      <c r="D4612" t="s">
        <v>12689</v>
      </c>
    </row>
    <row r="4613" spans="1:4" x14ac:dyDescent="0.25">
      <c r="A4613" t="s">
        <v>7170</v>
      </c>
      <c r="D4613" t="s">
        <v>12690</v>
      </c>
    </row>
    <row r="4614" spans="1:4" x14ac:dyDescent="0.25">
      <c r="A4614" t="s">
        <v>7171</v>
      </c>
      <c r="D4614" t="s">
        <v>12691</v>
      </c>
    </row>
    <row r="4615" spans="1:4" x14ac:dyDescent="0.25">
      <c r="A4615" t="s">
        <v>7172</v>
      </c>
      <c r="D4615" t="s">
        <v>12692</v>
      </c>
    </row>
    <row r="4616" spans="1:4" x14ac:dyDescent="0.25">
      <c r="A4616" t="s">
        <v>7173</v>
      </c>
      <c r="D4616" t="s">
        <v>12693</v>
      </c>
    </row>
    <row r="4617" spans="1:4" x14ac:dyDescent="0.25">
      <c r="A4617" t="s">
        <v>7174</v>
      </c>
      <c r="D4617" t="s">
        <v>12694</v>
      </c>
    </row>
    <row r="4618" spans="1:4" x14ac:dyDescent="0.25">
      <c r="A4618" t="s">
        <v>7175</v>
      </c>
      <c r="D4618" t="s">
        <v>12695</v>
      </c>
    </row>
    <row r="4619" spans="1:4" x14ac:dyDescent="0.25">
      <c r="A4619" t="s">
        <v>7176</v>
      </c>
      <c r="D4619" t="s">
        <v>12696</v>
      </c>
    </row>
    <row r="4620" spans="1:4" x14ac:dyDescent="0.25">
      <c r="A4620" t="s">
        <v>7177</v>
      </c>
      <c r="D4620" t="s">
        <v>12697</v>
      </c>
    </row>
    <row r="4621" spans="1:4" x14ac:dyDescent="0.25">
      <c r="A4621" t="s">
        <v>7178</v>
      </c>
      <c r="D4621" t="s">
        <v>12698</v>
      </c>
    </row>
    <row r="4622" spans="1:4" x14ac:dyDescent="0.25">
      <c r="A4622" t="s">
        <v>7179</v>
      </c>
      <c r="D4622" t="s">
        <v>12699</v>
      </c>
    </row>
    <row r="4623" spans="1:4" x14ac:dyDescent="0.25">
      <c r="A4623" t="s">
        <v>7180</v>
      </c>
      <c r="D4623" t="s">
        <v>12700</v>
      </c>
    </row>
    <row r="4624" spans="1:4" x14ac:dyDescent="0.25">
      <c r="A4624" t="s">
        <v>7181</v>
      </c>
      <c r="D4624" t="s">
        <v>12701</v>
      </c>
    </row>
    <row r="4625" spans="1:4" x14ac:dyDescent="0.25">
      <c r="A4625" t="s">
        <v>7182</v>
      </c>
      <c r="D4625" t="s">
        <v>12702</v>
      </c>
    </row>
    <row r="4626" spans="1:4" x14ac:dyDescent="0.25">
      <c r="A4626" t="s">
        <v>7183</v>
      </c>
      <c r="D4626" t="s">
        <v>12703</v>
      </c>
    </row>
    <row r="4627" spans="1:4" x14ac:dyDescent="0.25">
      <c r="A4627" t="s">
        <v>7184</v>
      </c>
      <c r="D4627" t="s">
        <v>12704</v>
      </c>
    </row>
    <row r="4628" spans="1:4" x14ac:dyDescent="0.25">
      <c r="A4628" t="s">
        <v>7185</v>
      </c>
      <c r="D4628" t="s">
        <v>12705</v>
      </c>
    </row>
    <row r="4629" spans="1:4" x14ac:dyDescent="0.25">
      <c r="A4629" t="s">
        <v>7186</v>
      </c>
      <c r="D4629" t="s">
        <v>12706</v>
      </c>
    </row>
    <row r="4630" spans="1:4" x14ac:dyDescent="0.25">
      <c r="A4630" t="s">
        <v>7187</v>
      </c>
      <c r="D4630" t="s">
        <v>12707</v>
      </c>
    </row>
    <row r="4631" spans="1:4" x14ac:dyDescent="0.25">
      <c r="A4631" t="s">
        <v>7188</v>
      </c>
      <c r="D4631" t="s">
        <v>12708</v>
      </c>
    </row>
    <row r="4632" spans="1:4" x14ac:dyDescent="0.25">
      <c r="A4632" t="s">
        <v>7189</v>
      </c>
      <c r="D4632" t="s">
        <v>12709</v>
      </c>
    </row>
    <row r="4633" spans="1:4" x14ac:dyDescent="0.25">
      <c r="A4633" t="s">
        <v>7190</v>
      </c>
      <c r="D4633" t="s">
        <v>12710</v>
      </c>
    </row>
    <row r="4634" spans="1:4" x14ac:dyDescent="0.25">
      <c r="A4634" t="s">
        <v>7191</v>
      </c>
      <c r="D4634" t="s">
        <v>12711</v>
      </c>
    </row>
    <row r="4635" spans="1:4" x14ac:dyDescent="0.25">
      <c r="A4635" t="s">
        <v>7192</v>
      </c>
      <c r="D4635" t="s">
        <v>12712</v>
      </c>
    </row>
    <row r="4636" spans="1:4" x14ac:dyDescent="0.25">
      <c r="A4636" t="s">
        <v>7193</v>
      </c>
      <c r="D4636" t="s">
        <v>12713</v>
      </c>
    </row>
    <row r="4637" spans="1:4" x14ac:dyDescent="0.25">
      <c r="A4637" t="s">
        <v>7194</v>
      </c>
      <c r="D4637" t="s">
        <v>12714</v>
      </c>
    </row>
    <row r="4638" spans="1:4" x14ac:dyDescent="0.25">
      <c r="A4638" t="s">
        <v>7195</v>
      </c>
      <c r="D4638" t="s">
        <v>12715</v>
      </c>
    </row>
    <row r="4639" spans="1:4" x14ac:dyDescent="0.25">
      <c r="A4639" t="s">
        <v>7196</v>
      </c>
      <c r="D4639" t="s">
        <v>12716</v>
      </c>
    </row>
    <row r="4640" spans="1:4" x14ac:dyDescent="0.25">
      <c r="A4640" t="s">
        <v>7197</v>
      </c>
      <c r="D4640" t="s">
        <v>12717</v>
      </c>
    </row>
    <row r="4641" spans="1:4" x14ac:dyDescent="0.25">
      <c r="A4641" t="s">
        <v>7198</v>
      </c>
      <c r="D4641" t="s">
        <v>12718</v>
      </c>
    </row>
    <row r="4642" spans="1:4" x14ac:dyDescent="0.25">
      <c r="A4642" t="s">
        <v>7199</v>
      </c>
      <c r="D4642" t="s">
        <v>12719</v>
      </c>
    </row>
    <row r="4643" spans="1:4" x14ac:dyDescent="0.25">
      <c r="A4643" t="s">
        <v>7200</v>
      </c>
      <c r="D4643" t="s">
        <v>12720</v>
      </c>
    </row>
    <row r="4644" spans="1:4" x14ac:dyDescent="0.25">
      <c r="A4644" t="s">
        <v>7201</v>
      </c>
      <c r="D4644" t="s">
        <v>12721</v>
      </c>
    </row>
    <row r="4645" spans="1:4" x14ac:dyDescent="0.25">
      <c r="A4645" t="s">
        <v>7202</v>
      </c>
      <c r="D4645" t="s">
        <v>12722</v>
      </c>
    </row>
    <row r="4646" spans="1:4" x14ac:dyDescent="0.25">
      <c r="A4646" t="s">
        <v>7203</v>
      </c>
      <c r="D4646" t="s">
        <v>12723</v>
      </c>
    </row>
    <row r="4647" spans="1:4" x14ac:dyDescent="0.25">
      <c r="A4647" t="s">
        <v>7204</v>
      </c>
      <c r="D4647" t="s">
        <v>12724</v>
      </c>
    </row>
    <row r="4648" spans="1:4" x14ac:dyDescent="0.25">
      <c r="A4648" t="s">
        <v>7205</v>
      </c>
      <c r="D4648" t="s">
        <v>12725</v>
      </c>
    </row>
    <row r="4649" spans="1:4" x14ac:dyDescent="0.25">
      <c r="A4649" t="s">
        <v>7206</v>
      </c>
      <c r="D4649" t="s">
        <v>12726</v>
      </c>
    </row>
    <row r="4650" spans="1:4" x14ac:dyDescent="0.25">
      <c r="A4650" t="s">
        <v>7207</v>
      </c>
      <c r="D4650" t="s">
        <v>12727</v>
      </c>
    </row>
    <row r="4651" spans="1:4" x14ac:dyDescent="0.25">
      <c r="A4651" t="s">
        <v>7208</v>
      </c>
      <c r="D4651" t="s">
        <v>12728</v>
      </c>
    </row>
    <row r="4652" spans="1:4" x14ac:dyDescent="0.25">
      <c r="A4652" t="s">
        <v>7209</v>
      </c>
      <c r="D4652" t="s">
        <v>12729</v>
      </c>
    </row>
    <row r="4653" spans="1:4" x14ac:dyDescent="0.25">
      <c r="A4653" t="s">
        <v>7210</v>
      </c>
      <c r="D4653" t="s">
        <v>12730</v>
      </c>
    </row>
    <row r="4654" spans="1:4" x14ac:dyDescent="0.25">
      <c r="A4654" t="s">
        <v>7211</v>
      </c>
      <c r="D4654" t="s">
        <v>12731</v>
      </c>
    </row>
    <row r="4655" spans="1:4" x14ac:dyDescent="0.25">
      <c r="A4655" t="s">
        <v>7212</v>
      </c>
      <c r="D4655" t="s">
        <v>12732</v>
      </c>
    </row>
    <row r="4656" spans="1:4" x14ac:dyDescent="0.25">
      <c r="A4656" t="s">
        <v>7213</v>
      </c>
      <c r="D4656" t="s">
        <v>12733</v>
      </c>
    </row>
    <row r="4657" spans="1:4" x14ac:dyDescent="0.25">
      <c r="A4657" t="s">
        <v>7214</v>
      </c>
      <c r="D4657" t="s">
        <v>12734</v>
      </c>
    </row>
    <row r="4658" spans="1:4" x14ac:dyDescent="0.25">
      <c r="A4658" t="s">
        <v>7215</v>
      </c>
      <c r="D4658" t="s">
        <v>12735</v>
      </c>
    </row>
    <row r="4659" spans="1:4" x14ac:dyDescent="0.25">
      <c r="A4659" t="s">
        <v>7216</v>
      </c>
      <c r="D4659" t="s">
        <v>12736</v>
      </c>
    </row>
    <row r="4660" spans="1:4" x14ac:dyDescent="0.25">
      <c r="A4660" t="s">
        <v>7217</v>
      </c>
      <c r="D4660" t="s">
        <v>12737</v>
      </c>
    </row>
    <row r="4661" spans="1:4" x14ac:dyDescent="0.25">
      <c r="A4661" t="s">
        <v>7218</v>
      </c>
      <c r="D4661" t="s">
        <v>12738</v>
      </c>
    </row>
    <row r="4662" spans="1:4" x14ac:dyDescent="0.25">
      <c r="A4662" t="s">
        <v>7219</v>
      </c>
      <c r="D4662" t="s">
        <v>12739</v>
      </c>
    </row>
    <row r="4663" spans="1:4" x14ac:dyDescent="0.25">
      <c r="A4663" t="s">
        <v>7220</v>
      </c>
      <c r="D4663" t="s">
        <v>12740</v>
      </c>
    </row>
    <row r="4664" spans="1:4" x14ac:dyDescent="0.25">
      <c r="A4664" t="s">
        <v>7221</v>
      </c>
      <c r="D4664" t="s">
        <v>12741</v>
      </c>
    </row>
    <row r="4665" spans="1:4" x14ac:dyDescent="0.25">
      <c r="A4665" t="s">
        <v>7222</v>
      </c>
      <c r="D4665" t="s">
        <v>12742</v>
      </c>
    </row>
    <row r="4666" spans="1:4" x14ac:dyDescent="0.25">
      <c r="A4666" t="s">
        <v>7223</v>
      </c>
      <c r="D4666" t="s">
        <v>12743</v>
      </c>
    </row>
    <row r="4667" spans="1:4" x14ac:dyDescent="0.25">
      <c r="A4667" t="s">
        <v>7224</v>
      </c>
      <c r="D4667" t="s">
        <v>12744</v>
      </c>
    </row>
    <row r="4668" spans="1:4" x14ac:dyDescent="0.25">
      <c r="A4668" t="s">
        <v>7225</v>
      </c>
      <c r="D4668" t="s">
        <v>12745</v>
      </c>
    </row>
    <row r="4669" spans="1:4" x14ac:dyDescent="0.25">
      <c r="A4669" t="s">
        <v>7226</v>
      </c>
      <c r="D4669" t="s">
        <v>12746</v>
      </c>
    </row>
    <row r="4670" spans="1:4" x14ac:dyDescent="0.25">
      <c r="A4670" t="s">
        <v>7227</v>
      </c>
      <c r="D4670" t="s">
        <v>12747</v>
      </c>
    </row>
    <row r="4671" spans="1:4" x14ac:dyDescent="0.25">
      <c r="A4671" t="s">
        <v>7228</v>
      </c>
      <c r="D4671" t="s">
        <v>12748</v>
      </c>
    </row>
    <row r="4672" spans="1:4" x14ac:dyDescent="0.25">
      <c r="A4672" t="s">
        <v>7229</v>
      </c>
      <c r="D4672" t="s">
        <v>12749</v>
      </c>
    </row>
    <row r="4673" spans="1:4" x14ac:dyDescent="0.25">
      <c r="A4673" t="s">
        <v>7230</v>
      </c>
      <c r="D4673" t="s">
        <v>12750</v>
      </c>
    </row>
    <row r="4674" spans="1:4" x14ac:dyDescent="0.25">
      <c r="A4674" t="s">
        <v>7231</v>
      </c>
      <c r="D4674" t="s">
        <v>12751</v>
      </c>
    </row>
    <row r="4675" spans="1:4" x14ac:dyDescent="0.25">
      <c r="A4675" t="s">
        <v>7232</v>
      </c>
      <c r="D4675" t="s">
        <v>12752</v>
      </c>
    </row>
    <row r="4676" spans="1:4" x14ac:dyDescent="0.25">
      <c r="A4676" t="s">
        <v>7233</v>
      </c>
      <c r="D4676" t="s">
        <v>12753</v>
      </c>
    </row>
    <row r="4677" spans="1:4" x14ac:dyDescent="0.25">
      <c r="A4677" t="s">
        <v>7234</v>
      </c>
      <c r="D4677" t="s">
        <v>12754</v>
      </c>
    </row>
    <row r="4678" spans="1:4" x14ac:dyDescent="0.25">
      <c r="A4678" t="s">
        <v>7235</v>
      </c>
      <c r="D4678" t="s">
        <v>12755</v>
      </c>
    </row>
    <row r="4679" spans="1:4" x14ac:dyDescent="0.25">
      <c r="A4679" t="s">
        <v>7236</v>
      </c>
      <c r="D4679" t="s">
        <v>12756</v>
      </c>
    </row>
    <row r="4680" spans="1:4" x14ac:dyDescent="0.25">
      <c r="A4680" t="s">
        <v>7237</v>
      </c>
      <c r="D4680" t="s">
        <v>12757</v>
      </c>
    </row>
    <row r="4681" spans="1:4" x14ac:dyDescent="0.25">
      <c r="A4681" t="s">
        <v>7238</v>
      </c>
      <c r="D4681" t="s">
        <v>12758</v>
      </c>
    </row>
    <row r="4682" spans="1:4" x14ac:dyDescent="0.25">
      <c r="A4682" t="s">
        <v>7239</v>
      </c>
      <c r="D4682" t="s">
        <v>12759</v>
      </c>
    </row>
    <row r="4683" spans="1:4" x14ac:dyDescent="0.25">
      <c r="A4683" t="s">
        <v>7240</v>
      </c>
      <c r="D4683" t="s">
        <v>12760</v>
      </c>
    </row>
    <row r="4684" spans="1:4" x14ac:dyDescent="0.25">
      <c r="A4684" t="s">
        <v>7241</v>
      </c>
      <c r="D4684" t="s">
        <v>12761</v>
      </c>
    </row>
    <row r="4685" spans="1:4" x14ac:dyDescent="0.25">
      <c r="A4685" t="s">
        <v>7242</v>
      </c>
      <c r="D4685" t="s">
        <v>12762</v>
      </c>
    </row>
    <row r="4686" spans="1:4" x14ac:dyDescent="0.25">
      <c r="A4686" t="s">
        <v>7243</v>
      </c>
      <c r="D4686" t="s">
        <v>12763</v>
      </c>
    </row>
    <row r="4687" spans="1:4" x14ac:dyDescent="0.25">
      <c r="A4687" t="s">
        <v>7244</v>
      </c>
      <c r="D4687" t="s">
        <v>12764</v>
      </c>
    </row>
    <row r="4688" spans="1:4" x14ac:dyDescent="0.25">
      <c r="A4688" t="s">
        <v>7245</v>
      </c>
      <c r="D4688" t="s">
        <v>12765</v>
      </c>
    </row>
    <row r="4689" spans="1:4" x14ac:dyDescent="0.25">
      <c r="A4689" t="s">
        <v>7246</v>
      </c>
      <c r="D4689" t="s">
        <v>12766</v>
      </c>
    </row>
    <row r="4690" spans="1:4" x14ac:dyDescent="0.25">
      <c r="A4690" t="s">
        <v>7247</v>
      </c>
      <c r="D4690" t="s">
        <v>12767</v>
      </c>
    </row>
    <row r="4691" spans="1:4" x14ac:dyDescent="0.25">
      <c r="A4691" t="s">
        <v>7248</v>
      </c>
      <c r="D4691" t="s">
        <v>12768</v>
      </c>
    </row>
    <row r="4692" spans="1:4" x14ac:dyDescent="0.25">
      <c r="A4692" t="s">
        <v>7249</v>
      </c>
      <c r="D4692" t="s">
        <v>12769</v>
      </c>
    </row>
    <row r="4693" spans="1:4" x14ac:dyDescent="0.25">
      <c r="A4693" t="s">
        <v>7250</v>
      </c>
      <c r="D4693" t="s">
        <v>12770</v>
      </c>
    </row>
    <row r="4694" spans="1:4" x14ac:dyDescent="0.25">
      <c r="A4694" t="s">
        <v>7251</v>
      </c>
      <c r="D4694" t="s">
        <v>12771</v>
      </c>
    </row>
    <row r="4695" spans="1:4" x14ac:dyDescent="0.25">
      <c r="A4695" t="s">
        <v>7252</v>
      </c>
      <c r="D4695" t="s">
        <v>12772</v>
      </c>
    </row>
    <row r="4696" spans="1:4" x14ac:dyDescent="0.25">
      <c r="A4696" t="s">
        <v>7253</v>
      </c>
      <c r="D4696" t="s">
        <v>12773</v>
      </c>
    </row>
    <row r="4697" spans="1:4" x14ac:dyDescent="0.25">
      <c r="A4697" t="s">
        <v>7254</v>
      </c>
      <c r="D4697" t="s">
        <v>12774</v>
      </c>
    </row>
    <row r="4698" spans="1:4" x14ac:dyDescent="0.25">
      <c r="A4698" t="s">
        <v>7255</v>
      </c>
      <c r="D4698" t="s">
        <v>12775</v>
      </c>
    </row>
    <row r="4699" spans="1:4" x14ac:dyDescent="0.25">
      <c r="A4699" t="s">
        <v>7256</v>
      </c>
      <c r="D4699" t="s">
        <v>12776</v>
      </c>
    </row>
    <row r="4700" spans="1:4" x14ac:dyDescent="0.25">
      <c r="A4700" t="s">
        <v>7257</v>
      </c>
      <c r="D4700" t="s">
        <v>12777</v>
      </c>
    </row>
    <row r="4701" spans="1:4" x14ac:dyDescent="0.25">
      <c r="A4701" t="s">
        <v>7258</v>
      </c>
      <c r="D4701" t="s">
        <v>12778</v>
      </c>
    </row>
    <row r="4702" spans="1:4" x14ac:dyDescent="0.25">
      <c r="A4702" t="s">
        <v>7259</v>
      </c>
      <c r="D4702" t="s">
        <v>12779</v>
      </c>
    </row>
    <row r="4703" spans="1:4" x14ac:dyDescent="0.25">
      <c r="A4703" t="s">
        <v>7260</v>
      </c>
      <c r="D4703" t="s">
        <v>12780</v>
      </c>
    </row>
    <row r="4704" spans="1:4" x14ac:dyDescent="0.25">
      <c r="A4704" t="s">
        <v>7261</v>
      </c>
      <c r="D4704" t="s">
        <v>12781</v>
      </c>
    </row>
    <row r="4705" spans="1:4" x14ac:dyDescent="0.25">
      <c r="A4705" t="s">
        <v>7262</v>
      </c>
      <c r="D4705" t="s">
        <v>12782</v>
      </c>
    </row>
    <row r="4706" spans="1:4" x14ac:dyDescent="0.25">
      <c r="A4706" t="s">
        <v>7263</v>
      </c>
      <c r="D4706" t="s">
        <v>12783</v>
      </c>
    </row>
    <row r="4707" spans="1:4" x14ac:dyDescent="0.25">
      <c r="A4707" t="s">
        <v>7264</v>
      </c>
      <c r="D4707" t="s">
        <v>12784</v>
      </c>
    </row>
    <row r="4708" spans="1:4" x14ac:dyDescent="0.25">
      <c r="A4708" t="s">
        <v>7265</v>
      </c>
      <c r="D4708" t="s">
        <v>12785</v>
      </c>
    </row>
    <row r="4709" spans="1:4" x14ac:dyDescent="0.25">
      <c r="A4709" t="s">
        <v>7266</v>
      </c>
      <c r="D4709" t="s">
        <v>12786</v>
      </c>
    </row>
    <row r="4710" spans="1:4" x14ac:dyDescent="0.25">
      <c r="A4710" t="s">
        <v>7267</v>
      </c>
      <c r="D4710" t="s">
        <v>12787</v>
      </c>
    </row>
    <row r="4711" spans="1:4" x14ac:dyDescent="0.25">
      <c r="A4711" t="s">
        <v>7268</v>
      </c>
      <c r="D4711" t="s">
        <v>12788</v>
      </c>
    </row>
    <row r="4712" spans="1:4" x14ac:dyDescent="0.25">
      <c r="A4712" t="s">
        <v>7269</v>
      </c>
      <c r="D4712" t="s">
        <v>12789</v>
      </c>
    </row>
    <row r="4713" spans="1:4" x14ac:dyDescent="0.25">
      <c r="A4713" t="s">
        <v>7270</v>
      </c>
      <c r="D4713" t="s">
        <v>12790</v>
      </c>
    </row>
    <row r="4714" spans="1:4" x14ac:dyDescent="0.25">
      <c r="A4714" t="s">
        <v>7271</v>
      </c>
      <c r="D4714" t="s">
        <v>12791</v>
      </c>
    </row>
    <row r="4715" spans="1:4" x14ac:dyDescent="0.25">
      <c r="A4715" t="s">
        <v>7272</v>
      </c>
      <c r="D4715" t="s">
        <v>12792</v>
      </c>
    </row>
    <row r="4716" spans="1:4" x14ac:dyDescent="0.25">
      <c r="A4716" t="s">
        <v>7273</v>
      </c>
      <c r="D4716" t="s">
        <v>12793</v>
      </c>
    </row>
    <row r="4717" spans="1:4" x14ac:dyDescent="0.25">
      <c r="A4717" t="s">
        <v>7274</v>
      </c>
      <c r="D4717" t="s">
        <v>12794</v>
      </c>
    </row>
    <row r="4718" spans="1:4" x14ac:dyDescent="0.25">
      <c r="A4718" t="s">
        <v>7275</v>
      </c>
      <c r="D4718" t="s">
        <v>12795</v>
      </c>
    </row>
    <row r="4719" spans="1:4" x14ac:dyDescent="0.25">
      <c r="A4719" t="s">
        <v>7276</v>
      </c>
      <c r="D4719" t="s">
        <v>12796</v>
      </c>
    </row>
    <row r="4720" spans="1:4" x14ac:dyDescent="0.25">
      <c r="A4720" t="s">
        <v>7277</v>
      </c>
      <c r="D4720" t="s">
        <v>12797</v>
      </c>
    </row>
    <row r="4721" spans="1:4" x14ac:dyDescent="0.25">
      <c r="A4721" t="s">
        <v>7278</v>
      </c>
      <c r="D4721" t="s">
        <v>12798</v>
      </c>
    </row>
    <row r="4722" spans="1:4" x14ac:dyDescent="0.25">
      <c r="A4722" t="s">
        <v>7279</v>
      </c>
      <c r="D4722" t="s">
        <v>12799</v>
      </c>
    </row>
    <row r="4723" spans="1:4" x14ac:dyDescent="0.25">
      <c r="A4723" t="s">
        <v>7280</v>
      </c>
      <c r="D4723" t="s">
        <v>12800</v>
      </c>
    </row>
    <row r="4724" spans="1:4" x14ac:dyDescent="0.25">
      <c r="A4724" t="s">
        <v>7281</v>
      </c>
      <c r="D4724" t="s">
        <v>12801</v>
      </c>
    </row>
    <row r="4725" spans="1:4" x14ac:dyDescent="0.25">
      <c r="A4725" t="s">
        <v>7282</v>
      </c>
      <c r="D4725" t="s">
        <v>12802</v>
      </c>
    </row>
    <row r="4726" spans="1:4" x14ac:dyDescent="0.25">
      <c r="A4726" t="s">
        <v>7283</v>
      </c>
      <c r="D4726" t="s">
        <v>12803</v>
      </c>
    </row>
    <row r="4727" spans="1:4" x14ac:dyDescent="0.25">
      <c r="A4727" t="s">
        <v>7284</v>
      </c>
      <c r="D4727" t="s">
        <v>12804</v>
      </c>
    </row>
    <row r="4728" spans="1:4" x14ac:dyDescent="0.25">
      <c r="A4728" t="s">
        <v>7285</v>
      </c>
      <c r="D4728" t="s">
        <v>12805</v>
      </c>
    </row>
    <row r="4729" spans="1:4" x14ac:dyDescent="0.25">
      <c r="A4729" t="s">
        <v>7286</v>
      </c>
      <c r="D4729" t="s">
        <v>12806</v>
      </c>
    </row>
    <row r="4730" spans="1:4" x14ac:dyDescent="0.25">
      <c r="A4730" t="s">
        <v>7287</v>
      </c>
      <c r="D4730" t="s">
        <v>12807</v>
      </c>
    </row>
    <row r="4731" spans="1:4" x14ac:dyDescent="0.25">
      <c r="A4731" t="s">
        <v>7288</v>
      </c>
      <c r="D4731" t="s">
        <v>12808</v>
      </c>
    </row>
    <row r="4732" spans="1:4" x14ac:dyDescent="0.25">
      <c r="A4732" t="s">
        <v>7289</v>
      </c>
      <c r="D4732" t="s">
        <v>12809</v>
      </c>
    </row>
    <row r="4733" spans="1:4" x14ac:dyDescent="0.25">
      <c r="A4733" t="s">
        <v>7290</v>
      </c>
      <c r="D4733" t="s">
        <v>12810</v>
      </c>
    </row>
    <row r="4734" spans="1:4" x14ac:dyDescent="0.25">
      <c r="A4734" t="s">
        <v>7291</v>
      </c>
      <c r="D4734" t="s">
        <v>12811</v>
      </c>
    </row>
    <row r="4735" spans="1:4" x14ac:dyDescent="0.25">
      <c r="A4735" t="s">
        <v>7292</v>
      </c>
      <c r="D4735" t="s">
        <v>12812</v>
      </c>
    </row>
    <row r="4736" spans="1:4" x14ac:dyDescent="0.25">
      <c r="A4736" t="s">
        <v>7293</v>
      </c>
      <c r="D4736" t="s">
        <v>12813</v>
      </c>
    </row>
    <row r="4737" spans="1:4" x14ac:dyDescent="0.25">
      <c r="A4737" t="s">
        <v>7294</v>
      </c>
      <c r="D4737" t="s">
        <v>12814</v>
      </c>
    </row>
    <row r="4738" spans="1:4" x14ac:dyDescent="0.25">
      <c r="A4738" t="s">
        <v>7295</v>
      </c>
      <c r="D4738" t="s">
        <v>12815</v>
      </c>
    </row>
    <row r="4739" spans="1:4" x14ac:dyDescent="0.25">
      <c r="A4739" t="s">
        <v>7296</v>
      </c>
      <c r="D4739" t="s">
        <v>12816</v>
      </c>
    </row>
    <row r="4740" spans="1:4" x14ac:dyDescent="0.25">
      <c r="A4740" t="s">
        <v>7297</v>
      </c>
      <c r="D4740" t="s">
        <v>12817</v>
      </c>
    </row>
    <row r="4741" spans="1:4" x14ac:dyDescent="0.25">
      <c r="A4741" t="s">
        <v>7298</v>
      </c>
      <c r="D4741" t="s">
        <v>12818</v>
      </c>
    </row>
    <row r="4742" spans="1:4" x14ac:dyDescent="0.25">
      <c r="A4742" t="s">
        <v>7299</v>
      </c>
      <c r="D4742" t="s">
        <v>12819</v>
      </c>
    </row>
    <row r="4743" spans="1:4" x14ac:dyDescent="0.25">
      <c r="A4743" t="s">
        <v>7300</v>
      </c>
      <c r="D4743" t="s">
        <v>12820</v>
      </c>
    </row>
    <row r="4744" spans="1:4" x14ac:dyDescent="0.25">
      <c r="A4744" t="s">
        <v>7301</v>
      </c>
      <c r="D4744" t="s">
        <v>12821</v>
      </c>
    </row>
    <row r="4745" spans="1:4" x14ac:dyDescent="0.25">
      <c r="A4745" t="s">
        <v>7302</v>
      </c>
      <c r="D4745" t="s">
        <v>12822</v>
      </c>
    </row>
    <row r="4746" spans="1:4" x14ac:dyDescent="0.25">
      <c r="A4746" t="s">
        <v>7303</v>
      </c>
      <c r="D4746" t="s">
        <v>12823</v>
      </c>
    </row>
    <row r="4747" spans="1:4" x14ac:dyDescent="0.25">
      <c r="A4747" t="s">
        <v>7304</v>
      </c>
      <c r="D4747" t="s">
        <v>12824</v>
      </c>
    </row>
    <row r="4748" spans="1:4" x14ac:dyDescent="0.25">
      <c r="A4748" t="s">
        <v>7305</v>
      </c>
      <c r="D4748" t="s">
        <v>12825</v>
      </c>
    </row>
    <row r="4749" spans="1:4" x14ac:dyDescent="0.25">
      <c r="A4749" t="s">
        <v>7306</v>
      </c>
      <c r="D4749" t="s">
        <v>12826</v>
      </c>
    </row>
    <row r="4750" spans="1:4" x14ac:dyDescent="0.25">
      <c r="A4750" t="s">
        <v>7307</v>
      </c>
      <c r="D4750" t="s">
        <v>12827</v>
      </c>
    </row>
    <row r="4751" spans="1:4" x14ac:dyDescent="0.25">
      <c r="A4751" t="s">
        <v>7308</v>
      </c>
      <c r="D4751" t="s">
        <v>12828</v>
      </c>
    </row>
    <row r="4752" spans="1:4" x14ac:dyDescent="0.25">
      <c r="A4752" t="s">
        <v>7309</v>
      </c>
      <c r="D4752" t="s">
        <v>12829</v>
      </c>
    </row>
    <row r="4753" spans="1:4" x14ac:dyDescent="0.25">
      <c r="A4753" t="s">
        <v>7310</v>
      </c>
      <c r="D4753" t="s">
        <v>12830</v>
      </c>
    </row>
    <row r="4754" spans="1:4" x14ac:dyDescent="0.25">
      <c r="A4754" t="s">
        <v>7311</v>
      </c>
      <c r="D4754" t="s">
        <v>12831</v>
      </c>
    </row>
    <row r="4755" spans="1:4" x14ac:dyDescent="0.25">
      <c r="A4755" t="s">
        <v>7312</v>
      </c>
      <c r="D4755" t="s">
        <v>12832</v>
      </c>
    </row>
    <row r="4756" spans="1:4" x14ac:dyDescent="0.25">
      <c r="A4756" t="s">
        <v>7313</v>
      </c>
      <c r="D4756" t="s">
        <v>12833</v>
      </c>
    </row>
    <row r="4757" spans="1:4" x14ac:dyDescent="0.25">
      <c r="A4757" t="s">
        <v>7314</v>
      </c>
      <c r="D4757" t="s">
        <v>12834</v>
      </c>
    </row>
    <row r="4758" spans="1:4" x14ac:dyDescent="0.25">
      <c r="A4758" t="s">
        <v>7315</v>
      </c>
      <c r="D4758" t="s">
        <v>12835</v>
      </c>
    </row>
    <row r="4759" spans="1:4" x14ac:dyDescent="0.25">
      <c r="A4759" t="s">
        <v>7316</v>
      </c>
      <c r="D4759" t="s">
        <v>12836</v>
      </c>
    </row>
    <row r="4760" spans="1:4" x14ac:dyDescent="0.25">
      <c r="A4760" t="s">
        <v>7317</v>
      </c>
      <c r="D4760" t="s">
        <v>12837</v>
      </c>
    </row>
    <row r="4761" spans="1:4" x14ac:dyDescent="0.25">
      <c r="A4761" t="s">
        <v>7318</v>
      </c>
      <c r="D4761" t="s">
        <v>12838</v>
      </c>
    </row>
    <row r="4762" spans="1:4" x14ac:dyDescent="0.25">
      <c r="A4762" t="s">
        <v>7319</v>
      </c>
      <c r="D4762" t="s">
        <v>12839</v>
      </c>
    </row>
    <row r="4763" spans="1:4" x14ac:dyDescent="0.25">
      <c r="A4763" t="s">
        <v>7320</v>
      </c>
      <c r="D4763" t="s">
        <v>12840</v>
      </c>
    </row>
    <row r="4764" spans="1:4" x14ac:dyDescent="0.25">
      <c r="A4764" t="s">
        <v>7321</v>
      </c>
      <c r="D4764" t="s">
        <v>12841</v>
      </c>
    </row>
    <row r="4765" spans="1:4" x14ac:dyDescent="0.25">
      <c r="A4765" t="s">
        <v>7322</v>
      </c>
      <c r="D4765" t="s">
        <v>12842</v>
      </c>
    </row>
    <row r="4766" spans="1:4" x14ac:dyDescent="0.25">
      <c r="A4766" t="s">
        <v>7323</v>
      </c>
      <c r="D4766" t="s">
        <v>12843</v>
      </c>
    </row>
    <row r="4767" spans="1:4" x14ac:dyDescent="0.25">
      <c r="A4767" t="s">
        <v>7324</v>
      </c>
      <c r="D4767" t="s">
        <v>12844</v>
      </c>
    </row>
    <row r="4768" spans="1:4" x14ac:dyDescent="0.25">
      <c r="A4768" t="s">
        <v>7325</v>
      </c>
      <c r="D4768" t="s">
        <v>12845</v>
      </c>
    </row>
    <row r="4769" spans="1:4" x14ac:dyDescent="0.25">
      <c r="A4769" t="s">
        <v>7326</v>
      </c>
      <c r="D4769" t="s">
        <v>12846</v>
      </c>
    </row>
    <row r="4770" spans="1:4" x14ac:dyDescent="0.25">
      <c r="A4770" t="s">
        <v>7327</v>
      </c>
      <c r="D4770" t="s">
        <v>12847</v>
      </c>
    </row>
    <row r="4771" spans="1:4" x14ac:dyDescent="0.25">
      <c r="A4771" t="s">
        <v>7328</v>
      </c>
      <c r="D4771" t="s">
        <v>12848</v>
      </c>
    </row>
    <row r="4772" spans="1:4" x14ac:dyDescent="0.25">
      <c r="A4772" t="s">
        <v>7329</v>
      </c>
      <c r="D4772" t="s">
        <v>12849</v>
      </c>
    </row>
    <row r="4773" spans="1:4" x14ac:dyDescent="0.25">
      <c r="A4773" t="s">
        <v>7330</v>
      </c>
      <c r="D4773" t="s">
        <v>12850</v>
      </c>
    </row>
    <row r="4774" spans="1:4" x14ac:dyDescent="0.25">
      <c r="A4774" t="s">
        <v>7331</v>
      </c>
      <c r="D4774" t="s">
        <v>12851</v>
      </c>
    </row>
    <row r="4775" spans="1:4" x14ac:dyDescent="0.25">
      <c r="A4775" t="s">
        <v>7332</v>
      </c>
      <c r="D4775" t="s">
        <v>12852</v>
      </c>
    </row>
    <row r="4776" spans="1:4" x14ac:dyDescent="0.25">
      <c r="A4776" t="s">
        <v>7333</v>
      </c>
      <c r="D4776" t="s">
        <v>12853</v>
      </c>
    </row>
    <row r="4777" spans="1:4" x14ac:dyDescent="0.25">
      <c r="A4777" t="s">
        <v>7334</v>
      </c>
      <c r="D4777" t="s">
        <v>12854</v>
      </c>
    </row>
    <row r="4778" spans="1:4" x14ac:dyDescent="0.25">
      <c r="A4778" t="s">
        <v>7335</v>
      </c>
      <c r="D4778" t="s">
        <v>12855</v>
      </c>
    </row>
    <row r="4779" spans="1:4" x14ac:dyDescent="0.25">
      <c r="A4779" t="s">
        <v>7336</v>
      </c>
      <c r="D4779" t="s">
        <v>12856</v>
      </c>
    </row>
    <row r="4780" spans="1:4" x14ac:dyDescent="0.25">
      <c r="A4780" t="s">
        <v>7337</v>
      </c>
      <c r="D4780" t="s">
        <v>12857</v>
      </c>
    </row>
    <row r="4781" spans="1:4" x14ac:dyDescent="0.25">
      <c r="A4781" t="s">
        <v>7338</v>
      </c>
      <c r="D4781" t="s">
        <v>12858</v>
      </c>
    </row>
    <row r="4782" spans="1:4" x14ac:dyDescent="0.25">
      <c r="A4782" t="s">
        <v>7339</v>
      </c>
      <c r="D4782" t="s">
        <v>12859</v>
      </c>
    </row>
    <row r="4783" spans="1:4" x14ac:dyDescent="0.25">
      <c r="A4783" t="s">
        <v>7340</v>
      </c>
      <c r="D4783" t="s">
        <v>12860</v>
      </c>
    </row>
    <row r="4784" spans="1:4" x14ac:dyDescent="0.25">
      <c r="A4784" t="s">
        <v>7341</v>
      </c>
      <c r="D4784" t="s">
        <v>12861</v>
      </c>
    </row>
    <row r="4785" spans="1:4" x14ac:dyDescent="0.25">
      <c r="A4785" t="s">
        <v>7342</v>
      </c>
      <c r="D4785" t="s">
        <v>12862</v>
      </c>
    </row>
    <row r="4786" spans="1:4" x14ac:dyDescent="0.25">
      <c r="A4786" t="s">
        <v>7343</v>
      </c>
      <c r="D4786" t="s">
        <v>12863</v>
      </c>
    </row>
    <row r="4787" spans="1:4" x14ac:dyDescent="0.25">
      <c r="A4787" t="s">
        <v>7344</v>
      </c>
      <c r="D4787" t="s">
        <v>12864</v>
      </c>
    </row>
    <row r="4788" spans="1:4" x14ac:dyDescent="0.25">
      <c r="A4788" t="s">
        <v>7345</v>
      </c>
      <c r="D4788" t="s">
        <v>12865</v>
      </c>
    </row>
    <row r="4789" spans="1:4" x14ac:dyDescent="0.25">
      <c r="A4789" t="s">
        <v>7346</v>
      </c>
      <c r="D4789" t="s">
        <v>12866</v>
      </c>
    </row>
    <row r="4790" spans="1:4" x14ac:dyDescent="0.25">
      <c r="A4790" t="s">
        <v>7347</v>
      </c>
      <c r="D4790" t="s">
        <v>12867</v>
      </c>
    </row>
    <row r="4791" spans="1:4" x14ac:dyDescent="0.25">
      <c r="A4791" t="s">
        <v>7348</v>
      </c>
      <c r="D4791" t="s">
        <v>12868</v>
      </c>
    </row>
    <row r="4792" spans="1:4" x14ac:dyDescent="0.25">
      <c r="A4792" t="s">
        <v>7349</v>
      </c>
      <c r="D4792" t="s">
        <v>12869</v>
      </c>
    </row>
    <row r="4793" spans="1:4" x14ac:dyDescent="0.25">
      <c r="A4793" t="s">
        <v>7350</v>
      </c>
      <c r="D4793" t="s">
        <v>12870</v>
      </c>
    </row>
    <row r="4794" spans="1:4" x14ac:dyDescent="0.25">
      <c r="A4794" t="s">
        <v>7351</v>
      </c>
      <c r="D4794" t="s">
        <v>12871</v>
      </c>
    </row>
    <row r="4795" spans="1:4" x14ac:dyDescent="0.25">
      <c r="A4795" t="s">
        <v>7352</v>
      </c>
      <c r="D4795" t="s">
        <v>12872</v>
      </c>
    </row>
    <row r="4796" spans="1:4" x14ac:dyDescent="0.25">
      <c r="A4796" t="s">
        <v>7353</v>
      </c>
      <c r="D4796" t="s">
        <v>12873</v>
      </c>
    </row>
    <row r="4797" spans="1:4" x14ac:dyDescent="0.25">
      <c r="A4797" t="s">
        <v>7354</v>
      </c>
      <c r="D4797" t="s">
        <v>12874</v>
      </c>
    </row>
    <row r="4798" spans="1:4" x14ac:dyDescent="0.25">
      <c r="A4798" t="s">
        <v>7355</v>
      </c>
      <c r="D4798" t="s">
        <v>12875</v>
      </c>
    </row>
    <row r="4799" spans="1:4" x14ac:dyDescent="0.25">
      <c r="A4799" t="s">
        <v>7356</v>
      </c>
      <c r="D4799" t="s">
        <v>12876</v>
      </c>
    </row>
    <row r="4800" spans="1:4" x14ac:dyDescent="0.25">
      <c r="A4800" t="s">
        <v>7357</v>
      </c>
      <c r="D4800" t="s">
        <v>12877</v>
      </c>
    </row>
    <row r="4801" spans="1:4" x14ac:dyDescent="0.25">
      <c r="A4801" t="s">
        <v>7358</v>
      </c>
      <c r="D4801" t="s">
        <v>12878</v>
      </c>
    </row>
    <row r="4802" spans="1:4" x14ac:dyDescent="0.25">
      <c r="A4802" t="s">
        <v>7359</v>
      </c>
      <c r="D4802" t="s">
        <v>12879</v>
      </c>
    </row>
    <row r="4803" spans="1:4" x14ac:dyDescent="0.25">
      <c r="A4803" t="s">
        <v>7360</v>
      </c>
      <c r="D4803" t="s">
        <v>12880</v>
      </c>
    </row>
    <row r="4804" spans="1:4" x14ac:dyDescent="0.25">
      <c r="A4804" t="s">
        <v>7361</v>
      </c>
      <c r="D4804" t="s">
        <v>12881</v>
      </c>
    </row>
    <row r="4805" spans="1:4" x14ac:dyDescent="0.25">
      <c r="A4805" t="s">
        <v>7362</v>
      </c>
      <c r="D4805" t="s">
        <v>12882</v>
      </c>
    </row>
    <row r="4806" spans="1:4" x14ac:dyDescent="0.25">
      <c r="A4806" t="s">
        <v>7363</v>
      </c>
      <c r="D4806" t="s">
        <v>12883</v>
      </c>
    </row>
    <row r="4807" spans="1:4" x14ac:dyDescent="0.25">
      <c r="A4807" t="s">
        <v>7364</v>
      </c>
      <c r="D4807" t="s">
        <v>12884</v>
      </c>
    </row>
    <row r="4808" spans="1:4" x14ac:dyDescent="0.25">
      <c r="A4808" t="s">
        <v>7365</v>
      </c>
      <c r="D4808" t="s">
        <v>12885</v>
      </c>
    </row>
    <row r="4809" spans="1:4" x14ac:dyDescent="0.25">
      <c r="A4809" t="s">
        <v>7366</v>
      </c>
      <c r="D4809" t="s">
        <v>12886</v>
      </c>
    </row>
    <row r="4810" spans="1:4" x14ac:dyDescent="0.25">
      <c r="A4810" t="s">
        <v>7367</v>
      </c>
      <c r="D4810" t="s">
        <v>12887</v>
      </c>
    </row>
    <row r="4811" spans="1:4" x14ac:dyDescent="0.25">
      <c r="A4811" t="s">
        <v>7368</v>
      </c>
      <c r="D4811" t="s">
        <v>12888</v>
      </c>
    </row>
    <row r="4812" spans="1:4" x14ac:dyDescent="0.25">
      <c r="A4812" t="s">
        <v>7369</v>
      </c>
      <c r="D4812" t="s">
        <v>12889</v>
      </c>
    </row>
    <row r="4813" spans="1:4" x14ac:dyDescent="0.25">
      <c r="A4813" t="s">
        <v>7370</v>
      </c>
      <c r="D4813" t="s">
        <v>12890</v>
      </c>
    </row>
    <row r="4814" spans="1:4" x14ac:dyDescent="0.25">
      <c r="A4814" t="s">
        <v>7371</v>
      </c>
      <c r="D4814" t="s">
        <v>12891</v>
      </c>
    </row>
    <row r="4815" spans="1:4" x14ac:dyDescent="0.25">
      <c r="A4815" t="s">
        <v>7372</v>
      </c>
      <c r="D4815" t="s">
        <v>12892</v>
      </c>
    </row>
    <row r="4816" spans="1:4" x14ac:dyDescent="0.25">
      <c r="A4816" t="s">
        <v>7373</v>
      </c>
      <c r="D4816" t="s">
        <v>12893</v>
      </c>
    </row>
    <row r="4817" spans="1:4" x14ac:dyDescent="0.25">
      <c r="A4817" t="s">
        <v>7374</v>
      </c>
      <c r="D4817" t="s">
        <v>12894</v>
      </c>
    </row>
    <row r="4818" spans="1:4" x14ac:dyDescent="0.25">
      <c r="A4818" t="s">
        <v>7375</v>
      </c>
      <c r="D4818" t="s">
        <v>12895</v>
      </c>
    </row>
    <row r="4819" spans="1:4" x14ac:dyDescent="0.25">
      <c r="A4819" t="s">
        <v>7376</v>
      </c>
      <c r="D4819" t="s">
        <v>12896</v>
      </c>
    </row>
    <row r="4820" spans="1:4" x14ac:dyDescent="0.25">
      <c r="A4820" t="s">
        <v>7377</v>
      </c>
      <c r="D4820" t="s">
        <v>12897</v>
      </c>
    </row>
    <row r="4821" spans="1:4" x14ac:dyDescent="0.25">
      <c r="A4821" t="s">
        <v>7378</v>
      </c>
      <c r="D4821" t="s">
        <v>12898</v>
      </c>
    </row>
    <row r="4822" spans="1:4" x14ac:dyDescent="0.25">
      <c r="A4822" t="s">
        <v>7379</v>
      </c>
      <c r="D4822" t="s">
        <v>12899</v>
      </c>
    </row>
    <row r="4823" spans="1:4" x14ac:dyDescent="0.25">
      <c r="A4823" t="s">
        <v>7380</v>
      </c>
      <c r="D4823" t="s">
        <v>12900</v>
      </c>
    </row>
    <row r="4824" spans="1:4" x14ac:dyDescent="0.25">
      <c r="A4824" t="s">
        <v>7381</v>
      </c>
      <c r="D4824" t="s">
        <v>12901</v>
      </c>
    </row>
    <row r="4825" spans="1:4" x14ac:dyDescent="0.25">
      <c r="A4825" t="s">
        <v>7382</v>
      </c>
      <c r="D4825" t="s">
        <v>12902</v>
      </c>
    </row>
    <row r="4826" spans="1:4" x14ac:dyDescent="0.25">
      <c r="A4826" t="s">
        <v>7383</v>
      </c>
      <c r="D4826" t="s">
        <v>12903</v>
      </c>
    </row>
    <row r="4827" spans="1:4" x14ac:dyDescent="0.25">
      <c r="A4827" t="s">
        <v>7384</v>
      </c>
      <c r="D4827" t="s">
        <v>12904</v>
      </c>
    </row>
    <row r="4828" spans="1:4" x14ac:dyDescent="0.25">
      <c r="A4828" t="s">
        <v>7385</v>
      </c>
      <c r="D4828" t="s">
        <v>12905</v>
      </c>
    </row>
    <row r="4829" spans="1:4" x14ac:dyDescent="0.25">
      <c r="A4829" t="s">
        <v>7386</v>
      </c>
      <c r="D4829" t="s">
        <v>12906</v>
      </c>
    </row>
    <row r="4830" spans="1:4" x14ac:dyDescent="0.25">
      <c r="A4830" t="s">
        <v>7387</v>
      </c>
      <c r="D4830" t="s">
        <v>12907</v>
      </c>
    </row>
    <row r="4831" spans="1:4" x14ac:dyDescent="0.25">
      <c r="A4831" t="s">
        <v>7388</v>
      </c>
      <c r="D4831" t="s">
        <v>12908</v>
      </c>
    </row>
    <row r="4832" spans="1:4" x14ac:dyDescent="0.25">
      <c r="A4832" t="s">
        <v>7389</v>
      </c>
      <c r="D4832" t="s">
        <v>12909</v>
      </c>
    </row>
    <row r="4833" spans="1:4" x14ac:dyDescent="0.25">
      <c r="A4833" t="s">
        <v>7390</v>
      </c>
      <c r="D4833" t="s">
        <v>12910</v>
      </c>
    </row>
    <row r="4834" spans="1:4" x14ac:dyDescent="0.25">
      <c r="A4834" t="s">
        <v>7391</v>
      </c>
      <c r="D4834" t="s">
        <v>12911</v>
      </c>
    </row>
    <row r="4835" spans="1:4" x14ac:dyDescent="0.25">
      <c r="A4835" t="s">
        <v>7392</v>
      </c>
      <c r="D4835" t="s">
        <v>12912</v>
      </c>
    </row>
    <row r="4836" spans="1:4" x14ac:dyDescent="0.25">
      <c r="A4836" t="s">
        <v>7393</v>
      </c>
      <c r="D4836" t="s">
        <v>12913</v>
      </c>
    </row>
    <row r="4837" spans="1:4" x14ac:dyDescent="0.25">
      <c r="A4837" t="s">
        <v>7394</v>
      </c>
      <c r="D4837" t="s">
        <v>12914</v>
      </c>
    </row>
    <row r="4838" spans="1:4" x14ac:dyDescent="0.25">
      <c r="A4838" t="s">
        <v>7395</v>
      </c>
      <c r="D4838" t="s">
        <v>12915</v>
      </c>
    </row>
    <row r="4839" spans="1:4" x14ac:dyDescent="0.25">
      <c r="A4839" t="s">
        <v>7396</v>
      </c>
      <c r="D4839" t="s">
        <v>12916</v>
      </c>
    </row>
    <row r="4840" spans="1:4" x14ac:dyDescent="0.25">
      <c r="A4840" t="s">
        <v>7397</v>
      </c>
      <c r="D4840" t="s">
        <v>12917</v>
      </c>
    </row>
    <row r="4841" spans="1:4" x14ac:dyDescent="0.25">
      <c r="A4841" t="s">
        <v>7398</v>
      </c>
      <c r="D4841" t="s">
        <v>12918</v>
      </c>
    </row>
    <row r="4842" spans="1:4" x14ac:dyDescent="0.25">
      <c r="A4842" t="s">
        <v>7399</v>
      </c>
      <c r="D4842" t="s">
        <v>12919</v>
      </c>
    </row>
    <row r="4843" spans="1:4" x14ac:dyDescent="0.25">
      <c r="A4843" t="s">
        <v>7400</v>
      </c>
      <c r="D4843" t="s">
        <v>12920</v>
      </c>
    </row>
    <row r="4844" spans="1:4" x14ac:dyDescent="0.25">
      <c r="A4844" t="s">
        <v>7401</v>
      </c>
      <c r="D4844" t="s">
        <v>12921</v>
      </c>
    </row>
    <row r="4845" spans="1:4" x14ac:dyDescent="0.25">
      <c r="A4845" t="s">
        <v>7402</v>
      </c>
      <c r="D4845" t="s">
        <v>12922</v>
      </c>
    </row>
    <row r="4846" spans="1:4" x14ac:dyDescent="0.25">
      <c r="A4846" t="s">
        <v>7403</v>
      </c>
      <c r="D4846" t="s">
        <v>12923</v>
      </c>
    </row>
    <row r="4847" spans="1:4" x14ac:dyDescent="0.25">
      <c r="A4847" t="s">
        <v>7404</v>
      </c>
      <c r="D4847" t="s">
        <v>12924</v>
      </c>
    </row>
    <row r="4848" spans="1:4" x14ac:dyDescent="0.25">
      <c r="A4848" t="s">
        <v>7405</v>
      </c>
      <c r="D4848" t="s">
        <v>12925</v>
      </c>
    </row>
    <row r="4849" spans="1:4" x14ac:dyDescent="0.25">
      <c r="A4849" t="s">
        <v>7406</v>
      </c>
      <c r="D4849" t="s">
        <v>12926</v>
      </c>
    </row>
    <row r="4850" spans="1:4" x14ac:dyDescent="0.25">
      <c r="A4850" t="s">
        <v>7407</v>
      </c>
      <c r="D4850" t="s">
        <v>12927</v>
      </c>
    </row>
    <row r="4851" spans="1:4" x14ac:dyDescent="0.25">
      <c r="A4851" t="s">
        <v>7408</v>
      </c>
      <c r="D4851" t="s">
        <v>12928</v>
      </c>
    </row>
    <row r="4852" spans="1:4" x14ac:dyDescent="0.25">
      <c r="A4852" t="s">
        <v>7409</v>
      </c>
      <c r="D4852" t="s">
        <v>12929</v>
      </c>
    </row>
    <row r="4853" spans="1:4" x14ac:dyDescent="0.25">
      <c r="A4853" t="s">
        <v>7410</v>
      </c>
      <c r="D4853" t="s">
        <v>12930</v>
      </c>
    </row>
    <row r="4854" spans="1:4" x14ac:dyDescent="0.25">
      <c r="A4854" t="s">
        <v>7411</v>
      </c>
      <c r="D4854" t="s">
        <v>12931</v>
      </c>
    </row>
    <row r="4855" spans="1:4" x14ac:dyDescent="0.25">
      <c r="A4855" t="s">
        <v>7412</v>
      </c>
      <c r="D4855" t="s">
        <v>12932</v>
      </c>
    </row>
    <row r="4856" spans="1:4" x14ac:dyDescent="0.25">
      <c r="A4856" t="s">
        <v>7413</v>
      </c>
      <c r="D4856" t="s">
        <v>12933</v>
      </c>
    </row>
    <row r="4857" spans="1:4" x14ac:dyDescent="0.25">
      <c r="A4857" t="s">
        <v>7414</v>
      </c>
      <c r="D4857" t="s">
        <v>12934</v>
      </c>
    </row>
    <row r="4858" spans="1:4" x14ac:dyDescent="0.25">
      <c r="A4858" t="s">
        <v>7415</v>
      </c>
      <c r="D4858" t="s">
        <v>12935</v>
      </c>
    </row>
    <row r="4859" spans="1:4" x14ac:dyDescent="0.25">
      <c r="A4859" t="s">
        <v>7416</v>
      </c>
      <c r="D4859" t="s">
        <v>12936</v>
      </c>
    </row>
    <row r="4860" spans="1:4" x14ac:dyDescent="0.25">
      <c r="A4860" t="s">
        <v>7417</v>
      </c>
      <c r="D4860" t="s">
        <v>12937</v>
      </c>
    </row>
    <row r="4861" spans="1:4" x14ac:dyDescent="0.25">
      <c r="A4861" t="s">
        <v>7418</v>
      </c>
      <c r="D4861" t="s">
        <v>12938</v>
      </c>
    </row>
    <row r="4862" spans="1:4" x14ac:dyDescent="0.25">
      <c r="A4862" t="s">
        <v>7419</v>
      </c>
      <c r="D4862" t="s">
        <v>12939</v>
      </c>
    </row>
    <row r="4863" spans="1:4" x14ac:dyDescent="0.25">
      <c r="A4863" t="s">
        <v>7420</v>
      </c>
      <c r="D4863" t="s">
        <v>12940</v>
      </c>
    </row>
    <row r="4864" spans="1:4" x14ac:dyDescent="0.25">
      <c r="A4864" t="s">
        <v>7421</v>
      </c>
      <c r="D4864" t="s">
        <v>12941</v>
      </c>
    </row>
    <row r="4865" spans="1:4" x14ac:dyDescent="0.25">
      <c r="A4865" t="s">
        <v>7422</v>
      </c>
      <c r="D4865" t="s">
        <v>12942</v>
      </c>
    </row>
    <row r="4866" spans="1:4" x14ac:dyDescent="0.25">
      <c r="A4866" t="s">
        <v>7423</v>
      </c>
      <c r="D4866" t="s">
        <v>12943</v>
      </c>
    </row>
    <row r="4867" spans="1:4" x14ac:dyDescent="0.25">
      <c r="A4867" t="s">
        <v>7424</v>
      </c>
      <c r="D4867" t="s">
        <v>12944</v>
      </c>
    </row>
    <row r="4868" spans="1:4" x14ac:dyDescent="0.25">
      <c r="A4868" t="s">
        <v>7425</v>
      </c>
      <c r="D4868" t="s">
        <v>12945</v>
      </c>
    </row>
    <row r="4869" spans="1:4" x14ac:dyDescent="0.25">
      <c r="A4869" t="s">
        <v>7426</v>
      </c>
      <c r="D4869" t="s">
        <v>12946</v>
      </c>
    </row>
    <row r="4870" spans="1:4" x14ac:dyDescent="0.25">
      <c r="A4870" t="s">
        <v>7427</v>
      </c>
      <c r="D4870" t="s">
        <v>12947</v>
      </c>
    </row>
    <row r="4871" spans="1:4" x14ac:dyDescent="0.25">
      <c r="A4871" t="s">
        <v>7428</v>
      </c>
      <c r="D4871" t="s">
        <v>12948</v>
      </c>
    </row>
    <row r="4872" spans="1:4" x14ac:dyDescent="0.25">
      <c r="A4872" t="s">
        <v>7429</v>
      </c>
      <c r="D4872" t="s">
        <v>12949</v>
      </c>
    </row>
    <row r="4873" spans="1:4" x14ac:dyDescent="0.25">
      <c r="A4873" t="s">
        <v>7430</v>
      </c>
      <c r="D4873" t="s">
        <v>12950</v>
      </c>
    </row>
    <row r="4874" spans="1:4" x14ac:dyDescent="0.25">
      <c r="A4874" t="s">
        <v>7431</v>
      </c>
      <c r="D4874" t="s">
        <v>12951</v>
      </c>
    </row>
    <row r="4875" spans="1:4" x14ac:dyDescent="0.25">
      <c r="A4875" t="s">
        <v>7432</v>
      </c>
      <c r="D4875" t="s">
        <v>12952</v>
      </c>
    </row>
    <row r="4876" spans="1:4" x14ac:dyDescent="0.25">
      <c r="A4876" t="s">
        <v>7433</v>
      </c>
      <c r="D4876" t="s">
        <v>12953</v>
      </c>
    </row>
    <row r="4877" spans="1:4" x14ac:dyDescent="0.25">
      <c r="A4877" t="s">
        <v>7434</v>
      </c>
      <c r="D4877" t="s">
        <v>12954</v>
      </c>
    </row>
    <row r="4878" spans="1:4" x14ac:dyDescent="0.25">
      <c r="A4878" t="s">
        <v>7435</v>
      </c>
      <c r="D4878" t="s">
        <v>12955</v>
      </c>
    </row>
    <row r="4879" spans="1:4" x14ac:dyDescent="0.25">
      <c r="A4879" t="s">
        <v>7436</v>
      </c>
      <c r="D4879" t="s">
        <v>12956</v>
      </c>
    </row>
    <row r="4880" spans="1:4" x14ac:dyDescent="0.25">
      <c r="A4880" t="s">
        <v>7437</v>
      </c>
      <c r="D4880" t="s">
        <v>12957</v>
      </c>
    </row>
    <row r="4881" spans="1:4" x14ac:dyDescent="0.25">
      <c r="A4881" t="s">
        <v>7438</v>
      </c>
      <c r="D4881" t="s">
        <v>12958</v>
      </c>
    </row>
    <row r="4882" spans="1:4" x14ac:dyDescent="0.25">
      <c r="A4882" t="s">
        <v>7439</v>
      </c>
      <c r="D4882" t="s">
        <v>12959</v>
      </c>
    </row>
    <row r="4883" spans="1:4" x14ac:dyDescent="0.25">
      <c r="A4883" t="s">
        <v>7440</v>
      </c>
      <c r="D4883" t="s">
        <v>12960</v>
      </c>
    </row>
    <row r="4884" spans="1:4" x14ac:dyDescent="0.25">
      <c r="A4884" t="s">
        <v>7441</v>
      </c>
      <c r="D4884" t="s">
        <v>12961</v>
      </c>
    </row>
    <row r="4885" spans="1:4" x14ac:dyDescent="0.25">
      <c r="A4885" t="s">
        <v>7442</v>
      </c>
      <c r="D4885" t="s">
        <v>12962</v>
      </c>
    </row>
    <row r="4886" spans="1:4" x14ac:dyDescent="0.25">
      <c r="A4886" t="s">
        <v>7443</v>
      </c>
      <c r="D4886" t="s">
        <v>12963</v>
      </c>
    </row>
    <row r="4887" spans="1:4" x14ac:dyDescent="0.25">
      <c r="A4887" t="s">
        <v>7444</v>
      </c>
      <c r="D4887" t="s">
        <v>12964</v>
      </c>
    </row>
    <row r="4888" spans="1:4" x14ac:dyDescent="0.25">
      <c r="A4888" t="s">
        <v>7445</v>
      </c>
      <c r="D4888" t="s">
        <v>12965</v>
      </c>
    </row>
    <row r="4889" spans="1:4" x14ac:dyDescent="0.25">
      <c r="A4889" t="s">
        <v>7446</v>
      </c>
      <c r="D4889" t="s">
        <v>12966</v>
      </c>
    </row>
    <row r="4890" spans="1:4" x14ac:dyDescent="0.25">
      <c r="A4890" t="s">
        <v>7447</v>
      </c>
      <c r="D4890" t="s">
        <v>12967</v>
      </c>
    </row>
    <row r="4891" spans="1:4" x14ac:dyDescent="0.25">
      <c r="A4891" t="s">
        <v>7448</v>
      </c>
      <c r="D4891" t="s">
        <v>12968</v>
      </c>
    </row>
    <row r="4892" spans="1:4" x14ac:dyDescent="0.25">
      <c r="A4892" t="s">
        <v>7449</v>
      </c>
      <c r="D4892" t="s">
        <v>12969</v>
      </c>
    </row>
    <row r="4893" spans="1:4" x14ac:dyDescent="0.25">
      <c r="A4893" t="s">
        <v>7450</v>
      </c>
      <c r="D4893" t="s">
        <v>12970</v>
      </c>
    </row>
    <row r="4894" spans="1:4" x14ac:dyDescent="0.25">
      <c r="A4894" t="s">
        <v>7451</v>
      </c>
      <c r="D4894" t="s">
        <v>12971</v>
      </c>
    </row>
    <row r="4895" spans="1:4" x14ac:dyDescent="0.25">
      <c r="A4895" t="s">
        <v>7452</v>
      </c>
      <c r="D4895" t="s">
        <v>12972</v>
      </c>
    </row>
    <row r="4896" spans="1:4" x14ac:dyDescent="0.25">
      <c r="A4896" t="s">
        <v>7453</v>
      </c>
      <c r="D4896" t="s">
        <v>12973</v>
      </c>
    </row>
    <row r="4897" spans="1:4" x14ac:dyDescent="0.25">
      <c r="A4897" t="s">
        <v>7454</v>
      </c>
      <c r="D4897" t="s">
        <v>12974</v>
      </c>
    </row>
    <row r="4898" spans="1:4" x14ac:dyDescent="0.25">
      <c r="A4898" t="s">
        <v>7455</v>
      </c>
      <c r="D4898" t="s">
        <v>12975</v>
      </c>
    </row>
    <row r="4899" spans="1:4" x14ac:dyDescent="0.25">
      <c r="A4899" t="s">
        <v>7456</v>
      </c>
      <c r="D4899" t="s">
        <v>12976</v>
      </c>
    </row>
    <row r="4900" spans="1:4" x14ac:dyDescent="0.25">
      <c r="A4900" t="s">
        <v>7457</v>
      </c>
      <c r="D4900" t="s">
        <v>12977</v>
      </c>
    </row>
    <row r="4901" spans="1:4" x14ac:dyDescent="0.25">
      <c r="A4901" t="s">
        <v>7458</v>
      </c>
      <c r="D4901" t="s">
        <v>12978</v>
      </c>
    </row>
    <row r="4902" spans="1:4" x14ac:dyDescent="0.25">
      <c r="A4902" t="s">
        <v>7459</v>
      </c>
      <c r="D4902" t="s">
        <v>12979</v>
      </c>
    </row>
    <row r="4903" spans="1:4" x14ac:dyDescent="0.25">
      <c r="A4903" t="s">
        <v>7460</v>
      </c>
      <c r="D4903" t="s">
        <v>12980</v>
      </c>
    </row>
    <row r="4904" spans="1:4" x14ac:dyDescent="0.25">
      <c r="A4904" t="s">
        <v>7461</v>
      </c>
      <c r="D4904" t="s">
        <v>12981</v>
      </c>
    </row>
    <row r="4905" spans="1:4" x14ac:dyDescent="0.25">
      <c r="A4905" t="s">
        <v>7462</v>
      </c>
      <c r="D4905" t="s">
        <v>12982</v>
      </c>
    </row>
    <row r="4906" spans="1:4" x14ac:dyDescent="0.25">
      <c r="A4906" t="s">
        <v>7463</v>
      </c>
      <c r="D4906" t="s">
        <v>12983</v>
      </c>
    </row>
    <row r="4907" spans="1:4" x14ac:dyDescent="0.25">
      <c r="A4907" t="s">
        <v>7464</v>
      </c>
      <c r="D4907" t="s">
        <v>12984</v>
      </c>
    </row>
    <row r="4908" spans="1:4" x14ac:dyDescent="0.25">
      <c r="A4908" t="s">
        <v>7465</v>
      </c>
      <c r="D4908" t="s">
        <v>12985</v>
      </c>
    </row>
    <row r="4909" spans="1:4" x14ac:dyDescent="0.25">
      <c r="A4909" t="s">
        <v>7466</v>
      </c>
      <c r="D4909" t="s">
        <v>12986</v>
      </c>
    </row>
    <row r="4910" spans="1:4" x14ac:dyDescent="0.25">
      <c r="A4910" t="s">
        <v>7467</v>
      </c>
      <c r="D4910" t="s">
        <v>12987</v>
      </c>
    </row>
    <row r="4911" spans="1:4" x14ac:dyDescent="0.25">
      <c r="A4911" t="s">
        <v>7468</v>
      </c>
      <c r="D4911" t="s">
        <v>12988</v>
      </c>
    </row>
    <row r="4912" spans="1:4" x14ac:dyDescent="0.25">
      <c r="A4912" t="s">
        <v>7469</v>
      </c>
      <c r="D4912" t="s">
        <v>12989</v>
      </c>
    </row>
    <row r="4913" spans="1:4" x14ac:dyDescent="0.25">
      <c r="A4913" t="s">
        <v>7470</v>
      </c>
      <c r="D4913" t="s">
        <v>12990</v>
      </c>
    </row>
    <row r="4914" spans="1:4" x14ac:dyDescent="0.25">
      <c r="A4914" t="s">
        <v>7471</v>
      </c>
      <c r="D4914" t="s">
        <v>12991</v>
      </c>
    </row>
    <row r="4915" spans="1:4" x14ac:dyDescent="0.25">
      <c r="A4915" t="s">
        <v>7472</v>
      </c>
      <c r="D4915" t="s">
        <v>12992</v>
      </c>
    </row>
    <row r="4916" spans="1:4" x14ac:dyDescent="0.25">
      <c r="A4916" t="s">
        <v>7473</v>
      </c>
      <c r="D4916" t="s">
        <v>12993</v>
      </c>
    </row>
    <row r="4917" spans="1:4" x14ac:dyDescent="0.25">
      <c r="A4917" t="s">
        <v>7474</v>
      </c>
      <c r="D4917" t="s">
        <v>12994</v>
      </c>
    </row>
    <row r="4918" spans="1:4" x14ac:dyDescent="0.25">
      <c r="A4918" t="s">
        <v>7475</v>
      </c>
      <c r="D4918" t="s">
        <v>12995</v>
      </c>
    </row>
    <row r="4919" spans="1:4" x14ac:dyDescent="0.25">
      <c r="A4919" t="s">
        <v>7476</v>
      </c>
      <c r="D4919" t="s">
        <v>12996</v>
      </c>
    </row>
    <row r="4920" spans="1:4" x14ac:dyDescent="0.25">
      <c r="A4920" t="s">
        <v>7477</v>
      </c>
      <c r="D4920" t="s">
        <v>12997</v>
      </c>
    </row>
    <row r="4921" spans="1:4" x14ac:dyDescent="0.25">
      <c r="A4921" t="s">
        <v>7478</v>
      </c>
      <c r="D4921" t="s">
        <v>12998</v>
      </c>
    </row>
    <row r="4922" spans="1:4" x14ac:dyDescent="0.25">
      <c r="A4922" t="s">
        <v>7479</v>
      </c>
      <c r="D4922" t="s">
        <v>12999</v>
      </c>
    </row>
    <row r="4923" spans="1:4" x14ac:dyDescent="0.25">
      <c r="A4923" t="s">
        <v>7480</v>
      </c>
      <c r="D4923" t="s">
        <v>13000</v>
      </c>
    </row>
    <row r="4924" spans="1:4" x14ac:dyDescent="0.25">
      <c r="A4924" t="s">
        <v>7481</v>
      </c>
      <c r="D4924" t="s">
        <v>13001</v>
      </c>
    </row>
    <row r="4925" spans="1:4" x14ac:dyDescent="0.25">
      <c r="A4925" t="s">
        <v>7482</v>
      </c>
      <c r="D4925" t="s">
        <v>13002</v>
      </c>
    </row>
    <row r="4926" spans="1:4" x14ac:dyDescent="0.25">
      <c r="A4926" t="s">
        <v>7483</v>
      </c>
      <c r="D4926" t="s">
        <v>13003</v>
      </c>
    </row>
    <row r="4927" spans="1:4" x14ac:dyDescent="0.25">
      <c r="A4927" t="s">
        <v>7484</v>
      </c>
      <c r="D4927" t="s">
        <v>13004</v>
      </c>
    </row>
    <row r="4928" spans="1:4" x14ac:dyDescent="0.25">
      <c r="A4928" t="s">
        <v>7485</v>
      </c>
      <c r="D4928" t="s">
        <v>13005</v>
      </c>
    </row>
    <row r="4929" spans="1:4" x14ac:dyDescent="0.25">
      <c r="A4929" t="s">
        <v>7486</v>
      </c>
      <c r="D4929" t="s">
        <v>13006</v>
      </c>
    </row>
    <row r="4930" spans="1:4" x14ac:dyDescent="0.25">
      <c r="A4930" t="s">
        <v>7487</v>
      </c>
      <c r="D4930" t="s">
        <v>13007</v>
      </c>
    </row>
    <row r="4931" spans="1:4" x14ac:dyDescent="0.25">
      <c r="A4931" t="s">
        <v>7488</v>
      </c>
      <c r="D4931" t="s">
        <v>13008</v>
      </c>
    </row>
    <row r="4932" spans="1:4" x14ac:dyDescent="0.25">
      <c r="A4932" t="s">
        <v>7489</v>
      </c>
      <c r="D4932" t="s">
        <v>13009</v>
      </c>
    </row>
    <row r="4933" spans="1:4" x14ac:dyDescent="0.25">
      <c r="A4933" t="s">
        <v>7490</v>
      </c>
      <c r="D4933" t="s">
        <v>13010</v>
      </c>
    </row>
    <row r="4934" spans="1:4" x14ac:dyDescent="0.25">
      <c r="A4934" t="s">
        <v>7491</v>
      </c>
      <c r="D4934" t="s">
        <v>13011</v>
      </c>
    </row>
    <row r="4935" spans="1:4" x14ac:dyDescent="0.25">
      <c r="A4935" t="s">
        <v>7492</v>
      </c>
      <c r="D4935" t="s">
        <v>13012</v>
      </c>
    </row>
    <row r="4936" spans="1:4" x14ac:dyDescent="0.25">
      <c r="A4936" t="s">
        <v>7493</v>
      </c>
      <c r="D4936" t="s">
        <v>13013</v>
      </c>
    </row>
    <row r="4937" spans="1:4" x14ac:dyDescent="0.25">
      <c r="A4937" t="s">
        <v>7494</v>
      </c>
      <c r="D4937" t="s">
        <v>13014</v>
      </c>
    </row>
    <row r="4938" spans="1:4" x14ac:dyDescent="0.25">
      <c r="A4938" t="s">
        <v>7495</v>
      </c>
      <c r="D4938" t="s">
        <v>13015</v>
      </c>
    </row>
    <row r="4939" spans="1:4" x14ac:dyDescent="0.25">
      <c r="A4939" t="s">
        <v>7496</v>
      </c>
      <c r="D4939" t="s">
        <v>13016</v>
      </c>
    </row>
    <row r="4940" spans="1:4" x14ac:dyDescent="0.25">
      <c r="A4940" t="s">
        <v>7497</v>
      </c>
      <c r="D4940" t="s">
        <v>13017</v>
      </c>
    </row>
    <row r="4941" spans="1:4" x14ac:dyDescent="0.25">
      <c r="A4941" t="s">
        <v>7498</v>
      </c>
      <c r="D4941" t="s">
        <v>13018</v>
      </c>
    </row>
    <row r="4942" spans="1:4" x14ac:dyDescent="0.25">
      <c r="A4942" t="s">
        <v>7499</v>
      </c>
      <c r="D4942" t="s">
        <v>13019</v>
      </c>
    </row>
    <row r="4943" spans="1:4" x14ac:dyDescent="0.25">
      <c r="A4943" t="s">
        <v>7500</v>
      </c>
      <c r="D4943" t="s">
        <v>13020</v>
      </c>
    </row>
    <row r="4944" spans="1:4" x14ac:dyDescent="0.25">
      <c r="A4944" t="s">
        <v>7501</v>
      </c>
      <c r="D4944" t="s">
        <v>13021</v>
      </c>
    </row>
    <row r="4945" spans="1:4" x14ac:dyDescent="0.25">
      <c r="A4945" t="s">
        <v>7502</v>
      </c>
      <c r="D4945" t="s">
        <v>13022</v>
      </c>
    </row>
    <row r="4946" spans="1:4" x14ac:dyDescent="0.25">
      <c r="A4946" t="s">
        <v>7503</v>
      </c>
      <c r="D4946" t="s">
        <v>13023</v>
      </c>
    </row>
    <row r="4947" spans="1:4" x14ac:dyDescent="0.25">
      <c r="A4947" t="s">
        <v>7504</v>
      </c>
      <c r="D4947" t="s">
        <v>13024</v>
      </c>
    </row>
    <row r="4948" spans="1:4" x14ac:dyDescent="0.25">
      <c r="A4948" t="s">
        <v>7505</v>
      </c>
      <c r="D4948" t="s">
        <v>13025</v>
      </c>
    </row>
    <row r="4949" spans="1:4" x14ac:dyDescent="0.25">
      <c r="A4949" t="s">
        <v>7506</v>
      </c>
      <c r="D4949" t="s">
        <v>13026</v>
      </c>
    </row>
    <row r="4950" spans="1:4" x14ac:dyDescent="0.25">
      <c r="A4950" t="s">
        <v>7507</v>
      </c>
      <c r="D4950" t="s">
        <v>13027</v>
      </c>
    </row>
    <row r="4951" spans="1:4" x14ac:dyDescent="0.25">
      <c r="A4951" t="s">
        <v>7508</v>
      </c>
      <c r="D4951" t="s">
        <v>13028</v>
      </c>
    </row>
    <row r="4952" spans="1:4" x14ac:dyDescent="0.25">
      <c r="A4952" t="s">
        <v>7509</v>
      </c>
      <c r="D4952" t="s">
        <v>13029</v>
      </c>
    </row>
    <row r="4953" spans="1:4" x14ac:dyDescent="0.25">
      <c r="A4953" t="s">
        <v>7510</v>
      </c>
      <c r="D4953" t="s">
        <v>13030</v>
      </c>
    </row>
    <row r="4954" spans="1:4" x14ac:dyDescent="0.25">
      <c r="A4954" t="s">
        <v>7511</v>
      </c>
      <c r="D4954" t="s">
        <v>13031</v>
      </c>
    </row>
    <row r="4955" spans="1:4" x14ac:dyDescent="0.25">
      <c r="A4955" t="s">
        <v>7512</v>
      </c>
      <c r="D4955" t="s">
        <v>13032</v>
      </c>
    </row>
    <row r="4956" spans="1:4" x14ac:dyDescent="0.25">
      <c r="A4956" t="s">
        <v>7513</v>
      </c>
      <c r="D4956" t="s">
        <v>13033</v>
      </c>
    </row>
    <row r="4957" spans="1:4" x14ac:dyDescent="0.25">
      <c r="A4957" t="s">
        <v>7514</v>
      </c>
      <c r="D4957" t="s">
        <v>13034</v>
      </c>
    </row>
    <row r="4958" spans="1:4" x14ac:dyDescent="0.25">
      <c r="A4958" t="s">
        <v>7515</v>
      </c>
      <c r="D4958" t="s">
        <v>13035</v>
      </c>
    </row>
    <row r="4959" spans="1:4" x14ac:dyDescent="0.25">
      <c r="A4959" t="s">
        <v>7516</v>
      </c>
      <c r="D4959" t="s">
        <v>13036</v>
      </c>
    </row>
    <row r="4960" spans="1:4" x14ac:dyDescent="0.25">
      <c r="A4960" t="s">
        <v>7517</v>
      </c>
      <c r="D4960" t="s">
        <v>13037</v>
      </c>
    </row>
    <row r="4961" spans="1:4" x14ac:dyDescent="0.25">
      <c r="A4961" t="s">
        <v>7518</v>
      </c>
      <c r="D4961" t="s">
        <v>13038</v>
      </c>
    </row>
    <row r="4962" spans="1:4" x14ac:dyDescent="0.25">
      <c r="A4962" t="s">
        <v>7519</v>
      </c>
      <c r="D4962" t="s">
        <v>13039</v>
      </c>
    </row>
    <row r="4963" spans="1:4" x14ac:dyDescent="0.25">
      <c r="A4963" t="s">
        <v>7520</v>
      </c>
      <c r="D4963" t="s">
        <v>13040</v>
      </c>
    </row>
    <row r="4964" spans="1:4" x14ac:dyDescent="0.25">
      <c r="A4964" t="s">
        <v>7521</v>
      </c>
      <c r="D4964" t="s">
        <v>13041</v>
      </c>
    </row>
    <row r="4965" spans="1:4" x14ac:dyDescent="0.25">
      <c r="A4965" t="s">
        <v>7522</v>
      </c>
      <c r="D4965" t="s">
        <v>13042</v>
      </c>
    </row>
    <row r="4966" spans="1:4" x14ac:dyDescent="0.25">
      <c r="A4966" t="s">
        <v>7523</v>
      </c>
      <c r="D4966" t="s">
        <v>13043</v>
      </c>
    </row>
    <row r="4967" spans="1:4" x14ac:dyDescent="0.25">
      <c r="A4967" t="s">
        <v>7524</v>
      </c>
      <c r="D4967" t="s">
        <v>13044</v>
      </c>
    </row>
    <row r="4968" spans="1:4" x14ac:dyDescent="0.25">
      <c r="A4968" t="s">
        <v>7525</v>
      </c>
      <c r="D4968" t="s">
        <v>13045</v>
      </c>
    </row>
    <row r="4969" spans="1:4" x14ac:dyDescent="0.25">
      <c r="A4969" t="s">
        <v>7526</v>
      </c>
      <c r="D4969" t="s">
        <v>13046</v>
      </c>
    </row>
    <row r="4970" spans="1:4" x14ac:dyDescent="0.25">
      <c r="A4970" t="s">
        <v>7527</v>
      </c>
      <c r="D4970" t="s">
        <v>13047</v>
      </c>
    </row>
    <row r="4971" spans="1:4" x14ac:dyDescent="0.25">
      <c r="A4971" t="s">
        <v>7528</v>
      </c>
      <c r="D4971" t="s">
        <v>13048</v>
      </c>
    </row>
    <row r="4972" spans="1:4" x14ac:dyDescent="0.25">
      <c r="A4972" t="s">
        <v>7529</v>
      </c>
      <c r="D4972" t="s">
        <v>13049</v>
      </c>
    </row>
    <row r="4973" spans="1:4" x14ac:dyDescent="0.25">
      <c r="A4973" t="s">
        <v>7530</v>
      </c>
      <c r="D4973" t="s">
        <v>13050</v>
      </c>
    </row>
    <row r="4974" spans="1:4" x14ac:dyDescent="0.25">
      <c r="A4974" t="s">
        <v>7531</v>
      </c>
      <c r="D4974" t="s">
        <v>13051</v>
      </c>
    </row>
    <row r="4975" spans="1:4" x14ac:dyDescent="0.25">
      <c r="A4975" t="s">
        <v>7532</v>
      </c>
      <c r="D4975" t="s">
        <v>13052</v>
      </c>
    </row>
    <row r="4976" spans="1:4" x14ac:dyDescent="0.25">
      <c r="A4976" t="s">
        <v>7533</v>
      </c>
      <c r="D4976" t="s">
        <v>13053</v>
      </c>
    </row>
    <row r="4977" spans="1:4" x14ac:dyDescent="0.25">
      <c r="A4977" t="s">
        <v>7534</v>
      </c>
      <c r="D4977" t="s">
        <v>13054</v>
      </c>
    </row>
    <row r="4978" spans="1:4" x14ac:dyDescent="0.25">
      <c r="A4978" t="s">
        <v>7535</v>
      </c>
      <c r="D4978" t="s">
        <v>13055</v>
      </c>
    </row>
    <row r="4979" spans="1:4" x14ac:dyDescent="0.25">
      <c r="A4979" t="s">
        <v>7536</v>
      </c>
      <c r="D4979" t="s">
        <v>13056</v>
      </c>
    </row>
    <row r="4980" spans="1:4" x14ac:dyDescent="0.25">
      <c r="A4980" t="s">
        <v>7537</v>
      </c>
      <c r="D4980" t="s">
        <v>13057</v>
      </c>
    </row>
    <row r="4981" spans="1:4" x14ac:dyDescent="0.25">
      <c r="A4981" t="s">
        <v>7538</v>
      </c>
      <c r="D4981" t="s">
        <v>13058</v>
      </c>
    </row>
    <row r="4982" spans="1:4" x14ac:dyDescent="0.25">
      <c r="A4982" t="s">
        <v>7539</v>
      </c>
      <c r="D4982" t="s">
        <v>13059</v>
      </c>
    </row>
    <row r="4983" spans="1:4" x14ac:dyDescent="0.25">
      <c r="A4983" t="s">
        <v>7540</v>
      </c>
      <c r="D4983" t="s">
        <v>13060</v>
      </c>
    </row>
    <row r="4984" spans="1:4" x14ac:dyDescent="0.25">
      <c r="A4984" t="s">
        <v>7541</v>
      </c>
      <c r="D4984" t="s">
        <v>13061</v>
      </c>
    </row>
    <row r="4985" spans="1:4" x14ac:dyDescent="0.25">
      <c r="A4985" t="s">
        <v>7542</v>
      </c>
      <c r="D4985" t="s">
        <v>13062</v>
      </c>
    </row>
    <row r="4986" spans="1:4" x14ac:dyDescent="0.25">
      <c r="A4986" t="s">
        <v>7543</v>
      </c>
      <c r="D4986" t="s">
        <v>13063</v>
      </c>
    </row>
    <row r="4987" spans="1:4" x14ac:dyDescent="0.25">
      <c r="A4987" t="s">
        <v>7544</v>
      </c>
      <c r="D4987" t="s">
        <v>13064</v>
      </c>
    </row>
    <row r="4988" spans="1:4" x14ac:dyDescent="0.25">
      <c r="A4988" t="s">
        <v>7545</v>
      </c>
      <c r="D4988" t="s">
        <v>13065</v>
      </c>
    </row>
    <row r="4989" spans="1:4" x14ac:dyDescent="0.25">
      <c r="A4989" t="s">
        <v>7546</v>
      </c>
      <c r="D4989" t="s">
        <v>13066</v>
      </c>
    </row>
    <row r="4990" spans="1:4" x14ac:dyDescent="0.25">
      <c r="A4990" t="s">
        <v>7547</v>
      </c>
      <c r="D4990" t="s">
        <v>13067</v>
      </c>
    </row>
    <row r="4991" spans="1:4" x14ac:dyDescent="0.25">
      <c r="A4991" t="s">
        <v>7548</v>
      </c>
      <c r="D4991" t="s">
        <v>13068</v>
      </c>
    </row>
    <row r="4992" spans="1:4" x14ac:dyDescent="0.25">
      <c r="A4992" t="s">
        <v>7549</v>
      </c>
      <c r="D4992" t="s">
        <v>13069</v>
      </c>
    </row>
    <row r="4993" spans="1:4" x14ac:dyDescent="0.25">
      <c r="A4993" t="s">
        <v>7550</v>
      </c>
      <c r="D4993" t="s">
        <v>13070</v>
      </c>
    </row>
    <row r="4994" spans="1:4" x14ac:dyDescent="0.25">
      <c r="A4994" t="s">
        <v>7551</v>
      </c>
      <c r="D4994" t="s">
        <v>13071</v>
      </c>
    </row>
    <row r="4995" spans="1:4" x14ac:dyDescent="0.25">
      <c r="A4995" t="s">
        <v>7552</v>
      </c>
      <c r="D4995" t="s">
        <v>13072</v>
      </c>
    </row>
    <row r="4996" spans="1:4" x14ac:dyDescent="0.25">
      <c r="A4996" t="s">
        <v>7553</v>
      </c>
      <c r="D4996" t="s">
        <v>13073</v>
      </c>
    </row>
    <row r="4997" spans="1:4" x14ac:dyDescent="0.25">
      <c r="A4997" t="s">
        <v>7554</v>
      </c>
      <c r="D4997" t="s">
        <v>13074</v>
      </c>
    </row>
    <row r="4998" spans="1:4" x14ac:dyDescent="0.25">
      <c r="A4998" t="s">
        <v>7555</v>
      </c>
      <c r="D4998" t="s">
        <v>13075</v>
      </c>
    </row>
    <row r="4999" spans="1:4" x14ac:dyDescent="0.25">
      <c r="A4999" t="s">
        <v>7556</v>
      </c>
      <c r="D4999" t="s">
        <v>13076</v>
      </c>
    </row>
    <row r="5000" spans="1:4" x14ac:dyDescent="0.25">
      <c r="A5000" t="s">
        <v>7557</v>
      </c>
      <c r="D5000" t="s">
        <v>13077</v>
      </c>
    </row>
    <row r="5001" spans="1:4" x14ac:dyDescent="0.25">
      <c r="A5001" t="s">
        <v>7558</v>
      </c>
      <c r="D5001" t="s">
        <v>13078</v>
      </c>
    </row>
    <row r="5002" spans="1:4" x14ac:dyDescent="0.25">
      <c r="A5002" t="s">
        <v>7559</v>
      </c>
      <c r="D5002" t="s">
        <v>13079</v>
      </c>
    </row>
    <row r="5003" spans="1:4" x14ac:dyDescent="0.25">
      <c r="A5003" t="s">
        <v>7560</v>
      </c>
      <c r="D5003" t="s">
        <v>13080</v>
      </c>
    </row>
    <row r="5004" spans="1:4" x14ac:dyDescent="0.25">
      <c r="A5004" t="s">
        <v>7561</v>
      </c>
      <c r="D5004" t="s">
        <v>13081</v>
      </c>
    </row>
    <row r="5005" spans="1:4" x14ac:dyDescent="0.25">
      <c r="A5005" t="s">
        <v>7562</v>
      </c>
      <c r="D5005" t="s">
        <v>13082</v>
      </c>
    </row>
    <row r="5006" spans="1:4" x14ac:dyDescent="0.25">
      <c r="A5006" t="s">
        <v>7563</v>
      </c>
      <c r="D5006" t="s">
        <v>13083</v>
      </c>
    </row>
    <row r="5007" spans="1:4" x14ac:dyDescent="0.25">
      <c r="A5007" t="s">
        <v>7564</v>
      </c>
      <c r="D5007" t="s">
        <v>13084</v>
      </c>
    </row>
    <row r="5008" spans="1:4" x14ac:dyDescent="0.25">
      <c r="A5008" t="s">
        <v>7565</v>
      </c>
      <c r="D5008" t="s">
        <v>13085</v>
      </c>
    </row>
    <row r="5009" spans="1:4" x14ac:dyDescent="0.25">
      <c r="A5009" t="s">
        <v>7566</v>
      </c>
      <c r="D5009" t="s">
        <v>13086</v>
      </c>
    </row>
    <row r="5010" spans="1:4" x14ac:dyDescent="0.25">
      <c r="A5010" t="s">
        <v>7567</v>
      </c>
      <c r="D5010" t="s">
        <v>13087</v>
      </c>
    </row>
    <row r="5011" spans="1:4" x14ac:dyDescent="0.25">
      <c r="A5011" t="s">
        <v>7568</v>
      </c>
      <c r="D5011" t="s">
        <v>13088</v>
      </c>
    </row>
    <row r="5012" spans="1:4" x14ac:dyDescent="0.25">
      <c r="A5012" t="s">
        <v>7569</v>
      </c>
      <c r="D5012" t="s">
        <v>13089</v>
      </c>
    </row>
    <row r="5013" spans="1:4" x14ac:dyDescent="0.25">
      <c r="A5013" t="s">
        <v>7570</v>
      </c>
      <c r="D5013" t="s">
        <v>13090</v>
      </c>
    </row>
    <row r="5014" spans="1:4" x14ac:dyDescent="0.25">
      <c r="A5014" t="s">
        <v>7571</v>
      </c>
      <c r="D5014" t="s">
        <v>13091</v>
      </c>
    </row>
    <row r="5015" spans="1:4" x14ac:dyDescent="0.25">
      <c r="A5015" t="s">
        <v>7572</v>
      </c>
      <c r="D5015" t="s">
        <v>13092</v>
      </c>
    </row>
    <row r="5016" spans="1:4" x14ac:dyDescent="0.25">
      <c r="A5016" t="s">
        <v>7573</v>
      </c>
      <c r="D5016" t="s">
        <v>13093</v>
      </c>
    </row>
    <row r="5017" spans="1:4" x14ac:dyDescent="0.25">
      <c r="A5017" t="s">
        <v>7574</v>
      </c>
      <c r="D5017" t="s">
        <v>13094</v>
      </c>
    </row>
    <row r="5018" spans="1:4" x14ac:dyDescent="0.25">
      <c r="A5018" t="s">
        <v>7575</v>
      </c>
      <c r="D5018" t="s">
        <v>13095</v>
      </c>
    </row>
    <row r="5019" spans="1:4" x14ac:dyDescent="0.25">
      <c r="A5019" t="s">
        <v>7576</v>
      </c>
      <c r="D5019" t="s">
        <v>13096</v>
      </c>
    </row>
    <row r="5020" spans="1:4" x14ac:dyDescent="0.25">
      <c r="A5020" t="s">
        <v>7577</v>
      </c>
      <c r="D5020" t="s">
        <v>13097</v>
      </c>
    </row>
    <row r="5021" spans="1:4" x14ac:dyDescent="0.25">
      <c r="A5021" t="s">
        <v>7578</v>
      </c>
      <c r="D5021" t="s">
        <v>13098</v>
      </c>
    </row>
    <row r="5022" spans="1:4" x14ac:dyDescent="0.25">
      <c r="A5022" t="s">
        <v>7579</v>
      </c>
      <c r="D5022" t="s">
        <v>13099</v>
      </c>
    </row>
    <row r="5023" spans="1:4" x14ac:dyDescent="0.25">
      <c r="A5023" t="s">
        <v>7580</v>
      </c>
      <c r="D5023" t="s">
        <v>13100</v>
      </c>
    </row>
    <row r="5024" spans="1:4" x14ac:dyDescent="0.25">
      <c r="A5024" t="s">
        <v>7581</v>
      </c>
      <c r="D5024" t="s">
        <v>13101</v>
      </c>
    </row>
    <row r="5025" spans="1:4" x14ac:dyDescent="0.25">
      <c r="A5025" t="s">
        <v>7582</v>
      </c>
      <c r="D5025" t="s">
        <v>13102</v>
      </c>
    </row>
    <row r="5026" spans="1:4" x14ac:dyDescent="0.25">
      <c r="A5026" t="s">
        <v>7583</v>
      </c>
      <c r="D5026" t="s">
        <v>13103</v>
      </c>
    </row>
    <row r="5027" spans="1:4" x14ac:dyDescent="0.25">
      <c r="A5027" t="s">
        <v>7584</v>
      </c>
      <c r="D5027" t="s">
        <v>13104</v>
      </c>
    </row>
    <row r="5028" spans="1:4" x14ac:dyDescent="0.25">
      <c r="A5028" t="s">
        <v>7585</v>
      </c>
      <c r="D5028" t="s">
        <v>13105</v>
      </c>
    </row>
    <row r="5029" spans="1:4" x14ac:dyDescent="0.25">
      <c r="A5029" t="s">
        <v>7586</v>
      </c>
      <c r="D5029" t="s">
        <v>13106</v>
      </c>
    </row>
    <row r="5030" spans="1:4" x14ac:dyDescent="0.25">
      <c r="A5030" t="s">
        <v>7587</v>
      </c>
      <c r="D5030" t="s">
        <v>13107</v>
      </c>
    </row>
    <row r="5031" spans="1:4" x14ac:dyDescent="0.25">
      <c r="A5031" t="s">
        <v>7588</v>
      </c>
      <c r="D5031" t="s">
        <v>13108</v>
      </c>
    </row>
    <row r="5032" spans="1:4" x14ac:dyDescent="0.25">
      <c r="A5032" t="s">
        <v>7589</v>
      </c>
      <c r="D5032" t="s">
        <v>13109</v>
      </c>
    </row>
    <row r="5033" spans="1:4" x14ac:dyDescent="0.25">
      <c r="A5033" t="s">
        <v>7590</v>
      </c>
      <c r="D5033" t="s">
        <v>13110</v>
      </c>
    </row>
    <row r="5034" spans="1:4" x14ac:dyDescent="0.25">
      <c r="A5034" t="s">
        <v>7591</v>
      </c>
      <c r="D5034" t="s">
        <v>13111</v>
      </c>
    </row>
    <row r="5035" spans="1:4" x14ac:dyDescent="0.25">
      <c r="A5035" t="s">
        <v>7592</v>
      </c>
      <c r="D5035" t="s">
        <v>13112</v>
      </c>
    </row>
    <row r="5036" spans="1:4" x14ac:dyDescent="0.25">
      <c r="A5036" t="s">
        <v>7593</v>
      </c>
      <c r="D5036" t="s">
        <v>13113</v>
      </c>
    </row>
    <row r="5037" spans="1:4" x14ac:dyDescent="0.25">
      <c r="A5037" t="s">
        <v>7594</v>
      </c>
      <c r="D5037" t="s">
        <v>13114</v>
      </c>
    </row>
    <row r="5038" spans="1:4" x14ac:dyDescent="0.25">
      <c r="A5038" t="s">
        <v>7595</v>
      </c>
      <c r="D5038" t="s">
        <v>13115</v>
      </c>
    </row>
    <row r="5039" spans="1:4" x14ac:dyDescent="0.25">
      <c r="A5039" t="s">
        <v>7596</v>
      </c>
      <c r="D5039" t="s">
        <v>13116</v>
      </c>
    </row>
    <row r="5040" spans="1:4" x14ac:dyDescent="0.25">
      <c r="A5040" t="s">
        <v>7597</v>
      </c>
      <c r="D5040" t="s">
        <v>13117</v>
      </c>
    </row>
    <row r="5041" spans="1:4" x14ac:dyDescent="0.25">
      <c r="A5041" t="s">
        <v>7598</v>
      </c>
      <c r="D5041" t="s">
        <v>13118</v>
      </c>
    </row>
    <row r="5042" spans="1:4" x14ac:dyDescent="0.25">
      <c r="A5042" t="s">
        <v>7599</v>
      </c>
      <c r="D5042" t="s">
        <v>13119</v>
      </c>
    </row>
    <row r="5043" spans="1:4" x14ac:dyDescent="0.25">
      <c r="A5043" t="s">
        <v>7600</v>
      </c>
      <c r="D5043" t="s">
        <v>13120</v>
      </c>
    </row>
    <row r="5044" spans="1:4" x14ac:dyDescent="0.25">
      <c r="A5044" t="s">
        <v>7601</v>
      </c>
      <c r="D5044" t="s">
        <v>13121</v>
      </c>
    </row>
    <row r="5045" spans="1:4" x14ac:dyDescent="0.25">
      <c r="A5045" t="s">
        <v>7602</v>
      </c>
      <c r="D5045" t="s">
        <v>13122</v>
      </c>
    </row>
    <row r="5046" spans="1:4" x14ac:dyDescent="0.25">
      <c r="A5046" t="s">
        <v>7603</v>
      </c>
      <c r="D5046" t="s">
        <v>13123</v>
      </c>
    </row>
    <row r="5047" spans="1:4" x14ac:dyDescent="0.25">
      <c r="A5047" t="s">
        <v>7604</v>
      </c>
      <c r="D5047" t="s">
        <v>13124</v>
      </c>
    </row>
    <row r="5048" spans="1:4" x14ac:dyDescent="0.25">
      <c r="A5048" t="s">
        <v>7605</v>
      </c>
      <c r="D5048" t="s">
        <v>13125</v>
      </c>
    </row>
    <row r="5049" spans="1:4" x14ac:dyDescent="0.25">
      <c r="A5049" t="s">
        <v>7606</v>
      </c>
      <c r="D5049" t="s">
        <v>13126</v>
      </c>
    </row>
    <row r="5050" spans="1:4" x14ac:dyDescent="0.25">
      <c r="A5050" t="s">
        <v>7607</v>
      </c>
      <c r="D5050" t="s">
        <v>13127</v>
      </c>
    </row>
    <row r="5051" spans="1:4" x14ac:dyDescent="0.25">
      <c r="A5051" t="s">
        <v>7608</v>
      </c>
      <c r="D5051" t="s">
        <v>13128</v>
      </c>
    </row>
    <row r="5052" spans="1:4" x14ac:dyDescent="0.25">
      <c r="A5052" t="s">
        <v>7609</v>
      </c>
      <c r="D5052" t="s">
        <v>13129</v>
      </c>
    </row>
    <row r="5053" spans="1:4" x14ac:dyDescent="0.25">
      <c r="A5053" t="s">
        <v>7610</v>
      </c>
      <c r="D5053" t="s">
        <v>13130</v>
      </c>
    </row>
    <row r="5054" spans="1:4" x14ac:dyDescent="0.25">
      <c r="A5054" t="s">
        <v>7611</v>
      </c>
      <c r="D5054" t="s">
        <v>13131</v>
      </c>
    </row>
    <row r="5055" spans="1:4" x14ac:dyDescent="0.25">
      <c r="A5055" t="s">
        <v>7612</v>
      </c>
      <c r="D5055" t="s">
        <v>13132</v>
      </c>
    </row>
    <row r="5056" spans="1:4" x14ac:dyDescent="0.25">
      <c r="A5056" t="s">
        <v>7613</v>
      </c>
      <c r="D5056" t="s">
        <v>13133</v>
      </c>
    </row>
    <row r="5057" spans="1:4" x14ac:dyDescent="0.25">
      <c r="A5057" t="s">
        <v>7614</v>
      </c>
      <c r="D5057" t="s">
        <v>13134</v>
      </c>
    </row>
    <row r="5058" spans="1:4" x14ac:dyDescent="0.25">
      <c r="A5058" t="s">
        <v>7615</v>
      </c>
      <c r="D5058" t="s">
        <v>13135</v>
      </c>
    </row>
    <row r="5059" spans="1:4" x14ac:dyDescent="0.25">
      <c r="A5059" t="s">
        <v>7616</v>
      </c>
      <c r="D5059" t="s">
        <v>13136</v>
      </c>
    </row>
    <row r="5060" spans="1:4" x14ac:dyDescent="0.25">
      <c r="A5060" t="s">
        <v>7617</v>
      </c>
      <c r="D5060" t="s">
        <v>13137</v>
      </c>
    </row>
    <row r="5061" spans="1:4" x14ac:dyDescent="0.25">
      <c r="A5061" t="s">
        <v>7618</v>
      </c>
      <c r="D5061" t="s">
        <v>13138</v>
      </c>
    </row>
    <row r="5062" spans="1:4" x14ac:dyDescent="0.25">
      <c r="A5062" t="s">
        <v>7619</v>
      </c>
      <c r="D5062" t="s">
        <v>13139</v>
      </c>
    </row>
    <row r="5063" spans="1:4" x14ac:dyDescent="0.25">
      <c r="A5063" t="s">
        <v>7620</v>
      </c>
      <c r="D5063" t="s">
        <v>13140</v>
      </c>
    </row>
    <row r="5064" spans="1:4" x14ac:dyDescent="0.25">
      <c r="A5064" t="s">
        <v>7621</v>
      </c>
      <c r="D5064" t="s">
        <v>13141</v>
      </c>
    </row>
    <row r="5065" spans="1:4" x14ac:dyDescent="0.25">
      <c r="A5065" t="s">
        <v>7622</v>
      </c>
      <c r="D5065" t="s">
        <v>13142</v>
      </c>
    </row>
    <row r="5066" spans="1:4" x14ac:dyDescent="0.25">
      <c r="A5066" t="s">
        <v>7623</v>
      </c>
      <c r="D5066" t="s">
        <v>13143</v>
      </c>
    </row>
    <row r="5067" spans="1:4" x14ac:dyDescent="0.25">
      <c r="A5067" t="s">
        <v>7624</v>
      </c>
      <c r="D5067" t="s">
        <v>13144</v>
      </c>
    </row>
    <row r="5068" spans="1:4" x14ac:dyDescent="0.25">
      <c r="A5068" t="s">
        <v>7625</v>
      </c>
      <c r="D5068" t="s">
        <v>13145</v>
      </c>
    </row>
    <row r="5069" spans="1:4" x14ac:dyDescent="0.25">
      <c r="A5069" t="s">
        <v>7626</v>
      </c>
      <c r="D5069" t="s">
        <v>13146</v>
      </c>
    </row>
    <row r="5070" spans="1:4" x14ac:dyDescent="0.25">
      <c r="A5070" t="s">
        <v>7627</v>
      </c>
      <c r="D5070" t="s">
        <v>13147</v>
      </c>
    </row>
    <row r="5071" spans="1:4" x14ac:dyDescent="0.25">
      <c r="A5071" t="s">
        <v>7628</v>
      </c>
      <c r="D5071" t="s">
        <v>13148</v>
      </c>
    </row>
    <row r="5072" spans="1:4" x14ac:dyDescent="0.25">
      <c r="A5072" t="s">
        <v>7629</v>
      </c>
      <c r="D5072" t="s">
        <v>13149</v>
      </c>
    </row>
    <row r="5073" spans="1:4" x14ac:dyDescent="0.25">
      <c r="A5073" t="s">
        <v>7630</v>
      </c>
      <c r="D5073" t="s">
        <v>13150</v>
      </c>
    </row>
    <row r="5074" spans="1:4" x14ac:dyDescent="0.25">
      <c r="A5074" t="s">
        <v>7631</v>
      </c>
      <c r="D5074" t="s">
        <v>13151</v>
      </c>
    </row>
    <row r="5075" spans="1:4" x14ac:dyDescent="0.25">
      <c r="A5075" t="s">
        <v>7632</v>
      </c>
      <c r="D5075" t="s">
        <v>13152</v>
      </c>
    </row>
    <row r="5076" spans="1:4" x14ac:dyDescent="0.25">
      <c r="A5076" t="s">
        <v>7633</v>
      </c>
      <c r="D5076" t="s">
        <v>13153</v>
      </c>
    </row>
    <row r="5077" spans="1:4" x14ac:dyDescent="0.25">
      <c r="A5077" t="s">
        <v>7634</v>
      </c>
      <c r="D5077" t="s">
        <v>13154</v>
      </c>
    </row>
    <row r="5078" spans="1:4" x14ac:dyDescent="0.25">
      <c r="A5078" t="s">
        <v>7635</v>
      </c>
      <c r="D5078" t="s">
        <v>13155</v>
      </c>
    </row>
    <row r="5079" spans="1:4" x14ac:dyDescent="0.25">
      <c r="A5079" t="s">
        <v>7636</v>
      </c>
      <c r="D5079" t="s">
        <v>13156</v>
      </c>
    </row>
    <row r="5080" spans="1:4" x14ac:dyDescent="0.25">
      <c r="A5080" t="s">
        <v>7637</v>
      </c>
      <c r="D5080" t="s">
        <v>13157</v>
      </c>
    </row>
    <row r="5081" spans="1:4" x14ac:dyDescent="0.25">
      <c r="A5081" t="s">
        <v>7638</v>
      </c>
      <c r="D5081" t="s">
        <v>13158</v>
      </c>
    </row>
    <row r="5082" spans="1:4" x14ac:dyDescent="0.25">
      <c r="A5082" t="s">
        <v>7639</v>
      </c>
      <c r="D5082" t="s">
        <v>13159</v>
      </c>
    </row>
    <row r="5083" spans="1:4" x14ac:dyDescent="0.25">
      <c r="A5083" t="s">
        <v>7640</v>
      </c>
      <c r="D5083" t="s">
        <v>13160</v>
      </c>
    </row>
    <row r="5084" spans="1:4" x14ac:dyDescent="0.25">
      <c r="A5084" t="s">
        <v>7641</v>
      </c>
      <c r="D5084" t="s">
        <v>13161</v>
      </c>
    </row>
    <row r="5085" spans="1:4" x14ac:dyDescent="0.25">
      <c r="A5085" t="s">
        <v>7642</v>
      </c>
      <c r="D5085" t="s">
        <v>13162</v>
      </c>
    </row>
    <row r="5086" spans="1:4" x14ac:dyDescent="0.25">
      <c r="A5086" t="s">
        <v>7643</v>
      </c>
      <c r="D5086" t="s">
        <v>13163</v>
      </c>
    </row>
    <row r="5087" spans="1:4" x14ac:dyDescent="0.25">
      <c r="A5087" t="s">
        <v>7644</v>
      </c>
      <c r="D5087" t="s">
        <v>13164</v>
      </c>
    </row>
    <row r="5088" spans="1:4" x14ac:dyDescent="0.25">
      <c r="A5088" t="s">
        <v>7645</v>
      </c>
      <c r="D5088" t="s">
        <v>13165</v>
      </c>
    </row>
    <row r="5089" spans="1:4" x14ac:dyDescent="0.25">
      <c r="A5089" t="s">
        <v>7646</v>
      </c>
      <c r="D5089" t="s">
        <v>13166</v>
      </c>
    </row>
    <row r="5090" spans="1:4" x14ac:dyDescent="0.25">
      <c r="A5090" t="s">
        <v>7647</v>
      </c>
      <c r="D5090" t="s">
        <v>13167</v>
      </c>
    </row>
    <row r="5091" spans="1:4" x14ac:dyDescent="0.25">
      <c r="A5091" t="s">
        <v>7648</v>
      </c>
      <c r="D5091" t="s">
        <v>13168</v>
      </c>
    </row>
    <row r="5092" spans="1:4" x14ac:dyDescent="0.25">
      <c r="A5092" t="s">
        <v>7649</v>
      </c>
      <c r="D5092" t="s">
        <v>13169</v>
      </c>
    </row>
    <row r="5093" spans="1:4" x14ac:dyDescent="0.25">
      <c r="A5093" t="s">
        <v>7650</v>
      </c>
      <c r="D5093" t="s">
        <v>13170</v>
      </c>
    </row>
    <row r="5094" spans="1:4" x14ac:dyDescent="0.25">
      <c r="A5094" t="s">
        <v>7651</v>
      </c>
      <c r="D5094" t="s">
        <v>13171</v>
      </c>
    </row>
    <row r="5095" spans="1:4" x14ac:dyDescent="0.25">
      <c r="A5095" t="s">
        <v>7652</v>
      </c>
      <c r="D5095" t="s">
        <v>13172</v>
      </c>
    </row>
    <row r="5096" spans="1:4" x14ac:dyDescent="0.25">
      <c r="A5096" t="s">
        <v>7653</v>
      </c>
      <c r="D5096" t="s">
        <v>13173</v>
      </c>
    </row>
    <row r="5097" spans="1:4" x14ac:dyDescent="0.25">
      <c r="A5097" t="s">
        <v>7654</v>
      </c>
      <c r="D5097" t="s">
        <v>13174</v>
      </c>
    </row>
    <row r="5098" spans="1:4" x14ac:dyDescent="0.25">
      <c r="A5098" t="s">
        <v>7655</v>
      </c>
      <c r="D5098" t="s">
        <v>13175</v>
      </c>
    </row>
    <row r="5099" spans="1:4" x14ac:dyDescent="0.25">
      <c r="A5099" t="s">
        <v>7656</v>
      </c>
      <c r="D5099" t="s">
        <v>13176</v>
      </c>
    </row>
    <row r="5100" spans="1:4" x14ac:dyDescent="0.25">
      <c r="A5100" t="s">
        <v>7657</v>
      </c>
      <c r="D5100" t="s">
        <v>13177</v>
      </c>
    </row>
    <row r="5101" spans="1:4" x14ac:dyDescent="0.25">
      <c r="A5101" t="s">
        <v>7658</v>
      </c>
      <c r="D5101" t="s">
        <v>13178</v>
      </c>
    </row>
    <row r="5102" spans="1:4" x14ac:dyDescent="0.25">
      <c r="A5102" t="s">
        <v>7659</v>
      </c>
      <c r="D5102" t="s">
        <v>13179</v>
      </c>
    </row>
    <row r="5103" spans="1:4" x14ac:dyDescent="0.25">
      <c r="A5103" t="s">
        <v>7660</v>
      </c>
      <c r="D5103" t="s">
        <v>13180</v>
      </c>
    </row>
    <row r="5104" spans="1:4" x14ac:dyDescent="0.25">
      <c r="A5104" t="s">
        <v>7661</v>
      </c>
      <c r="D5104" t="s">
        <v>13181</v>
      </c>
    </row>
    <row r="5105" spans="1:4" x14ac:dyDescent="0.25">
      <c r="A5105" t="s">
        <v>7662</v>
      </c>
      <c r="D5105" t="s">
        <v>13182</v>
      </c>
    </row>
    <row r="5106" spans="1:4" x14ac:dyDescent="0.25">
      <c r="A5106" t="s">
        <v>7663</v>
      </c>
      <c r="D5106" t="s">
        <v>13183</v>
      </c>
    </row>
    <row r="5107" spans="1:4" x14ac:dyDescent="0.25">
      <c r="A5107" t="s">
        <v>7664</v>
      </c>
      <c r="D5107" t="s">
        <v>13184</v>
      </c>
    </row>
    <row r="5108" spans="1:4" x14ac:dyDescent="0.25">
      <c r="A5108" t="s">
        <v>7665</v>
      </c>
      <c r="D5108" t="s">
        <v>13185</v>
      </c>
    </row>
    <row r="5109" spans="1:4" x14ac:dyDescent="0.25">
      <c r="A5109" t="s">
        <v>7666</v>
      </c>
      <c r="D5109" t="s">
        <v>13186</v>
      </c>
    </row>
    <row r="5110" spans="1:4" x14ac:dyDescent="0.25">
      <c r="A5110" t="s">
        <v>7667</v>
      </c>
      <c r="D5110" t="s">
        <v>13187</v>
      </c>
    </row>
    <row r="5111" spans="1:4" x14ac:dyDescent="0.25">
      <c r="A5111" t="s">
        <v>7668</v>
      </c>
      <c r="D5111" t="s">
        <v>13188</v>
      </c>
    </row>
    <row r="5112" spans="1:4" x14ac:dyDescent="0.25">
      <c r="A5112" t="s">
        <v>7669</v>
      </c>
      <c r="D5112" t="s">
        <v>13189</v>
      </c>
    </row>
    <row r="5113" spans="1:4" x14ac:dyDescent="0.25">
      <c r="A5113" t="s">
        <v>7670</v>
      </c>
      <c r="D5113" t="s">
        <v>13190</v>
      </c>
    </row>
    <row r="5114" spans="1:4" x14ac:dyDescent="0.25">
      <c r="A5114" t="s">
        <v>7671</v>
      </c>
      <c r="D5114" t="s">
        <v>13191</v>
      </c>
    </row>
    <row r="5115" spans="1:4" x14ac:dyDescent="0.25">
      <c r="A5115" t="s">
        <v>7672</v>
      </c>
      <c r="D5115" t="s">
        <v>13192</v>
      </c>
    </row>
    <row r="5116" spans="1:4" x14ac:dyDescent="0.25">
      <c r="A5116" t="s">
        <v>7673</v>
      </c>
      <c r="D5116" t="s">
        <v>13193</v>
      </c>
    </row>
    <row r="5117" spans="1:4" x14ac:dyDescent="0.25">
      <c r="A5117" t="s">
        <v>7674</v>
      </c>
      <c r="D5117" t="s">
        <v>13194</v>
      </c>
    </row>
    <row r="5118" spans="1:4" x14ac:dyDescent="0.25">
      <c r="A5118" t="s">
        <v>7675</v>
      </c>
      <c r="D5118" t="s">
        <v>13195</v>
      </c>
    </row>
    <row r="5119" spans="1:4" x14ac:dyDescent="0.25">
      <c r="A5119" t="s">
        <v>7676</v>
      </c>
      <c r="D5119" t="s">
        <v>13196</v>
      </c>
    </row>
    <row r="5120" spans="1:4" x14ac:dyDescent="0.25">
      <c r="A5120" t="s">
        <v>7677</v>
      </c>
      <c r="D5120" t="s">
        <v>13197</v>
      </c>
    </row>
    <row r="5121" spans="1:4" x14ac:dyDescent="0.25">
      <c r="A5121" t="s">
        <v>7678</v>
      </c>
      <c r="D5121" t="s">
        <v>13198</v>
      </c>
    </row>
    <row r="5122" spans="1:4" x14ac:dyDescent="0.25">
      <c r="A5122" t="s">
        <v>7679</v>
      </c>
      <c r="D5122" t="s">
        <v>13199</v>
      </c>
    </row>
    <row r="5123" spans="1:4" x14ac:dyDescent="0.25">
      <c r="A5123" t="s">
        <v>7680</v>
      </c>
      <c r="D5123" t="s">
        <v>13200</v>
      </c>
    </row>
    <row r="5124" spans="1:4" x14ac:dyDescent="0.25">
      <c r="A5124" t="s">
        <v>7681</v>
      </c>
      <c r="D5124" t="s">
        <v>13201</v>
      </c>
    </row>
    <row r="5125" spans="1:4" x14ac:dyDescent="0.25">
      <c r="A5125" t="s">
        <v>7682</v>
      </c>
      <c r="D5125" t="s">
        <v>13202</v>
      </c>
    </row>
    <row r="5126" spans="1:4" x14ac:dyDescent="0.25">
      <c r="A5126" t="s">
        <v>7683</v>
      </c>
      <c r="D5126" t="s">
        <v>13203</v>
      </c>
    </row>
    <row r="5127" spans="1:4" x14ac:dyDescent="0.25">
      <c r="A5127" t="s">
        <v>7684</v>
      </c>
      <c r="D5127" t="s">
        <v>13204</v>
      </c>
    </row>
    <row r="5128" spans="1:4" x14ac:dyDescent="0.25">
      <c r="A5128" t="s">
        <v>7685</v>
      </c>
      <c r="D5128" t="s">
        <v>13205</v>
      </c>
    </row>
    <row r="5129" spans="1:4" x14ac:dyDescent="0.25">
      <c r="A5129" t="s">
        <v>7686</v>
      </c>
      <c r="D5129" t="s">
        <v>13206</v>
      </c>
    </row>
    <row r="5130" spans="1:4" x14ac:dyDescent="0.25">
      <c r="A5130" t="s">
        <v>7687</v>
      </c>
      <c r="D5130" t="s">
        <v>13207</v>
      </c>
    </row>
    <row r="5131" spans="1:4" x14ac:dyDescent="0.25">
      <c r="A5131" t="s">
        <v>7688</v>
      </c>
      <c r="D5131" t="s">
        <v>13208</v>
      </c>
    </row>
    <row r="5132" spans="1:4" x14ac:dyDescent="0.25">
      <c r="A5132" t="s">
        <v>7689</v>
      </c>
      <c r="D5132" t="s">
        <v>13209</v>
      </c>
    </row>
    <row r="5133" spans="1:4" x14ac:dyDescent="0.25">
      <c r="A5133" t="s">
        <v>7690</v>
      </c>
      <c r="D5133" t="s">
        <v>13210</v>
      </c>
    </row>
    <row r="5134" spans="1:4" x14ac:dyDescent="0.25">
      <c r="A5134" t="s">
        <v>7691</v>
      </c>
      <c r="D5134" t="s">
        <v>13211</v>
      </c>
    </row>
    <row r="5135" spans="1:4" x14ac:dyDescent="0.25">
      <c r="A5135" t="s">
        <v>7692</v>
      </c>
      <c r="D5135" t="s">
        <v>13212</v>
      </c>
    </row>
    <row r="5136" spans="1:4" x14ac:dyDescent="0.25">
      <c r="A5136" t="s">
        <v>7693</v>
      </c>
      <c r="D5136" t="s">
        <v>13213</v>
      </c>
    </row>
    <row r="5137" spans="1:4" x14ac:dyDescent="0.25">
      <c r="A5137" t="s">
        <v>7694</v>
      </c>
      <c r="D5137" t="s">
        <v>13214</v>
      </c>
    </row>
    <row r="5138" spans="1:4" x14ac:dyDescent="0.25">
      <c r="A5138" t="s">
        <v>7695</v>
      </c>
      <c r="D5138" t="s">
        <v>13215</v>
      </c>
    </row>
    <row r="5139" spans="1:4" x14ac:dyDescent="0.25">
      <c r="A5139" t="s">
        <v>7696</v>
      </c>
      <c r="D5139" t="s">
        <v>13216</v>
      </c>
    </row>
    <row r="5140" spans="1:4" x14ac:dyDescent="0.25">
      <c r="A5140" t="s">
        <v>7697</v>
      </c>
      <c r="D5140" t="s">
        <v>13217</v>
      </c>
    </row>
    <row r="5141" spans="1:4" x14ac:dyDescent="0.25">
      <c r="A5141" t="s">
        <v>7698</v>
      </c>
      <c r="D5141" t="s">
        <v>13218</v>
      </c>
    </row>
    <row r="5142" spans="1:4" x14ac:dyDescent="0.25">
      <c r="A5142" t="s">
        <v>7699</v>
      </c>
      <c r="D5142" t="s">
        <v>13219</v>
      </c>
    </row>
    <row r="5143" spans="1:4" x14ac:dyDescent="0.25">
      <c r="A5143" t="s">
        <v>7700</v>
      </c>
      <c r="D5143" t="s">
        <v>13220</v>
      </c>
    </row>
    <row r="5144" spans="1:4" x14ac:dyDescent="0.25">
      <c r="A5144" t="s">
        <v>7701</v>
      </c>
      <c r="D5144" t="s">
        <v>13221</v>
      </c>
    </row>
    <row r="5145" spans="1:4" x14ac:dyDescent="0.25">
      <c r="A5145" t="s">
        <v>7702</v>
      </c>
      <c r="D5145" t="s">
        <v>13222</v>
      </c>
    </row>
    <row r="5146" spans="1:4" x14ac:dyDescent="0.25">
      <c r="A5146" t="s">
        <v>7703</v>
      </c>
      <c r="D5146" t="s">
        <v>13223</v>
      </c>
    </row>
    <row r="5147" spans="1:4" x14ac:dyDescent="0.25">
      <c r="A5147" t="s">
        <v>7704</v>
      </c>
      <c r="D5147" t="s">
        <v>13224</v>
      </c>
    </row>
    <row r="5148" spans="1:4" x14ac:dyDescent="0.25">
      <c r="A5148" t="s">
        <v>7705</v>
      </c>
      <c r="D5148" t="s">
        <v>13225</v>
      </c>
    </row>
    <row r="5149" spans="1:4" x14ac:dyDescent="0.25">
      <c r="A5149" t="s">
        <v>7706</v>
      </c>
      <c r="D5149" t="s">
        <v>13226</v>
      </c>
    </row>
    <row r="5150" spans="1:4" x14ac:dyDescent="0.25">
      <c r="A5150" t="s">
        <v>7707</v>
      </c>
      <c r="D5150" t="s">
        <v>13227</v>
      </c>
    </row>
    <row r="5151" spans="1:4" x14ac:dyDescent="0.25">
      <c r="A5151" t="s">
        <v>7708</v>
      </c>
      <c r="D5151" t="s">
        <v>13228</v>
      </c>
    </row>
    <row r="5152" spans="1:4" x14ac:dyDescent="0.25">
      <c r="A5152" t="s">
        <v>7709</v>
      </c>
      <c r="D5152" t="s">
        <v>13229</v>
      </c>
    </row>
    <row r="5153" spans="1:4" x14ac:dyDescent="0.25">
      <c r="A5153" t="s">
        <v>7710</v>
      </c>
      <c r="D5153" t="s">
        <v>13230</v>
      </c>
    </row>
    <row r="5154" spans="1:4" x14ac:dyDescent="0.25">
      <c r="A5154" t="s">
        <v>7711</v>
      </c>
      <c r="D5154" t="s">
        <v>13231</v>
      </c>
    </row>
    <row r="5155" spans="1:4" x14ac:dyDescent="0.25">
      <c r="A5155" t="s">
        <v>7712</v>
      </c>
      <c r="D5155" t="s">
        <v>13232</v>
      </c>
    </row>
    <row r="5156" spans="1:4" x14ac:dyDescent="0.25">
      <c r="A5156" t="s">
        <v>7713</v>
      </c>
      <c r="D5156" t="s">
        <v>13233</v>
      </c>
    </row>
    <row r="5157" spans="1:4" x14ac:dyDescent="0.25">
      <c r="A5157" t="s">
        <v>7714</v>
      </c>
      <c r="D5157" t="s">
        <v>13234</v>
      </c>
    </row>
    <row r="5158" spans="1:4" x14ac:dyDescent="0.25">
      <c r="A5158" t="s">
        <v>7715</v>
      </c>
      <c r="D5158" t="s">
        <v>13235</v>
      </c>
    </row>
    <row r="5159" spans="1:4" x14ac:dyDescent="0.25">
      <c r="A5159" t="s">
        <v>7716</v>
      </c>
      <c r="D5159" t="s">
        <v>13236</v>
      </c>
    </row>
    <row r="5160" spans="1:4" x14ac:dyDescent="0.25">
      <c r="A5160" t="s">
        <v>7717</v>
      </c>
      <c r="D5160" t="s">
        <v>13237</v>
      </c>
    </row>
    <row r="5161" spans="1:4" x14ac:dyDescent="0.25">
      <c r="A5161" t="s">
        <v>7718</v>
      </c>
      <c r="D5161" t="s">
        <v>13238</v>
      </c>
    </row>
    <row r="5162" spans="1:4" x14ac:dyDescent="0.25">
      <c r="A5162" t="s">
        <v>7719</v>
      </c>
      <c r="D5162" t="s">
        <v>13239</v>
      </c>
    </row>
    <row r="5163" spans="1:4" x14ac:dyDescent="0.25">
      <c r="A5163" t="s">
        <v>7720</v>
      </c>
      <c r="D5163" t="s">
        <v>13240</v>
      </c>
    </row>
    <row r="5164" spans="1:4" x14ac:dyDescent="0.25">
      <c r="A5164" t="s">
        <v>7721</v>
      </c>
      <c r="D5164" t="s">
        <v>13241</v>
      </c>
    </row>
    <row r="5165" spans="1:4" x14ac:dyDescent="0.25">
      <c r="A5165" t="s">
        <v>7722</v>
      </c>
      <c r="D5165" t="s">
        <v>13242</v>
      </c>
    </row>
    <row r="5166" spans="1:4" x14ac:dyDescent="0.25">
      <c r="A5166" t="s">
        <v>7723</v>
      </c>
      <c r="D5166" t="s">
        <v>13243</v>
      </c>
    </row>
    <row r="5167" spans="1:4" x14ac:dyDescent="0.25">
      <c r="A5167" t="s">
        <v>7724</v>
      </c>
      <c r="D5167" t="s">
        <v>13244</v>
      </c>
    </row>
    <row r="5168" spans="1:4" x14ac:dyDescent="0.25">
      <c r="A5168" t="s">
        <v>7725</v>
      </c>
      <c r="D5168" t="s">
        <v>13245</v>
      </c>
    </row>
    <row r="5169" spans="1:4" x14ac:dyDescent="0.25">
      <c r="A5169" t="s">
        <v>7726</v>
      </c>
      <c r="D5169" t="s">
        <v>13246</v>
      </c>
    </row>
    <row r="5170" spans="1:4" x14ac:dyDescent="0.25">
      <c r="A5170" t="s">
        <v>7727</v>
      </c>
      <c r="D5170" t="s">
        <v>13247</v>
      </c>
    </row>
    <row r="5171" spans="1:4" x14ac:dyDescent="0.25">
      <c r="A5171" t="s">
        <v>7728</v>
      </c>
      <c r="D5171" t="s">
        <v>13248</v>
      </c>
    </row>
    <row r="5172" spans="1:4" x14ac:dyDescent="0.25">
      <c r="A5172" t="s">
        <v>7729</v>
      </c>
      <c r="D5172" t="s">
        <v>13249</v>
      </c>
    </row>
    <row r="5173" spans="1:4" x14ac:dyDescent="0.25">
      <c r="A5173" t="s">
        <v>7730</v>
      </c>
      <c r="D5173" t="s">
        <v>13250</v>
      </c>
    </row>
    <row r="5174" spans="1:4" x14ac:dyDescent="0.25">
      <c r="A5174" t="s">
        <v>7731</v>
      </c>
      <c r="D5174" t="s">
        <v>13251</v>
      </c>
    </row>
    <row r="5175" spans="1:4" x14ac:dyDescent="0.25">
      <c r="A5175" t="s">
        <v>7732</v>
      </c>
      <c r="D5175" t="s">
        <v>13252</v>
      </c>
    </row>
    <row r="5176" spans="1:4" x14ac:dyDescent="0.25">
      <c r="A5176" t="s">
        <v>7733</v>
      </c>
      <c r="D5176" t="s">
        <v>13253</v>
      </c>
    </row>
    <row r="5177" spans="1:4" x14ac:dyDescent="0.25">
      <c r="A5177" t="s">
        <v>7734</v>
      </c>
      <c r="D5177" t="s">
        <v>13254</v>
      </c>
    </row>
    <row r="5178" spans="1:4" x14ac:dyDescent="0.25">
      <c r="A5178" t="s">
        <v>7735</v>
      </c>
      <c r="D5178" t="s">
        <v>13255</v>
      </c>
    </row>
    <row r="5179" spans="1:4" x14ac:dyDescent="0.25">
      <c r="A5179" t="s">
        <v>7736</v>
      </c>
      <c r="D5179" t="s">
        <v>13256</v>
      </c>
    </row>
    <row r="5180" spans="1:4" x14ac:dyDescent="0.25">
      <c r="A5180" t="s">
        <v>7737</v>
      </c>
      <c r="D5180" t="s">
        <v>13257</v>
      </c>
    </row>
    <row r="5181" spans="1:4" x14ac:dyDescent="0.25">
      <c r="A5181" t="s">
        <v>7738</v>
      </c>
      <c r="D5181" t="s">
        <v>13258</v>
      </c>
    </row>
    <row r="5182" spans="1:4" x14ac:dyDescent="0.25">
      <c r="A5182" t="s">
        <v>7739</v>
      </c>
      <c r="D5182" t="s">
        <v>13259</v>
      </c>
    </row>
    <row r="5183" spans="1:4" x14ac:dyDescent="0.25">
      <c r="A5183" t="s">
        <v>7740</v>
      </c>
      <c r="D5183" t="s">
        <v>13260</v>
      </c>
    </row>
    <row r="5184" spans="1:4" x14ac:dyDescent="0.25">
      <c r="A5184" t="s">
        <v>7741</v>
      </c>
      <c r="D5184" t="s">
        <v>13261</v>
      </c>
    </row>
    <row r="5185" spans="1:4" x14ac:dyDescent="0.25">
      <c r="A5185" t="s">
        <v>7742</v>
      </c>
      <c r="D5185" t="s">
        <v>13262</v>
      </c>
    </row>
    <row r="5186" spans="1:4" x14ac:dyDescent="0.25">
      <c r="A5186" t="s">
        <v>7743</v>
      </c>
      <c r="D5186" t="s">
        <v>13263</v>
      </c>
    </row>
    <row r="5187" spans="1:4" x14ac:dyDescent="0.25">
      <c r="A5187" t="s">
        <v>7744</v>
      </c>
      <c r="D5187" t="s">
        <v>13264</v>
      </c>
    </row>
    <row r="5188" spans="1:4" x14ac:dyDescent="0.25">
      <c r="A5188" t="s">
        <v>7745</v>
      </c>
      <c r="D5188" t="s">
        <v>13265</v>
      </c>
    </row>
    <row r="5189" spans="1:4" x14ac:dyDescent="0.25">
      <c r="A5189" t="s">
        <v>7746</v>
      </c>
      <c r="D5189" t="s">
        <v>13266</v>
      </c>
    </row>
    <row r="5190" spans="1:4" x14ac:dyDescent="0.25">
      <c r="A5190" t="s">
        <v>7747</v>
      </c>
      <c r="D5190" t="s">
        <v>13267</v>
      </c>
    </row>
    <row r="5191" spans="1:4" x14ac:dyDescent="0.25">
      <c r="A5191" t="s">
        <v>7748</v>
      </c>
      <c r="D5191" t="s">
        <v>13268</v>
      </c>
    </row>
    <row r="5192" spans="1:4" x14ac:dyDescent="0.25">
      <c r="A5192" t="s">
        <v>7749</v>
      </c>
      <c r="D5192" t="s">
        <v>13269</v>
      </c>
    </row>
    <row r="5193" spans="1:4" x14ac:dyDescent="0.25">
      <c r="A5193" t="s">
        <v>7750</v>
      </c>
      <c r="D5193" t="s">
        <v>13270</v>
      </c>
    </row>
    <row r="5194" spans="1:4" x14ac:dyDescent="0.25">
      <c r="A5194" t="s">
        <v>7751</v>
      </c>
      <c r="D5194" t="s">
        <v>13271</v>
      </c>
    </row>
    <row r="5195" spans="1:4" x14ac:dyDescent="0.25">
      <c r="A5195" t="s">
        <v>7752</v>
      </c>
      <c r="D5195" t="s">
        <v>13272</v>
      </c>
    </row>
    <row r="5196" spans="1:4" x14ac:dyDescent="0.25">
      <c r="A5196" t="s">
        <v>7753</v>
      </c>
      <c r="D5196" t="s">
        <v>13273</v>
      </c>
    </row>
    <row r="5197" spans="1:4" x14ac:dyDescent="0.25">
      <c r="A5197" t="s">
        <v>7754</v>
      </c>
      <c r="D5197" t="s">
        <v>13274</v>
      </c>
    </row>
    <row r="5198" spans="1:4" x14ac:dyDescent="0.25">
      <c r="A5198" t="s">
        <v>7755</v>
      </c>
      <c r="D5198" t="s">
        <v>13275</v>
      </c>
    </row>
    <row r="5199" spans="1:4" x14ac:dyDescent="0.25">
      <c r="A5199" t="s">
        <v>7756</v>
      </c>
      <c r="D5199" t="s">
        <v>13276</v>
      </c>
    </row>
    <row r="5200" spans="1:4" x14ac:dyDescent="0.25">
      <c r="A5200" t="s">
        <v>7757</v>
      </c>
      <c r="D5200" t="s">
        <v>13277</v>
      </c>
    </row>
    <row r="5201" spans="1:4" x14ac:dyDescent="0.25">
      <c r="A5201" t="s">
        <v>7758</v>
      </c>
      <c r="D5201" t="s">
        <v>13278</v>
      </c>
    </row>
    <row r="5202" spans="1:4" x14ac:dyDescent="0.25">
      <c r="A5202" t="s">
        <v>7759</v>
      </c>
      <c r="D5202" t="s">
        <v>13279</v>
      </c>
    </row>
    <row r="5203" spans="1:4" x14ac:dyDescent="0.25">
      <c r="A5203" t="s">
        <v>7760</v>
      </c>
      <c r="D5203" t="s">
        <v>13280</v>
      </c>
    </row>
    <row r="5204" spans="1:4" x14ac:dyDescent="0.25">
      <c r="A5204" t="s">
        <v>7761</v>
      </c>
      <c r="D5204" t="s">
        <v>13281</v>
      </c>
    </row>
    <row r="5205" spans="1:4" x14ac:dyDescent="0.25">
      <c r="A5205" t="s">
        <v>7762</v>
      </c>
      <c r="D5205" t="s">
        <v>13282</v>
      </c>
    </row>
    <row r="5206" spans="1:4" x14ac:dyDescent="0.25">
      <c r="A5206" t="s">
        <v>7763</v>
      </c>
      <c r="D5206" t="s">
        <v>13283</v>
      </c>
    </row>
    <row r="5207" spans="1:4" x14ac:dyDescent="0.25">
      <c r="A5207" t="s">
        <v>7764</v>
      </c>
      <c r="D5207" t="s">
        <v>13284</v>
      </c>
    </row>
    <row r="5208" spans="1:4" x14ac:dyDescent="0.25">
      <c r="A5208" t="s">
        <v>7765</v>
      </c>
      <c r="D5208" t="s">
        <v>13285</v>
      </c>
    </row>
    <row r="5209" spans="1:4" x14ac:dyDescent="0.25">
      <c r="A5209" t="s">
        <v>7766</v>
      </c>
      <c r="D5209" t="s">
        <v>13286</v>
      </c>
    </row>
    <row r="5210" spans="1:4" x14ac:dyDescent="0.25">
      <c r="A5210" t="s">
        <v>7767</v>
      </c>
      <c r="D5210" t="s">
        <v>13287</v>
      </c>
    </row>
    <row r="5211" spans="1:4" x14ac:dyDescent="0.25">
      <c r="A5211" t="s">
        <v>7768</v>
      </c>
      <c r="D5211" t="s">
        <v>13288</v>
      </c>
    </row>
    <row r="5212" spans="1:4" x14ac:dyDescent="0.25">
      <c r="A5212" t="s">
        <v>7769</v>
      </c>
      <c r="D5212" t="s">
        <v>13289</v>
      </c>
    </row>
    <row r="5213" spans="1:4" x14ac:dyDescent="0.25">
      <c r="A5213" t="s">
        <v>7770</v>
      </c>
      <c r="D5213" t="s">
        <v>13290</v>
      </c>
    </row>
    <row r="5214" spans="1:4" x14ac:dyDescent="0.25">
      <c r="A5214" t="s">
        <v>7771</v>
      </c>
      <c r="D5214" t="s">
        <v>13291</v>
      </c>
    </row>
    <row r="5215" spans="1:4" x14ac:dyDescent="0.25">
      <c r="A5215" t="s">
        <v>7772</v>
      </c>
      <c r="D5215" t="s">
        <v>13292</v>
      </c>
    </row>
    <row r="5216" spans="1:4" x14ac:dyDescent="0.25">
      <c r="A5216" t="s">
        <v>7773</v>
      </c>
      <c r="D5216" t="s">
        <v>13293</v>
      </c>
    </row>
    <row r="5217" spans="1:4" x14ac:dyDescent="0.25">
      <c r="A5217" t="s">
        <v>7774</v>
      </c>
      <c r="D5217" t="s">
        <v>13294</v>
      </c>
    </row>
    <row r="5218" spans="1:4" x14ac:dyDescent="0.25">
      <c r="A5218" t="s">
        <v>7775</v>
      </c>
      <c r="D5218" t="s">
        <v>13295</v>
      </c>
    </row>
    <row r="5219" spans="1:4" x14ac:dyDescent="0.25">
      <c r="A5219" t="s">
        <v>7776</v>
      </c>
      <c r="D5219" t="s">
        <v>13296</v>
      </c>
    </row>
    <row r="5220" spans="1:4" x14ac:dyDescent="0.25">
      <c r="A5220" t="s">
        <v>7777</v>
      </c>
      <c r="D5220" t="s">
        <v>13297</v>
      </c>
    </row>
    <row r="5221" spans="1:4" x14ac:dyDescent="0.25">
      <c r="A5221" t="s">
        <v>7778</v>
      </c>
      <c r="D5221" t="s">
        <v>13298</v>
      </c>
    </row>
    <row r="5222" spans="1:4" x14ac:dyDescent="0.25">
      <c r="A5222" t="s">
        <v>7779</v>
      </c>
      <c r="D5222" t="s">
        <v>13299</v>
      </c>
    </row>
    <row r="5223" spans="1:4" x14ac:dyDescent="0.25">
      <c r="A5223" t="s">
        <v>7780</v>
      </c>
      <c r="D5223" t="s">
        <v>13300</v>
      </c>
    </row>
    <row r="5224" spans="1:4" x14ac:dyDescent="0.25">
      <c r="A5224" t="s">
        <v>7781</v>
      </c>
      <c r="D5224" t="s">
        <v>13301</v>
      </c>
    </row>
    <row r="5225" spans="1:4" x14ac:dyDescent="0.25">
      <c r="A5225" t="s">
        <v>7782</v>
      </c>
      <c r="D5225" t="s">
        <v>13302</v>
      </c>
    </row>
    <row r="5226" spans="1:4" x14ac:dyDescent="0.25">
      <c r="A5226" t="s">
        <v>7783</v>
      </c>
      <c r="D5226" t="s">
        <v>13303</v>
      </c>
    </row>
    <row r="5227" spans="1:4" x14ac:dyDescent="0.25">
      <c r="A5227" t="s">
        <v>7784</v>
      </c>
      <c r="D5227" t="s">
        <v>13304</v>
      </c>
    </row>
    <row r="5228" spans="1:4" x14ac:dyDescent="0.25">
      <c r="A5228" t="s">
        <v>7785</v>
      </c>
      <c r="D5228" t="s">
        <v>13305</v>
      </c>
    </row>
    <row r="5229" spans="1:4" x14ac:dyDescent="0.25">
      <c r="A5229" t="s">
        <v>7786</v>
      </c>
      <c r="D5229" t="s">
        <v>13306</v>
      </c>
    </row>
    <row r="5230" spans="1:4" x14ac:dyDescent="0.25">
      <c r="A5230" t="s">
        <v>7787</v>
      </c>
      <c r="D5230" t="s">
        <v>13307</v>
      </c>
    </row>
    <row r="5231" spans="1:4" x14ac:dyDescent="0.25">
      <c r="A5231" t="s">
        <v>7788</v>
      </c>
      <c r="D5231" t="s">
        <v>13308</v>
      </c>
    </row>
    <row r="5232" spans="1:4" x14ac:dyDescent="0.25">
      <c r="A5232" t="s">
        <v>7789</v>
      </c>
      <c r="D5232" t="s">
        <v>13309</v>
      </c>
    </row>
    <row r="5233" spans="1:4" x14ac:dyDescent="0.25">
      <c r="A5233" t="s">
        <v>7790</v>
      </c>
      <c r="D5233" t="s">
        <v>13310</v>
      </c>
    </row>
    <row r="5234" spans="1:4" x14ac:dyDescent="0.25">
      <c r="A5234" t="s">
        <v>7791</v>
      </c>
      <c r="D5234" t="s">
        <v>13311</v>
      </c>
    </row>
    <row r="5235" spans="1:4" x14ac:dyDescent="0.25">
      <c r="A5235" t="s">
        <v>7792</v>
      </c>
      <c r="D5235" t="s">
        <v>13312</v>
      </c>
    </row>
    <row r="5236" spans="1:4" x14ac:dyDescent="0.25">
      <c r="A5236" t="s">
        <v>7793</v>
      </c>
      <c r="D5236" t="s">
        <v>13313</v>
      </c>
    </row>
    <row r="5237" spans="1:4" x14ac:dyDescent="0.25">
      <c r="A5237" t="s">
        <v>7794</v>
      </c>
      <c r="D5237" t="s">
        <v>13314</v>
      </c>
    </row>
    <row r="5238" spans="1:4" x14ac:dyDescent="0.25">
      <c r="A5238" t="s">
        <v>7795</v>
      </c>
      <c r="D5238" t="s">
        <v>13315</v>
      </c>
    </row>
    <row r="5239" spans="1:4" x14ac:dyDescent="0.25">
      <c r="A5239" t="s">
        <v>7796</v>
      </c>
      <c r="D5239" t="s">
        <v>13316</v>
      </c>
    </row>
    <row r="5240" spans="1:4" x14ac:dyDescent="0.25">
      <c r="A5240" t="s">
        <v>7797</v>
      </c>
      <c r="D5240" t="s">
        <v>13317</v>
      </c>
    </row>
    <row r="5241" spans="1:4" x14ac:dyDescent="0.25">
      <c r="A5241" t="s">
        <v>7798</v>
      </c>
      <c r="D5241" t="s">
        <v>13318</v>
      </c>
    </row>
    <row r="5242" spans="1:4" x14ac:dyDescent="0.25">
      <c r="A5242" t="s">
        <v>7799</v>
      </c>
      <c r="D5242" t="s">
        <v>13319</v>
      </c>
    </row>
    <row r="5243" spans="1:4" x14ac:dyDescent="0.25">
      <c r="A5243" t="s">
        <v>7800</v>
      </c>
      <c r="D5243" t="s">
        <v>13320</v>
      </c>
    </row>
    <row r="5244" spans="1:4" x14ac:dyDescent="0.25">
      <c r="A5244" t="s">
        <v>7801</v>
      </c>
      <c r="D5244" t="s">
        <v>13321</v>
      </c>
    </row>
    <row r="5245" spans="1:4" x14ac:dyDescent="0.25">
      <c r="A5245" t="s">
        <v>7802</v>
      </c>
      <c r="D5245" t="s">
        <v>13322</v>
      </c>
    </row>
    <row r="5246" spans="1:4" x14ac:dyDescent="0.25">
      <c r="A5246" t="s">
        <v>7803</v>
      </c>
      <c r="D5246" t="s">
        <v>13323</v>
      </c>
    </row>
    <row r="5247" spans="1:4" x14ac:dyDescent="0.25">
      <c r="A5247" t="s">
        <v>7804</v>
      </c>
      <c r="D5247" t="s">
        <v>13324</v>
      </c>
    </row>
    <row r="5248" spans="1:4" x14ac:dyDescent="0.25">
      <c r="A5248" t="s">
        <v>7805</v>
      </c>
      <c r="D5248" t="s">
        <v>13325</v>
      </c>
    </row>
    <row r="5249" spans="1:4" x14ac:dyDescent="0.25">
      <c r="A5249" t="s">
        <v>7806</v>
      </c>
      <c r="D5249" t="s">
        <v>13326</v>
      </c>
    </row>
    <row r="5250" spans="1:4" x14ac:dyDescent="0.25">
      <c r="A5250" t="s">
        <v>7807</v>
      </c>
      <c r="D5250" t="s">
        <v>13327</v>
      </c>
    </row>
    <row r="5251" spans="1:4" x14ac:dyDescent="0.25">
      <c r="A5251" t="s">
        <v>7808</v>
      </c>
      <c r="D5251" t="s">
        <v>13328</v>
      </c>
    </row>
    <row r="5252" spans="1:4" x14ac:dyDescent="0.25">
      <c r="A5252" t="s">
        <v>7809</v>
      </c>
      <c r="D5252" t="s">
        <v>13329</v>
      </c>
    </row>
    <row r="5253" spans="1:4" x14ac:dyDescent="0.25">
      <c r="A5253" t="s">
        <v>7810</v>
      </c>
      <c r="D5253" t="s">
        <v>13330</v>
      </c>
    </row>
    <row r="5254" spans="1:4" x14ac:dyDescent="0.25">
      <c r="A5254" t="s">
        <v>7811</v>
      </c>
      <c r="D5254" t="s">
        <v>13331</v>
      </c>
    </row>
    <row r="5255" spans="1:4" x14ac:dyDescent="0.25">
      <c r="A5255" t="s">
        <v>7812</v>
      </c>
      <c r="D5255" t="s">
        <v>13332</v>
      </c>
    </row>
    <row r="5256" spans="1:4" x14ac:dyDescent="0.25">
      <c r="A5256" t="s">
        <v>7813</v>
      </c>
      <c r="D5256" t="s">
        <v>13333</v>
      </c>
    </row>
    <row r="5257" spans="1:4" x14ac:dyDescent="0.25">
      <c r="A5257" t="s">
        <v>7814</v>
      </c>
      <c r="D5257" t="s">
        <v>13334</v>
      </c>
    </row>
    <row r="5258" spans="1:4" x14ac:dyDescent="0.25">
      <c r="A5258" t="s">
        <v>7815</v>
      </c>
      <c r="D5258" t="s">
        <v>13335</v>
      </c>
    </row>
    <row r="5259" spans="1:4" x14ac:dyDescent="0.25">
      <c r="A5259" t="s">
        <v>7816</v>
      </c>
      <c r="D5259" t="s">
        <v>13336</v>
      </c>
    </row>
    <row r="5260" spans="1:4" x14ac:dyDescent="0.25">
      <c r="A5260" t="s">
        <v>7817</v>
      </c>
      <c r="D5260" t="s">
        <v>13337</v>
      </c>
    </row>
    <row r="5261" spans="1:4" x14ac:dyDescent="0.25">
      <c r="A5261" t="s">
        <v>7818</v>
      </c>
      <c r="D5261" t="s">
        <v>13338</v>
      </c>
    </row>
    <row r="5262" spans="1:4" x14ac:dyDescent="0.25">
      <c r="A5262" t="s">
        <v>7819</v>
      </c>
      <c r="D5262" t="s">
        <v>13339</v>
      </c>
    </row>
    <row r="5263" spans="1:4" x14ac:dyDescent="0.25">
      <c r="A5263" t="s">
        <v>7820</v>
      </c>
      <c r="D5263" t="s">
        <v>13340</v>
      </c>
    </row>
    <row r="5264" spans="1:4" x14ac:dyDescent="0.25">
      <c r="A5264" t="s">
        <v>7821</v>
      </c>
      <c r="D5264" t="s">
        <v>13341</v>
      </c>
    </row>
    <row r="5265" spans="1:4" x14ac:dyDescent="0.25">
      <c r="A5265" t="s">
        <v>7822</v>
      </c>
      <c r="D5265" t="s">
        <v>13342</v>
      </c>
    </row>
    <row r="5266" spans="1:4" x14ac:dyDescent="0.25">
      <c r="A5266" t="s">
        <v>7823</v>
      </c>
      <c r="D5266" t="s">
        <v>13343</v>
      </c>
    </row>
    <row r="5267" spans="1:4" x14ac:dyDescent="0.25">
      <c r="A5267" t="s">
        <v>7824</v>
      </c>
      <c r="D5267" t="s">
        <v>13344</v>
      </c>
    </row>
    <row r="5268" spans="1:4" x14ac:dyDescent="0.25">
      <c r="A5268" t="s">
        <v>7825</v>
      </c>
      <c r="D5268" t="s">
        <v>13345</v>
      </c>
    </row>
    <row r="5269" spans="1:4" x14ac:dyDescent="0.25">
      <c r="A5269" t="s">
        <v>7826</v>
      </c>
      <c r="D5269" t="s">
        <v>13346</v>
      </c>
    </row>
    <row r="5270" spans="1:4" x14ac:dyDescent="0.25">
      <c r="A5270" t="s">
        <v>7827</v>
      </c>
      <c r="D5270" t="s">
        <v>13347</v>
      </c>
    </row>
    <row r="5271" spans="1:4" x14ac:dyDescent="0.25">
      <c r="A5271" t="s">
        <v>7828</v>
      </c>
      <c r="D5271" t="s">
        <v>13348</v>
      </c>
    </row>
    <row r="5272" spans="1:4" x14ac:dyDescent="0.25">
      <c r="A5272" t="s">
        <v>7829</v>
      </c>
      <c r="D5272" t="s">
        <v>13349</v>
      </c>
    </row>
    <row r="5273" spans="1:4" x14ac:dyDescent="0.25">
      <c r="A5273" t="s">
        <v>7830</v>
      </c>
      <c r="D5273" t="s">
        <v>13350</v>
      </c>
    </row>
    <row r="5274" spans="1:4" x14ac:dyDescent="0.25">
      <c r="A5274" t="s">
        <v>7831</v>
      </c>
      <c r="D5274" t="s">
        <v>13351</v>
      </c>
    </row>
    <row r="5275" spans="1:4" x14ac:dyDescent="0.25">
      <c r="A5275" t="s">
        <v>7832</v>
      </c>
      <c r="D5275" t="s">
        <v>13352</v>
      </c>
    </row>
    <row r="5276" spans="1:4" x14ac:dyDescent="0.25">
      <c r="A5276" t="s">
        <v>7833</v>
      </c>
      <c r="D5276" t="s">
        <v>13353</v>
      </c>
    </row>
    <row r="5277" spans="1:4" x14ac:dyDescent="0.25">
      <c r="A5277" t="s">
        <v>7834</v>
      </c>
      <c r="D5277" t="s">
        <v>13354</v>
      </c>
    </row>
    <row r="5278" spans="1:4" x14ac:dyDescent="0.25">
      <c r="A5278" t="s">
        <v>7835</v>
      </c>
      <c r="D5278" t="s">
        <v>13355</v>
      </c>
    </row>
    <row r="5279" spans="1:4" x14ac:dyDescent="0.25">
      <c r="A5279" t="s">
        <v>7836</v>
      </c>
      <c r="D5279" t="s">
        <v>13356</v>
      </c>
    </row>
    <row r="5280" spans="1:4" x14ac:dyDescent="0.25">
      <c r="A5280" t="s">
        <v>7837</v>
      </c>
      <c r="D5280" t="s">
        <v>13357</v>
      </c>
    </row>
    <row r="5281" spans="1:4" x14ac:dyDescent="0.25">
      <c r="A5281" t="s">
        <v>7838</v>
      </c>
      <c r="D5281" t="s">
        <v>13358</v>
      </c>
    </row>
    <row r="5282" spans="1:4" x14ac:dyDescent="0.25">
      <c r="A5282" t="s">
        <v>7839</v>
      </c>
      <c r="D5282" t="s">
        <v>13359</v>
      </c>
    </row>
    <row r="5283" spans="1:4" x14ac:dyDescent="0.25">
      <c r="A5283" t="s">
        <v>7840</v>
      </c>
      <c r="D5283" t="s">
        <v>13360</v>
      </c>
    </row>
    <row r="5284" spans="1:4" x14ac:dyDescent="0.25">
      <c r="A5284" t="s">
        <v>7841</v>
      </c>
      <c r="D5284" t="s">
        <v>13361</v>
      </c>
    </row>
    <row r="5285" spans="1:4" x14ac:dyDescent="0.25">
      <c r="A5285" t="s">
        <v>7842</v>
      </c>
      <c r="D5285" t="s">
        <v>13362</v>
      </c>
    </row>
    <row r="5286" spans="1:4" x14ac:dyDescent="0.25">
      <c r="A5286" t="s">
        <v>7843</v>
      </c>
      <c r="D5286" t="s">
        <v>13363</v>
      </c>
    </row>
    <row r="5287" spans="1:4" x14ac:dyDescent="0.25">
      <c r="A5287" t="s">
        <v>7844</v>
      </c>
      <c r="D5287" t="s">
        <v>13364</v>
      </c>
    </row>
    <row r="5288" spans="1:4" x14ac:dyDescent="0.25">
      <c r="A5288" t="s">
        <v>7845</v>
      </c>
      <c r="D5288" t="s">
        <v>13365</v>
      </c>
    </row>
    <row r="5289" spans="1:4" x14ac:dyDescent="0.25">
      <c r="A5289" t="s">
        <v>7846</v>
      </c>
      <c r="D5289" t="s">
        <v>13366</v>
      </c>
    </row>
    <row r="5290" spans="1:4" x14ac:dyDescent="0.25">
      <c r="A5290" t="s">
        <v>7847</v>
      </c>
      <c r="D5290" t="s">
        <v>13367</v>
      </c>
    </row>
    <row r="5291" spans="1:4" x14ac:dyDescent="0.25">
      <c r="A5291" t="s">
        <v>7848</v>
      </c>
      <c r="D5291" t="s">
        <v>13368</v>
      </c>
    </row>
    <row r="5292" spans="1:4" x14ac:dyDescent="0.25">
      <c r="A5292" t="s">
        <v>7849</v>
      </c>
      <c r="D5292" t="s">
        <v>13369</v>
      </c>
    </row>
    <row r="5293" spans="1:4" x14ac:dyDescent="0.25">
      <c r="A5293" t="s">
        <v>7850</v>
      </c>
      <c r="D5293" t="s">
        <v>13370</v>
      </c>
    </row>
    <row r="5294" spans="1:4" x14ac:dyDescent="0.25">
      <c r="A5294" t="s">
        <v>7851</v>
      </c>
      <c r="D5294" t="s">
        <v>13371</v>
      </c>
    </row>
    <row r="5295" spans="1:4" x14ac:dyDescent="0.25">
      <c r="A5295" t="s">
        <v>7852</v>
      </c>
      <c r="D5295" t="s">
        <v>13372</v>
      </c>
    </row>
    <row r="5296" spans="1:4" x14ac:dyDescent="0.25">
      <c r="A5296" t="s">
        <v>7853</v>
      </c>
      <c r="D5296" t="s">
        <v>13373</v>
      </c>
    </row>
    <row r="5297" spans="1:4" x14ac:dyDescent="0.25">
      <c r="A5297" t="s">
        <v>7854</v>
      </c>
      <c r="D5297" t="s">
        <v>13374</v>
      </c>
    </row>
    <row r="5298" spans="1:4" x14ac:dyDescent="0.25">
      <c r="A5298" t="s">
        <v>7855</v>
      </c>
      <c r="D5298" t="s">
        <v>13375</v>
      </c>
    </row>
    <row r="5299" spans="1:4" x14ac:dyDescent="0.25">
      <c r="A5299" t="s">
        <v>7856</v>
      </c>
      <c r="D5299" t="s">
        <v>13376</v>
      </c>
    </row>
    <row r="5300" spans="1:4" x14ac:dyDescent="0.25">
      <c r="A5300" t="s">
        <v>7857</v>
      </c>
      <c r="D5300" t="s">
        <v>13377</v>
      </c>
    </row>
    <row r="5301" spans="1:4" x14ac:dyDescent="0.25">
      <c r="A5301" t="s">
        <v>7858</v>
      </c>
      <c r="D5301" t="s">
        <v>13378</v>
      </c>
    </row>
    <row r="5302" spans="1:4" x14ac:dyDescent="0.25">
      <c r="A5302" t="s">
        <v>7859</v>
      </c>
      <c r="D5302" t="s">
        <v>13379</v>
      </c>
    </row>
    <row r="5303" spans="1:4" x14ac:dyDescent="0.25">
      <c r="A5303" t="s">
        <v>7860</v>
      </c>
      <c r="D5303" t="s">
        <v>13380</v>
      </c>
    </row>
    <row r="5304" spans="1:4" x14ac:dyDescent="0.25">
      <c r="A5304" t="s">
        <v>7861</v>
      </c>
      <c r="D5304" t="s">
        <v>13381</v>
      </c>
    </row>
    <row r="5305" spans="1:4" x14ac:dyDescent="0.25">
      <c r="A5305" t="s">
        <v>7862</v>
      </c>
      <c r="D5305" t="s">
        <v>13382</v>
      </c>
    </row>
    <row r="5306" spans="1:4" x14ac:dyDescent="0.25">
      <c r="A5306" t="s">
        <v>7863</v>
      </c>
      <c r="D5306" t="s">
        <v>13383</v>
      </c>
    </row>
    <row r="5307" spans="1:4" x14ac:dyDescent="0.25">
      <c r="A5307" t="s">
        <v>7864</v>
      </c>
      <c r="D5307" t="s">
        <v>13384</v>
      </c>
    </row>
    <row r="5308" spans="1:4" x14ac:dyDescent="0.25">
      <c r="A5308" t="s">
        <v>7865</v>
      </c>
      <c r="D5308" t="s">
        <v>13385</v>
      </c>
    </row>
    <row r="5309" spans="1:4" x14ac:dyDescent="0.25">
      <c r="A5309" t="s">
        <v>7866</v>
      </c>
      <c r="D5309" t="s">
        <v>13386</v>
      </c>
    </row>
    <row r="5310" spans="1:4" x14ac:dyDescent="0.25">
      <c r="A5310" t="s">
        <v>7867</v>
      </c>
      <c r="D5310" t="s">
        <v>13387</v>
      </c>
    </row>
    <row r="5311" spans="1:4" x14ac:dyDescent="0.25">
      <c r="A5311" t="s">
        <v>7868</v>
      </c>
      <c r="D5311" t="s">
        <v>13388</v>
      </c>
    </row>
    <row r="5312" spans="1:4" x14ac:dyDescent="0.25">
      <c r="A5312" t="s">
        <v>7869</v>
      </c>
      <c r="D5312" t="s">
        <v>13389</v>
      </c>
    </row>
    <row r="5313" spans="1:4" x14ac:dyDescent="0.25">
      <c r="A5313" t="s">
        <v>7870</v>
      </c>
      <c r="D5313" t="s">
        <v>13390</v>
      </c>
    </row>
    <row r="5314" spans="1:4" x14ac:dyDescent="0.25">
      <c r="A5314" t="s">
        <v>7871</v>
      </c>
      <c r="D5314" t="s">
        <v>13391</v>
      </c>
    </row>
    <row r="5315" spans="1:4" x14ac:dyDescent="0.25">
      <c r="A5315" t="s">
        <v>7872</v>
      </c>
      <c r="D5315" t="s">
        <v>13392</v>
      </c>
    </row>
    <row r="5316" spans="1:4" x14ac:dyDescent="0.25">
      <c r="A5316" t="s">
        <v>7873</v>
      </c>
      <c r="D5316" t="s">
        <v>13393</v>
      </c>
    </row>
    <row r="5317" spans="1:4" x14ac:dyDescent="0.25">
      <c r="A5317" t="s">
        <v>7874</v>
      </c>
      <c r="D5317" t="s">
        <v>13394</v>
      </c>
    </row>
    <row r="5318" spans="1:4" x14ac:dyDescent="0.25">
      <c r="A5318" t="s">
        <v>7875</v>
      </c>
      <c r="D5318" t="s">
        <v>13395</v>
      </c>
    </row>
    <row r="5319" spans="1:4" x14ac:dyDescent="0.25">
      <c r="A5319" t="s">
        <v>7876</v>
      </c>
      <c r="D5319" t="s">
        <v>13396</v>
      </c>
    </row>
    <row r="5320" spans="1:4" x14ac:dyDescent="0.25">
      <c r="A5320" t="s">
        <v>7877</v>
      </c>
      <c r="D5320" t="s">
        <v>13397</v>
      </c>
    </row>
    <row r="5321" spans="1:4" x14ac:dyDescent="0.25">
      <c r="A5321" t="s">
        <v>7878</v>
      </c>
      <c r="D5321" t="s">
        <v>13398</v>
      </c>
    </row>
    <row r="5322" spans="1:4" x14ac:dyDescent="0.25">
      <c r="A5322" t="s">
        <v>7879</v>
      </c>
      <c r="D5322" t="s">
        <v>13399</v>
      </c>
    </row>
    <row r="5323" spans="1:4" x14ac:dyDescent="0.25">
      <c r="A5323" t="s">
        <v>7880</v>
      </c>
      <c r="D5323" t="s">
        <v>13400</v>
      </c>
    </row>
    <row r="5324" spans="1:4" x14ac:dyDescent="0.25">
      <c r="A5324" t="s">
        <v>7881</v>
      </c>
      <c r="D5324" t="s">
        <v>13401</v>
      </c>
    </row>
    <row r="5325" spans="1:4" x14ac:dyDescent="0.25">
      <c r="A5325" t="s">
        <v>7882</v>
      </c>
      <c r="D5325" t="s">
        <v>13402</v>
      </c>
    </row>
    <row r="5326" spans="1:4" x14ac:dyDescent="0.25">
      <c r="A5326" t="s">
        <v>7883</v>
      </c>
      <c r="D5326" t="s">
        <v>13403</v>
      </c>
    </row>
    <row r="5327" spans="1:4" x14ac:dyDescent="0.25">
      <c r="A5327" t="s">
        <v>7884</v>
      </c>
      <c r="D5327" t="s">
        <v>13404</v>
      </c>
    </row>
    <row r="5328" spans="1:4" x14ac:dyDescent="0.25">
      <c r="A5328" t="s">
        <v>7885</v>
      </c>
      <c r="D5328" t="s">
        <v>13405</v>
      </c>
    </row>
    <row r="5329" spans="1:4" x14ac:dyDescent="0.25">
      <c r="A5329" t="s">
        <v>7886</v>
      </c>
      <c r="D5329" t="s">
        <v>13406</v>
      </c>
    </row>
    <row r="5330" spans="1:4" x14ac:dyDescent="0.25">
      <c r="A5330" t="s">
        <v>7887</v>
      </c>
      <c r="D5330" t="s">
        <v>13407</v>
      </c>
    </row>
    <row r="5331" spans="1:4" x14ac:dyDescent="0.25">
      <c r="A5331" t="s">
        <v>7888</v>
      </c>
      <c r="D5331" t="s">
        <v>13408</v>
      </c>
    </row>
    <row r="5332" spans="1:4" x14ac:dyDescent="0.25">
      <c r="A5332" t="s">
        <v>7889</v>
      </c>
      <c r="D5332" t="s">
        <v>13409</v>
      </c>
    </row>
    <row r="5333" spans="1:4" x14ac:dyDescent="0.25">
      <c r="A5333" t="s">
        <v>7890</v>
      </c>
      <c r="D5333" t="s">
        <v>13410</v>
      </c>
    </row>
    <row r="5334" spans="1:4" x14ac:dyDescent="0.25">
      <c r="A5334" t="s">
        <v>7891</v>
      </c>
      <c r="D5334" t="s">
        <v>13411</v>
      </c>
    </row>
    <row r="5335" spans="1:4" x14ac:dyDescent="0.25">
      <c r="A5335" t="s">
        <v>7892</v>
      </c>
      <c r="D5335" t="s">
        <v>13412</v>
      </c>
    </row>
    <row r="5336" spans="1:4" x14ac:dyDescent="0.25">
      <c r="A5336" t="s">
        <v>7893</v>
      </c>
      <c r="D5336" t="s">
        <v>13413</v>
      </c>
    </row>
    <row r="5337" spans="1:4" x14ac:dyDescent="0.25">
      <c r="A5337" t="s">
        <v>7894</v>
      </c>
      <c r="D5337" t="s">
        <v>13414</v>
      </c>
    </row>
    <row r="5338" spans="1:4" x14ac:dyDescent="0.25">
      <c r="A5338" t="s">
        <v>7895</v>
      </c>
      <c r="D5338" t="s">
        <v>13415</v>
      </c>
    </row>
    <row r="5339" spans="1:4" x14ac:dyDescent="0.25">
      <c r="A5339" t="s">
        <v>7896</v>
      </c>
      <c r="D5339" t="s">
        <v>13416</v>
      </c>
    </row>
    <row r="5340" spans="1:4" x14ac:dyDescent="0.25">
      <c r="A5340" t="s">
        <v>7897</v>
      </c>
      <c r="D5340" t="s">
        <v>13417</v>
      </c>
    </row>
    <row r="5341" spans="1:4" x14ac:dyDescent="0.25">
      <c r="A5341" t="s">
        <v>7898</v>
      </c>
      <c r="D5341" t="s">
        <v>13418</v>
      </c>
    </row>
    <row r="5342" spans="1:4" x14ac:dyDescent="0.25">
      <c r="A5342" t="s">
        <v>7899</v>
      </c>
      <c r="D5342" t="s">
        <v>13419</v>
      </c>
    </row>
    <row r="5343" spans="1:4" x14ac:dyDescent="0.25">
      <c r="A5343" t="s">
        <v>7900</v>
      </c>
      <c r="D5343" t="s">
        <v>13420</v>
      </c>
    </row>
    <row r="5344" spans="1:4" x14ac:dyDescent="0.25">
      <c r="A5344" t="s">
        <v>7901</v>
      </c>
      <c r="D5344" t="s">
        <v>13421</v>
      </c>
    </row>
    <row r="5345" spans="1:4" x14ac:dyDescent="0.25">
      <c r="A5345" t="s">
        <v>7902</v>
      </c>
      <c r="D5345" t="s">
        <v>13422</v>
      </c>
    </row>
    <row r="5346" spans="1:4" x14ac:dyDescent="0.25">
      <c r="A5346" t="s">
        <v>7903</v>
      </c>
      <c r="D5346" t="s">
        <v>13423</v>
      </c>
    </row>
    <row r="5347" spans="1:4" x14ac:dyDescent="0.25">
      <c r="A5347" t="s">
        <v>7904</v>
      </c>
      <c r="D5347" t="s">
        <v>13424</v>
      </c>
    </row>
    <row r="5348" spans="1:4" x14ac:dyDescent="0.25">
      <c r="A5348" t="s">
        <v>7905</v>
      </c>
      <c r="D5348" t="s">
        <v>13425</v>
      </c>
    </row>
    <row r="5349" spans="1:4" x14ac:dyDescent="0.25">
      <c r="A5349" t="s">
        <v>7906</v>
      </c>
      <c r="D5349" t="s">
        <v>13426</v>
      </c>
    </row>
    <row r="5350" spans="1:4" x14ac:dyDescent="0.25">
      <c r="A5350" t="s">
        <v>7907</v>
      </c>
      <c r="D5350" t="s">
        <v>13427</v>
      </c>
    </row>
    <row r="5351" spans="1:4" x14ac:dyDescent="0.25">
      <c r="A5351" t="s">
        <v>7908</v>
      </c>
      <c r="D5351" t="s">
        <v>13428</v>
      </c>
    </row>
    <row r="5352" spans="1:4" x14ac:dyDescent="0.25">
      <c r="A5352" t="s">
        <v>7909</v>
      </c>
      <c r="D5352" t="s">
        <v>13429</v>
      </c>
    </row>
    <row r="5353" spans="1:4" x14ac:dyDescent="0.25">
      <c r="A5353" t="s">
        <v>7910</v>
      </c>
      <c r="D5353" t="s">
        <v>13430</v>
      </c>
    </row>
    <row r="5354" spans="1:4" x14ac:dyDescent="0.25">
      <c r="A5354" t="s">
        <v>7911</v>
      </c>
      <c r="D5354" t="s">
        <v>13431</v>
      </c>
    </row>
    <row r="5355" spans="1:4" x14ac:dyDescent="0.25">
      <c r="A5355" t="s">
        <v>7912</v>
      </c>
      <c r="D5355" t="s">
        <v>13432</v>
      </c>
    </row>
    <row r="5356" spans="1:4" x14ac:dyDescent="0.25">
      <c r="A5356" t="s">
        <v>7913</v>
      </c>
      <c r="D5356" t="s">
        <v>13433</v>
      </c>
    </row>
    <row r="5357" spans="1:4" x14ac:dyDescent="0.25">
      <c r="A5357" t="s">
        <v>7914</v>
      </c>
      <c r="D5357" t="s">
        <v>13434</v>
      </c>
    </row>
    <row r="5358" spans="1:4" x14ac:dyDescent="0.25">
      <c r="A5358" t="s">
        <v>7915</v>
      </c>
      <c r="D5358" t="s">
        <v>13435</v>
      </c>
    </row>
    <row r="5359" spans="1:4" x14ac:dyDescent="0.25">
      <c r="A5359" t="s">
        <v>7916</v>
      </c>
      <c r="D5359" t="s">
        <v>13436</v>
      </c>
    </row>
    <row r="5360" spans="1:4" x14ac:dyDescent="0.25">
      <c r="A5360" t="s">
        <v>7917</v>
      </c>
      <c r="D5360" t="s">
        <v>13437</v>
      </c>
    </row>
    <row r="5361" spans="1:4" x14ac:dyDescent="0.25">
      <c r="A5361" t="s">
        <v>7918</v>
      </c>
      <c r="D5361" t="s">
        <v>13438</v>
      </c>
    </row>
    <row r="5362" spans="1:4" x14ac:dyDescent="0.25">
      <c r="A5362" t="s">
        <v>7919</v>
      </c>
      <c r="D5362" t="s">
        <v>13439</v>
      </c>
    </row>
    <row r="5363" spans="1:4" x14ac:dyDescent="0.25">
      <c r="A5363" t="s">
        <v>7920</v>
      </c>
      <c r="D5363" t="s">
        <v>13440</v>
      </c>
    </row>
    <row r="5364" spans="1:4" x14ac:dyDescent="0.25">
      <c r="A5364" t="s">
        <v>7921</v>
      </c>
      <c r="D5364" t="s">
        <v>13441</v>
      </c>
    </row>
    <row r="5365" spans="1:4" x14ac:dyDescent="0.25">
      <c r="A5365" t="s">
        <v>7922</v>
      </c>
      <c r="D5365" t="s">
        <v>13442</v>
      </c>
    </row>
    <row r="5366" spans="1:4" x14ac:dyDescent="0.25">
      <c r="A5366" t="s">
        <v>7923</v>
      </c>
      <c r="D5366" t="s">
        <v>13443</v>
      </c>
    </row>
    <row r="5367" spans="1:4" x14ac:dyDescent="0.25">
      <c r="A5367" t="s">
        <v>7924</v>
      </c>
      <c r="D5367" t="s">
        <v>13444</v>
      </c>
    </row>
    <row r="5368" spans="1:4" x14ac:dyDescent="0.25">
      <c r="A5368" t="s">
        <v>7925</v>
      </c>
      <c r="D5368" t="s">
        <v>13445</v>
      </c>
    </row>
    <row r="5369" spans="1:4" x14ac:dyDescent="0.25">
      <c r="A5369" t="s">
        <v>7926</v>
      </c>
      <c r="D5369" t="s">
        <v>13446</v>
      </c>
    </row>
    <row r="5370" spans="1:4" x14ac:dyDescent="0.25">
      <c r="A5370" t="s">
        <v>7927</v>
      </c>
      <c r="D5370" t="s">
        <v>13447</v>
      </c>
    </row>
    <row r="5371" spans="1:4" x14ac:dyDescent="0.25">
      <c r="A5371" t="s">
        <v>7928</v>
      </c>
      <c r="D5371" t="s">
        <v>13448</v>
      </c>
    </row>
    <row r="5372" spans="1:4" x14ac:dyDescent="0.25">
      <c r="A5372" t="s">
        <v>7929</v>
      </c>
      <c r="D5372" t="s">
        <v>13449</v>
      </c>
    </row>
    <row r="5373" spans="1:4" x14ac:dyDescent="0.25">
      <c r="A5373" t="s">
        <v>7930</v>
      </c>
      <c r="D5373" t="s">
        <v>13450</v>
      </c>
    </row>
    <row r="5374" spans="1:4" x14ac:dyDescent="0.25">
      <c r="A5374" t="s">
        <v>7931</v>
      </c>
      <c r="D5374" t="s">
        <v>13451</v>
      </c>
    </row>
    <row r="5375" spans="1:4" x14ac:dyDescent="0.25">
      <c r="A5375" t="s">
        <v>7932</v>
      </c>
      <c r="D5375" t="s">
        <v>13452</v>
      </c>
    </row>
    <row r="5376" spans="1:4" x14ac:dyDescent="0.25">
      <c r="A5376" t="s">
        <v>7933</v>
      </c>
      <c r="D5376" t="s">
        <v>13453</v>
      </c>
    </row>
    <row r="5377" spans="1:4" x14ac:dyDescent="0.25">
      <c r="A5377" t="s">
        <v>7934</v>
      </c>
      <c r="D5377" t="s">
        <v>13454</v>
      </c>
    </row>
    <row r="5378" spans="1:4" x14ac:dyDescent="0.25">
      <c r="A5378" t="s">
        <v>7935</v>
      </c>
      <c r="D5378" t="s">
        <v>13455</v>
      </c>
    </row>
    <row r="5379" spans="1:4" x14ac:dyDescent="0.25">
      <c r="A5379" t="s">
        <v>7936</v>
      </c>
      <c r="D5379" t="s">
        <v>13456</v>
      </c>
    </row>
    <row r="5380" spans="1:4" x14ac:dyDescent="0.25">
      <c r="A5380" t="s">
        <v>7937</v>
      </c>
      <c r="D5380" t="s">
        <v>13457</v>
      </c>
    </row>
    <row r="5381" spans="1:4" x14ac:dyDescent="0.25">
      <c r="A5381" t="s">
        <v>7938</v>
      </c>
      <c r="D5381" t="s">
        <v>13458</v>
      </c>
    </row>
    <row r="5382" spans="1:4" x14ac:dyDescent="0.25">
      <c r="A5382" t="s">
        <v>7939</v>
      </c>
      <c r="D5382" t="s">
        <v>13459</v>
      </c>
    </row>
    <row r="5383" spans="1:4" x14ac:dyDescent="0.25">
      <c r="A5383" t="s">
        <v>7940</v>
      </c>
      <c r="D5383" t="s">
        <v>13460</v>
      </c>
    </row>
    <row r="5384" spans="1:4" x14ac:dyDescent="0.25">
      <c r="A5384" t="s">
        <v>7941</v>
      </c>
      <c r="D5384" t="s">
        <v>13461</v>
      </c>
    </row>
    <row r="5385" spans="1:4" x14ac:dyDescent="0.25">
      <c r="A5385" t="s">
        <v>7942</v>
      </c>
      <c r="D5385" t="s">
        <v>13462</v>
      </c>
    </row>
    <row r="5386" spans="1:4" x14ac:dyDescent="0.25">
      <c r="A5386" t="s">
        <v>7943</v>
      </c>
      <c r="D5386" t="s">
        <v>13463</v>
      </c>
    </row>
    <row r="5387" spans="1:4" x14ac:dyDescent="0.25">
      <c r="A5387" t="s">
        <v>7944</v>
      </c>
      <c r="D5387" t="s">
        <v>13464</v>
      </c>
    </row>
    <row r="5388" spans="1:4" x14ac:dyDescent="0.25">
      <c r="A5388" t="s">
        <v>7945</v>
      </c>
      <c r="D5388" t="s">
        <v>13465</v>
      </c>
    </row>
    <row r="5389" spans="1:4" x14ac:dyDescent="0.25">
      <c r="A5389" t="s">
        <v>7946</v>
      </c>
      <c r="D5389" t="s">
        <v>13466</v>
      </c>
    </row>
    <row r="5390" spans="1:4" x14ac:dyDescent="0.25">
      <c r="A5390" t="s">
        <v>7947</v>
      </c>
      <c r="D5390" t="s">
        <v>13467</v>
      </c>
    </row>
    <row r="5391" spans="1:4" x14ac:dyDescent="0.25">
      <c r="A5391" t="s">
        <v>7948</v>
      </c>
      <c r="D5391" t="s">
        <v>13468</v>
      </c>
    </row>
    <row r="5392" spans="1:4" x14ac:dyDescent="0.25">
      <c r="A5392" t="s">
        <v>7949</v>
      </c>
      <c r="D5392" t="s">
        <v>13469</v>
      </c>
    </row>
    <row r="5393" spans="1:4" x14ac:dyDescent="0.25">
      <c r="A5393" t="s">
        <v>7950</v>
      </c>
      <c r="D5393" t="s">
        <v>13470</v>
      </c>
    </row>
    <row r="5394" spans="1:4" x14ac:dyDescent="0.25">
      <c r="A5394" t="s">
        <v>7951</v>
      </c>
      <c r="D5394" t="s">
        <v>13471</v>
      </c>
    </row>
    <row r="5395" spans="1:4" x14ac:dyDescent="0.25">
      <c r="A5395" t="s">
        <v>7952</v>
      </c>
      <c r="D5395" t="s">
        <v>13472</v>
      </c>
    </row>
    <row r="5396" spans="1:4" x14ac:dyDescent="0.25">
      <c r="A5396" t="s">
        <v>7953</v>
      </c>
      <c r="D5396" t="s">
        <v>13473</v>
      </c>
    </row>
    <row r="5397" spans="1:4" x14ac:dyDescent="0.25">
      <c r="A5397" t="s">
        <v>7954</v>
      </c>
      <c r="D5397" t="s">
        <v>13474</v>
      </c>
    </row>
    <row r="5398" spans="1:4" x14ac:dyDescent="0.25">
      <c r="A5398" t="s">
        <v>7955</v>
      </c>
      <c r="D5398" t="s">
        <v>13475</v>
      </c>
    </row>
    <row r="5399" spans="1:4" x14ac:dyDescent="0.25">
      <c r="A5399" t="s">
        <v>7956</v>
      </c>
      <c r="D5399" t="s">
        <v>13476</v>
      </c>
    </row>
    <row r="5400" spans="1:4" x14ac:dyDescent="0.25">
      <c r="A5400" t="s">
        <v>7957</v>
      </c>
      <c r="D5400" t="s">
        <v>13477</v>
      </c>
    </row>
    <row r="5401" spans="1:4" x14ac:dyDescent="0.25">
      <c r="A5401" t="s">
        <v>7958</v>
      </c>
      <c r="D5401" t="s">
        <v>13478</v>
      </c>
    </row>
    <row r="5402" spans="1:4" x14ac:dyDescent="0.25">
      <c r="A5402" t="s">
        <v>7959</v>
      </c>
      <c r="D5402" t="s">
        <v>13479</v>
      </c>
    </row>
    <row r="5403" spans="1:4" x14ac:dyDescent="0.25">
      <c r="A5403" t="s">
        <v>7960</v>
      </c>
      <c r="D5403" t="s">
        <v>13480</v>
      </c>
    </row>
    <row r="5404" spans="1:4" x14ac:dyDescent="0.25">
      <c r="A5404" t="s">
        <v>7961</v>
      </c>
      <c r="D5404" t="s">
        <v>13481</v>
      </c>
    </row>
    <row r="5405" spans="1:4" x14ac:dyDescent="0.25">
      <c r="A5405" t="s">
        <v>7962</v>
      </c>
      <c r="D5405" t="s">
        <v>13482</v>
      </c>
    </row>
    <row r="5406" spans="1:4" x14ac:dyDescent="0.25">
      <c r="A5406" t="s">
        <v>7963</v>
      </c>
      <c r="D5406" t="s">
        <v>13483</v>
      </c>
    </row>
    <row r="5407" spans="1:4" x14ac:dyDescent="0.25">
      <c r="A5407" t="s">
        <v>7964</v>
      </c>
      <c r="D5407" t="s">
        <v>13484</v>
      </c>
    </row>
    <row r="5408" spans="1:4" x14ac:dyDescent="0.25">
      <c r="A5408" t="s">
        <v>7965</v>
      </c>
      <c r="D5408" t="s">
        <v>13485</v>
      </c>
    </row>
    <row r="5409" spans="1:4" x14ac:dyDescent="0.25">
      <c r="A5409" t="s">
        <v>7966</v>
      </c>
      <c r="D5409" t="s">
        <v>13486</v>
      </c>
    </row>
    <row r="5410" spans="1:4" x14ac:dyDescent="0.25">
      <c r="A5410" t="s">
        <v>7967</v>
      </c>
      <c r="D5410" t="s">
        <v>13487</v>
      </c>
    </row>
    <row r="5411" spans="1:4" x14ac:dyDescent="0.25">
      <c r="A5411" t="s">
        <v>7968</v>
      </c>
      <c r="D5411" t="s">
        <v>13488</v>
      </c>
    </row>
    <row r="5412" spans="1:4" x14ac:dyDescent="0.25">
      <c r="A5412" t="s">
        <v>7969</v>
      </c>
      <c r="D5412" t="s">
        <v>13489</v>
      </c>
    </row>
    <row r="5413" spans="1:4" x14ac:dyDescent="0.25">
      <c r="A5413" t="s">
        <v>7970</v>
      </c>
      <c r="D5413" t="s">
        <v>13490</v>
      </c>
    </row>
    <row r="5414" spans="1:4" x14ac:dyDescent="0.25">
      <c r="A5414" t="s">
        <v>7971</v>
      </c>
      <c r="D5414" t="s">
        <v>13491</v>
      </c>
    </row>
    <row r="5415" spans="1:4" x14ac:dyDescent="0.25">
      <c r="A5415" t="s">
        <v>7972</v>
      </c>
      <c r="D5415" t="s">
        <v>13492</v>
      </c>
    </row>
    <row r="5416" spans="1:4" x14ac:dyDescent="0.25">
      <c r="A5416" t="s">
        <v>7973</v>
      </c>
      <c r="D5416" t="s">
        <v>13493</v>
      </c>
    </row>
    <row r="5417" spans="1:4" x14ac:dyDescent="0.25">
      <c r="A5417" t="s">
        <v>7974</v>
      </c>
      <c r="D5417" t="s">
        <v>13494</v>
      </c>
    </row>
    <row r="5418" spans="1:4" x14ac:dyDescent="0.25">
      <c r="A5418" t="s">
        <v>7975</v>
      </c>
      <c r="D5418" t="s">
        <v>13495</v>
      </c>
    </row>
    <row r="5419" spans="1:4" x14ac:dyDescent="0.25">
      <c r="A5419" t="s">
        <v>7976</v>
      </c>
      <c r="D5419" t="s">
        <v>13496</v>
      </c>
    </row>
    <row r="5420" spans="1:4" x14ac:dyDescent="0.25">
      <c r="A5420" t="s">
        <v>7977</v>
      </c>
      <c r="D5420" t="s">
        <v>13497</v>
      </c>
    </row>
    <row r="5421" spans="1:4" x14ac:dyDescent="0.25">
      <c r="A5421" t="s">
        <v>7978</v>
      </c>
      <c r="D5421" t="s">
        <v>13498</v>
      </c>
    </row>
    <row r="5422" spans="1:4" x14ac:dyDescent="0.25">
      <c r="A5422" t="s">
        <v>7979</v>
      </c>
      <c r="D5422" t="s">
        <v>13499</v>
      </c>
    </row>
    <row r="5423" spans="1:4" x14ac:dyDescent="0.25">
      <c r="A5423" t="s">
        <v>7980</v>
      </c>
      <c r="D5423" t="s">
        <v>13500</v>
      </c>
    </row>
    <row r="5424" spans="1:4" x14ac:dyDescent="0.25">
      <c r="A5424" t="s">
        <v>7981</v>
      </c>
      <c r="D5424" t="s">
        <v>13501</v>
      </c>
    </row>
    <row r="5425" spans="1:4" x14ac:dyDescent="0.25">
      <c r="A5425" t="s">
        <v>7982</v>
      </c>
      <c r="D5425" t="s">
        <v>13502</v>
      </c>
    </row>
    <row r="5426" spans="1:4" x14ac:dyDescent="0.25">
      <c r="A5426" t="s">
        <v>7983</v>
      </c>
      <c r="D5426" t="s">
        <v>13503</v>
      </c>
    </row>
    <row r="5427" spans="1:4" x14ac:dyDescent="0.25">
      <c r="A5427" t="s">
        <v>7984</v>
      </c>
      <c r="D5427" t="s">
        <v>13504</v>
      </c>
    </row>
    <row r="5428" spans="1:4" x14ac:dyDescent="0.25">
      <c r="A5428" t="s">
        <v>7985</v>
      </c>
      <c r="D5428" t="s">
        <v>13505</v>
      </c>
    </row>
    <row r="5429" spans="1:4" x14ac:dyDescent="0.25">
      <c r="A5429" t="s">
        <v>7986</v>
      </c>
      <c r="D5429" t="s">
        <v>13506</v>
      </c>
    </row>
    <row r="5430" spans="1:4" x14ac:dyDescent="0.25">
      <c r="A5430" t="s">
        <v>7987</v>
      </c>
      <c r="D5430" t="s">
        <v>13507</v>
      </c>
    </row>
    <row r="5431" spans="1:4" x14ac:dyDescent="0.25">
      <c r="A5431" t="s">
        <v>7988</v>
      </c>
      <c r="D5431" t="s">
        <v>13508</v>
      </c>
    </row>
    <row r="5432" spans="1:4" x14ac:dyDescent="0.25">
      <c r="A5432" t="s">
        <v>7989</v>
      </c>
      <c r="D5432" t="s">
        <v>13509</v>
      </c>
    </row>
    <row r="5433" spans="1:4" x14ac:dyDescent="0.25">
      <c r="A5433" t="s">
        <v>7990</v>
      </c>
      <c r="D5433" t="s">
        <v>13510</v>
      </c>
    </row>
    <row r="5434" spans="1:4" x14ac:dyDescent="0.25">
      <c r="A5434" t="s">
        <v>7991</v>
      </c>
      <c r="D5434" t="s">
        <v>13511</v>
      </c>
    </row>
    <row r="5435" spans="1:4" x14ac:dyDescent="0.25">
      <c r="A5435" t="s">
        <v>7992</v>
      </c>
      <c r="D5435" t="s">
        <v>13512</v>
      </c>
    </row>
    <row r="5436" spans="1:4" x14ac:dyDescent="0.25">
      <c r="A5436" t="s">
        <v>7993</v>
      </c>
      <c r="D5436" t="s">
        <v>13513</v>
      </c>
    </row>
    <row r="5437" spans="1:4" x14ac:dyDescent="0.25">
      <c r="A5437" t="s">
        <v>7994</v>
      </c>
      <c r="D5437" t="s">
        <v>13514</v>
      </c>
    </row>
    <row r="5438" spans="1:4" x14ac:dyDescent="0.25">
      <c r="A5438" t="s">
        <v>7995</v>
      </c>
      <c r="D5438" t="s">
        <v>13515</v>
      </c>
    </row>
    <row r="5439" spans="1:4" x14ac:dyDescent="0.25">
      <c r="A5439" t="s">
        <v>7996</v>
      </c>
      <c r="D5439" t="s">
        <v>13516</v>
      </c>
    </row>
    <row r="5440" spans="1:4" x14ac:dyDescent="0.25">
      <c r="A5440" t="s">
        <v>7997</v>
      </c>
      <c r="D5440" t="s">
        <v>13517</v>
      </c>
    </row>
    <row r="5441" spans="1:4" x14ac:dyDescent="0.25">
      <c r="A5441" t="s">
        <v>7998</v>
      </c>
      <c r="D5441" t="s">
        <v>13518</v>
      </c>
    </row>
    <row r="5442" spans="1:4" x14ac:dyDescent="0.25">
      <c r="A5442" t="s">
        <v>7999</v>
      </c>
      <c r="D5442" t="s">
        <v>13519</v>
      </c>
    </row>
    <row r="5443" spans="1:4" x14ac:dyDescent="0.25">
      <c r="A5443" t="s">
        <v>8000</v>
      </c>
      <c r="D5443" t="s">
        <v>13520</v>
      </c>
    </row>
    <row r="5444" spans="1:4" x14ac:dyDescent="0.25">
      <c r="A5444" t="s">
        <v>8001</v>
      </c>
      <c r="D5444" t="s">
        <v>13521</v>
      </c>
    </row>
    <row r="5445" spans="1:4" x14ac:dyDescent="0.25">
      <c r="A5445" t="s">
        <v>8002</v>
      </c>
      <c r="D5445" t="s">
        <v>13522</v>
      </c>
    </row>
    <row r="5446" spans="1:4" x14ac:dyDescent="0.25">
      <c r="A5446" t="s">
        <v>8003</v>
      </c>
      <c r="D5446" t="s">
        <v>13523</v>
      </c>
    </row>
    <row r="5447" spans="1:4" x14ac:dyDescent="0.25">
      <c r="A5447" t="s">
        <v>8004</v>
      </c>
      <c r="D5447" t="s">
        <v>13524</v>
      </c>
    </row>
    <row r="5448" spans="1:4" x14ac:dyDescent="0.25">
      <c r="A5448" t="s">
        <v>8005</v>
      </c>
      <c r="D5448" t="s">
        <v>13525</v>
      </c>
    </row>
    <row r="5449" spans="1:4" x14ac:dyDescent="0.25">
      <c r="A5449" t="s">
        <v>8006</v>
      </c>
      <c r="D5449" t="s">
        <v>13526</v>
      </c>
    </row>
    <row r="5450" spans="1:4" x14ac:dyDescent="0.25">
      <c r="A5450" t="s">
        <v>8007</v>
      </c>
      <c r="D5450" t="s">
        <v>13527</v>
      </c>
    </row>
    <row r="5451" spans="1:4" x14ac:dyDescent="0.25">
      <c r="A5451" t="s">
        <v>8008</v>
      </c>
      <c r="D5451" t="s">
        <v>13528</v>
      </c>
    </row>
    <row r="5452" spans="1:4" x14ac:dyDescent="0.25">
      <c r="A5452" t="s">
        <v>8009</v>
      </c>
      <c r="D5452" t="s">
        <v>13529</v>
      </c>
    </row>
    <row r="5453" spans="1:4" x14ac:dyDescent="0.25">
      <c r="A5453" t="s">
        <v>8010</v>
      </c>
      <c r="D5453" t="s">
        <v>13530</v>
      </c>
    </row>
    <row r="5454" spans="1:4" x14ac:dyDescent="0.25">
      <c r="A5454" t="s">
        <v>8011</v>
      </c>
      <c r="D5454" t="s">
        <v>13531</v>
      </c>
    </row>
    <row r="5455" spans="1:4" x14ac:dyDescent="0.25">
      <c r="A5455" t="s">
        <v>8012</v>
      </c>
      <c r="D5455" t="s">
        <v>13532</v>
      </c>
    </row>
    <row r="5456" spans="1:4" x14ac:dyDescent="0.25">
      <c r="A5456" t="s">
        <v>8013</v>
      </c>
      <c r="D5456" t="s">
        <v>13533</v>
      </c>
    </row>
    <row r="5457" spans="1:4" x14ac:dyDescent="0.25">
      <c r="A5457" t="s">
        <v>8014</v>
      </c>
      <c r="D5457" t="s">
        <v>13534</v>
      </c>
    </row>
    <row r="5458" spans="1:4" x14ac:dyDescent="0.25">
      <c r="A5458" t="s">
        <v>8015</v>
      </c>
      <c r="D5458" t="s">
        <v>13535</v>
      </c>
    </row>
    <row r="5459" spans="1:4" x14ac:dyDescent="0.25">
      <c r="A5459" t="s">
        <v>8016</v>
      </c>
      <c r="D5459" t="s">
        <v>13536</v>
      </c>
    </row>
    <row r="5460" spans="1:4" x14ac:dyDescent="0.25">
      <c r="A5460" t="s">
        <v>8017</v>
      </c>
      <c r="D5460" t="s">
        <v>13537</v>
      </c>
    </row>
    <row r="5461" spans="1:4" x14ac:dyDescent="0.25">
      <c r="A5461" t="s">
        <v>8018</v>
      </c>
      <c r="D5461" t="s">
        <v>13538</v>
      </c>
    </row>
    <row r="5462" spans="1:4" x14ac:dyDescent="0.25">
      <c r="A5462" t="s">
        <v>8019</v>
      </c>
      <c r="D5462" t="s">
        <v>13539</v>
      </c>
    </row>
    <row r="5463" spans="1:4" x14ac:dyDescent="0.25">
      <c r="A5463" t="s">
        <v>8020</v>
      </c>
      <c r="D5463" t="s">
        <v>13540</v>
      </c>
    </row>
    <row r="5464" spans="1:4" x14ac:dyDescent="0.25">
      <c r="A5464" t="s">
        <v>8021</v>
      </c>
      <c r="D5464" t="s">
        <v>13541</v>
      </c>
    </row>
    <row r="5465" spans="1:4" x14ac:dyDescent="0.25">
      <c r="A5465" t="s">
        <v>8022</v>
      </c>
      <c r="D5465" t="s">
        <v>13542</v>
      </c>
    </row>
    <row r="5466" spans="1:4" x14ac:dyDescent="0.25">
      <c r="A5466" t="s">
        <v>8023</v>
      </c>
      <c r="D5466" t="s">
        <v>13543</v>
      </c>
    </row>
    <row r="5467" spans="1:4" x14ac:dyDescent="0.25">
      <c r="A5467" t="s">
        <v>8024</v>
      </c>
      <c r="D5467" t="s">
        <v>13544</v>
      </c>
    </row>
    <row r="5468" spans="1:4" x14ac:dyDescent="0.25">
      <c r="A5468" t="s">
        <v>8025</v>
      </c>
      <c r="D5468" t="s">
        <v>13545</v>
      </c>
    </row>
    <row r="5469" spans="1:4" x14ac:dyDescent="0.25">
      <c r="A5469" t="s">
        <v>8026</v>
      </c>
      <c r="D5469" t="s">
        <v>13546</v>
      </c>
    </row>
    <row r="5470" spans="1:4" x14ac:dyDescent="0.25">
      <c r="A5470" t="s">
        <v>8027</v>
      </c>
      <c r="D5470" t="s">
        <v>13547</v>
      </c>
    </row>
    <row r="5471" spans="1:4" x14ac:dyDescent="0.25">
      <c r="A5471" t="s">
        <v>8028</v>
      </c>
      <c r="D5471" t="s">
        <v>13548</v>
      </c>
    </row>
    <row r="5472" spans="1:4" x14ac:dyDescent="0.25">
      <c r="A5472" t="s">
        <v>8029</v>
      </c>
      <c r="D5472" t="s">
        <v>13549</v>
      </c>
    </row>
    <row r="5473" spans="1:4" x14ac:dyDescent="0.25">
      <c r="A5473" t="s">
        <v>8030</v>
      </c>
      <c r="D5473" t="s">
        <v>13550</v>
      </c>
    </row>
    <row r="5474" spans="1:4" x14ac:dyDescent="0.25">
      <c r="A5474" t="s">
        <v>8031</v>
      </c>
      <c r="D5474" t="s">
        <v>13551</v>
      </c>
    </row>
    <row r="5475" spans="1:4" x14ac:dyDescent="0.25">
      <c r="A5475" t="s">
        <v>8032</v>
      </c>
      <c r="D5475" t="s">
        <v>13552</v>
      </c>
    </row>
    <row r="5476" spans="1:4" x14ac:dyDescent="0.25">
      <c r="A5476" t="s">
        <v>8033</v>
      </c>
      <c r="D5476" t="s">
        <v>13553</v>
      </c>
    </row>
    <row r="5477" spans="1:4" x14ac:dyDescent="0.25">
      <c r="A5477" t="s">
        <v>8034</v>
      </c>
      <c r="D5477" t="s">
        <v>13554</v>
      </c>
    </row>
    <row r="5478" spans="1:4" x14ac:dyDescent="0.25">
      <c r="A5478" t="s">
        <v>8035</v>
      </c>
      <c r="D5478" t="s">
        <v>13555</v>
      </c>
    </row>
    <row r="5479" spans="1:4" x14ac:dyDescent="0.25">
      <c r="A5479" t="s">
        <v>8036</v>
      </c>
      <c r="D5479" t="s">
        <v>13556</v>
      </c>
    </row>
    <row r="5480" spans="1:4" x14ac:dyDescent="0.25">
      <c r="A5480" t="s">
        <v>8037</v>
      </c>
      <c r="D5480" t="s">
        <v>13557</v>
      </c>
    </row>
    <row r="5481" spans="1:4" x14ac:dyDescent="0.25">
      <c r="A5481" t="s">
        <v>8038</v>
      </c>
      <c r="D5481" t="s">
        <v>13558</v>
      </c>
    </row>
    <row r="5482" spans="1:4" x14ac:dyDescent="0.25">
      <c r="A5482" t="s">
        <v>8039</v>
      </c>
      <c r="D5482" t="s">
        <v>13559</v>
      </c>
    </row>
    <row r="5483" spans="1:4" x14ac:dyDescent="0.25">
      <c r="A5483" t="s">
        <v>8040</v>
      </c>
      <c r="D5483" t="s">
        <v>13560</v>
      </c>
    </row>
    <row r="5484" spans="1:4" x14ac:dyDescent="0.25">
      <c r="A5484" t="s">
        <v>8041</v>
      </c>
      <c r="D5484" t="s">
        <v>13561</v>
      </c>
    </row>
    <row r="5485" spans="1:4" x14ac:dyDescent="0.25">
      <c r="A5485" t="s">
        <v>8042</v>
      </c>
      <c r="D5485" t="s">
        <v>13562</v>
      </c>
    </row>
    <row r="5486" spans="1:4" x14ac:dyDescent="0.25">
      <c r="A5486" t="s">
        <v>8043</v>
      </c>
      <c r="D5486" t="s">
        <v>13563</v>
      </c>
    </row>
    <row r="5487" spans="1:4" x14ac:dyDescent="0.25">
      <c r="A5487" t="s">
        <v>8044</v>
      </c>
      <c r="D5487" t="s">
        <v>13564</v>
      </c>
    </row>
    <row r="5488" spans="1:4" x14ac:dyDescent="0.25">
      <c r="A5488" t="s">
        <v>8045</v>
      </c>
      <c r="D5488" t="s">
        <v>13565</v>
      </c>
    </row>
    <row r="5489" spans="1:4" x14ac:dyDescent="0.25">
      <c r="A5489" t="s">
        <v>8046</v>
      </c>
      <c r="D5489" t="s">
        <v>13566</v>
      </c>
    </row>
    <row r="5490" spans="1:4" x14ac:dyDescent="0.25">
      <c r="A5490" t="s">
        <v>8047</v>
      </c>
      <c r="D5490" t="s">
        <v>13567</v>
      </c>
    </row>
    <row r="5491" spans="1:4" x14ac:dyDescent="0.25">
      <c r="A5491" t="s">
        <v>8048</v>
      </c>
      <c r="D5491" t="s">
        <v>13568</v>
      </c>
    </row>
    <row r="5492" spans="1:4" x14ac:dyDescent="0.25">
      <c r="A5492" t="s">
        <v>8049</v>
      </c>
      <c r="D5492" t="s">
        <v>13569</v>
      </c>
    </row>
    <row r="5493" spans="1:4" x14ac:dyDescent="0.25">
      <c r="A5493" t="s">
        <v>8050</v>
      </c>
      <c r="D5493" t="s">
        <v>13570</v>
      </c>
    </row>
    <row r="5494" spans="1:4" x14ac:dyDescent="0.25">
      <c r="A5494" t="s">
        <v>8051</v>
      </c>
      <c r="D5494" t="s">
        <v>13571</v>
      </c>
    </row>
    <row r="5495" spans="1:4" x14ac:dyDescent="0.25">
      <c r="A5495" t="s">
        <v>8052</v>
      </c>
      <c r="D5495" t="s">
        <v>13572</v>
      </c>
    </row>
    <row r="5496" spans="1:4" x14ac:dyDescent="0.25">
      <c r="A5496" t="s">
        <v>8053</v>
      </c>
      <c r="D5496" t="s">
        <v>13573</v>
      </c>
    </row>
    <row r="5497" spans="1:4" x14ac:dyDescent="0.25">
      <c r="A5497" t="s">
        <v>8054</v>
      </c>
      <c r="D5497" t="s">
        <v>13574</v>
      </c>
    </row>
    <row r="5498" spans="1:4" x14ac:dyDescent="0.25">
      <c r="A5498" t="s">
        <v>8055</v>
      </c>
      <c r="D5498" t="s">
        <v>13575</v>
      </c>
    </row>
    <row r="5499" spans="1:4" x14ac:dyDescent="0.25">
      <c r="A5499" t="s">
        <v>8056</v>
      </c>
      <c r="D5499" t="s">
        <v>13576</v>
      </c>
    </row>
    <row r="5500" spans="1:4" x14ac:dyDescent="0.25">
      <c r="A5500" t="s">
        <v>8057</v>
      </c>
      <c r="D5500" t="s">
        <v>13577</v>
      </c>
    </row>
    <row r="5501" spans="1:4" x14ac:dyDescent="0.25">
      <c r="A5501" t="s">
        <v>8058</v>
      </c>
      <c r="D5501" t="s">
        <v>13578</v>
      </c>
    </row>
    <row r="5502" spans="1:4" x14ac:dyDescent="0.25">
      <c r="A5502" t="s">
        <v>8059</v>
      </c>
      <c r="D5502" t="s">
        <v>13579</v>
      </c>
    </row>
    <row r="5503" spans="1:4" x14ac:dyDescent="0.25">
      <c r="A5503" t="s">
        <v>8060</v>
      </c>
      <c r="D5503" t="s">
        <v>13580</v>
      </c>
    </row>
    <row r="5504" spans="1:4" x14ac:dyDescent="0.25">
      <c r="A5504" t="s">
        <v>8061</v>
      </c>
      <c r="D5504" t="s">
        <v>13581</v>
      </c>
    </row>
    <row r="5505" spans="1:4" x14ac:dyDescent="0.25">
      <c r="A5505" t="s">
        <v>8062</v>
      </c>
      <c r="D5505" t="s">
        <v>13582</v>
      </c>
    </row>
    <row r="5506" spans="1:4" x14ac:dyDescent="0.25">
      <c r="A5506" t="s">
        <v>8063</v>
      </c>
      <c r="D5506" t="s">
        <v>13583</v>
      </c>
    </row>
    <row r="5507" spans="1:4" x14ac:dyDescent="0.25">
      <c r="A5507" t="s">
        <v>8064</v>
      </c>
      <c r="D5507" t="s">
        <v>13584</v>
      </c>
    </row>
    <row r="5508" spans="1:4" x14ac:dyDescent="0.25">
      <c r="A5508" t="s">
        <v>8065</v>
      </c>
      <c r="D5508" t="s">
        <v>13585</v>
      </c>
    </row>
    <row r="5509" spans="1:4" x14ac:dyDescent="0.25">
      <c r="A5509" t="s">
        <v>8066</v>
      </c>
      <c r="D5509" t="s">
        <v>13586</v>
      </c>
    </row>
    <row r="5510" spans="1:4" x14ac:dyDescent="0.25">
      <c r="A5510" t="s">
        <v>8067</v>
      </c>
      <c r="D5510" t="s">
        <v>13587</v>
      </c>
    </row>
    <row r="5511" spans="1:4" x14ac:dyDescent="0.25">
      <c r="A5511" t="s">
        <v>8068</v>
      </c>
      <c r="D5511" t="s">
        <v>13588</v>
      </c>
    </row>
    <row r="5512" spans="1:4" x14ac:dyDescent="0.25">
      <c r="A5512" t="s">
        <v>8069</v>
      </c>
      <c r="D5512" t="s">
        <v>13589</v>
      </c>
    </row>
    <row r="5513" spans="1:4" x14ac:dyDescent="0.25">
      <c r="A5513" t="s">
        <v>8070</v>
      </c>
      <c r="D5513" t="s">
        <v>13590</v>
      </c>
    </row>
    <row r="5514" spans="1:4" x14ac:dyDescent="0.25">
      <c r="A5514" t="s">
        <v>8071</v>
      </c>
      <c r="D5514" t="s">
        <v>13591</v>
      </c>
    </row>
    <row r="5515" spans="1:4" x14ac:dyDescent="0.25">
      <c r="A5515" t="s">
        <v>8072</v>
      </c>
      <c r="D5515" t="s">
        <v>13592</v>
      </c>
    </row>
    <row r="5516" spans="1:4" x14ac:dyDescent="0.25">
      <c r="A5516" t="s">
        <v>8073</v>
      </c>
      <c r="D5516" t="s">
        <v>13593</v>
      </c>
    </row>
    <row r="5517" spans="1:4" x14ac:dyDescent="0.25">
      <c r="A5517" t="s">
        <v>8074</v>
      </c>
      <c r="D5517" t="s">
        <v>13594</v>
      </c>
    </row>
    <row r="5518" spans="1:4" x14ac:dyDescent="0.25">
      <c r="A5518" t="s">
        <v>8075</v>
      </c>
      <c r="D5518" t="s">
        <v>13595</v>
      </c>
    </row>
    <row r="5519" spans="1:4" x14ac:dyDescent="0.25">
      <c r="A5519" t="s">
        <v>8076</v>
      </c>
      <c r="D5519" t="s">
        <v>13596</v>
      </c>
    </row>
    <row r="5520" spans="1:4" x14ac:dyDescent="0.25">
      <c r="A5520" t="s">
        <v>8077</v>
      </c>
      <c r="D5520" t="s">
        <v>13597</v>
      </c>
    </row>
    <row r="5521" spans="1:4" x14ac:dyDescent="0.25">
      <c r="A5521" t="s">
        <v>8078</v>
      </c>
      <c r="D5521" t="s">
        <v>13598</v>
      </c>
    </row>
    <row r="5522" spans="1:4" x14ac:dyDescent="0.25">
      <c r="A5522" t="s">
        <v>8079</v>
      </c>
      <c r="D5522" t="s">
        <v>13599</v>
      </c>
    </row>
    <row r="5523" spans="1:4" x14ac:dyDescent="0.25">
      <c r="A5523" t="s">
        <v>8080</v>
      </c>
      <c r="D5523" t="s">
        <v>13600</v>
      </c>
    </row>
    <row r="5524" spans="1:4" x14ac:dyDescent="0.25">
      <c r="A5524" t="s">
        <v>8081</v>
      </c>
      <c r="D5524" t="s">
        <v>13601</v>
      </c>
    </row>
    <row r="5525" spans="1:4" x14ac:dyDescent="0.25">
      <c r="A5525" t="s">
        <v>8082</v>
      </c>
      <c r="D5525" t="s">
        <v>13602</v>
      </c>
    </row>
    <row r="5526" spans="1:4" x14ac:dyDescent="0.25">
      <c r="A5526" t="s">
        <v>8083</v>
      </c>
      <c r="D5526" t="s">
        <v>13603</v>
      </c>
    </row>
    <row r="5527" spans="1:4" x14ac:dyDescent="0.25">
      <c r="A5527" t="s">
        <v>8084</v>
      </c>
      <c r="D5527" t="s">
        <v>13604</v>
      </c>
    </row>
    <row r="5528" spans="1:4" x14ac:dyDescent="0.25">
      <c r="A5528" t="s">
        <v>8085</v>
      </c>
      <c r="D5528" t="s">
        <v>13605</v>
      </c>
    </row>
    <row r="5529" spans="1:4" x14ac:dyDescent="0.25">
      <c r="A5529" t="s">
        <v>8086</v>
      </c>
      <c r="D5529" t="s">
        <v>13606</v>
      </c>
    </row>
    <row r="5530" spans="1:4" x14ac:dyDescent="0.25">
      <c r="A5530" t="s">
        <v>8087</v>
      </c>
      <c r="D5530" t="s">
        <v>13607</v>
      </c>
    </row>
    <row r="5531" spans="1:4" x14ac:dyDescent="0.25">
      <c r="A5531" t="s">
        <v>8088</v>
      </c>
      <c r="D5531" t="s">
        <v>13608</v>
      </c>
    </row>
    <row r="5532" spans="1:4" x14ac:dyDescent="0.25">
      <c r="A5532" t="s">
        <v>8089</v>
      </c>
      <c r="D5532" t="s">
        <v>13609</v>
      </c>
    </row>
    <row r="5533" spans="1:4" x14ac:dyDescent="0.25">
      <c r="A5533" t="s">
        <v>8090</v>
      </c>
      <c r="D5533" t="s">
        <v>13610</v>
      </c>
    </row>
    <row r="5534" spans="1:4" x14ac:dyDescent="0.25">
      <c r="A5534" t="s">
        <v>8091</v>
      </c>
      <c r="D5534" t="s">
        <v>13611</v>
      </c>
    </row>
    <row r="5535" spans="1:4" x14ac:dyDescent="0.25">
      <c r="A5535" t="s">
        <v>8092</v>
      </c>
      <c r="D5535" t="s">
        <v>13612</v>
      </c>
    </row>
    <row r="5536" spans="1:4" x14ac:dyDescent="0.25">
      <c r="A5536" t="s">
        <v>8093</v>
      </c>
      <c r="D5536" t="s">
        <v>13613</v>
      </c>
    </row>
    <row r="5537" spans="1:4" x14ac:dyDescent="0.25">
      <c r="A5537" t="s">
        <v>8094</v>
      </c>
      <c r="D5537" t="s">
        <v>13614</v>
      </c>
    </row>
    <row r="5538" spans="1:4" x14ac:dyDescent="0.25">
      <c r="A5538" t="s">
        <v>8095</v>
      </c>
      <c r="D5538" t="s">
        <v>13615</v>
      </c>
    </row>
    <row r="5539" spans="1:4" x14ac:dyDescent="0.25">
      <c r="A5539" t="s">
        <v>8096</v>
      </c>
      <c r="D5539" t="s">
        <v>13616</v>
      </c>
    </row>
    <row r="5540" spans="1:4" x14ac:dyDescent="0.25">
      <c r="A5540" t="s">
        <v>8097</v>
      </c>
      <c r="D5540" t="s">
        <v>13617</v>
      </c>
    </row>
    <row r="5541" spans="1:4" x14ac:dyDescent="0.25">
      <c r="A5541" t="s">
        <v>8098</v>
      </c>
      <c r="D5541" t="s">
        <v>13618</v>
      </c>
    </row>
    <row r="5542" spans="1:4" x14ac:dyDescent="0.25">
      <c r="A5542" t="s">
        <v>8099</v>
      </c>
      <c r="D5542" t="s">
        <v>13619</v>
      </c>
    </row>
    <row r="5543" spans="1:4" x14ac:dyDescent="0.25">
      <c r="A5543" t="s">
        <v>8100</v>
      </c>
      <c r="D5543" t="s">
        <v>13620</v>
      </c>
    </row>
    <row r="5544" spans="1:4" x14ac:dyDescent="0.25">
      <c r="A5544" t="s">
        <v>8101</v>
      </c>
      <c r="D5544" t="s">
        <v>13621</v>
      </c>
    </row>
    <row r="5545" spans="1:4" x14ac:dyDescent="0.25">
      <c r="A5545" t="s">
        <v>8102</v>
      </c>
      <c r="D5545" t="s">
        <v>13622</v>
      </c>
    </row>
    <row r="5546" spans="1:4" x14ac:dyDescent="0.25">
      <c r="A5546" t="s">
        <v>8103</v>
      </c>
      <c r="D5546" t="s">
        <v>13623</v>
      </c>
    </row>
    <row r="5547" spans="1:4" x14ac:dyDescent="0.25">
      <c r="A5547" t="s">
        <v>8104</v>
      </c>
      <c r="D5547" t="s">
        <v>13624</v>
      </c>
    </row>
    <row r="5548" spans="1:4" x14ac:dyDescent="0.25">
      <c r="A5548" t="s">
        <v>8105</v>
      </c>
      <c r="D5548" t="s">
        <v>13625</v>
      </c>
    </row>
    <row r="5549" spans="1:4" x14ac:dyDescent="0.25">
      <c r="A5549" t="s">
        <v>8106</v>
      </c>
      <c r="D5549" t="s">
        <v>13626</v>
      </c>
    </row>
    <row r="5550" spans="1:4" x14ac:dyDescent="0.25">
      <c r="A5550" t="s">
        <v>8107</v>
      </c>
      <c r="D5550" t="s">
        <v>13627</v>
      </c>
    </row>
    <row r="5551" spans="1:4" x14ac:dyDescent="0.25">
      <c r="A5551" t="s">
        <v>8108</v>
      </c>
      <c r="D5551" t="s">
        <v>13628</v>
      </c>
    </row>
    <row r="5552" spans="1:4" x14ac:dyDescent="0.25">
      <c r="A5552" t="s">
        <v>8109</v>
      </c>
      <c r="D5552" t="s">
        <v>13629</v>
      </c>
    </row>
    <row r="5553" spans="1:4" x14ac:dyDescent="0.25">
      <c r="A5553" t="s">
        <v>8110</v>
      </c>
      <c r="D5553" t="s">
        <v>13630</v>
      </c>
    </row>
    <row r="5554" spans="1:4" x14ac:dyDescent="0.25">
      <c r="A5554" t="s">
        <v>8111</v>
      </c>
      <c r="D5554" t="s">
        <v>13631</v>
      </c>
    </row>
    <row r="5555" spans="1:4" x14ac:dyDescent="0.25">
      <c r="A5555" t="s">
        <v>8112</v>
      </c>
      <c r="D5555" t="s">
        <v>13632</v>
      </c>
    </row>
    <row r="5556" spans="1:4" x14ac:dyDescent="0.25">
      <c r="A5556" t="s">
        <v>8113</v>
      </c>
      <c r="D5556" t="s">
        <v>13633</v>
      </c>
    </row>
    <row r="5557" spans="1:4" x14ac:dyDescent="0.25">
      <c r="A5557" t="s">
        <v>8114</v>
      </c>
      <c r="D5557" t="s">
        <v>13634</v>
      </c>
    </row>
    <row r="5558" spans="1:4" x14ac:dyDescent="0.25">
      <c r="A5558" t="s">
        <v>8115</v>
      </c>
      <c r="D5558" t="s">
        <v>13635</v>
      </c>
    </row>
    <row r="5559" spans="1:4" x14ac:dyDescent="0.25">
      <c r="A5559" t="s">
        <v>8116</v>
      </c>
      <c r="D5559" t="s">
        <v>13636</v>
      </c>
    </row>
    <row r="5560" spans="1:4" x14ac:dyDescent="0.25">
      <c r="A5560" t="s">
        <v>8117</v>
      </c>
      <c r="D5560" t="s">
        <v>13637</v>
      </c>
    </row>
    <row r="5561" spans="1:4" x14ac:dyDescent="0.25">
      <c r="A5561" t="s">
        <v>8118</v>
      </c>
      <c r="D5561" t="s">
        <v>13638</v>
      </c>
    </row>
    <row r="5562" spans="1:4" x14ac:dyDescent="0.25">
      <c r="A5562" t="s">
        <v>8119</v>
      </c>
      <c r="D5562" t="s">
        <v>13639</v>
      </c>
    </row>
    <row r="5563" spans="1:4" x14ac:dyDescent="0.25">
      <c r="A5563" t="s">
        <v>8120</v>
      </c>
      <c r="D5563" t="s">
        <v>13640</v>
      </c>
    </row>
    <row r="5564" spans="1:4" x14ac:dyDescent="0.25">
      <c r="A5564" t="s">
        <v>8121</v>
      </c>
      <c r="D5564" t="s">
        <v>13641</v>
      </c>
    </row>
    <row r="5565" spans="1:4" x14ac:dyDescent="0.25">
      <c r="A5565" t="s">
        <v>8122</v>
      </c>
      <c r="D5565" t="s">
        <v>13642</v>
      </c>
    </row>
    <row r="5566" spans="1:4" x14ac:dyDescent="0.25">
      <c r="A5566" t="s">
        <v>8123</v>
      </c>
      <c r="D5566" t="s">
        <v>13643</v>
      </c>
    </row>
    <row r="5567" spans="1:4" x14ac:dyDescent="0.25">
      <c r="A5567" t="s">
        <v>8124</v>
      </c>
      <c r="D5567" t="s">
        <v>13644</v>
      </c>
    </row>
    <row r="5568" spans="1:4" x14ac:dyDescent="0.25">
      <c r="A5568" t="s">
        <v>8125</v>
      </c>
      <c r="D5568" t="s">
        <v>13645</v>
      </c>
    </row>
    <row r="5569" spans="1:4" x14ac:dyDescent="0.25">
      <c r="A5569" t="s">
        <v>8126</v>
      </c>
      <c r="D5569" t="s">
        <v>13646</v>
      </c>
    </row>
    <row r="5570" spans="1:4" x14ac:dyDescent="0.25">
      <c r="A5570" t="s">
        <v>8127</v>
      </c>
      <c r="D5570" t="s">
        <v>13647</v>
      </c>
    </row>
    <row r="5571" spans="1:4" x14ac:dyDescent="0.25">
      <c r="A5571" t="s">
        <v>8128</v>
      </c>
      <c r="D5571" t="s">
        <v>13648</v>
      </c>
    </row>
    <row r="5572" spans="1:4" x14ac:dyDescent="0.25">
      <c r="A5572" t="s">
        <v>8129</v>
      </c>
      <c r="D5572" t="s">
        <v>13649</v>
      </c>
    </row>
    <row r="5573" spans="1:4" x14ac:dyDescent="0.25">
      <c r="A5573" t="s">
        <v>8130</v>
      </c>
      <c r="D5573" t="s">
        <v>13650</v>
      </c>
    </row>
    <row r="5574" spans="1:4" x14ac:dyDescent="0.25">
      <c r="A5574" t="s">
        <v>8131</v>
      </c>
      <c r="D5574" t="s">
        <v>13651</v>
      </c>
    </row>
    <row r="5575" spans="1:4" x14ac:dyDescent="0.25">
      <c r="A5575" t="s">
        <v>8132</v>
      </c>
      <c r="D5575" t="s">
        <v>13652</v>
      </c>
    </row>
    <row r="5576" spans="1:4" x14ac:dyDescent="0.25">
      <c r="A5576" t="s">
        <v>8133</v>
      </c>
      <c r="D5576" t="s">
        <v>13653</v>
      </c>
    </row>
    <row r="5577" spans="1:4" x14ac:dyDescent="0.25">
      <c r="A5577" t="s">
        <v>8134</v>
      </c>
      <c r="D5577" t="s">
        <v>13654</v>
      </c>
    </row>
    <row r="5578" spans="1:4" x14ac:dyDescent="0.25">
      <c r="A5578" t="s">
        <v>8135</v>
      </c>
      <c r="D5578" t="s">
        <v>13655</v>
      </c>
    </row>
    <row r="5579" spans="1:4" x14ac:dyDescent="0.25">
      <c r="A5579" t="s">
        <v>8136</v>
      </c>
      <c r="D5579" t="s">
        <v>13656</v>
      </c>
    </row>
    <row r="5580" spans="1:4" x14ac:dyDescent="0.25">
      <c r="A5580" t="s">
        <v>8137</v>
      </c>
      <c r="D5580" t="s">
        <v>13657</v>
      </c>
    </row>
    <row r="5581" spans="1:4" x14ac:dyDescent="0.25">
      <c r="A5581" t="s">
        <v>8138</v>
      </c>
      <c r="D5581" t="s">
        <v>13658</v>
      </c>
    </row>
    <row r="5582" spans="1:4" x14ac:dyDescent="0.25">
      <c r="A5582" t="s">
        <v>8139</v>
      </c>
      <c r="D5582" t="s">
        <v>13659</v>
      </c>
    </row>
    <row r="5583" spans="1:4" x14ac:dyDescent="0.25">
      <c r="A5583" t="s">
        <v>8140</v>
      </c>
      <c r="D5583" t="s">
        <v>13660</v>
      </c>
    </row>
    <row r="5584" spans="1:4" x14ac:dyDescent="0.25">
      <c r="A5584" t="s">
        <v>8141</v>
      </c>
      <c r="D5584" t="s">
        <v>13661</v>
      </c>
    </row>
    <row r="5585" spans="1:4" x14ac:dyDescent="0.25">
      <c r="A5585" t="s">
        <v>8142</v>
      </c>
      <c r="D5585" t="s">
        <v>13662</v>
      </c>
    </row>
    <row r="5586" spans="1:4" x14ac:dyDescent="0.25">
      <c r="A5586" t="s">
        <v>8143</v>
      </c>
      <c r="D5586" t="s">
        <v>13663</v>
      </c>
    </row>
    <row r="5587" spans="1:4" x14ac:dyDescent="0.25">
      <c r="A5587" t="s">
        <v>8144</v>
      </c>
      <c r="D5587" t="s">
        <v>13664</v>
      </c>
    </row>
    <row r="5588" spans="1:4" x14ac:dyDescent="0.25">
      <c r="A5588" t="s">
        <v>8145</v>
      </c>
      <c r="D5588" t="s">
        <v>13665</v>
      </c>
    </row>
    <row r="5589" spans="1:4" x14ac:dyDescent="0.25">
      <c r="A5589" t="s">
        <v>8146</v>
      </c>
      <c r="D5589" t="s">
        <v>13666</v>
      </c>
    </row>
    <row r="5590" spans="1:4" x14ac:dyDescent="0.25">
      <c r="A5590" t="s">
        <v>8147</v>
      </c>
      <c r="D5590" t="s">
        <v>13667</v>
      </c>
    </row>
    <row r="5591" spans="1:4" x14ac:dyDescent="0.25">
      <c r="A5591" t="s">
        <v>8148</v>
      </c>
      <c r="D5591" t="s">
        <v>13668</v>
      </c>
    </row>
    <row r="5592" spans="1:4" x14ac:dyDescent="0.25">
      <c r="A5592" t="s">
        <v>8149</v>
      </c>
      <c r="D5592" t="s">
        <v>13669</v>
      </c>
    </row>
    <row r="5593" spans="1:4" x14ac:dyDescent="0.25">
      <c r="A5593" t="s">
        <v>8150</v>
      </c>
      <c r="D5593" t="s">
        <v>13670</v>
      </c>
    </row>
    <row r="5594" spans="1:4" x14ac:dyDescent="0.25">
      <c r="A5594" t="s">
        <v>8151</v>
      </c>
      <c r="D5594" t="s">
        <v>13671</v>
      </c>
    </row>
    <row r="5595" spans="1:4" x14ac:dyDescent="0.25">
      <c r="A5595" t="s">
        <v>8152</v>
      </c>
      <c r="D5595" t="s">
        <v>13672</v>
      </c>
    </row>
    <row r="5596" spans="1:4" x14ac:dyDescent="0.25">
      <c r="A5596" t="s">
        <v>8153</v>
      </c>
      <c r="D5596" t="s">
        <v>13673</v>
      </c>
    </row>
    <row r="5597" spans="1:4" x14ac:dyDescent="0.25">
      <c r="A5597" t="s">
        <v>8154</v>
      </c>
      <c r="D5597" t="s">
        <v>13674</v>
      </c>
    </row>
    <row r="5598" spans="1:4" x14ac:dyDescent="0.25">
      <c r="A5598" t="s">
        <v>8155</v>
      </c>
      <c r="D5598" t="s">
        <v>13675</v>
      </c>
    </row>
    <row r="5599" spans="1:4" x14ac:dyDescent="0.25">
      <c r="A5599" t="s">
        <v>8156</v>
      </c>
      <c r="D5599" t="s">
        <v>13676</v>
      </c>
    </row>
    <row r="5600" spans="1:4" x14ac:dyDescent="0.25">
      <c r="A5600" t="s">
        <v>8157</v>
      </c>
      <c r="D5600" t="s">
        <v>13677</v>
      </c>
    </row>
    <row r="5601" spans="1:4" x14ac:dyDescent="0.25">
      <c r="A5601" t="s">
        <v>8158</v>
      </c>
      <c r="D5601" t="s">
        <v>13678</v>
      </c>
    </row>
    <row r="5602" spans="1:4" x14ac:dyDescent="0.25">
      <c r="A5602" t="s">
        <v>8159</v>
      </c>
      <c r="D5602" t="s">
        <v>13679</v>
      </c>
    </row>
    <row r="5603" spans="1:4" x14ac:dyDescent="0.25">
      <c r="A5603" t="s">
        <v>8160</v>
      </c>
      <c r="D5603" t="s">
        <v>13680</v>
      </c>
    </row>
    <row r="5604" spans="1:4" x14ac:dyDescent="0.25">
      <c r="A5604" t="s">
        <v>8161</v>
      </c>
      <c r="D5604" t="s">
        <v>13681</v>
      </c>
    </row>
    <row r="5605" spans="1:4" x14ac:dyDescent="0.25">
      <c r="A5605" t="s">
        <v>8162</v>
      </c>
      <c r="D5605" t="s">
        <v>13682</v>
      </c>
    </row>
    <row r="5606" spans="1:4" x14ac:dyDescent="0.25">
      <c r="A5606" t="s">
        <v>8163</v>
      </c>
      <c r="D5606" t="s">
        <v>13683</v>
      </c>
    </row>
    <row r="5607" spans="1:4" x14ac:dyDescent="0.25">
      <c r="A5607" t="s">
        <v>8164</v>
      </c>
      <c r="D5607" t="s">
        <v>13684</v>
      </c>
    </row>
    <row r="5608" spans="1:4" x14ac:dyDescent="0.25">
      <c r="A5608" t="s">
        <v>8165</v>
      </c>
      <c r="D5608" t="s">
        <v>13685</v>
      </c>
    </row>
    <row r="5609" spans="1:4" x14ac:dyDescent="0.25">
      <c r="A5609" t="s">
        <v>8166</v>
      </c>
      <c r="D5609" t="s">
        <v>13686</v>
      </c>
    </row>
    <row r="5610" spans="1:4" x14ac:dyDescent="0.25">
      <c r="A5610" t="s">
        <v>8167</v>
      </c>
      <c r="D5610" t="s">
        <v>13687</v>
      </c>
    </row>
    <row r="5611" spans="1:4" x14ac:dyDescent="0.25">
      <c r="A5611" t="s">
        <v>8168</v>
      </c>
      <c r="D5611" t="s">
        <v>13688</v>
      </c>
    </row>
    <row r="5612" spans="1:4" x14ac:dyDescent="0.25">
      <c r="A5612" t="s">
        <v>8169</v>
      </c>
      <c r="D5612" t="s">
        <v>13689</v>
      </c>
    </row>
    <row r="5613" spans="1:4" x14ac:dyDescent="0.25">
      <c r="A5613" t="s">
        <v>8170</v>
      </c>
      <c r="D5613" t="s">
        <v>13690</v>
      </c>
    </row>
    <row r="5614" spans="1:4" x14ac:dyDescent="0.25">
      <c r="A5614" t="s">
        <v>8171</v>
      </c>
      <c r="D5614" t="s">
        <v>13691</v>
      </c>
    </row>
    <row r="5615" spans="1:4" x14ac:dyDescent="0.25">
      <c r="A5615" t="s">
        <v>8172</v>
      </c>
      <c r="D5615" t="s">
        <v>13692</v>
      </c>
    </row>
    <row r="5616" spans="1:4" x14ac:dyDescent="0.25">
      <c r="A5616" t="s">
        <v>8173</v>
      </c>
      <c r="D5616" t="s">
        <v>13693</v>
      </c>
    </row>
    <row r="5617" spans="1:4" x14ac:dyDescent="0.25">
      <c r="A5617" t="s">
        <v>8174</v>
      </c>
      <c r="D5617" t="s">
        <v>13694</v>
      </c>
    </row>
    <row r="5618" spans="1:4" x14ac:dyDescent="0.25">
      <c r="A5618" t="s">
        <v>8175</v>
      </c>
      <c r="D5618" t="s">
        <v>13695</v>
      </c>
    </row>
    <row r="5619" spans="1:4" x14ac:dyDescent="0.25">
      <c r="A5619" t="s">
        <v>8176</v>
      </c>
      <c r="D5619" t="s">
        <v>13696</v>
      </c>
    </row>
    <row r="5620" spans="1:4" x14ac:dyDescent="0.25">
      <c r="A5620" t="s">
        <v>8177</v>
      </c>
      <c r="D5620" t="s">
        <v>13697</v>
      </c>
    </row>
    <row r="5621" spans="1:4" x14ac:dyDescent="0.25">
      <c r="A5621" t="s">
        <v>8178</v>
      </c>
      <c r="D5621" t="s">
        <v>13698</v>
      </c>
    </row>
    <row r="5622" spans="1:4" x14ac:dyDescent="0.25">
      <c r="A5622" t="s">
        <v>8179</v>
      </c>
      <c r="D5622" t="s">
        <v>13699</v>
      </c>
    </row>
    <row r="5623" spans="1:4" x14ac:dyDescent="0.25">
      <c r="A5623" t="s">
        <v>8180</v>
      </c>
      <c r="D5623" t="s">
        <v>13700</v>
      </c>
    </row>
    <row r="5624" spans="1:4" x14ac:dyDescent="0.25">
      <c r="A5624" t="s">
        <v>8181</v>
      </c>
      <c r="D5624" t="s">
        <v>13701</v>
      </c>
    </row>
    <row r="5625" spans="1:4" x14ac:dyDescent="0.25">
      <c r="A5625" t="s">
        <v>8182</v>
      </c>
      <c r="D5625" t="s">
        <v>13702</v>
      </c>
    </row>
    <row r="5626" spans="1:4" x14ac:dyDescent="0.25">
      <c r="A5626" t="s">
        <v>8183</v>
      </c>
      <c r="D5626" t="s">
        <v>13703</v>
      </c>
    </row>
    <row r="5627" spans="1:4" x14ac:dyDescent="0.25">
      <c r="A5627" t="s">
        <v>8184</v>
      </c>
      <c r="D5627" t="s">
        <v>13704</v>
      </c>
    </row>
    <row r="5628" spans="1:4" x14ac:dyDescent="0.25">
      <c r="A5628" t="s">
        <v>8185</v>
      </c>
      <c r="D5628" t="s">
        <v>13705</v>
      </c>
    </row>
    <row r="5629" spans="1:4" x14ac:dyDescent="0.25">
      <c r="A5629" t="s">
        <v>8186</v>
      </c>
      <c r="D5629" t="s">
        <v>13706</v>
      </c>
    </row>
    <row r="5630" spans="1:4" x14ac:dyDescent="0.25">
      <c r="A5630" t="s">
        <v>8187</v>
      </c>
      <c r="D5630" t="s">
        <v>13707</v>
      </c>
    </row>
    <row r="5631" spans="1:4" x14ac:dyDescent="0.25">
      <c r="A5631" t="s">
        <v>8188</v>
      </c>
      <c r="D5631" t="s">
        <v>13708</v>
      </c>
    </row>
    <row r="5632" spans="1:4" x14ac:dyDescent="0.25">
      <c r="A5632" t="s">
        <v>8189</v>
      </c>
      <c r="D5632" t="s">
        <v>13709</v>
      </c>
    </row>
    <row r="5633" spans="1:4" x14ac:dyDescent="0.25">
      <c r="A5633" t="s">
        <v>8190</v>
      </c>
      <c r="D5633" t="s">
        <v>13710</v>
      </c>
    </row>
    <row r="5634" spans="1:4" x14ac:dyDescent="0.25">
      <c r="A5634" t="s">
        <v>8191</v>
      </c>
      <c r="D5634" t="s">
        <v>13711</v>
      </c>
    </row>
    <row r="5635" spans="1:4" x14ac:dyDescent="0.25">
      <c r="A5635" t="s">
        <v>8192</v>
      </c>
      <c r="D5635" t="s">
        <v>13712</v>
      </c>
    </row>
    <row r="5636" spans="1:4" x14ac:dyDescent="0.25">
      <c r="A5636" t="s">
        <v>8193</v>
      </c>
      <c r="D5636" t="s">
        <v>13713</v>
      </c>
    </row>
    <row r="5637" spans="1:4" x14ac:dyDescent="0.25">
      <c r="A5637" t="s">
        <v>8194</v>
      </c>
      <c r="D5637" t="s">
        <v>13714</v>
      </c>
    </row>
    <row r="5638" spans="1:4" x14ac:dyDescent="0.25">
      <c r="A5638" t="s">
        <v>8195</v>
      </c>
      <c r="D5638" t="s">
        <v>13715</v>
      </c>
    </row>
    <row r="5639" spans="1:4" x14ac:dyDescent="0.25">
      <c r="A5639" t="s">
        <v>8196</v>
      </c>
      <c r="D5639" t="s">
        <v>13716</v>
      </c>
    </row>
    <row r="5640" spans="1:4" x14ac:dyDescent="0.25">
      <c r="A5640" t="s">
        <v>8197</v>
      </c>
      <c r="D5640" t="s">
        <v>13717</v>
      </c>
    </row>
    <row r="5641" spans="1:4" x14ac:dyDescent="0.25">
      <c r="A5641" t="s">
        <v>8198</v>
      </c>
      <c r="D5641" t="s">
        <v>13718</v>
      </c>
    </row>
    <row r="5642" spans="1:4" x14ac:dyDescent="0.25">
      <c r="A5642" t="s">
        <v>8199</v>
      </c>
      <c r="D5642" t="s">
        <v>13719</v>
      </c>
    </row>
    <row r="5643" spans="1:4" x14ac:dyDescent="0.25">
      <c r="A5643" t="s">
        <v>8200</v>
      </c>
      <c r="D5643" t="s">
        <v>13720</v>
      </c>
    </row>
    <row r="5644" spans="1:4" x14ac:dyDescent="0.25">
      <c r="A5644" t="s">
        <v>8201</v>
      </c>
      <c r="D5644" t="s">
        <v>13721</v>
      </c>
    </row>
    <row r="5645" spans="1:4" x14ac:dyDescent="0.25">
      <c r="A5645" t="s">
        <v>8202</v>
      </c>
      <c r="D5645" t="s">
        <v>13722</v>
      </c>
    </row>
    <row r="5646" spans="1:4" x14ac:dyDescent="0.25">
      <c r="A5646" t="s">
        <v>8203</v>
      </c>
      <c r="D5646" t="s">
        <v>13723</v>
      </c>
    </row>
    <row r="5647" spans="1:4" x14ac:dyDescent="0.25">
      <c r="A5647" t="s">
        <v>8204</v>
      </c>
      <c r="D5647" t="s">
        <v>13724</v>
      </c>
    </row>
    <row r="5648" spans="1:4" x14ac:dyDescent="0.25">
      <c r="A5648" t="s">
        <v>8205</v>
      </c>
      <c r="D5648" t="s">
        <v>13725</v>
      </c>
    </row>
    <row r="5649" spans="1:4" x14ac:dyDescent="0.25">
      <c r="A5649" t="s">
        <v>8206</v>
      </c>
      <c r="D5649" t="s">
        <v>13726</v>
      </c>
    </row>
    <row r="5650" spans="1:4" x14ac:dyDescent="0.25">
      <c r="A5650" t="s">
        <v>8207</v>
      </c>
      <c r="D5650" t="s">
        <v>13727</v>
      </c>
    </row>
    <row r="5651" spans="1:4" x14ac:dyDescent="0.25">
      <c r="A5651" t="s">
        <v>8208</v>
      </c>
      <c r="D5651" t="s">
        <v>13728</v>
      </c>
    </row>
    <row r="5652" spans="1:4" x14ac:dyDescent="0.25">
      <c r="A5652" t="s">
        <v>8209</v>
      </c>
      <c r="D5652" t="s">
        <v>13729</v>
      </c>
    </row>
    <row r="5653" spans="1:4" x14ac:dyDescent="0.25">
      <c r="A5653" t="s">
        <v>8210</v>
      </c>
      <c r="D5653" t="s">
        <v>13730</v>
      </c>
    </row>
    <row r="5654" spans="1:4" x14ac:dyDescent="0.25">
      <c r="A5654" t="s">
        <v>8211</v>
      </c>
      <c r="D5654" t="s">
        <v>13731</v>
      </c>
    </row>
    <row r="5655" spans="1:4" x14ac:dyDescent="0.25">
      <c r="A5655" t="s">
        <v>8212</v>
      </c>
      <c r="D5655" t="s">
        <v>13732</v>
      </c>
    </row>
    <row r="5656" spans="1:4" x14ac:dyDescent="0.25">
      <c r="A5656" t="s">
        <v>8213</v>
      </c>
      <c r="D5656" t="s">
        <v>13733</v>
      </c>
    </row>
    <row r="5657" spans="1:4" x14ac:dyDescent="0.25">
      <c r="A5657" t="s">
        <v>8214</v>
      </c>
      <c r="D5657" t="s">
        <v>13734</v>
      </c>
    </row>
    <row r="5658" spans="1:4" x14ac:dyDescent="0.25">
      <c r="A5658" t="s">
        <v>8215</v>
      </c>
      <c r="D5658" t="s">
        <v>13735</v>
      </c>
    </row>
    <row r="5659" spans="1:4" x14ac:dyDescent="0.25">
      <c r="A5659" t="s">
        <v>8216</v>
      </c>
      <c r="D5659" t="s">
        <v>13736</v>
      </c>
    </row>
    <row r="5660" spans="1:4" x14ac:dyDescent="0.25">
      <c r="A5660" t="s">
        <v>8217</v>
      </c>
      <c r="D5660" t="s">
        <v>13737</v>
      </c>
    </row>
    <row r="5661" spans="1:4" x14ac:dyDescent="0.25">
      <c r="A5661" t="s">
        <v>8218</v>
      </c>
      <c r="D5661" t="s">
        <v>13738</v>
      </c>
    </row>
    <row r="5662" spans="1:4" x14ac:dyDescent="0.25">
      <c r="A5662" t="s">
        <v>8219</v>
      </c>
      <c r="D5662" t="s">
        <v>13739</v>
      </c>
    </row>
    <row r="5663" spans="1:4" x14ac:dyDescent="0.25">
      <c r="A5663" t="s">
        <v>8220</v>
      </c>
      <c r="D5663" t="s">
        <v>13740</v>
      </c>
    </row>
    <row r="5664" spans="1:4" x14ac:dyDescent="0.25">
      <c r="A5664" t="s">
        <v>8221</v>
      </c>
      <c r="D5664" t="s">
        <v>13741</v>
      </c>
    </row>
    <row r="5665" spans="1:4" x14ac:dyDescent="0.25">
      <c r="A5665" t="s">
        <v>8222</v>
      </c>
      <c r="D5665" t="s">
        <v>13742</v>
      </c>
    </row>
    <row r="5666" spans="1:4" x14ac:dyDescent="0.25">
      <c r="A5666" t="s">
        <v>8223</v>
      </c>
      <c r="D5666" t="s">
        <v>13743</v>
      </c>
    </row>
    <row r="5667" spans="1:4" x14ac:dyDescent="0.25">
      <c r="A5667" t="s">
        <v>8224</v>
      </c>
      <c r="D5667" t="s">
        <v>13744</v>
      </c>
    </row>
    <row r="5668" spans="1:4" x14ac:dyDescent="0.25">
      <c r="A5668" t="s">
        <v>8225</v>
      </c>
      <c r="D5668" t="s">
        <v>13745</v>
      </c>
    </row>
    <row r="5669" spans="1:4" x14ac:dyDescent="0.25">
      <c r="A5669" t="s">
        <v>8226</v>
      </c>
      <c r="D5669" t="s">
        <v>13746</v>
      </c>
    </row>
    <row r="5670" spans="1:4" x14ac:dyDescent="0.25">
      <c r="A5670" t="s">
        <v>8227</v>
      </c>
      <c r="D5670" t="s">
        <v>13747</v>
      </c>
    </row>
    <row r="5671" spans="1:4" x14ac:dyDescent="0.25">
      <c r="A5671" t="s">
        <v>8228</v>
      </c>
      <c r="D5671" t="s">
        <v>13748</v>
      </c>
    </row>
    <row r="5672" spans="1:4" x14ac:dyDescent="0.25">
      <c r="A5672" t="s">
        <v>8229</v>
      </c>
      <c r="D5672" t="s">
        <v>13749</v>
      </c>
    </row>
    <row r="5673" spans="1:4" x14ac:dyDescent="0.25">
      <c r="A5673" t="s">
        <v>8230</v>
      </c>
      <c r="D5673" t="s">
        <v>13750</v>
      </c>
    </row>
    <row r="5674" spans="1:4" x14ac:dyDescent="0.25">
      <c r="A5674" t="s">
        <v>8231</v>
      </c>
      <c r="D5674" t="s">
        <v>13751</v>
      </c>
    </row>
    <row r="5675" spans="1:4" x14ac:dyDescent="0.25">
      <c r="A5675" t="s">
        <v>8232</v>
      </c>
      <c r="D5675" t="s">
        <v>13752</v>
      </c>
    </row>
    <row r="5676" spans="1:4" x14ac:dyDescent="0.25">
      <c r="A5676" t="s">
        <v>8233</v>
      </c>
      <c r="D5676" t="s">
        <v>13753</v>
      </c>
    </row>
    <row r="5677" spans="1:4" x14ac:dyDescent="0.25">
      <c r="A5677" t="s">
        <v>8234</v>
      </c>
      <c r="D5677" t="s">
        <v>13754</v>
      </c>
    </row>
    <row r="5678" spans="1:4" x14ac:dyDescent="0.25">
      <c r="A5678" t="s">
        <v>8235</v>
      </c>
      <c r="D5678" t="s">
        <v>13755</v>
      </c>
    </row>
    <row r="5679" spans="1:4" x14ac:dyDescent="0.25">
      <c r="A5679" t="s">
        <v>8236</v>
      </c>
      <c r="D5679" t="s">
        <v>13756</v>
      </c>
    </row>
    <row r="5680" spans="1:4" x14ac:dyDescent="0.25">
      <c r="A5680" t="s">
        <v>8237</v>
      </c>
      <c r="D5680" t="s">
        <v>13757</v>
      </c>
    </row>
    <row r="5681" spans="1:4" x14ac:dyDescent="0.25">
      <c r="A5681" t="s">
        <v>8238</v>
      </c>
      <c r="D5681" t="s">
        <v>13758</v>
      </c>
    </row>
    <row r="5682" spans="1:4" x14ac:dyDescent="0.25">
      <c r="A5682" t="s">
        <v>8239</v>
      </c>
      <c r="D5682" t="s">
        <v>13759</v>
      </c>
    </row>
    <row r="5683" spans="1:4" x14ac:dyDescent="0.25">
      <c r="A5683" t="s">
        <v>8240</v>
      </c>
      <c r="D5683" t="s">
        <v>13760</v>
      </c>
    </row>
    <row r="5684" spans="1:4" x14ac:dyDescent="0.25">
      <c r="A5684" t="s">
        <v>8241</v>
      </c>
      <c r="D5684" t="s">
        <v>13761</v>
      </c>
    </row>
    <row r="5685" spans="1:4" x14ac:dyDescent="0.25">
      <c r="A5685" t="s">
        <v>8242</v>
      </c>
      <c r="D5685" t="s">
        <v>13762</v>
      </c>
    </row>
    <row r="5686" spans="1:4" x14ac:dyDescent="0.25">
      <c r="A5686" t="s">
        <v>8243</v>
      </c>
      <c r="D5686" t="s">
        <v>13763</v>
      </c>
    </row>
    <row r="5687" spans="1:4" x14ac:dyDescent="0.25">
      <c r="A5687" t="s">
        <v>8244</v>
      </c>
      <c r="D5687" t="s">
        <v>13764</v>
      </c>
    </row>
    <row r="5688" spans="1:4" x14ac:dyDescent="0.25">
      <c r="A5688" t="s">
        <v>8245</v>
      </c>
      <c r="D5688" t="s">
        <v>13765</v>
      </c>
    </row>
    <row r="5689" spans="1:4" x14ac:dyDescent="0.25">
      <c r="A5689" t="s">
        <v>8246</v>
      </c>
      <c r="D5689" t="s">
        <v>13766</v>
      </c>
    </row>
    <row r="5690" spans="1:4" x14ac:dyDescent="0.25">
      <c r="A5690" t="s">
        <v>8247</v>
      </c>
      <c r="D5690" t="s">
        <v>13767</v>
      </c>
    </row>
    <row r="5691" spans="1:4" x14ac:dyDescent="0.25">
      <c r="A5691" t="s">
        <v>8248</v>
      </c>
      <c r="D5691" t="s">
        <v>13768</v>
      </c>
    </row>
    <row r="5692" spans="1:4" x14ac:dyDescent="0.25">
      <c r="A5692" t="s">
        <v>8249</v>
      </c>
      <c r="D5692" t="s">
        <v>13769</v>
      </c>
    </row>
    <row r="5693" spans="1:4" x14ac:dyDescent="0.25">
      <c r="A5693" t="s">
        <v>8250</v>
      </c>
      <c r="D5693" t="s">
        <v>13770</v>
      </c>
    </row>
    <row r="5694" spans="1:4" x14ac:dyDescent="0.25">
      <c r="A5694" t="s">
        <v>8251</v>
      </c>
      <c r="D5694" t="s">
        <v>13771</v>
      </c>
    </row>
    <row r="5695" spans="1:4" x14ac:dyDescent="0.25">
      <c r="A5695" t="s">
        <v>8252</v>
      </c>
      <c r="D5695" t="s">
        <v>13772</v>
      </c>
    </row>
    <row r="5696" spans="1:4" x14ac:dyDescent="0.25">
      <c r="A5696" t="s">
        <v>8253</v>
      </c>
      <c r="D5696" t="s">
        <v>13773</v>
      </c>
    </row>
    <row r="5697" spans="1:4" x14ac:dyDescent="0.25">
      <c r="A5697" t="s">
        <v>8254</v>
      </c>
      <c r="D5697" t="s">
        <v>13774</v>
      </c>
    </row>
    <row r="5698" spans="1:4" x14ac:dyDescent="0.25">
      <c r="A5698" t="s">
        <v>8255</v>
      </c>
      <c r="D5698" t="s">
        <v>13775</v>
      </c>
    </row>
    <row r="5699" spans="1:4" x14ac:dyDescent="0.25">
      <c r="A5699" t="s">
        <v>8256</v>
      </c>
      <c r="D5699" t="s">
        <v>13776</v>
      </c>
    </row>
    <row r="5700" spans="1:4" x14ac:dyDescent="0.25">
      <c r="A5700" t="s">
        <v>8257</v>
      </c>
      <c r="D5700" t="s">
        <v>13777</v>
      </c>
    </row>
    <row r="5701" spans="1:4" x14ac:dyDescent="0.25">
      <c r="A5701" t="s">
        <v>8258</v>
      </c>
      <c r="D5701" t="s">
        <v>13778</v>
      </c>
    </row>
    <row r="5702" spans="1:4" x14ac:dyDescent="0.25">
      <c r="A5702" t="s">
        <v>8259</v>
      </c>
      <c r="D5702" t="s">
        <v>13779</v>
      </c>
    </row>
    <row r="5703" spans="1:4" x14ac:dyDescent="0.25">
      <c r="A5703" t="s">
        <v>8260</v>
      </c>
      <c r="D5703" t="s">
        <v>13780</v>
      </c>
    </row>
    <row r="5704" spans="1:4" x14ac:dyDescent="0.25">
      <c r="A5704" t="s">
        <v>8261</v>
      </c>
      <c r="D5704" t="s">
        <v>13781</v>
      </c>
    </row>
    <row r="5705" spans="1:4" x14ac:dyDescent="0.25">
      <c r="A5705" t="s">
        <v>8262</v>
      </c>
      <c r="D5705" t="s">
        <v>13782</v>
      </c>
    </row>
    <row r="5706" spans="1:4" x14ac:dyDescent="0.25">
      <c r="A5706" t="s">
        <v>8263</v>
      </c>
      <c r="D5706" t="s">
        <v>13783</v>
      </c>
    </row>
    <row r="5707" spans="1:4" x14ac:dyDescent="0.25">
      <c r="A5707" t="s">
        <v>8264</v>
      </c>
      <c r="D5707" t="s">
        <v>13784</v>
      </c>
    </row>
    <row r="5708" spans="1:4" x14ac:dyDescent="0.25">
      <c r="A5708" t="s">
        <v>8265</v>
      </c>
      <c r="D5708" t="s">
        <v>13785</v>
      </c>
    </row>
    <row r="5709" spans="1:4" x14ac:dyDescent="0.25">
      <c r="A5709" t="s">
        <v>8266</v>
      </c>
      <c r="D5709" t="s">
        <v>13786</v>
      </c>
    </row>
    <row r="5710" spans="1:4" x14ac:dyDescent="0.25">
      <c r="A5710" t="s">
        <v>8267</v>
      </c>
      <c r="D5710" t="s">
        <v>13787</v>
      </c>
    </row>
    <row r="5711" spans="1:4" x14ac:dyDescent="0.25">
      <c r="A5711" t="s">
        <v>8268</v>
      </c>
      <c r="D5711" t="s">
        <v>13788</v>
      </c>
    </row>
    <row r="5712" spans="1:4" x14ac:dyDescent="0.25">
      <c r="A5712" t="s">
        <v>8269</v>
      </c>
      <c r="D5712" t="s">
        <v>13789</v>
      </c>
    </row>
    <row r="5713" spans="1:4" x14ac:dyDescent="0.25">
      <c r="A5713" t="s">
        <v>8270</v>
      </c>
      <c r="D5713" t="s">
        <v>13790</v>
      </c>
    </row>
    <row r="5714" spans="1:4" x14ac:dyDescent="0.25">
      <c r="A5714" t="s">
        <v>8271</v>
      </c>
      <c r="D5714" t="s">
        <v>13791</v>
      </c>
    </row>
    <row r="5715" spans="1:4" x14ac:dyDescent="0.25">
      <c r="A5715" t="s">
        <v>8272</v>
      </c>
      <c r="D5715" t="s">
        <v>13792</v>
      </c>
    </row>
    <row r="5716" spans="1:4" x14ac:dyDescent="0.25">
      <c r="A5716" t="s">
        <v>8273</v>
      </c>
      <c r="D5716" t="s">
        <v>13793</v>
      </c>
    </row>
    <row r="5717" spans="1:4" x14ac:dyDescent="0.25">
      <c r="A5717" t="s">
        <v>8274</v>
      </c>
      <c r="D5717" t="s">
        <v>13794</v>
      </c>
    </row>
    <row r="5718" spans="1:4" x14ac:dyDescent="0.25">
      <c r="A5718" t="s">
        <v>8275</v>
      </c>
      <c r="D5718" t="s">
        <v>13795</v>
      </c>
    </row>
    <row r="5719" spans="1:4" x14ac:dyDescent="0.25">
      <c r="A5719" t="s">
        <v>8276</v>
      </c>
      <c r="D5719" t="s">
        <v>13796</v>
      </c>
    </row>
    <row r="5720" spans="1:4" x14ac:dyDescent="0.25">
      <c r="A5720" t="s">
        <v>8277</v>
      </c>
      <c r="D5720" t="s">
        <v>13797</v>
      </c>
    </row>
    <row r="5721" spans="1:4" x14ac:dyDescent="0.25">
      <c r="A5721" t="s">
        <v>8278</v>
      </c>
      <c r="D5721" t="s">
        <v>13798</v>
      </c>
    </row>
    <row r="5722" spans="1:4" x14ac:dyDescent="0.25">
      <c r="A5722" t="s">
        <v>8279</v>
      </c>
      <c r="D5722" t="s">
        <v>13799</v>
      </c>
    </row>
    <row r="5723" spans="1:4" x14ac:dyDescent="0.25">
      <c r="A5723" t="s">
        <v>8280</v>
      </c>
      <c r="D5723" t="s">
        <v>13800</v>
      </c>
    </row>
    <row r="5724" spans="1:4" x14ac:dyDescent="0.25">
      <c r="A5724" t="s">
        <v>8281</v>
      </c>
      <c r="D5724" t="s">
        <v>13801</v>
      </c>
    </row>
    <row r="5725" spans="1:4" x14ac:dyDescent="0.25">
      <c r="A5725" t="s">
        <v>8282</v>
      </c>
      <c r="D5725" t="s">
        <v>13802</v>
      </c>
    </row>
    <row r="5726" spans="1:4" x14ac:dyDescent="0.25">
      <c r="A5726" t="s">
        <v>8283</v>
      </c>
      <c r="D5726" t="s">
        <v>13803</v>
      </c>
    </row>
    <row r="5727" spans="1:4" x14ac:dyDescent="0.25">
      <c r="A5727" t="s">
        <v>8284</v>
      </c>
      <c r="D5727" t="s">
        <v>13804</v>
      </c>
    </row>
    <row r="5728" spans="1:4" x14ac:dyDescent="0.25">
      <c r="A5728" t="s">
        <v>8285</v>
      </c>
      <c r="D5728" t="s">
        <v>13805</v>
      </c>
    </row>
    <row r="5729" spans="1:4" x14ac:dyDescent="0.25">
      <c r="A5729" t="s">
        <v>8286</v>
      </c>
      <c r="D5729" t="s">
        <v>13806</v>
      </c>
    </row>
    <row r="5730" spans="1:4" x14ac:dyDescent="0.25">
      <c r="A5730" t="s">
        <v>8287</v>
      </c>
      <c r="D5730" t="s">
        <v>13807</v>
      </c>
    </row>
    <row r="5731" spans="1:4" x14ac:dyDescent="0.25">
      <c r="A5731" t="s">
        <v>8288</v>
      </c>
      <c r="D5731" t="s">
        <v>13808</v>
      </c>
    </row>
    <row r="5732" spans="1:4" x14ac:dyDescent="0.25">
      <c r="A5732" t="s">
        <v>8289</v>
      </c>
      <c r="D5732" t="s">
        <v>13809</v>
      </c>
    </row>
    <row r="5733" spans="1:4" x14ac:dyDescent="0.25">
      <c r="A5733" t="s">
        <v>8290</v>
      </c>
      <c r="D5733" t="s">
        <v>13810</v>
      </c>
    </row>
    <row r="5734" spans="1:4" x14ac:dyDescent="0.25">
      <c r="A5734" t="s">
        <v>8291</v>
      </c>
      <c r="D5734" t="s">
        <v>13811</v>
      </c>
    </row>
    <row r="5735" spans="1:4" x14ac:dyDescent="0.25">
      <c r="A5735" t="s">
        <v>8292</v>
      </c>
      <c r="D5735" t="s">
        <v>13812</v>
      </c>
    </row>
    <row r="5736" spans="1:4" x14ac:dyDescent="0.25">
      <c r="A5736" t="s">
        <v>8293</v>
      </c>
      <c r="D5736" t="s">
        <v>13813</v>
      </c>
    </row>
    <row r="5737" spans="1:4" x14ac:dyDescent="0.25">
      <c r="A5737" t="s">
        <v>8294</v>
      </c>
      <c r="D5737" t="s">
        <v>13814</v>
      </c>
    </row>
    <row r="5738" spans="1:4" x14ac:dyDescent="0.25">
      <c r="A5738" t="s">
        <v>8295</v>
      </c>
      <c r="D5738" t="s">
        <v>13815</v>
      </c>
    </row>
    <row r="5739" spans="1:4" x14ac:dyDescent="0.25">
      <c r="A5739" t="s">
        <v>8296</v>
      </c>
      <c r="D5739" t="s">
        <v>13816</v>
      </c>
    </row>
    <row r="5740" spans="1:4" x14ac:dyDescent="0.25">
      <c r="A5740" t="s">
        <v>8297</v>
      </c>
      <c r="D5740" t="s">
        <v>13817</v>
      </c>
    </row>
    <row r="5741" spans="1:4" x14ac:dyDescent="0.25">
      <c r="A5741" t="s">
        <v>8298</v>
      </c>
      <c r="D5741" t="s">
        <v>13818</v>
      </c>
    </row>
    <row r="5742" spans="1:4" x14ac:dyDescent="0.25">
      <c r="A5742" t="s">
        <v>8299</v>
      </c>
      <c r="D5742" t="s">
        <v>13819</v>
      </c>
    </row>
    <row r="5743" spans="1:4" x14ac:dyDescent="0.25">
      <c r="A5743" t="s">
        <v>8300</v>
      </c>
      <c r="D5743" t="s">
        <v>13820</v>
      </c>
    </row>
    <row r="5744" spans="1:4" x14ac:dyDescent="0.25">
      <c r="A5744" t="s">
        <v>8301</v>
      </c>
      <c r="D5744" t="s">
        <v>13821</v>
      </c>
    </row>
    <row r="5745" spans="1:4" x14ac:dyDescent="0.25">
      <c r="A5745" t="s">
        <v>8302</v>
      </c>
      <c r="D5745" t="s">
        <v>13822</v>
      </c>
    </row>
    <row r="5746" spans="1:4" x14ac:dyDescent="0.25">
      <c r="A5746" t="s">
        <v>8303</v>
      </c>
      <c r="D5746" t="s">
        <v>13823</v>
      </c>
    </row>
    <row r="5747" spans="1:4" x14ac:dyDescent="0.25">
      <c r="A5747" t="s">
        <v>8304</v>
      </c>
      <c r="D5747" t="s">
        <v>13824</v>
      </c>
    </row>
    <row r="5748" spans="1:4" x14ac:dyDescent="0.25">
      <c r="A5748" t="s">
        <v>8305</v>
      </c>
      <c r="D5748" t="s">
        <v>13825</v>
      </c>
    </row>
    <row r="5749" spans="1:4" x14ac:dyDescent="0.25">
      <c r="A5749" t="s">
        <v>8306</v>
      </c>
      <c r="D5749" t="s">
        <v>13826</v>
      </c>
    </row>
    <row r="5750" spans="1:4" x14ac:dyDescent="0.25">
      <c r="A5750" t="s">
        <v>8307</v>
      </c>
      <c r="D5750" t="s">
        <v>13827</v>
      </c>
    </row>
    <row r="5751" spans="1:4" x14ac:dyDescent="0.25">
      <c r="A5751" t="s">
        <v>8308</v>
      </c>
      <c r="D5751" t="s">
        <v>13828</v>
      </c>
    </row>
    <row r="5752" spans="1:4" x14ac:dyDescent="0.25">
      <c r="A5752" t="s">
        <v>8309</v>
      </c>
      <c r="D5752" t="s">
        <v>13829</v>
      </c>
    </row>
    <row r="5753" spans="1:4" x14ac:dyDescent="0.25">
      <c r="A5753" t="s">
        <v>8310</v>
      </c>
      <c r="D5753" t="s">
        <v>13830</v>
      </c>
    </row>
    <row r="5754" spans="1:4" x14ac:dyDescent="0.25">
      <c r="A5754" t="s">
        <v>8311</v>
      </c>
      <c r="D5754" t="s">
        <v>13831</v>
      </c>
    </row>
    <row r="5755" spans="1:4" x14ac:dyDescent="0.25">
      <c r="A5755" t="s">
        <v>8312</v>
      </c>
      <c r="D5755" t="s">
        <v>13832</v>
      </c>
    </row>
    <row r="5756" spans="1:4" x14ac:dyDescent="0.25">
      <c r="A5756" t="s">
        <v>8313</v>
      </c>
      <c r="D5756" t="s">
        <v>13833</v>
      </c>
    </row>
    <row r="5757" spans="1:4" x14ac:dyDescent="0.25">
      <c r="A5757" t="s">
        <v>8314</v>
      </c>
      <c r="D5757" t="s">
        <v>13834</v>
      </c>
    </row>
    <row r="5758" spans="1:4" x14ac:dyDescent="0.25">
      <c r="A5758" t="s">
        <v>8315</v>
      </c>
      <c r="D5758" t="s">
        <v>13835</v>
      </c>
    </row>
    <row r="5759" spans="1:4" x14ac:dyDescent="0.25">
      <c r="A5759" t="s">
        <v>8316</v>
      </c>
      <c r="D5759" t="s">
        <v>13836</v>
      </c>
    </row>
    <row r="5760" spans="1:4" x14ac:dyDescent="0.25">
      <c r="A5760" t="s">
        <v>8317</v>
      </c>
      <c r="D5760" t="s">
        <v>13837</v>
      </c>
    </row>
    <row r="5761" spans="1:4" x14ac:dyDescent="0.25">
      <c r="A5761" t="s">
        <v>8318</v>
      </c>
      <c r="D5761" t="s">
        <v>13838</v>
      </c>
    </row>
    <row r="5762" spans="1:4" x14ac:dyDescent="0.25">
      <c r="A5762" t="s">
        <v>8319</v>
      </c>
      <c r="D5762" t="s">
        <v>13839</v>
      </c>
    </row>
    <row r="5763" spans="1:4" x14ac:dyDescent="0.25">
      <c r="A5763" t="s">
        <v>8320</v>
      </c>
      <c r="D5763" t="s">
        <v>13840</v>
      </c>
    </row>
    <row r="5764" spans="1:4" x14ac:dyDescent="0.25">
      <c r="A5764" t="s">
        <v>8321</v>
      </c>
      <c r="D5764" t="s">
        <v>13841</v>
      </c>
    </row>
    <row r="5765" spans="1:4" x14ac:dyDescent="0.25">
      <c r="A5765" t="s">
        <v>8322</v>
      </c>
      <c r="D5765" t="s">
        <v>13842</v>
      </c>
    </row>
    <row r="5766" spans="1:4" x14ac:dyDescent="0.25">
      <c r="A5766" t="s">
        <v>8323</v>
      </c>
      <c r="D5766" t="s">
        <v>13843</v>
      </c>
    </row>
    <row r="5767" spans="1:4" x14ac:dyDescent="0.25">
      <c r="A5767" t="s">
        <v>8324</v>
      </c>
      <c r="D5767" t="s">
        <v>13844</v>
      </c>
    </row>
    <row r="5768" spans="1:4" x14ac:dyDescent="0.25">
      <c r="A5768" t="s">
        <v>8325</v>
      </c>
      <c r="D5768" t="s">
        <v>13845</v>
      </c>
    </row>
    <row r="5769" spans="1:4" x14ac:dyDescent="0.25">
      <c r="A5769" t="s">
        <v>8326</v>
      </c>
      <c r="D5769" t="s">
        <v>13846</v>
      </c>
    </row>
    <row r="5770" spans="1:4" x14ac:dyDescent="0.25">
      <c r="A5770" t="s">
        <v>8327</v>
      </c>
      <c r="D5770" t="s">
        <v>13847</v>
      </c>
    </row>
    <row r="5771" spans="1:4" x14ac:dyDescent="0.25">
      <c r="A5771" t="s">
        <v>8328</v>
      </c>
      <c r="D5771" t="s">
        <v>13848</v>
      </c>
    </row>
    <row r="5772" spans="1:4" x14ac:dyDescent="0.25">
      <c r="A5772" t="s">
        <v>8329</v>
      </c>
      <c r="D5772" t="s">
        <v>13849</v>
      </c>
    </row>
    <row r="5773" spans="1:4" x14ac:dyDescent="0.25">
      <c r="A5773" t="s">
        <v>8330</v>
      </c>
      <c r="D5773" t="s">
        <v>13850</v>
      </c>
    </row>
    <row r="5774" spans="1:4" x14ac:dyDescent="0.25">
      <c r="A5774" t="s">
        <v>8331</v>
      </c>
      <c r="D5774" t="s">
        <v>13851</v>
      </c>
    </row>
    <row r="5775" spans="1:4" x14ac:dyDescent="0.25">
      <c r="A5775" t="s">
        <v>8332</v>
      </c>
      <c r="D5775" t="s">
        <v>13852</v>
      </c>
    </row>
    <row r="5776" spans="1:4" x14ac:dyDescent="0.25">
      <c r="A5776" t="s">
        <v>8333</v>
      </c>
      <c r="D5776" t="s">
        <v>13853</v>
      </c>
    </row>
    <row r="5777" spans="1:4" x14ac:dyDescent="0.25">
      <c r="A5777" t="s">
        <v>8334</v>
      </c>
      <c r="D5777" t="s">
        <v>13854</v>
      </c>
    </row>
    <row r="5778" spans="1:4" x14ac:dyDescent="0.25">
      <c r="A5778" t="s">
        <v>8335</v>
      </c>
      <c r="D5778" t="s">
        <v>13855</v>
      </c>
    </row>
    <row r="5779" spans="1:4" x14ac:dyDescent="0.25">
      <c r="A5779" t="s">
        <v>8336</v>
      </c>
      <c r="D5779" t="s">
        <v>13856</v>
      </c>
    </row>
    <row r="5780" spans="1:4" x14ac:dyDescent="0.25">
      <c r="A5780" t="s">
        <v>8337</v>
      </c>
      <c r="D5780" t="s">
        <v>13857</v>
      </c>
    </row>
    <row r="5781" spans="1:4" x14ac:dyDescent="0.25">
      <c r="A5781" t="s">
        <v>8338</v>
      </c>
      <c r="D5781" t="s">
        <v>13858</v>
      </c>
    </row>
    <row r="5782" spans="1:4" x14ac:dyDescent="0.25">
      <c r="A5782" t="s">
        <v>8339</v>
      </c>
      <c r="D5782" t="s">
        <v>13859</v>
      </c>
    </row>
    <row r="5783" spans="1:4" x14ac:dyDescent="0.25">
      <c r="A5783" t="s">
        <v>8340</v>
      </c>
      <c r="D5783" t="s">
        <v>13860</v>
      </c>
    </row>
    <row r="5784" spans="1:4" x14ac:dyDescent="0.25">
      <c r="A5784" t="s">
        <v>8341</v>
      </c>
      <c r="D5784" t="s">
        <v>13861</v>
      </c>
    </row>
    <row r="5785" spans="1:4" x14ac:dyDescent="0.25">
      <c r="A5785" t="s">
        <v>8342</v>
      </c>
      <c r="D5785" t="s">
        <v>13862</v>
      </c>
    </row>
    <row r="5786" spans="1:4" x14ac:dyDescent="0.25">
      <c r="A5786" t="s">
        <v>8343</v>
      </c>
      <c r="D5786" t="s">
        <v>13863</v>
      </c>
    </row>
    <row r="5787" spans="1:4" x14ac:dyDescent="0.25">
      <c r="A5787" t="s">
        <v>8344</v>
      </c>
      <c r="D5787" t="s">
        <v>13864</v>
      </c>
    </row>
    <row r="5788" spans="1:4" x14ac:dyDescent="0.25">
      <c r="A5788" t="s">
        <v>8345</v>
      </c>
      <c r="D5788" t="s">
        <v>13865</v>
      </c>
    </row>
    <row r="5789" spans="1:4" x14ac:dyDescent="0.25">
      <c r="A5789" t="s">
        <v>8346</v>
      </c>
      <c r="D5789" t="s">
        <v>13866</v>
      </c>
    </row>
    <row r="5790" spans="1:4" x14ac:dyDescent="0.25">
      <c r="A5790" t="s">
        <v>8347</v>
      </c>
      <c r="D5790" t="s">
        <v>13867</v>
      </c>
    </row>
    <row r="5791" spans="1:4" x14ac:dyDescent="0.25">
      <c r="A5791" t="s">
        <v>8348</v>
      </c>
      <c r="D5791" t="s">
        <v>13868</v>
      </c>
    </row>
    <row r="5792" spans="1:4" x14ac:dyDescent="0.25">
      <c r="A5792" t="s">
        <v>8349</v>
      </c>
      <c r="D5792" t="s">
        <v>13869</v>
      </c>
    </row>
    <row r="5793" spans="1:4" x14ac:dyDescent="0.25">
      <c r="A5793" t="s">
        <v>8350</v>
      </c>
      <c r="D5793" t="s">
        <v>13870</v>
      </c>
    </row>
    <row r="5794" spans="1:4" x14ac:dyDescent="0.25">
      <c r="A5794" t="s">
        <v>8351</v>
      </c>
      <c r="D5794" t="s">
        <v>13871</v>
      </c>
    </row>
    <row r="5795" spans="1:4" x14ac:dyDescent="0.25">
      <c r="A5795" t="s">
        <v>8352</v>
      </c>
      <c r="D5795" t="s">
        <v>13872</v>
      </c>
    </row>
    <row r="5796" spans="1:4" x14ac:dyDescent="0.25">
      <c r="A5796" t="s">
        <v>8353</v>
      </c>
      <c r="D5796" t="s">
        <v>13873</v>
      </c>
    </row>
    <row r="5797" spans="1:4" x14ac:dyDescent="0.25">
      <c r="A5797" t="s">
        <v>8354</v>
      </c>
      <c r="D5797" t="s">
        <v>13874</v>
      </c>
    </row>
    <row r="5798" spans="1:4" x14ac:dyDescent="0.25">
      <c r="A5798" t="s">
        <v>8355</v>
      </c>
      <c r="D5798" t="s">
        <v>13875</v>
      </c>
    </row>
    <row r="5799" spans="1:4" x14ac:dyDescent="0.25">
      <c r="A5799" t="s">
        <v>8356</v>
      </c>
      <c r="D5799" t="s">
        <v>13876</v>
      </c>
    </row>
    <row r="5800" spans="1:4" x14ac:dyDescent="0.25">
      <c r="A5800" t="s">
        <v>8357</v>
      </c>
      <c r="D5800" t="s">
        <v>13877</v>
      </c>
    </row>
    <row r="5801" spans="1:4" x14ac:dyDescent="0.25">
      <c r="A5801" t="s">
        <v>8358</v>
      </c>
      <c r="D5801" t="s">
        <v>13878</v>
      </c>
    </row>
    <row r="5802" spans="1:4" x14ac:dyDescent="0.25">
      <c r="A5802" t="s">
        <v>8359</v>
      </c>
      <c r="D5802" t="s">
        <v>13879</v>
      </c>
    </row>
    <row r="5803" spans="1:4" x14ac:dyDescent="0.25">
      <c r="A5803" t="s">
        <v>8360</v>
      </c>
      <c r="D5803" t="s">
        <v>13880</v>
      </c>
    </row>
    <row r="5804" spans="1:4" x14ac:dyDescent="0.25">
      <c r="A5804" t="s">
        <v>8361</v>
      </c>
      <c r="D5804" t="s">
        <v>13881</v>
      </c>
    </row>
    <row r="5805" spans="1:4" x14ac:dyDescent="0.25">
      <c r="A5805" t="s">
        <v>8362</v>
      </c>
      <c r="D5805" t="s">
        <v>13882</v>
      </c>
    </row>
    <row r="5806" spans="1:4" x14ac:dyDescent="0.25">
      <c r="A5806" t="s">
        <v>8363</v>
      </c>
      <c r="D5806" t="s">
        <v>13883</v>
      </c>
    </row>
    <row r="5807" spans="1:4" x14ac:dyDescent="0.25">
      <c r="A5807" t="s">
        <v>8364</v>
      </c>
      <c r="D5807" t="s">
        <v>13884</v>
      </c>
    </row>
    <row r="5808" spans="1:4" x14ac:dyDescent="0.25">
      <c r="A5808" t="s">
        <v>8365</v>
      </c>
      <c r="D5808" t="s">
        <v>13885</v>
      </c>
    </row>
    <row r="5809" spans="1:4" x14ac:dyDescent="0.25">
      <c r="A5809" t="s">
        <v>8366</v>
      </c>
      <c r="D5809" t="s">
        <v>13886</v>
      </c>
    </row>
    <row r="5810" spans="1:4" x14ac:dyDescent="0.25">
      <c r="A5810" t="s">
        <v>8367</v>
      </c>
      <c r="D5810" t="s">
        <v>13887</v>
      </c>
    </row>
    <row r="5811" spans="1:4" x14ac:dyDescent="0.25">
      <c r="A5811" t="s">
        <v>8368</v>
      </c>
      <c r="D5811" t="s">
        <v>13888</v>
      </c>
    </row>
    <row r="5812" spans="1:4" x14ac:dyDescent="0.25">
      <c r="A5812" t="s">
        <v>8369</v>
      </c>
      <c r="D5812" t="s">
        <v>13889</v>
      </c>
    </row>
    <row r="5813" spans="1:4" x14ac:dyDescent="0.25">
      <c r="A5813" t="s">
        <v>8370</v>
      </c>
      <c r="D5813" t="s">
        <v>13890</v>
      </c>
    </row>
    <row r="5814" spans="1:4" x14ac:dyDescent="0.25">
      <c r="A5814" t="s">
        <v>8371</v>
      </c>
      <c r="D5814" t="s">
        <v>13891</v>
      </c>
    </row>
    <row r="5815" spans="1:4" x14ac:dyDescent="0.25">
      <c r="A5815" t="s">
        <v>8372</v>
      </c>
      <c r="D5815" t="s">
        <v>13892</v>
      </c>
    </row>
    <row r="5816" spans="1:4" x14ac:dyDescent="0.25">
      <c r="A5816" t="s">
        <v>8373</v>
      </c>
      <c r="D5816" t="s">
        <v>13893</v>
      </c>
    </row>
    <row r="5817" spans="1:4" x14ac:dyDescent="0.25">
      <c r="A5817" t="s">
        <v>8374</v>
      </c>
      <c r="D5817" t="s">
        <v>13894</v>
      </c>
    </row>
    <row r="5818" spans="1:4" x14ac:dyDescent="0.25">
      <c r="A5818" t="s">
        <v>8375</v>
      </c>
      <c r="D5818" t="s">
        <v>13895</v>
      </c>
    </row>
    <row r="5819" spans="1:4" x14ac:dyDescent="0.25">
      <c r="A5819" t="s">
        <v>8376</v>
      </c>
      <c r="D5819" t="s">
        <v>13896</v>
      </c>
    </row>
    <row r="5820" spans="1:4" x14ac:dyDescent="0.25">
      <c r="A5820" t="s">
        <v>8377</v>
      </c>
      <c r="D5820" t="s">
        <v>13897</v>
      </c>
    </row>
    <row r="5821" spans="1:4" x14ac:dyDescent="0.25">
      <c r="A5821" t="s">
        <v>8378</v>
      </c>
      <c r="D5821" t="s">
        <v>13898</v>
      </c>
    </row>
    <row r="5822" spans="1:4" x14ac:dyDescent="0.25">
      <c r="A5822" t="s">
        <v>8379</v>
      </c>
      <c r="D5822" t="s">
        <v>13899</v>
      </c>
    </row>
    <row r="5823" spans="1:4" x14ac:dyDescent="0.25">
      <c r="A5823" t="s">
        <v>8380</v>
      </c>
      <c r="D5823" t="s">
        <v>13900</v>
      </c>
    </row>
    <row r="5824" spans="1:4" x14ac:dyDescent="0.25">
      <c r="A5824" t="s">
        <v>8381</v>
      </c>
      <c r="D5824" t="s">
        <v>13901</v>
      </c>
    </row>
    <row r="5825" spans="1:4" x14ac:dyDescent="0.25">
      <c r="A5825" t="s">
        <v>8382</v>
      </c>
      <c r="D5825" t="s">
        <v>13902</v>
      </c>
    </row>
    <row r="5826" spans="1:4" x14ac:dyDescent="0.25">
      <c r="A5826" t="s">
        <v>8383</v>
      </c>
      <c r="D5826" t="s">
        <v>13903</v>
      </c>
    </row>
    <row r="5827" spans="1:4" x14ac:dyDescent="0.25">
      <c r="A5827" t="s">
        <v>8384</v>
      </c>
      <c r="D5827" t="s">
        <v>13904</v>
      </c>
    </row>
    <row r="5828" spans="1:4" x14ac:dyDescent="0.25">
      <c r="A5828" t="s">
        <v>8385</v>
      </c>
      <c r="D5828" t="s">
        <v>13905</v>
      </c>
    </row>
    <row r="5829" spans="1:4" x14ac:dyDescent="0.25">
      <c r="A5829" t="s">
        <v>8386</v>
      </c>
      <c r="D5829" t="s">
        <v>13906</v>
      </c>
    </row>
    <row r="5830" spans="1:4" x14ac:dyDescent="0.25">
      <c r="A5830" t="s">
        <v>8387</v>
      </c>
      <c r="D5830" t="s">
        <v>13907</v>
      </c>
    </row>
    <row r="5831" spans="1:4" x14ac:dyDescent="0.25">
      <c r="A5831" t="s">
        <v>8388</v>
      </c>
      <c r="D5831" t="s">
        <v>13908</v>
      </c>
    </row>
    <row r="5832" spans="1:4" x14ac:dyDescent="0.25">
      <c r="A5832" t="s">
        <v>8389</v>
      </c>
      <c r="D5832" t="s">
        <v>13909</v>
      </c>
    </row>
    <row r="5833" spans="1:4" x14ac:dyDescent="0.25">
      <c r="A5833" t="s">
        <v>8390</v>
      </c>
      <c r="D5833" t="s">
        <v>13910</v>
      </c>
    </row>
    <row r="5834" spans="1:4" x14ac:dyDescent="0.25">
      <c r="A5834" t="s">
        <v>8391</v>
      </c>
      <c r="D5834" t="s">
        <v>13911</v>
      </c>
    </row>
    <row r="5835" spans="1:4" x14ac:dyDescent="0.25">
      <c r="A5835" t="s">
        <v>8392</v>
      </c>
      <c r="D5835" t="s">
        <v>13912</v>
      </c>
    </row>
    <row r="5836" spans="1:4" x14ac:dyDescent="0.25">
      <c r="A5836" t="s">
        <v>8393</v>
      </c>
      <c r="D5836" t="s">
        <v>13913</v>
      </c>
    </row>
    <row r="5837" spans="1:4" x14ac:dyDescent="0.25">
      <c r="A5837" t="s">
        <v>8394</v>
      </c>
      <c r="D5837" t="s">
        <v>13914</v>
      </c>
    </row>
    <row r="5838" spans="1:4" x14ac:dyDescent="0.25">
      <c r="A5838" t="s">
        <v>8395</v>
      </c>
      <c r="D5838" t="s">
        <v>13915</v>
      </c>
    </row>
    <row r="5839" spans="1:4" x14ac:dyDescent="0.25">
      <c r="A5839" t="s">
        <v>8396</v>
      </c>
      <c r="D5839" t="s">
        <v>13916</v>
      </c>
    </row>
    <row r="5840" spans="1:4" x14ac:dyDescent="0.25">
      <c r="A5840" t="s">
        <v>8397</v>
      </c>
      <c r="D5840" t="s">
        <v>13917</v>
      </c>
    </row>
    <row r="5841" spans="1:4" x14ac:dyDescent="0.25">
      <c r="A5841" t="s">
        <v>8398</v>
      </c>
      <c r="D5841" t="s">
        <v>13918</v>
      </c>
    </row>
    <row r="5842" spans="1:4" x14ac:dyDescent="0.25">
      <c r="A5842" t="s">
        <v>8399</v>
      </c>
      <c r="D5842" t="s">
        <v>13919</v>
      </c>
    </row>
    <row r="5843" spans="1:4" x14ac:dyDescent="0.25">
      <c r="A5843" t="s">
        <v>8400</v>
      </c>
      <c r="D5843" t="s">
        <v>13920</v>
      </c>
    </row>
    <row r="5844" spans="1:4" x14ac:dyDescent="0.25">
      <c r="A5844" t="s">
        <v>8401</v>
      </c>
      <c r="D5844" t="s">
        <v>13921</v>
      </c>
    </row>
    <row r="5845" spans="1:4" x14ac:dyDescent="0.25">
      <c r="A5845" t="s">
        <v>8402</v>
      </c>
      <c r="D5845" t="s">
        <v>13922</v>
      </c>
    </row>
    <row r="5846" spans="1:4" x14ac:dyDescent="0.25">
      <c r="A5846" t="s">
        <v>8403</v>
      </c>
      <c r="D5846" t="s">
        <v>13923</v>
      </c>
    </row>
    <row r="5847" spans="1:4" x14ac:dyDescent="0.25">
      <c r="A5847" t="s">
        <v>8404</v>
      </c>
      <c r="D5847" t="s">
        <v>13924</v>
      </c>
    </row>
    <row r="5848" spans="1:4" x14ac:dyDescent="0.25">
      <c r="A5848" t="s">
        <v>8405</v>
      </c>
      <c r="D5848" t="s">
        <v>13925</v>
      </c>
    </row>
    <row r="5849" spans="1:4" x14ac:dyDescent="0.25">
      <c r="A5849" t="s">
        <v>8406</v>
      </c>
      <c r="D5849" t="s">
        <v>13926</v>
      </c>
    </row>
    <row r="5850" spans="1:4" x14ac:dyDescent="0.25">
      <c r="A5850" t="s">
        <v>8407</v>
      </c>
      <c r="D5850" t="s">
        <v>13927</v>
      </c>
    </row>
    <row r="5851" spans="1:4" x14ac:dyDescent="0.25">
      <c r="A5851" t="s">
        <v>8408</v>
      </c>
      <c r="D5851" t="s">
        <v>13928</v>
      </c>
    </row>
    <row r="5852" spans="1:4" x14ac:dyDescent="0.25">
      <c r="A5852" t="s">
        <v>8409</v>
      </c>
      <c r="D5852" t="s">
        <v>13929</v>
      </c>
    </row>
    <row r="5853" spans="1:4" x14ac:dyDescent="0.25">
      <c r="A5853" t="s">
        <v>8410</v>
      </c>
      <c r="D5853" t="s">
        <v>13930</v>
      </c>
    </row>
    <row r="5854" spans="1:4" x14ac:dyDescent="0.25">
      <c r="A5854" t="s">
        <v>8411</v>
      </c>
      <c r="D5854" t="s">
        <v>13931</v>
      </c>
    </row>
    <row r="5855" spans="1:4" x14ac:dyDescent="0.25">
      <c r="A5855" t="s">
        <v>8412</v>
      </c>
      <c r="D5855" t="s">
        <v>13932</v>
      </c>
    </row>
    <row r="5856" spans="1:4" x14ac:dyDescent="0.25">
      <c r="A5856" t="s">
        <v>8413</v>
      </c>
      <c r="D5856" t="s">
        <v>13933</v>
      </c>
    </row>
    <row r="5857" spans="1:4" x14ac:dyDescent="0.25">
      <c r="A5857" t="s">
        <v>8414</v>
      </c>
      <c r="D5857" t="s">
        <v>13934</v>
      </c>
    </row>
    <row r="5858" spans="1:4" x14ac:dyDescent="0.25">
      <c r="A5858" t="s">
        <v>8415</v>
      </c>
      <c r="D5858" t="s">
        <v>13935</v>
      </c>
    </row>
    <row r="5859" spans="1:4" x14ac:dyDescent="0.25">
      <c r="A5859" t="s">
        <v>8416</v>
      </c>
      <c r="D5859" t="s">
        <v>13936</v>
      </c>
    </row>
    <row r="5860" spans="1:4" x14ac:dyDescent="0.25">
      <c r="A5860" t="s">
        <v>8417</v>
      </c>
      <c r="D5860" t="s">
        <v>13937</v>
      </c>
    </row>
    <row r="5861" spans="1:4" x14ac:dyDescent="0.25">
      <c r="A5861" t="s">
        <v>8418</v>
      </c>
      <c r="D5861" t="s">
        <v>13938</v>
      </c>
    </row>
    <row r="5862" spans="1:4" x14ac:dyDescent="0.25">
      <c r="A5862" t="s">
        <v>8419</v>
      </c>
      <c r="D5862" t="s">
        <v>13939</v>
      </c>
    </row>
    <row r="5863" spans="1:4" x14ac:dyDescent="0.25">
      <c r="A5863" t="s">
        <v>8420</v>
      </c>
      <c r="D5863" t="s">
        <v>13940</v>
      </c>
    </row>
    <row r="5864" spans="1:4" x14ac:dyDescent="0.25">
      <c r="A5864" t="s">
        <v>8421</v>
      </c>
      <c r="D5864" t="s">
        <v>13941</v>
      </c>
    </row>
    <row r="5865" spans="1:4" x14ac:dyDescent="0.25">
      <c r="A5865" t="s">
        <v>8422</v>
      </c>
      <c r="D5865" t="s">
        <v>13942</v>
      </c>
    </row>
    <row r="5866" spans="1:4" x14ac:dyDescent="0.25">
      <c r="A5866" t="s">
        <v>8423</v>
      </c>
      <c r="D5866" t="s">
        <v>13943</v>
      </c>
    </row>
    <row r="5867" spans="1:4" x14ac:dyDescent="0.25">
      <c r="A5867" t="s">
        <v>8424</v>
      </c>
      <c r="D5867" t="s">
        <v>13944</v>
      </c>
    </row>
    <row r="5868" spans="1:4" x14ac:dyDescent="0.25">
      <c r="A5868" t="s">
        <v>8425</v>
      </c>
      <c r="D5868" t="s">
        <v>13945</v>
      </c>
    </row>
    <row r="5869" spans="1:4" x14ac:dyDescent="0.25">
      <c r="A5869" t="s">
        <v>8426</v>
      </c>
      <c r="D5869" t="s">
        <v>13946</v>
      </c>
    </row>
    <row r="5870" spans="1:4" x14ac:dyDescent="0.25">
      <c r="A5870" t="s">
        <v>8427</v>
      </c>
      <c r="D5870" t="s">
        <v>13947</v>
      </c>
    </row>
    <row r="5871" spans="1:4" x14ac:dyDescent="0.25">
      <c r="A5871" t="s">
        <v>8428</v>
      </c>
      <c r="D5871" t="s">
        <v>13948</v>
      </c>
    </row>
    <row r="5872" spans="1:4" x14ac:dyDescent="0.25">
      <c r="A5872" t="s">
        <v>8429</v>
      </c>
      <c r="D5872" t="s">
        <v>13949</v>
      </c>
    </row>
    <row r="5873" spans="1:4" x14ac:dyDescent="0.25">
      <c r="A5873" t="s">
        <v>8430</v>
      </c>
      <c r="D5873" t="s">
        <v>13950</v>
      </c>
    </row>
    <row r="5874" spans="1:4" x14ac:dyDescent="0.25">
      <c r="A5874" t="s">
        <v>8431</v>
      </c>
      <c r="D5874" t="s">
        <v>13951</v>
      </c>
    </row>
    <row r="5875" spans="1:4" x14ac:dyDescent="0.25">
      <c r="A5875" t="s">
        <v>8432</v>
      </c>
      <c r="D5875" t="s">
        <v>13952</v>
      </c>
    </row>
    <row r="5876" spans="1:4" x14ac:dyDescent="0.25">
      <c r="A5876" t="s">
        <v>8433</v>
      </c>
      <c r="D5876" t="s">
        <v>13953</v>
      </c>
    </row>
    <row r="5877" spans="1:4" x14ac:dyDescent="0.25">
      <c r="A5877" t="s">
        <v>8434</v>
      </c>
      <c r="D5877" t="s">
        <v>13954</v>
      </c>
    </row>
    <row r="5878" spans="1:4" x14ac:dyDescent="0.25">
      <c r="A5878" t="s">
        <v>8435</v>
      </c>
      <c r="D5878" t="s">
        <v>13955</v>
      </c>
    </row>
    <row r="5879" spans="1:4" x14ac:dyDescent="0.25">
      <c r="A5879" t="s">
        <v>8436</v>
      </c>
      <c r="D5879" t="s">
        <v>13956</v>
      </c>
    </row>
    <row r="5880" spans="1:4" x14ac:dyDescent="0.25">
      <c r="A5880" t="s">
        <v>8437</v>
      </c>
      <c r="D5880" t="s">
        <v>13957</v>
      </c>
    </row>
    <row r="5881" spans="1:4" x14ac:dyDescent="0.25">
      <c r="A5881" t="s">
        <v>8438</v>
      </c>
      <c r="D5881" t="s">
        <v>13958</v>
      </c>
    </row>
    <row r="5882" spans="1:4" x14ac:dyDescent="0.25">
      <c r="A5882" t="s">
        <v>8439</v>
      </c>
      <c r="D5882" t="s">
        <v>13959</v>
      </c>
    </row>
    <row r="5883" spans="1:4" x14ac:dyDescent="0.25">
      <c r="A5883" t="s">
        <v>8440</v>
      </c>
      <c r="D5883" t="s">
        <v>13960</v>
      </c>
    </row>
    <row r="5884" spans="1:4" x14ac:dyDescent="0.25">
      <c r="A5884" t="s">
        <v>8441</v>
      </c>
      <c r="D5884" t="s">
        <v>13961</v>
      </c>
    </row>
    <row r="5885" spans="1:4" x14ac:dyDescent="0.25">
      <c r="A5885" t="s">
        <v>8442</v>
      </c>
      <c r="D5885" t="s">
        <v>13962</v>
      </c>
    </row>
    <row r="5886" spans="1:4" x14ac:dyDescent="0.25">
      <c r="A5886" t="s">
        <v>8443</v>
      </c>
      <c r="D5886" t="s">
        <v>13963</v>
      </c>
    </row>
    <row r="5887" spans="1:4" x14ac:dyDescent="0.25">
      <c r="A5887" t="s">
        <v>8444</v>
      </c>
      <c r="D5887" t="s">
        <v>13964</v>
      </c>
    </row>
    <row r="5888" spans="1:4" x14ac:dyDescent="0.25">
      <c r="A5888" t="s">
        <v>8445</v>
      </c>
      <c r="D5888" t="s">
        <v>13965</v>
      </c>
    </row>
    <row r="5889" spans="1:4" x14ac:dyDescent="0.25">
      <c r="A5889" t="s">
        <v>8446</v>
      </c>
      <c r="D5889" t="s">
        <v>13966</v>
      </c>
    </row>
    <row r="5890" spans="1:4" x14ac:dyDescent="0.25">
      <c r="A5890" t="s">
        <v>8447</v>
      </c>
      <c r="D5890" t="s">
        <v>13967</v>
      </c>
    </row>
    <row r="5891" spans="1:4" x14ac:dyDescent="0.25">
      <c r="A5891" t="s">
        <v>8448</v>
      </c>
      <c r="D5891" t="s">
        <v>13968</v>
      </c>
    </row>
    <row r="5892" spans="1:4" x14ac:dyDescent="0.25">
      <c r="A5892" t="s">
        <v>8449</v>
      </c>
      <c r="D5892" t="s">
        <v>13969</v>
      </c>
    </row>
    <row r="5893" spans="1:4" x14ac:dyDescent="0.25">
      <c r="A5893" t="s">
        <v>8450</v>
      </c>
      <c r="D5893" t="s">
        <v>13970</v>
      </c>
    </row>
    <row r="5894" spans="1:4" x14ac:dyDescent="0.25">
      <c r="A5894" t="s">
        <v>8451</v>
      </c>
      <c r="D5894" t="s">
        <v>13971</v>
      </c>
    </row>
    <row r="5895" spans="1:4" x14ac:dyDescent="0.25">
      <c r="A5895" t="s">
        <v>8452</v>
      </c>
      <c r="D5895" t="s">
        <v>13972</v>
      </c>
    </row>
    <row r="5896" spans="1:4" x14ac:dyDescent="0.25">
      <c r="A5896" t="s">
        <v>8453</v>
      </c>
      <c r="D5896" t="s">
        <v>13973</v>
      </c>
    </row>
    <row r="5897" spans="1:4" x14ac:dyDescent="0.25">
      <c r="A5897" t="s">
        <v>8454</v>
      </c>
      <c r="D5897" t="s">
        <v>13974</v>
      </c>
    </row>
    <row r="5898" spans="1:4" x14ac:dyDescent="0.25">
      <c r="A5898" t="s">
        <v>8455</v>
      </c>
      <c r="D5898" t="s">
        <v>13975</v>
      </c>
    </row>
    <row r="5899" spans="1:4" x14ac:dyDescent="0.25">
      <c r="A5899" t="s">
        <v>8456</v>
      </c>
      <c r="D5899" t="s">
        <v>13976</v>
      </c>
    </row>
    <row r="5900" spans="1:4" x14ac:dyDescent="0.25">
      <c r="A5900" t="s">
        <v>8457</v>
      </c>
      <c r="D5900" t="s">
        <v>13977</v>
      </c>
    </row>
    <row r="5901" spans="1:4" x14ac:dyDescent="0.25">
      <c r="A5901" t="s">
        <v>8458</v>
      </c>
      <c r="D5901" t="s">
        <v>13978</v>
      </c>
    </row>
    <row r="5902" spans="1:4" x14ac:dyDescent="0.25">
      <c r="A5902" t="s">
        <v>8459</v>
      </c>
      <c r="D5902" t="s">
        <v>13979</v>
      </c>
    </row>
    <row r="5903" spans="1:4" x14ac:dyDescent="0.25">
      <c r="A5903" t="s">
        <v>8460</v>
      </c>
      <c r="D5903" t="s">
        <v>13980</v>
      </c>
    </row>
    <row r="5904" spans="1:4" x14ac:dyDescent="0.25">
      <c r="A5904" t="s">
        <v>8461</v>
      </c>
      <c r="D5904" t="s">
        <v>13981</v>
      </c>
    </row>
    <row r="5905" spans="1:4" x14ac:dyDescent="0.25">
      <c r="A5905" t="s">
        <v>8462</v>
      </c>
      <c r="D5905" t="s">
        <v>13982</v>
      </c>
    </row>
    <row r="5906" spans="1:4" x14ac:dyDescent="0.25">
      <c r="A5906" t="s">
        <v>8463</v>
      </c>
      <c r="D5906" t="s">
        <v>13983</v>
      </c>
    </row>
    <row r="5907" spans="1:4" x14ac:dyDescent="0.25">
      <c r="A5907" t="s">
        <v>8464</v>
      </c>
      <c r="D5907" t="s">
        <v>13984</v>
      </c>
    </row>
    <row r="5908" spans="1:4" x14ac:dyDescent="0.25">
      <c r="A5908" t="s">
        <v>8465</v>
      </c>
      <c r="D5908" t="s">
        <v>13985</v>
      </c>
    </row>
    <row r="5909" spans="1:4" x14ac:dyDescent="0.25">
      <c r="A5909" t="s">
        <v>8466</v>
      </c>
      <c r="D5909" t="s">
        <v>13986</v>
      </c>
    </row>
    <row r="5910" spans="1:4" x14ac:dyDescent="0.25">
      <c r="A5910" t="s">
        <v>8467</v>
      </c>
      <c r="D5910" t="s">
        <v>13987</v>
      </c>
    </row>
    <row r="5911" spans="1:4" x14ac:dyDescent="0.25">
      <c r="A5911" t="s">
        <v>8468</v>
      </c>
      <c r="D5911" t="s">
        <v>13988</v>
      </c>
    </row>
    <row r="5912" spans="1:4" x14ac:dyDescent="0.25">
      <c r="A5912" t="s">
        <v>8469</v>
      </c>
      <c r="D5912" t="s">
        <v>13989</v>
      </c>
    </row>
    <row r="5913" spans="1:4" x14ac:dyDescent="0.25">
      <c r="A5913" t="s">
        <v>8470</v>
      </c>
      <c r="D5913" t="s">
        <v>13990</v>
      </c>
    </row>
    <row r="5914" spans="1:4" x14ac:dyDescent="0.25">
      <c r="A5914" t="s">
        <v>8471</v>
      </c>
      <c r="D5914" t="s">
        <v>13991</v>
      </c>
    </row>
    <row r="5915" spans="1:4" x14ac:dyDescent="0.25">
      <c r="A5915" t="s">
        <v>8472</v>
      </c>
      <c r="D5915" t="s">
        <v>13992</v>
      </c>
    </row>
    <row r="5916" spans="1:4" x14ac:dyDescent="0.25">
      <c r="A5916" t="s">
        <v>8473</v>
      </c>
      <c r="D5916" t="s">
        <v>13993</v>
      </c>
    </row>
    <row r="5917" spans="1:4" x14ac:dyDescent="0.25">
      <c r="A5917" t="s">
        <v>8474</v>
      </c>
      <c r="D5917" t="s">
        <v>13994</v>
      </c>
    </row>
    <row r="5918" spans="1:4" x14ac:dyDescent="0.25">
      <c r="A5918" t="s">
        <v>8475</v>
      </c>
      <c r="D5918" t="s">
        <v>13995</v>
      </c>
    </row>
    <row r="5919" spans="1:4" x14ac:dyDescent="0.25">
      <c r="A5919" t="s">
        <v>8476</v>
      </c>
      <c r="D5919" t="s">
        <v>13996</v>
      </c>
    </row>
    <row r="5920" spans="1:4" x14ac:dyDescent="0.25">
      <c r="A5920" t="s">
        <v>8477</v>
      </c>
      <c r="D5920" t="s">
        <v>13997</v>
      </c>
    </row>
    <row r="5921" spans="1:4" x14ac:dyDescent="0.25">
      <c r="A5921" t="s">
        <v>8478</v>
      </c>
      <c r="D5921" t="s">
        <v>13998</v>
      </c>
    </row>
    <row r="5922" spans="1:4" x14ac:dyDescent="0.25">
      <c r="A5922" t="s">
        <v>8479</v>
      </c>
      <c r="D5922" t="s">
        <v>13999</v>
      </c>
    </row>
    <row r="5923" spans="1:4" x14ac:dyDescent="0.25">
      <c r="A5923" t="s">
        <v>8480</v>
      </c>
      <c r="D5923" t="s">
        <v>14000</v>
      </c>
    </row>
    <row r="5924" spans="1:4" x14ac:dyDescent="0.25">
      <c r="A5924" t="s">
        <v>8481</v>
      </c>
      <c r="D5924" t="s">
        <v>14001</v>
      </c>
    </row>
    <row r="5925" spans="1:4" x14ac:dyDescent="0.25">
      <c r="A5925" t="s">
        <v>8482</v>
      </c>
      <c r="D5925" t="s">
        <v>14002</v>
      </c>
    </row>
    <row r="5926" spans="1:4" x14ac:dyDescent="0.25">
      <c r="A5926" t="s">
        <v>8483</v>
      </c>
      <c r="D5926" t="s">
        <v>14003</v>
      </c>
    </row>
    <row r="5927" spans="1:4" x14ac:dyDescent="0.25">
      <c r="A5927" t="s">
        <v>8484</v>
      </c>
      <c r="D5927" t="s">
        <v>14004</v>
      </c>
    </row>
    <row r="5928" spans="1:4" x14ac:dyDescent="0.25">
      <c r="A5928" t="s">
        <v>8485</v>
      </c>
      <c r="D5928" t="s">
        <v>14005</v>
      </c>
    </row>
    <row r="5929" spans="1:4" x14ac:dyDescent="0.25">
      <c r="A5929" t="s">
        <v>8486</v>
      </c>
      <c r="D5929" t="s">
        <v>14006</v>
      </c>
    </row>
    <row r="5930" spans="1:4" x14ac:dyDescent="0.25">
      <c r="A5930" t="s">
        <v>8487</v>
      </c>
      <c r="D5930" t="s">
        <v>14007</v>
      </c>
    </row>
    <row r="5931" spans="1:4" x14ac:dyDescent="0.25">
      <c r="A5931" t="s">
        <v>8488</v>
      </c>
      <c r="D5931" t="s">
        <v>14008</v>
      </c>
    </row>
    <row r="5932" spans="1:4" x14ac:dyDescent="0.25">
      <c r="A5932" t="s">
        <v>8489</v>
      </c>
      <c r="D5932" t="s">
        <v>14009</v>
      </c>
    </row>
    <row r="5933" spans="1:4" x14ac:dyDescent="0.25">
      <c r="A5933" t="s">
        <v>8490</v>
      </c>
      <c r="D5933" t="s">
        <v>14010</v>
      </c>
    </row>
    <row r="5934" spans="1:4" x14ac:dyDescent="0.25">
      <c r="A5934" t="s">
        <v>8491</v>
      </c>
      <c r="D5934" t="s">
        <v>14011</v>
      </c>
    </row>
    <row r="5935" spans="1:4" x14ac:dyDescent="0.25">
      <c r="A5935" t="s">
        <v>8492</v>
      </c>
      <c r="D5935" t="s">
        <v>14012</v>
      </c>
    </row>
    <row r="5936" spans="1:4" x14ac:dyDescent="0.25">
      <c r="A5936" t="s">
        <v>8493</v>
      </c>
      <c r="D5936" t="s">
        <v>14013</v>
      </c>
    </row>
    <row r="5937" spans="1:4" x14ac:dyDescent="0.25">
      <c r="A5937" t="s">
        <v>8494</v>
      </c>
      <c r="D5937" t="s">
        <v>14014</v>
      </c>
    </row>
    <row r="5938" spans="1:4" x14ac:dyDescent="0.25">
      <c r="A5938" t="s">
        <v>8495</v>
      </c>
      <c r="D5938" t="s">
        <v>14015</v>
      </c>
    </row>
    <row r="5939" spans="1:4" x14ac:dyDescent="0.25">
      <c r="A5939" t="s">
        <v>8496</v>
      </c>
      <c r="D5939" t="s">
        <v>14016</v>
      </c>
    </row>
    <row r="5940" spans="1:4" x14ac:dyDescent="0.25">
      <c r="A5940" t="s">
        <v>8497</v>
      </c>
      <c r="D5940" t="s">
        <v>14017</v>
      </c>
    </row>
    <row r="5941" spans="1:4" x14ac:dyDescent="0.25">
      <c r="A5941" t="s">
        <v>8498</v>
      </c>
      <c r="D5941" t="s">
        <v>14018</v>
      </c>
    </row>
    <row r="5942" spans="1:4" x14ac:dyDescent="0.25">
      <c r="A5942" t="s">
        <v>8499</v>
      </c>
      <c r="D5942" t="s">
        <v>14019</v>
      </c>
    </row>
    <row r="5943" spans="1:4" x14ac:dyDescent="0.25">
      <c r="A5943" t="s">
        <v>8500</v>
      </c>
      <c r="D5943" t="s">
        <v>14020</v>
      </c>
    </row>
    <row r="5944" spans="1:4" x14ac:dyDescent="0.25">
      <c r="A5944" t="s">
        <v>8501</v>
      </c>
      <c r="D5944" t="s">
        <v>14021</v>
      </c>
    </row>
    <row r="5945" spans="1:4" x14ac:dyDescent="0.25">
      <c r="A5945" t="s">
        <v>8502</v>
      </c>
      <c r="D5945" t="s">
        <v>14022</v>
      </c>
    </row>
    <row r="5946" spans="1:4" x14ac:dyDescent="0.25">
      <c r="A5946" t="s">
        <v>8503</v>
      </c>
      <c r="D5946" t="s">
        <v>14023</v>
      </c>
    </row>
    <row r="5947" spans="1:4" x14ac:dyDescent="0.25">
      <c r="A5947" t="s">
        <v>8504</v>
      </c>
      <c r="D5947" t="s">
        <v>14024</v>
      </c>
    </row>
    <row r="5948" spans="1:4" x14ac:dyDescent="0.25">
      <c r="A5948" t="s">
        <v>8505</v>
      </c>
      <c r="D5948" t="s">
        <v>14025</v>
      </c>
    </row>
    <row r="5949" spans="1:4" x14ac:dyDescent="0.25">
      <c r="A5949" t="s">
        <v>8506</v>
      </c>
      <c r="D5949" t="s">
        <v>14026</v>
      </c>
    </row>
    <row r="5950" spans="1:4" x14ac:dyDescent="0.25">
      <c r="A5950" t="s">
        <v>8507</v>
      </c>
      <c r="D5950" t="s">
        <v>14027</v>
      </c>
    </row>
    <row r="5951" spans="1:4" x14ac:dyDescent="0.25">
      <c r="A5951" t="s">
        <v>8508</v>
      </c>
      <c r="D5951" t="s">
        <v>14028</v>
      </c>
    </row>
    <row r="5952" spans="1:4" x14ac:dyDescent="0.25">
      <c r="A5952" t="s">
        <v>8509</v>
      </c>
      <c r="D5952" t="s">
        <v>14029</v>
      </c>
    </row>
    <row r="5953" spans="1:4" x14ac:dyDescent="0.25">
      <c r="A5953" t="s">
        <v>8510</v>
      </c>
      <c r="D5953" t="s">
        <v>14030</v>
      </c>
    </row>
    <row r="5954" spans="1:4" x14ac:dyDescent="0.25">
      <c r="A5954" t="s">
        <v>8511</v>
      </c>
      <c r="D5954" t="s">
        <v>14031</v>
      </c>
    </row>
    <row r="5955" spans="1:4" x14ac:dyDescent="0.25">
      <c r="A5955" t="s">
        <v>8512</v>
      </c>
      <c r="D5955" t="s">
        <v>14032</v>
      </c>
    </row>
    <row r="5956" spans="1:4" x14ac:dyDescent="0.25">
      <c r="A5956" t="s">
        <v>8513</v>
      </c>
      <c r="D5956" t="s">
        <v>14033</v>
      </c>
    </row>
    <row r="5957" spans="1:4" x14ac:dyDescent="0.25">
      <c r="A5957" t="s">
        <v>8514</v>
      </c>
      <c r="D5957" t="s">
        <v>14034</v>
      </c>
    </row>
    <row r="5958" spans="1:4" x14ac:dyDescent="0.25">
      <c r="A5958" t="s">
        <v>8515</v>
      </c>
      <c r="D5958" t="s">
        <v>14035</v>
      </c>
    </row>
    <row r="5959" spans="1:4" x14ac:dyDescent="0.25">
      <c r="A5959" t="s">
        <v>8516</v>
      </c>
      <c r="D5959" t="s">
        <v>14036</v>
      </c>
    </row>
    <row r="5960" spans="1:4" x14ac:dyDescent="0.25">
      <c r="A5960" t="s">
        <v>8517</v>
      </c>
      <c r="D5960" t="s">
        <v>14037</v>
      </c>
    </row>
    <row r="5961" spans="1:4" x14ac:dyDescent="0.25">
      <c r="A5961" t="s">
        <v>8518</v>
      </c>
      <c r="D5961" t="s">
        <v>14038</v>
      </c>
    </row>
    <row r="5962" spans="1:4" x14ac:dyDescent="0.25">
      <c r="A5962" t="s">
        <v>8519</v>
      </c>
      <c r="D5962" t="s">
        <v>14039</v>
      </c>
    </row>
    <row r="5963" spans="1:4" x14ac:dyDescent="0.25">
      <c r="A5963" t="s">
        <v>8520</v>
      </c>
      <c r="D5963" t="s">
        <v>14040</v>
      </c>
    </row>
    <row r="5964" spans="1:4" x14ac:dyDescent="0.25">
      <c r="A5964" t="s">
        <v>8521</v>
      </c>
      <c r="D5964" t="s">
        <v>14041</v>
      </c>
    </row>
    <row r="5965" spans="1:4" x14ac:dyDescent="0.25">
      <c r="A5965" t="s">
        <v>8522</v>
      </c>
      <c r="D5965" t="s">
        <v>14042</v>
      </c>
    </row>
    <row r="5966" spans="1:4" x14ac:dyDescent="0.25">
      <c r="A5966" t="s">
        <v>8523</v>
      </c>
      <c r="D5966" t="s">
        <v>14043</v>
      </c>
    </row>
    <row r="5967" spans="1:4" x14ac:dyDescent="0.25">
      <c r="A5967" t="s">
        <v>8524</v>
      </c>
      <c r="D5967" t="s">
        <v>14044</v>
      </c>
    </row>
    <row r="5968" spans="1:4" x14ac:dyDescent="0.25">
      <c r="A5968" t="s">
        <v>8525</v>
      </c>
      <c r="D5968" t="s">
        <v>14045</v>
      </c>
    </row>
    <row r="5969" spans="1:4" x14ac:dyDescent="0.25">
      <c r="A5969" t="s">
        <v>8526</v>
      </c>
      <c r="D5969" t="s">
        <v>14046</v>
      </c>
    </row>
    <row r="5970" spans="1:4" x14ac:dyDescent="0.25">
      <c r="A5970" t="s">
        <v>8527</v>
      </c>
      <c r="D5970" t="s">
        <v>14047</v>
      </c>
    </row>
    <row r="5971" spans="1:4" x14ac:dyDescent="0.25">
      <c r="A5971" t="s">
        <v>8528</v>
      </c>
      <c r="D5971" t="s">
        <v>14048</v>
      </c>
    </row>
    <row r="5972" spans="1:4" x14ac:dyDescent="0.25">
      <c r="A5972" t="s">
        <v>8529</v>
      </c>
      <c r="D5972" t="s">
        <v>14049</v>
      </c>
    </row>
    <row r="5973" spans="1:4" x14ac:dyDescent="0.25">
      <c r="A5973" t="s">
        <v>8530</v>
      </c>
      <c r="D5973" t="s">
        <v>14050</v>
      </c>
    </row>
    <row r="5974" spans="1:4" x14ac:dyDescent="0.25">
      <c r="A5974" t="s">
        <v>8531</v>
      </c>
      <c r="D5974" t="s">
        <v>14051</v>
      </c>
    </row>
    <row r="5975" spans="1:4" x14ac:dyDescent="0.25">
      <c r="A5975" t="s">
        <v>8532</v>
      </c>
      <c r="D5975" t="s">
        <v>14052</v>
      </c>
    </row>
    <row r="5976" spans="1:4" x14ac:dyDescent="0.25">
      <c r="A5976" t="s">
        <v>8533</v>
      </c>
      <c r="D5976" t="s">
        <v>14053</v>
      </c>
    </row>
    <row r="5977" spans="1:4" x14ac:dyDescent="0.25">
      <c r="A5977" t="s">
        <v>8534</v>
      </c>
      <c r="D5977" t="s">
        <v>14054</v>
      </c>
    </row>
    <row r="5978" spans="1:4" x14ac:dyDescent="0.25">
      <c r="A5978" t="s">
        <v>8535</v>
      </c>
      <c r="D5978" t="s">
        <v>14055</v>
      </c>
    </row>
    <row r="5979" spans="1:4" x14ac:dyDescent="0.25">
      <c r="A5979" t="s">
        <v>8536</v>
      </c>
      <c r="D5979" t="s">
        <v>14056</v>
      </c>
    </row>
    <row r="5980" spans="1:4" x14ac:dyDescent="0.25">
      <c r="A5980" t="s">
        <v>8537</v>
      </c>
      <c r="D5980" t="s">
        <v>14057</v>
      </c>
    </row>
    <row r="5981" spans="1:4" x14ac:dyDescent="0.25">
      <c r="A5981" t="s">
        <v>8538</v>
      </c>
      <c r="D5981" t="s">
        <v>14058</v>
      </c>
    </row>
    <row r="5982" spans="1:4" x14ac:dyDescent="0.25">
      <c r="A5982" t="s">
        <v>8539</v>
      </c>
      <c r="D5982" t="s">
        <v>14059</v>
      </c>
    </row>
    <row r="5983" spans="1:4" x14ac:dyDescent="0.25">
      <c r="A5983" t="s">
        <v>8540</v>
      </c>
      <c r="D5983" t="s">
        <v>14060</v>
      </c>
    </row>
    <row r="5984" spans="1:4" x14ac:dyDescent="0.25">
      <c r="A5984" t="s">
        <v>8541</v>
      </c>
      <c r="D5984" t="s">
        <v>14061</v>
      </c>
    </row>
    <row r="5985" spans="1:4" x14ac:dyDescent="0.25">
      <c r="A5985" t="s">
        <v>8542</v>
      </c>
      <c r="D5985" t="s">
        <v>14062</v>
      </c>
    </row>
    <row r="5986" spans="1:4" x14ac:dyDescent="0.25">
      <c r="A5986" t="s">
        <v>8543</v>
      </c>
      <c r="D5986" t="s">
        <v>14063</v>
      </c>
    </row>
    <row r="5987" spans="1:4" x14ac:dyDescent="0.25">
      <c r="A5987" t="s">
        <v>8544</v>
      </c>
      <c r="D5987" t="s">
        <v>14064</v>
      </c>
    </row>
    <row r="5988" spans="1:4" x14ac:dyDescent="0.25">
      <c r="A5988" t="s">
        <v>8545</v>
      </c>
      <c r="D5988" t="s">
        <v>14065</v>
      </c>
    </row>
    <row r="5989" spans="1:4" x14ac:dyDescent="0.25">
      <c r="A5989" t="s">
        <v>8546</v>
      </c>
      <c r="D5989" t="s">
        <v>14066</v>
      </c>
    </row>
    <row r="5990" spans="1:4" x14ac:dyDescent="0.25">
      <c r="A5990" t="s">
        <v>8547</v>
      </c>
      <c r="D5990" t="s">
        <v>14067</v>
      </c>
    </row>
    <row r="5991" spans="1:4" x14ac:dyDescent="0.25">
      <c r="A5991" t="s">
        <v>8548</v>
      </c>
      <c r="D5991" t="s">
        <v>14068</v>
      </c>
    </row>
    <row r="5992" spans="1:4" x14ac:dyDescent="0.25">
      <c r="A5992" t="s">
        <v>8549</v>
      </c>
      <c r="D5992" t="s">
        <v>14069</v>
      </c>
    </row>
    <row r="5993" spans="1:4" x14ac:dyDescent="0.25">
      <c r="A5993" t="s">
        <v>8550</v>
      </c>
      <c r="D5993" t="s">
        <v>14070</v>
      </c>
    </row>
    <row r="5994" spans="1:4" x14ac:dyDescent="0.25">
      <c r="A5994" t="s">
        <v>8551</v>
      </c>
      <c r="D5994" t="s">
        <v>14071</v>
      </c>
    </row>
    <row r="5995" spans="1:4" x14ac:dyDescent="0.25">
      <c r="A5995" t="s">
        <v>8552</v>
      </c>
      <c r="D5995" t="s">
        <v>14072</v>
      </c>
    </row>
    <row r="5996" spans="1:4" x14ac:dyDescent="0.25">
      <c r="A5996" t="s">
        <v>8553</v>
      </c>
      <c r="D5996" t="s">
        <v>14073</v>
      </c>
    </row>
    <row r="5997" spans="1:4" x14ac:dyDescent="0.25">
      <c r="A5997" t="s">
        <v>8554</v>
      </c>
      <c r="D5997" t="s">
        <v>14074</v>
      </c>
    </row>
    <row r="5998" spans="1:4" x14ac:dyDescent="0.25">
      <c r="A5998" t="s">
        <v>8555</v>
      </c>
      <c r="D5998" t="s">
        <v>14075</v>
      </c>
    </row>
    <row r="5999" spans="1:4" x14ac:dyDescent="0.25">
      <c r="A5999" t="s">
        <v>8556</v>
      </c>
      <c r="D5999" t="s">
        <v>14076</v>
      </c>
    </row>
    <row r="6000" spans="1:4" x14ac:dyDescent="0.25">
      <c r="A6000" t="s">
        <v>8557</v>
      </c>
      <c r="D6000" t="s">
        <v>14077</v>
      </c>
    </row>
    <row r="6001" spans="1:4" x14ac:dyDescent="0.25">
      <c r="A6001" t="s">
        <v>8558</v>
      </c>
      <c r="D6001" t="s">
        <v>14078</v>
      </c>
    </row>
    <row r="6002" spans="1:4" x14ac:dyDescent="0.25">
      <c r="A6002" t="s">
        <v>8559</v>
      </c>
      <c r="D6002" t="s">
        <v>14079</v>
      </c>
    </row>
    <row r="6003" spans="1:4" x14ac:dyDescent="0.25">
      <c r="A6003" t="s">
        <v>8560</v>
      </c>
      <c r="D6003" t="s">
        <v>14080</v>
      </c>
    </row>
    <row r="6004" spans="1:4" x14ac:dyDescent="0.25">
      <c r="A6004" t="s">
        <v>8561</v>
      </c>
      <c r="D6004" t="s">
        <v>14081</v>
      </c>
    </row>
    <row r="6005" spans="1:4" x14ac:dyDescent="0.25">
      <c r="A6005" t="s">
        <v>8562</v>
      </c>
      <c r="D6005" t="s">
        <v>14082</v>
      </c>
    </row>
    <row r="6006" spans="1:4" x14ac:dyDescent="0.25">
      <c r="A6006" t="s">
        <v>8563</v>
      </c>
      <c r="D6006" t="s">
        <v>14083</v>
      </c>
    </row>
    <row r="6007" spans="1:4" x14ac:dyDescent="0.25">
      <c r="A6007" t="s">
        <v>8564</v>
      </c>
      <c r="D6007" t="s">
        <v>14084</v>
      </c>
    </row>
    <row r="6008" spans="1:4" x14ac:dyDescent="0.25">
      <c r="A6008" t="s">
        <v>8565</v>
      </c>
      <c r="D6008" t="s">
        <v>14085</v>
      </c>
    </row>
    <row r="6009" spans="1:4" x14ac:dyDescent="0.25">
      <c r="A6009" t="s">
        <v>8566</v>
      </c>
      <c r="D6009" t="s">
        <v>14086</v>
      </c>
    </row>
    <row r="6010" spans="1:4" x14ac:dyDescent="0.25">
      <c r="A6010" t="s">
        <v>8567</v>
      </c>
      <c r="D6010" t="s">
        <v>14087</v>
      </c>
    </row>
    <row r="6011" spans="1:4" x14ac:dyDescent="0.25">
      <c r="A6011" t="s">
        <v>8568</v>
      </c>
      <c r="D6011" t="s">
        <v>14088</v>
      </c>
    </row>
    <row r="6012" spans="1:4" x14ac:dyDescent="0.25">
      <c r="A6012" t="s">
        <v>8569</v>
      </c>
      <c r="D6012" t="s">
        <v>14089</v>
      </c>
    </row>
    <row r="6013" spans="1:4" x14ac:dyDescent="0.25">
      <c r="A6013" t="s">
        <v>8570</v>
      </c>
      <c r="D6013" t="s">
        <v>14090</v>
      </c>
    </row>
    <row r="6014" spans="1:4" x14ac:dyDescent="0.25">
      <c r="A6014" t="s">
        <v>8571</v>
      </c>
      <c r="D6014" t="s">
        <v>14091</v>
      </c>
    </row>
    <row r="6015" spans="1:4" x14ac:dyDescent="0.25">
      <c r="A6015" t="s">
        <v>8572</v>
      </c>
      <c r="D6015" t="s">
        <v>14092</v>
      </c>
    </row>
    <row r="6016" spans="1:4" x14ac:dyDescent="0.25">
      <c r="A6016" t="s">
        <v>8573</v>
      </c>
      <c r="D6016" t="s">
        <v>14093</v>
      </c>
    </row>
    <row r="6017" spans="1:4" x14ac:dyDescent="0.25">
      <c r="A6017" t="s">
        <v>8574</v>
      </c>
      <c r="D6017" t="s">
        <v>14094</v>
      </c>
    </row>
    <row r="6018" spans="1:4" x14ac:dyDescent="0.25">
      <c r="A6018" t="s">
        <v>8575</v>
      </c>
      <c r="D6018" t="s">
        <v>14095</v>
      </c>
    </row>
    <row r="6019" spans="1:4" x14ac:dyDescent="0.25">
      <c r="A6019" t="s">
        <v>8576</v>
      </c>
      <c r="D6019" t="s">
        <v>14096</v>
      </c>
    </row>
    <row r="6020" spans="1:4" x14ac:dyDescent="0.25">
      <c r="A6020" t="s">
        <v>8577</v>
      </c>
      <c r="D6020" t="s">
        <v>14097</v>
      </c>
    </row>
    <row r="6021" spans="1:4" x14ac:dyDescent="0.25">
      <c r="A6021" t="s">
        <v>8578</v>
      </c>
      <c r="D6021" t="s">
        <v>14098</v>
      </c>
    </row>
    <row r="6022" spans="1:4" x14ac:dyDescent="0.25">
      <c r="A6022" t="s">
        <v>8579</v>
      </c>
      <c r="D6022" t="s">
        <v>14099</v>
      </c>
    </row>
    <row r="6023" spans="1:4" x14ac:dyDescent="0.25">
      <c r="A6023" t="s">
        <v>8580</v>
      </c>
      <c r="D6023" t="s">
        <v>14100</v>
      </c>
    </row>
    <row r="6024" spans="1:4" x14ac:dyDescent="0.25">
      <c r="A6024" t="s">
        <v>8581</v>
      </c>
      <c r="D6024" t="s">
        <v>14101</v>
      </c>
    </row>
    <row r="6025" spans="1:4" x14ac:dyDescent="0.25">
      <c r="A6025" t="s">
        <v>8582</v>
      </c>
      <c r="D6025" t="s">
        <v>14102</v>
      </c>
    </row>
    <row r="6026" spans="1:4" x14ac:dyDescent="0.25">
      <c r="A6026" t="s">
        <v>8583</v>
      </c>
      <c r="D6026" t="s">
        <v>14103</v>
      </c>
    </row>
    <row r="6027" spans="1:4" x14ac:dyDescent="0.25">
      <c r="A6027" t="s">
        <v>8584</v>
      </c>
      <c r="D6027" t="s">
        <v>14104</v>
      </c>
    </row>
    <row r="6028" spans="1:4" x14ac:dyDescent="0.25">
      <c r="A6028" t="s">
        <v>8585</v>
      </c>
      <c r="D6028" t="s">
        <v>14105</v>
      </c>
    </row>
    <row r="6029" spans="1:4" x14ac:dyDescent="0.25">
      <c r="D6029" t="s">
        <v>14106</v>
      </c>
    </row>
    <row r="6030" spans="1:4" x14ac:dyDescent="0.25">
      <c r="D6030" t="s">
        <v>14107</v>
      </c>
    </row>
    <row r="6031" spans="1:4" x14ac:dyDescent="0.25">
      <c r="D6031" t="s">
        <v>14108</v>
      </c>
    </row>
    <row r="6032" spans="1:4" x14ac:dyDescent="0.25">
      <c r="D6032" t="s">
        <v>14109</v>
      </c>
    </row>
    <row r="6033" spans="4:4" x14ac:dyDescent="0.25">
      <c r="D6033" t="s">
        <v>14110</v>
      </c>
    </row>
    <row r="6034" spans="4:4" x14ac:dyDescent="0.25">
      <c r="D6034" t="s">
        <v>14111</v>
      </c>
    </row>
    <row r="6035" spans="4:4" x14ac:dyDescent="0.25">
      <c r="D6035" t="s">
        <v>14112</v>
      </c>
    </row>
    <row r="6036" spans="4:4" x14ac:dyDescent="0.25">
      <c r="D6036" t="s">
        <v>14113</v>
      </c>
    </row>
    <row r="6037" spans="4:4" x14ac:dyDescent="0.25">
      <c r="D6037" t="s">
        <v>14114</v>
      </c>
    </row>
    <row r="6038" spans="4:4" x14ac:dyDescent="0.25">
      <c r="D6038" t="s">
        <v>14115</v>
      </c>
    </row>
    <row r="6039" spans="4:4" x14ac:dyDescent="0.25">
      <c r="D6039" t="s">
        <v>14116</v>
      </c>
    </row>
    <row r="6040" spans="4:4" x14ac:dyDescent="0.25">
      <c r="D6040" t="s">
        <v>14117</v>
      </c>
    </row>
    <row r="6041" spans="4:4" x14ac:dyDescent="0.25">
      <c r="D6041" t="s">
        <v>14118</v>
      </c>
    </row>
    <row r="6042" spans="4:4" x14ac:dyDescent="0.25">
      <c r="D6042" t="s">
        <v>14119</v>
      </c>
    </row>
    <row r="6043" spans="4:4" x14ac:dyDescent="0.25">
      <c r="D6043" t="s">
        <v>14120</v>
      </c>
    </row>
    <row r="6044" spans="4:4" x14ac:dyDescent="0.25">
      <c r="D6044" t="s">
        <v>14121</v>
      </c>
    </row>
    <row r="6045" spans="4:4" x14ac:dyDescent="0.25">
      <c r="D6045" t="s">
        <v>14122</v>
      </c>
    </row>
    <row r="6046" spans="4:4" x14ac:dyDescent="0.25">
      <c r="D6046" t="s">
        <v>14123</v>
      </c>
    </row>
    <row r="6047" spans="4:4" x14ac:dyDescent="0.25">
      <c r="D6047" t="s">
        <v>14124</v>
      </c>
    </row>
    <row r="6048" spans="4:4" x14ac:dyDescent="0.25">
      <c r="D6048" t="s">
        <v>14125</v>
      </c>
    </row>
    <row r="6049" spans="4:4" x14ac:dyDescent="0.25">
      <c r="D6049" t="s">
        <v>14126</v>
      </c>
    </row>
    <row r="6050" spans="4:4" x14ac:dyDescent="0.25">
      <c r="D6050" t="s">
        <v>14127</v>
      </c>
    </row>
    <row r="6051" spans="4:4" x14ac:dyDescent="0.25">
      <c r="D6051" t="s">
        <v>14128</v>
      </c>
    </row>
    <row r="6052" spans="4:4" x14ac:dyDescent="0.25">
      <c r="D6052" t="s">
        <v>14129</v>
      </c>
    </row>
    <row r="6053" spans="4:4" x14ac:dyDescent="0.25">
      <c r="D6053" t="s">
        <v>14130</v>
      </c>
    </row>
    <row r="6054" spans="4:4" x14ac:dyDescent="0.25">
      <c r="D6054" t="s">
        <v>14131</v>
      </c>
    </row>
    <row r="6055" spans="4:4" x14ac:dyDescent="0.25">
      <c r="D6055" t="s">
        <v>14132</v>
      </c>
    </row>
    <row r="6056" spans="4:4" x14ac:dyDescent="0.25">
      <c r="D6056" t="s">
        <v>14133</v>
      </c>
    </row>
    <row r="6057" spans="4:4" x14ac:dyDescent="0.25">
      <c r="D6057" t="s">
        <v>14134</v>
      </c>
    </row>
    <row r="6058" spans="4:4" x14ac:dyDescent="0.25">
      <c r="D6058" t="s">
        <v>14135</v>
      </c>
    </row>
    <row r="6059" spans="4:4" x14ac:dyDescent="0.25">
      <c r="D6059" t="s">
        <v>14136</v>
      </c>
    </row>
    <row r="6060" spans="4:4" x14ac:dyDescent="0.25">
      <c r="D6060" t="s">
        <v>14137</v>
      </c>
    </row>
    <row r="6061" spans="4:4" x14ac:dyDescent="0.25">
      <c r="D6061" t="s">
        <v>14138</v>
      </c>
    </row>
    <row r="6062" spans="4:4" x14ac:dyDescent="0.25">
      <c r="D6062" t="s">
        <v>14139</v>
      </c>
    </row>
    <row r="6063" spans="4:4" x14ac:dyDescent="0.25">
      <c r="D6063" t="s">
        <v>14140</v>
      </c>
    </row>
    <row r="6064" spans="4:4" x14ac:dyDescent="0.25">
      <c r="D6064" t="s">
        <v>14141</v>
      </c>
    </row>
    <row r="6065" spans="4:4" x14ac:dyDescent="0.25">
      <c r="D6065" t="s">
        <v>14142</v>
      </c>
    </row>
    <row r="6066" spans="4:4" x14ac:dyDescent="0.25">
      <c r="D6066" t="s">
        <v>14143</v>
      </c>
    </row>
    <row r="6067" spans="4:4" x14ac:dyDescent="0.25">
      <c r="D6067" t="s">
        <v>14144</v>
      </c>
    </row>
    <row r="6068" spans="4:4" x14ac:dyDescent="0.25">
      <c r="D6068" t="s">
        <v>14145</v>
      </c>
    </row>
    <row r="6069" spans="4:4" x14ac:dyDescent="0.25">
      <c r="D6069" t="s">
        <v>14146</v>
      </c>
    </row>
    <row r="6070" spans="4:4" x14ac:dyDescent="0.25">
      <c r="D6070" t="s">
        <v>14147</v>
      </c>
    </row>
    <row r="6071" spans="4:4" x14ac:dyDescent="0.25">
      <c r="D6071" t="s">
        <v>14148</v>
      </c>
    </row>
    <row r="6072" spans="4:4" x14ac:dyDescent="0.25">
      <c r="D6072" t="s">
        <v>14149</v>
      </c>
    </row>
    <row r="6073" spans="4:4" x14ac:dyDescent="0.25">
      <c r="D6073" t="s">
        <v>14150</v>
      </c>
    </row>
    <row r="6074" spans="4:4" x14ac:dyDescent="0.25">
      <c r="D6074" t="s">
        <v>14151</v>
      </c>
    </row>
    <row r="6075" spans="4:4" x14ac:dyDescent="0.25">
      <c r="D6075" t="s">
        <v>14152</v>
      </c>
    </row>
    <row r="6076" spans="4:4" x14ac:dyDescent="0.25">
      <c r="D6076" t="s">
        <v>14153</v>
      </c>
    </row>
    <row r="6077" spans="4:4" x14ac:dyDescent="0.25">
      <c r="D6077" t="s">
        <v>14154</v>
      </c>
    </row>
    <row r="6078" spans="4:4" x14ac:dyDescent="0.25">
      <c r="D6078" t="s">
        <v>14155</v>
      </c>
    </row>
    <row r="6079" spans="4:4" x14ac:dyDescent="0.25">
      <c r="D6079" t="s">
        <v>14156</v>
      </c>
    </row>
    <row r="6080" spans="4:4" x14ac:dyDescent="0.25">
      <c r="D6080" t="s">
        <v>14157</v>
      </c>
    </row>
    <row r="6081" spans="4:4" x14ac:dyDescent="0.25">
      <c r="D6081" t="s">
        <v>14158</v>
      </c>
    </row>
    <row r="6082" spans="4:4" x14ac:dyDescent="0.25">
      <c r="D6082" t="s">
        <v>14159</v>
      </c>
    </row>
    <row r="6083" spans="4:4" x14ac:dyDescent="0.25">
      <c r="D6083" t="s">
        <v>14160</v>
      </c>
    </row>
    <row r="6084" spans="4:4" x14ac:dyDescent="0.25">
      <c r="D6084" t="s">
        <v>14161</v>
      </c>
    </row>
    <row r="6085" spans="4:4" x14ac:dyDescent="0.25">
      <c r="D6085" t="s">
        <v>14162</v>
      </c>
    </row>
    <row r="6086" spans="4:4" x14ac:dyDescent="0.25">
      <c r="D6086" t="s">
        <v>14163</v>
      </c>
    </row>
    <row r="6087" spans="4:4" x14ac:dyDescent="0.25">
      <c r="D6087" t="s">
        <v>14164</v>
      </c>
    </row>
    <row r="6088" spans="4:4" x14ac:dyDescent="0.25">
      <c r="D6088" t="s">
        <v>14165</v>
      </c>
    </row>
    <row r="6089" spans="4:4" x14ac:dyDescent="0.25">
      <c r="D6089" t="s">
        <v>14166</v>
      </c>
    </row>
    <row r="6090" spans="4:4" x14ac:dyDescent="0.25">
      <c r="D6090" t="s">
        <v>14167</v>
      </c>
    </row>
    <row r="6091" spans="4:4" x14ac:dyDescent="0.25">
      <c r="D6091" t="s">
        <v>14168</v>
      </c>
    </row>
    <row r="6092" spans="4:4" x14ac:dyDescent="0.25">
      <c r="D6092" t="s">
        <v>14169</v>
      </c>
    </row>
    <row r="6093" spans="4:4" x14ac:dyDescent="0.25">
      <c r="D6093" t="s">
        <v>14170</v>
      </c>
    </row>
    <row r="6094" spans="4:4" x14ac:dyDescent="0.25">
      <c r="D6094" t="s">
        <v>14171</v>
      </c>
    </row>
    <row r="6095" spans="4:4" x14ac:dyDescent="0.25">
      <c r="D6095" t="s">
        <v>14172</v>
      </c>
    </row>
    <row r="6096" spans="4:4" x14ac:dyDescent="0.25">
      <c r="D6096" t="s">
        <v>14173</v>
      </c>
    </row>
    <row r="6097" spans="4:4" x14ac:dyDescent="0.25">
      <c r="D6097" t="s">
        <v>14174</v>
      </c>
    </row>
    <row r="6098" spans="4:4" x14ac:dyDescent="0.25">
      <c r="D6098" t="s">
        <v>14175</v>
      </c>
    </row>
    <row r="6099" spans="4:4" x14ac:dyDescent="0.25">
      <c r="D6099" t="s">
        <v>14176</v>
      </c>
    </row>
    <row r="6100" spans="4:4" x14ac:dyDescent="0.25">
      <c r="D6100" t="s">
        <v>14177</v>
      </c>
    </row>
    <row r="6101" spans="4:4" x14ac:dyDescent="0.25">
      <c r="D6101" t="s">
        <v>14178</v>
      </c>
    </row>
    <row r="6102" spans="4:4" x14ac:dyDescent="0.25">
      <c r="D6102" t="s">
        <v>14179</v>
      </c>
    </row>
    <row r="6103" spans="4:4" x14ac:dyDescent="0.25">
      <c r="D6103" t="s">
        <v>14180</v>
      </c>
    </row>
    <row r="6104" spans="4:4" x14ac:dyDescent="0.25">
      <c r="D6104" t="s">
        <v>14181</v>
      </c>
    </row>
    <row r="6105" spans="4:4" x14ac:dyDescent="0.25">
      <c r="D6105" t="s">
        <v>14182</v>
      </c>
    </row>
    <row r="6106" spans="4:4" x14ac:dyDescent="0.25">
      <c r="D6106" t="s">
        <v>14183</v>
      </c>
    </row>
    <row r="6107" spans="4:4" x14ac:dyDescent="0.25">
      <c r="D6107" t="s">
        <v>14184</v>
      </c>
    </row>
    <row r="6108" spans="4:4" x14ac:dyDescent="0.25">
      <c r="D6108" t="s">
        <v>14185</v>
      </c>
    </row>
    <row r="6109" spans="4:4" x14ac:dyDescent="0.25">
      <c r="D6109" t="s">
        <v>14186</v>
      </c>
    </row>
    <row r="6110" spans="4:4" x14ac:dyDescent="0.25">
      <c r="D6110" t="s">
        <v>14187</v>
      </c>
    </row>
    <row r="6111" spans="4:4" x14ac:dyDescent="0.25">
      <c r="D6111" t="s">
        <v>14188</v>
      </c>
    </row>
    <row r="6112" spans="4:4" x14ac:dyDescent="0.25">
      <c r="D6112" t="s">
        <v>14189</v>
      </c>
    </row>
    <row r="6113" spans="4:4" x14ac:dyDescent="0.25">
      <c r="D6113" t="s">
        <v>14190</v>
      </c>
    </row>
    <row r="6114" spans="4:4" x14ac:dyDescent="0.25">
      <c r="D6114" t="s">
        <v>14191</v>
      </c>
    </row>
    <row r="6115" spans="4:4" x14ac:dyDescent="0.25">
      <c r="D6115" t="s">
        <v>14192</v>
      </c>
    </row>
    <row r="6116" spans="4:4" x14ac:dyDescent="0.25">
      <c r="D6116" t="s">
        <v>14193</v>
      </c>
    </row>
    <row r="6117" spans="4:4" x14ac:dyDescent="0.25">
      <c r="D6117" t="s">
        <v>14194</v>
      </c>
    </row>
    <row r="6118" spans="4:4" x14ac:dyDescent="0.25">
      <c r="D6118" t="s">
        <v>14195</v>
      </c>
    </row>
    <row r="6119" spans="4:4" x14ac:dyDescent="0.25">
      <c r="D6119" t="s">
        <v>14196</v>
      </c>
    </row>
    <row r="6120" spans="4:4" x14ac:dyDescent="0.25">
      <c r="D6120" t="s">
        <v>14197</v>
      </c>
    </row>
    <row r="6121" spans="4:4" x14ac:dyDescent="0.25">
      <c r="D6121" t="s">
        <v>14198</v>
      </c>
    </row>
    <row r="6122" spans="4:4" x14ac:dyDescent="0.25">
      <c r="D6122" t="s">
        <v>14199</v>
      </c>
    </row>
    <row r="6123" spans="4:4" x14ac:dyDescent="0.25">
      <c r="D6123" t="s">
        <v>14200</v>
      </c>
    </row>
    <row r="6124" spans="4:4" x14ac:dyDescent="0.25">
      <c r="D6124" t="s">
        <v>14201</v>
      </c>
    </row>
    <row r="6125" spans="4:4" x14ac:dyDescent="0.25">
      <c r="D6125" t="s">
        <v>14202</v>
      </c>
    </row>
    <row r="6126" spans="4:4" x14ac:dyDescent="0.25">
      <c r="D6126" t="s">
        <v>14203</v>
      </c>
    </row>
    <row r="6127" spans="4:4" x14ac:dyDescent="0.25">
      <c r="D6127" t="s">
        <v>14204</v>
      </c>
    </row>
    <row r="6128" spans="4:4" x14ac:dyDescent="0.25">
      <c r="D6128" t="s">
        <v>14205</v>
      </c>
    </row>
    <row r="6129" spans="4:4" x14ac:dyDescent="0.25">
      <c r="D6129" t="s">
        <v>14206</v>
      </c>
    </row>
    <row r="6130" spans="4:4" x14ac:dyDescent="0.25">
      <c r="D6130" t="s">
        <v>14207</v>
      </c>
    </row>
    <row r="6131" spans="4:4" x14ac:dyDescent="0.25">
      <c r="D6131" t="s">
        <v>14208</v>
      </c>
    </row>
    <row r="6132" spans="4:4" x14ac:dyDescent="0.25">
      <c r="D6132" t="s">
        <v>14209</v>
      </c>
    </row>
    <row r="6133" spans="4:4" x14ac:dyDescent="0.25">
      <c r="D6133" t="s">
        <v>14210</v>
      </c>
    </row>
    <row r="6134" spans="4:4" x14ac:dyDescent="0.25">
      <c r="D6134" t="s">
        <v>14211</v>
      </c>
    </row>
    <row r="6135" spans="4:4" x14ac:dyDescent="0.25">
      <c r="D6135" t="s">
        <v>14212</v>
      </c>
    </row>
    <row r="6136" spans="4:4" x14ac:dyDescent="0.25">
      <c r="D6136" t="s">
        <v>14213</v>
      </c>
    </row>
    <row r="6137" spans="4:4" x14ac:dyDescent="0.25">
      <c r="D6137" t="s">
        <v>14214</v>
      </c>
    </row>
    <row r="6138" spans="4:4" x14ac:dyDescent="0.25">
      <c r="D6138" t="s">
        <v>14215</v>
      </c>
    </row>
    <row r="6139" spans="4:4" x14ac:dyDescent="0.25">
      <c r="D6139" t="s">
        <v>14216</v>
      </c>
    </row>
    <row r="6140" spans="4:4" x14ac:dyDescent="0.25">
      <c r="D6140" t="s">
        <v>14217</v>
      </c>
    </row>
    <row r="6141" spans="4:4" x14ac:dyDescent="0.25">
      <c r="D6141" t="s">
        <v>14218</v>
      </c>
    </row>
    <row r="6142" spans="4:4" x14ac:dyDescent="0.25">
      <c r="D6142" t="s">
        <v>14219</v>
      </c>
    </row>
    <row r="6143" spans="4:4" x14ac:dyDescent="0.25">
      <c r="D6143" t="s">
        <v>14220</v>
      </c>
    </row>
    <row r="6144" spans="4:4" x14ac:dyDescent="0.25">
      <c r="D6144" t="s">
        <v>14221</v>
      </c>
    </row>
    <row r="6145" spans="4:4" x14ac:dyDescent="0.25">
      <c r="D6145" t="s">
        <v>14222</v>
      </c>
    </row>
    <row r="6146" spans="4:4" x14ac:dyDescent="0.25">
      <c r="D6146" t="s">
        <v>14223</v>
      </c>
    </row>
    <row r="6147" spans="4:4" x14ac:dyDescent="0.25">
      <c r="D6147" t="s">
        <v>14224</v>
      </c>
    </row>
    <row r="6148" spans="4:4" x14ac:dyDescent="0.25">
      <c r="D6148" t="s">
        <v>14225</v>
      </c>
    </row>
    <row r="6149" spans="4:4" x14ac:dyDescent="0.25">
      <c r="D6149" t="s">
        <v>14226</v>
      </c>
    </row>
    <row r="6150" spans="4:4" x14ac:dyDescent="0.25">
      <c r="D6150" t="s">
        <v>14227</v>
      </c>
    </row>
    <row r="6151" spans="4:4" x14ac:dyDescent="0.25">
      <c r="D6151" t="s">
        <v>14228</v>
      </c>
    </row>
    <row r="6152" spans="4:4" x14ac:dyDescent="0.25">
      <c r="D6152" t="s">
        <v>14229</v>
      </c>
    </row>
    <row r="6153" spans="4:4" x14ac:dyDescent="0.25">
      <c r="D6153" t="s">
        <v>14230</v>
      </c>
    </row>
    <row r="6154" spans="4:4" x14ac:dyDescent="0.25">
      <c r="D6154" t="s">
        <v>14231</v>
      </c>
    </row>
    <row r="6155" spans="4:4" x14ac:dyDescent="0.25">
      <c r="D6155" t="s">
        <v>14232</v>
      </c>
    </row>
    <row r="6156" spans="4:4" x14ac:dyDescent="0.25">
      <c r="D6156" t="s">
        <v>14233</v>
      </c>
    </row>
    <row r="6157" spans="4:4" x14ac:dyDescent="0.25">
      <c r="D6157" t="s">
        <v>14234</v>
      </c>
    </row>
    <row r="6158" spans="4:4" x14ac:dyDescent="0.25">
      <c r="D6158" t="s">
        <v>14235</v>
      </c>
    </row>
    <row r="6159" spans="4:4" x14ac:dyDescent="0.25">
      <c r="D6159" t="s">
        <v>14236</v>
      </c>
    </row>
    <row r="6160" spans="4:4" x14ac:dyDescent="0.25">
      <c r="D6160" t="s">
        <v>14237</v>
      </c>
    </row>
    <row r="6161" spans="4:4" x14ac:dyDescent="0.25">
      <c r="D6161" t="s">
        <v>14238</v>
      </c>
    </row>
    <row r="6162" spans="4:4" x14ac:dyDescent="0.25">
      <c r="D6162" t="s">
        <v>14239</v>
      </c>
    </row>
    <row r="6163" spans="4:4" x14ac:dyDescent="0.25">
      <c r="D6163" t="s">
        <v>14240</v>
      </c>
    </row>
    <row r="6164" spans="4:4" x14ac:dyDescent="0.25">
      <c r="D6164" t="s">
        <v>14241</v>
      </c>
    </row>
    <row r="6165" spans="4:4" x14ac:dyDescent="0.25">
      <c r="D6165" t="s">
        <v>14242</v>
      </c>
    </row>
    <row r="6166" spans="4:4" x14ac:dyDescent="0.25">
      <c r="D6166" t="s">
        <v>14243</v>
      </c>
    </row>
    <row r="6167" spans="4:4" x14ac:dyDescent="0.25">
      <c r="D6167" t="s">
        <v>14244</v>
      </c>
    </row>
    <row r="6168" spans="4:4" x14ac:dyDescent="0.25">
      <c r="D6168" t="s">
        <v>14245</v>
      </c>
    </row>
    <row r="6169" spans="4:4" x14ac:dyDescent="0.25">
      <c r="D6169" t="s">
        <v>14246</v>
      </c>
    </row>
    <row r="6170" spans="4:4" x14ac:dyDescent="0.25">
      <c r="D6170" t="s">
        <v>14247</v>
      </c>
    </row>
    <row r="6171" spans="4:4" x14ac:dyDescent="0.25">
      <c r="D6171" t="s">
        <v>14248</v>
      </c>
    </row>
    <row r="6172" spans="4:4" x14ac:dyDescent="0.25">
      <c r="D6172" t="s">
        <v>14249</v>
      </c>
    </row>
    <row r="6173" spans="4:4" x14ac:dyDescent="0.25">
      <c r="D6173" t="s">
        <v>14250</v>
      </c>
    </row>
    <row r="6174" spans="4:4" x14ac:dyDescent="0.25">
      <c r="D6174" t="s">
        <v>14251</v>
      </c>
    </row>
    <row r="6175" spans="4:4" x14ac:dyDescent="0.25">
      <c r="D6175" t="s">
        <v>14252</v>
      </c>
    </row>
    <row r="6176" spans="4:4" x14ac:dyDescent="0.25">
      <c r="D6176" t="s">
        <v>14253</v>
      </c>
    </row>
    <row r="6177" spans="4:4" x14ac:dyDescent="0.25">
      <c r="D6177" t="s">
        <v>14254</v>
      </c>
    </row>
    <row r="6178" spans="4:4" x14ac:dyDescent="0.25">
      <c r="D6178" t="s">
        <v>14255</v>
      </c>
    </row>
    <row r="6179" spans="4:4" x14ac:dyDescent="0.25">
      <c r="D6179" t="s">
        <v>14256</v>
      </c>
    </row>
    <row r="6180" spans="4:4" x14ac:dyDescent="0.25">
      <c r="D6180" t="s">
        <v>14257</v>
      </c>
    </row>
    <row r="6181" spans="4:4" x14ac:dyDescent="0.25">
      <c r="D6181" t="s">
        <v>14258</v>
      </c>
    </row>
    <row r="6182" spans="4:4" x14ac:dyDescent="0.25">
      <c r="D6182" t="s">
        <v>14259</v>
      </c>
    </row>
    <row r="6183" spans="4:4" x14ac:dyDescent="0.25">
      <c r="D6183" t="s">
        <v>14260</v>
      </c>
    </row>
    <row r="6184" spans="4:4" x14ac:dyDescent="0.25">
      <c r="D6184" t="s">
        <v>14261</v>
      </c>
    </row>
    <row r="6185" spans="4:4" x14ac:dyDescent="0.25">
      <c r="D6185" t="s">
        <v>14262</v>
      </c>
    </row>
    <row r="6186" spans="4:4" x14ac:dyDescent="0.25">
      <c r="D6186" t="s">
        <v>14263</v>
      </c>
    </row>
    <row r="6187" spans="4:4" x14ac:dyDescent="0.25">
      <c r="D6187" t="s">
        <v>14264</v>
      </c>
    </row>
    <row r="6188" spans="4:4" x14ac:dyDescent="0.25">
      <c r="D6188" t="s">
        <v>14265</v>
      </c>
    </row>
    <row r="6189" spans="4:4" x14ac:dyDescent="0.25">
      <c r="D6189" t="s">
        <v>14266</v>
      </c>
    </row>
    <row r="6190" spans="4:4" x14ac:dyDescent="0.25">
      <c r="D6190" t="s">
        <v>14267</v>
      </c>
    </row>
    <row r="6191" spans="4:4" x14ac:dyDescent="0.25">
      <c r="D6191" t="s">
        <v>14268</v>
      </c>
    </row>
    <row r="6192" spans="4:4" x14ac:dyDescent="0.25">
      <c r="D6192" t="s">
        <v>14269</v>
      </c>
    </row>
    <row r="6193" spans="4:4" x14ac:dyDescent="0.25">
      <c r="D6193" t="s">
        <v>14270</v>
      </c>
    </row>
    <row r="6194" spans="4:4" x14ac:dyDescent="0.25">
      <c r="D6194" t="s">
        <v>14271</v>
      </c>
    </row>
    <row r="6195" spans="4:4" x14ac:dyDescent="0.25">
      <c r="D6195" t="s">
        <v>14272</v>
      </c>
    </row>
    <row r="6196" spans="4:4" x14ac:dyDescent="0.25">
      <c r="D6196" t="s">
        <v>14273</v>
      </c>
    </row>
    <row r="6197" spans="4:4" x14ac:dyDescent="0.25">
      <c r="D6197" t="s">
        <v>14274</v>
      </c>
    </row>
    <row r="6198" spans="4:4" x14ac:dyDescent="0.25">
      <c r="D6198" t="s">
        <v>14275</v>
      </c>
    </row>
    <row r="6199" spans="4:4" x14ac:dyDescent="0.25">
      <c r="D6199" t="s">
        <v>14276</v>
      </c>
    </row>
    <row r="6200" spans="4:4" x14ac:dyDescent="0.25">
      <c r="D6200" t="s">
        <v>14277</v>
      </c>
    </row>
    <row r="6201" spans="4:4" x14ac:dyDescent="0.25">
      <c r="D6201" t="s">
        <v>14278</v>
      </c>
    </row>
    <row r="6202" spans="4:4" x14ac:dyDescent="0.25">
      <c r="D6202" t="s">
        <v>14279</v>
      </c>
    </row>
    <row r="6203" spans="4:4" x14ac:dyDescent="0.25">
      <c r="D6203" t="s">
        <v>14280</v>
      </c>
    </row>
    <row r="6204" spans="4:4" x14ac:dyDescent="0.25">
      <c r="D6204" t="s">
        <v>14281</v>
      </c>
    </row>
    <row r="6205" spans="4:4" x14ac:dyDescent="0.25">
      <c r="D6205" t="s">
        <v>14282</v>
      </c>
    </row>
    <row r="6206" spans="4:4" x14ac:dyDescent="0.25">
      <c r="D6206" t="s">
        <v>14283</v>
      </c>
    </row>
    <row r="6207" spans="4:4" x14ac:dyDescent="0.25">
      <c r="D6207" t="s">
        <v>14284</v>
      </c>
    </row>
    <row r="6208" spans="4:4" x14ac:dyDescent="0.25">
      <c r="D6208" t="s">
        <v>14285</v>
      </c>
    </row>
    <row r="6209" spans="4:4" x14ac:dyDescent="0.25">
      <c r="D6209" t="s">
        <v>14286</v>
      </c>
    </row>
    <row r="6210" spans="4:4" x14ac:dyDescent="0.25">
      <c r="D6210" t="s">
        <v>14287</v>
      </c>
    </row>
    <row r="6211" spans="4:4" x14ac:dyDescent="0.25">
      <c r="D6211" t="s">
        <v>14288</v>
      </c>
    </row>
    <row r="6212" spans="4:4" x14ac:dyDescent="0.25">
      <c r="D6212" t="s">
        <v>14289</v>
      </c>
    </row>
    <row r="6213" spans="4:4" x14ac:dyDescent="0.25">
      <c r="D6213" t="s">
        <v>14290</v>
      </c>
    </row>
    <row r="6214" spans="4:4" x14ac:dyDescent="0.25">
      <c r="D6214" t="s">
        <v>14291</v>
      </c>
    </row>
    <row r="6215" spans="4:4" x14ac:dyDescent="0.25">
      <c r="D6215" t="s">
        <v>14292</v>
      </c>
    </row>
    <row r="6216" spans="4:4" x14ac:dyDescent="0.25">
      <c r="D6216" t="s">
        <v>14293</v>
      </c>
    </row>
    <row r="6217" spans="4:4" x14ac:dyDescent="0.25">
      <c r="D6217" t="s">
        <v>14294</v>
      </c>
    </row>
    <row r="6218" spans="4:4" x14ac:dyDescent="0.25">
      <c r="D6218" t="s">
        <v>14295</v>
      </c>
    </row>
    <row r="6219" spans="4:4" x14ac:dyDescent="0.25">
      <c r="D6219" t="s">
        <v>14296</v>
      </c>
    </row>
    <row r="6220" spans="4:4" x14ac:dyDescent="0.25">
      <c r="D6220" t="s">
        <v>14297</v>
      </c>
    </row>
    <row r="6221" spans="4:4" x14ac:dyDescent="0.25">
      <c r="D6221" t="s">
        <v>14298</v>
      </c>
    </row>
    <row r="6222" spans="4:4" x14ac:dyDescent="0.25">
      <c r="D6222" t="s">
        <v>14299</v>
      </c>
    </row>
    <row r="6223" spans="4:4" x14ac:dyDescent="0.25">
      <c r="D6223" t="s">
        <v>14300</v>
      </c>
    </row>
    <row r="6224" spans="4:4" x14ac:dyDescent="0.25">
      <c r="D6224" t="s">
        <v>14301</v>
      </c>
    </row>
    <row r="6225" spans="4:4" x14ac:dyDescent="0.25">
      <c r="D6225" t="s">
        <v>14302</v>
      </c>
    </row>
    <row r="6226" spans="4:4" x14ac:dyDescent="0.25">
      <c r="D6226" t="s">
        <v>14303</v>
      </c>
    </row>
    <row r="6227" spans="4:4" x14ac:dyDescent="0.25">
      <c r="D6227" t="s">
        <v>14304</v>
      </c>
    </row>
    <row r="6228" spans="4:4" x14ac:dyDescent="0.25">
      <c r="D6228" t="s">
        <v>14305</v>
      </c>
    </row>
    <row r="6229" spans="4:4" x14ac:dyDescent="0.25">
      <c r="D6229" t="s">
        <v>14306</v>
      </c>
    </row>
    <row r="6230" spans="4:4" x14ac:dyDescent="0.25">
      <c r="D6230" t="s">
        <v>14307</v>
      </c>
    </row>
    <row r="6231" spans="4:4" x14ac:dyDescent="0.25">
      <c r="D6231" t="s">
        <v>14308</v>
      </c>
    </row>
    <row r="6232" spans="4:4" x14ac:dyDescent="0.25">
      <c r="D6232" t="s">
        <v>14309</v>
      </c>
    </row>
    <row r="6233" spans="4:4" x14ac:dyDescent="0.25">
      <c r="D6233" t="s">
        <v>14310</v>
      </c>
    </row>
    <row r="6234" spans="4:4" x14ac:dyDescent="0.25">
      <c r="D6234" t="s">
        <v>14311</v>
      </c>
    </row>
    <row r="6235" spans="4:4" x14ac:dyDescent="0.25">
      <c r="D6235" t="s">
        <v>14312</v>
      </c>
    </row>
    <row r="6236" spans="4:4" x14ac:dyDescent="0.25">
      <c r="D6236" t="s">
        <v>14313</v>
      </c>
    </row>
    <row r="6237" spans="4:4" x14ac:dyDescent="0.25">
      <c r="D6237" t="s">
        <v>14314</v>
      </c>
    </row>
    <row r="6238" spans="4:4" x14ac:dyDescent="0.25">
      <c r="D6238" t="s">
        <v>14315</v>
      </c>
    </row>
    <row r="6239" spans="4:4" x14ac:dyDescent="0.25">
      <c r="D6239" t="s">
        <v>14316</v>
      </c>
    </row>
    <row r="6240" spans="4:4" x14ac:dyDescent="0.25">
      <c r="D6240" t="s">
        <v>14317</v>
      </c>
    </row>
    <row r="6241" spans="4:4" x14ac:dyDescent="0.25">
      <c r="D6241" t="s">
        <v>14318</v>
      </c>
    </row>
    <row r="6242" spans="4:4" x14ac:dyDescent="0.25">
      <c r="D6242" t="s">
        <v>14319</v>
      </c>
    </row>
    <row r="6243" spans="4:4" x14ac:dyDescent="0.25">
      <c r="D6243" t="s">
        <v>14320</v>
      </c>
    </row>
    <row r="6244" spans="4:4" x14ac:dyDescent="0.25">
      <c r="D6244" t="s">
        <v>14321</v>
      </c>
    </row>
    <row r="6245" spans="4:4" x14ac:dyDescent="0.25">
      <c r="D6245" t="s">
        <v>14322</v>
      </c>
    </row>
    <row r="6246" spans="4:4" x14ac:dyDescent="0.25">
      <c r="D6246" t="s">
        <v>14323</v>
      </c>
    </row>
    <row r="6247" spans="4:4" x14ac:dyDescent="0.25">
      <c r="D6247" t="s">
        <v>14324</v>
      </c>
    </row>
    <row r="6248" spans="4:4" x14ac:dyDescent="0.25">
      <c r="D6248" t="s">
        <v>14325</v>
      </c>
    </row>
    <row r="6249" spans="4:4" x14ac:dyDescent="0.25">
      <c r="D6249" t="s">
        <v>14326</v>
      </c>
    </row>
    <row r="6250" spans="4:4" x14ac:dyDescent="0.25">
      <c r="D6250" t="s">
        <v>14327</v>
      </c>
    </row>
    <row r="6251" spans="4:4" x14ac:dyDescent="0.25">
      <c r="D6251" t="s">
        <v>14328</v>
      </c>
    </row>
    <row r="6252" spans="4:4" x14ac:dyDescent="0.25">
      <c r="D6252" t="s">
        <v>14329</v>
      </c>
    </row>
    <row r="6253" spans="4:4" x14ac:dyDescent="0.25">
      <c r="D6253" t="s">
        <v>14330</v>
      </c>
    </row>
    <row r="6254" spans="4:4" x14ac:dyDescent="0.25">
      <c r="D6254" t="s">
        <v>14331</v>
      </c>
    </row>
    <row r="6255" spans="4:4" x14ac:dyDescent="0.25">
      <c r="D6255" t="s">
        <v>14332</v>
      </c>
    </row>
    <row r="6256" spans="4:4" x14ac:dyDescent="0.25">
      <c r="D6256" t="s">
        <v>14333</v>
      </c>
    </row>
    <row r="6257" spans="4:4" x14ac:dyDescent="0.25">
      <c r="D6257" t="s">
        <v>14334</v>
      </c>
    </row>
    <row r="6258" spans="4:4" x14ac:dyDescent="0.25">
      <c r="D6258" t="s">
        <v>14335</v>
      </c>
    </row>
    <row r="6259" spans="4:4" x14ac:dyDescent="0.25">
      <c r="D6259" t="s">
        <v>14336</v>
      </c>
    </row>
    <row r="6260" spans="4:4" x14ac:dyDescent="0.25">
      <c r="D6260" t="s">
        <v>14337</v>
      </c>
    </row>
    <row r="6261" spans="4:4" x14ac:dyDescent="0.25">
      <c r="D6261" t="s">
        <v>14338</v>
      </c>
    </row>
    <row r="6262" spans="4:4" x14ac:dyDescent="0.25">
      <c r="D6262" t="s">
        <v>14339</v>
      </c>
    </row>
    <row r="6263" spans="4:4" x14ac:dyDescent="0.25">
      <c r="D6263" t="s">
        <v>14340</v>
      </c>
    </row>
    <row r="6264" spans="4:4" x14ac:dyDescent="0.25">
      <c r="D6264" t="s">
        <v>14341</v>
      </c>
    </row>
    <row r="6265" spans="4:4" x14ac:dyDescent="0.25">
      <c r="D6265" t="s">
        <v>14342</v>
      </c>
    </row>
    <row r="6266" spans="4:4" x14ac:dyDescent="0.25">
      <c r="D6266" t="s">
        <v>14343</v>
      </c>
    </row>
    <row r="6267" spans="4:4" x14ac:dyDescent="0.25">
      <c r="D6267" t="s">
        <v>14344</v>
      </c>
    </row>
    <row r="6268" spans="4:4" x14ac:dyDescent="0.25">
      <c r="D6268" t="s">
        <v>14345</v>
      </c>
    </row>
    <row r="6269" spans="4:4" x14ac:dyDescent="0.25">
      <c r="D6269" t="s">
        <v>14346</v>
      </c>
    </row>
    <row r="6270" spans="4:4" x14ac:dyDescent="0.25">
      <c r="D6270" t="s">
        <v>14347</v>
      </c>
    </row>
    <row r="6271" spans="4:4" x14ac:dyDescent="0.25">
      <c r="D6271" t="s">
        <v>14348</v>
      </c>
    </row>
    <row r="6272" spans="4:4" x14ac:dyDescent="0.25">
      <c r="D6272" t="s">
        <v>14349</v>
      </c>
    </row>
    <row r="6273" spans="4:4" x14ac:dyDescent="0.25">
      <c r="D6273" t="s">
        <v>14350</v>
      </c>
    </row>
    <row r="6274" spans="4:4" x14ac:dyDescent="0.25">
      <c r="D6274" t="s">
        <v>14351</v>
      </c>
    </row>
    <row r="6275" spans="4:4" x14ac:dyDescent="0.25">
      <c r="D6275" t="s">
        <v>14352</v>
      </c>
    </row>
    <row r="6276" spans="4:4" x14ac:dyDescent="0.25">
      <c r="D6276" t="s">
        <v>14353</v>
      </c>
    </row>
    <row r="6277" spans="4:4" x14ac:dyDescent="0.25">
      <c r="D6277" t="s">
        <v>14354</v>
      </c>
    </row>
    <row r="6278" spans="4:4" x14ac:dyDescent="0.25">
      <c r="D6278" t="s">
        <v>14355</v>
      </c>
    </row>
    <row r="6279" spans="4:4" x14ac:dyDescent="0.25">
      <c r="D6279" t="s">
        <v>14356</v>
      </c>
    </row>
    <row r="6280" spans="4:4" x14ac:dyDescent="0.25">
      <c r="D6280" t="s">
        <v>14357</v>
      </c>
    </row>
    <row r="6281" spans="4:4" x14ac:dyDescent="0.25">
      <c r="D6281" t="s">
        <v>14358</v>
      </c>
    </row>
    <row r="6282" spans="4:4" x14ac:dyDescent="0.25">
      <c r="D6282" t="s">
        <v>14359</v>
      </c>
    </row>
    <row r="6283" spans="4:4" x14ac:dyDescent="0.25">
      <c r="D6283" t="s">
        <v>14360</v>
      </c>
    </row>
    <row r="6284" spans="4:4" x14ac:dyDescent="0.25">
      <c r="D6284" t="s">
        <v>14361</v>
      </c>
    </row>
    <row r="6285" spans="4:4" x14ac:dyDescent="0.25">
      <c r="D6285" t="s">
        <v>14362</v>
      </c>
    </row>
    <row r="6286" spans="4:4" x14ac:dyDescent="0.25">
      <c r="D6286" t="s">
        <v>14363</v>
      </c>
    </row>
    <row r="6287" spans="4:4" x14ac:dyDescent="0.25">
      <c r="D6287" t="s">
        <v>14364</v>
      </c>
    </row>
    <row r="6288" spans="4:4" x14ac:dyDescent="0.25">
      <c r="D6288" t="s">
        <v>14365</v>
      </c>
    </row>
    <row r="6289" spans="4:4" x14ac:dyDescent="0.25">
      <c r="D6289" t="s">
        <v>14366</v>
      </c>
    </row>
    <row r="6290" spans="4:4" x14ac:dyDescent="0.25">
      <c r="D6290" t="s">
        <v>14367</v>
      </c>
    </row>
    <row r="6291" spans="4:4" x14ac:dyDescent="0.25">
      <c r="D6291" t="s">
        <v>14368</v>
      </c>
    </row>
    <row r="6292" spans="4:4" x14ac:dyDescent="0.25">
      <c r="D6292" t="s">
        <v>14369</v>
      </c>
    </row>
    <row r="6293" spans="4:4" x14ac:dyDescent="0.25">
      <c r="D6293" t="s">
        <v>14370</v>
      </c>
    </row>
    <row r="6294" spans="4:4" x14ac:dyDescent="0.25">
      <c r="D6294" t="s">
        <v>14371</v>
      </c>
    </row>
    <row r="6295" spans="4:4" x14ac:dyDescent="0.25">
      <c r="D6295" t="s">
        <v>14372</v>
      </c>
    </row>
    <row r="6296" spans="4:4" x14ac:dyDescent="0.25">
      <c r="D6296" t="s">
        <v>14373</v>
      </c>
    </row>
    <row r="6297" spans="4:4" x14ac:dyDescent="0.25">
      <c r="D6297" t="s">
        <v>14374</v>
      </c>
    </row>
    <row r="6298" spans="4:4" x14ac:dyDescent="0.25">
      <c r="D6298" t="s">
        <v>14375</v>
      </c>
    </row>
    <row r="6299" spans="4:4" x14ac:dyDescent="0.25">
      <c r="D6299" t="s">
        <v>14376</v>
      </c>
    </row>
    <row r="6300" spans="4:4" x14ac:dyDescent="0.25">
      <c r="D6300" t="s">
        <v>14377</v>
      </c>
    </row>
    <row r="6301" spans="4:4" x14ac:dyDescent="0.25">
      <c r="D6301" t="s">
        <v>14378</v>
      </c>
    </row>
    <row r="6302" spans="4:4" x14ac:dyDescent="0.25">
      <c r="D6302" t="s">
        <v>14379</v>
      </c>
    </row>
    <row r="6303" spans="4:4" x14ac:dyDescent="0.25">
      <c r="D6303" t="s">
        <v>14380</v>
      </c>
    </row>
    <row r="6304" spans="4:4" x14ac:dyDescent="0.25">
      <c r="D6304" t="s">
        <v>14381</v>
      </c>
    </row>
    <row r="6305" spans="4:4" x14ac:dyDescent="0.25">
      <c r="D6305" t="s">
        <v>14382</v>
      </c>
    </row>
    <row r="6306" spans="4:4" x14ac:dyDescent="0.25">
      <c r="D6306" t="s">
        <v>14383</v>
      </c>
    </row>
    <row r="6307" spans="4:4" x14ac:dyDescent="0.25">
      <c r="D6307" t="s">
        <v>14384</v>
      </c>
    </row>
    <row r="6308" spans="4:4" x14ac:dyDescent="0.25">
      <c r="D6308" t="s">
        <v>14385</v>
      </c>
    </row>
    <row r="6309" spans="4:4" x14ac:dyDescent="0.25">
      <c r="D6309" t="s">
        <v>14386</v>
      </c>
    </row>
    <row r="6310" spans="4:4" x14ac:dyDescent="0.25">
      <c r="D6310" t="s">
        <v>14387</v>
      </c>
    </row>
    <row r="6311" spans="4:4" x14ac:dyDescent="0.25">
      <c r="D6311" t="s">
        <v>14388</v>
      </c>
    </row>
    <row r="6312" spans="4:4" x14ac:dyDescent="0.25">
      <c r="D6312" t="s">
        <v>14389</v>
      </c>
    </row>
    <row r="6313" spans="4:4" x14ac:dyDescent="0.25">
      <c r="D6313" t="s">
        <v>14390</v>
      </c>
    </row>
    <row r="6314" spans="4:4" x14ac:dyDescent="0.25">
      <c r="D6314" t="s">
        <v>14391</v>
      </c>
    </row>
    <row r="6315" spans="4:4" x14ac:dyDescent="0.25">
      <c r="D6315" t="s">
        <v>14392</v>
      </c>
    </row>
    <row r="6316" spans="4:4" x14ac:dyDescent="0.25">
      <c r="D6316" t="s">
        <v>14393</v>
      </c>
    </row>
    <row r="6317" spans="4:4" x14ac:dyDescent="0.25">
      <c r="D6317" t="s">
        <v>14394</v>
      </c>
    </row>
    <row r="6318" spans="4:4" x14ac:dyDescent="0.25">
      <c r="D6318" t="s">
        <v>14395</v>
      </c>
    </row>
    <row r="6319" spans="4:4" x14ac:dyDescent="0.25">
      <c r="D6319" t="s">
        <v>14396</v>
      </c>
    </row>
    <row r="6320" spans="4:4" x14ac:dyDescent="0.25">
      <c r="D6320" t="s">
        <v>14397</v>
      </c>
    </row>
    <row r="6321" spans="4:4" x14ac:dyDescent="0.25">
      <c r="D6321" t="s">
        <v>14398</v>
      </c>
    </row>
    <row r="6322" spans="4:4" x14ac:dyDescent="0.25">
      <c r="D6322" t="s">
        <v>14399</v>
      </c>
    </row>
    <row r="6323" spans="4:4" x14ac:dyDescent="0.25">
      <c r="D6323" t="s">
        <v>14400</v>
      </c>
    </row>
    <row r="6324" spans="4:4" x14ac:dyDescent="0.25">
      <c r="D6324" t="s">
        <v>14401</v>
      </c>
    </row>
    <row r="6325" spans="4:4" x14ac:dyDescent="0.25">
      <c r="D6325" t="s">
        <v>14402</v>
      </c>
    </row>
    <row r="6326" spans="4:4" x14ac:dyDescent="0.25">
      <c r="D6326" t="s">
        <v>14403</v>
      </c>
    </row>
    <row r="6327" spans="4:4" x14ac:dyDescent="0.25">
      <c r="D6327" t="s">
        <v>14404</v>
      </c>
    </row>
    <row r="6328" spans="4:4" x14ac:dyDescent="0.25">
      <c r="D6328" t="s">
        <v>14405</v>
      </c>
    </row>
    <row r="6329" spans="4:4" x14ac:dyDescent="0.25">
      <c r="D6329" t="s">
        <v>14406</v>
      </c>
    </row>
    <row r="6330" spans="4:4" x14ac:dyDescent="0.25">
      <c r="D6330" t="s">
        <v>14407</v>
      </c>
    </row>
    <row r="6331" spans="4:4" x14ac:dyDescent="0.25">
      <c r="D6331" t="s">
        <v>14408</v>
      </c>
    </row>
    <row r="6332" spans="4:4" x14ac:dyDescent="0.25">
      <c r="D6332" t="s">
        <v>14409</v>
      </c>
    </row>
    <row r="6333" spans="4:4" x14ac:dyDescent="0.25">
      <c r="D6333" t="s">
        <v>14410</v>
      </c>
    </row>
    <row r="6334" spans="4:4" x14ac:dyDescent="0.25">
      <c r="D6334" t="s">
        <v>14411</v>
      </c>
    </row>
    <row r="6335" spans="4:4" x14ac:dyDescent="0.25">
      <c r="D6335" t="s">
        <v>14412</v>
      </c>
    </row>
    <row r="6336" spans="4:4" x14ac:dyDescent="0.25">
      <c r="D6336" t="s">
        <v>14413</v>
      </c>
    </row>
    <row r="6337" spans="4:4" x14ac:dyDescent="0.25">
      <c r="D6337" t="s">
        <v>14414</v>
      </c>
    </row>
    <row r="6338" spans="4:4" x14ac:dyDescent="0.25">
      <c r="D6338" t="s">
        <v>14415</v>
      </c>
    </row>
    <row r="6339" spans="4:4" x14ac:dyDescent="0.25">
      <c r="D6339" t="s">
        <v>14416</v>
      </c>
    </row>
    <row r="6340" spans="4:4" x14ac:dyDescent="0.25">
      <c r="D6340" t="s">
        <v>14417</v>
      </c>
    </row>
    <row r="6341" spans="4:4" x14ac:dyDescent="0.25">
      <c r="D6341" t="s">
        <v>14418</v>
      </c>
    </row>
    <row r="6342" spans="4:4" x14ac:dyDescent="0.25">
      <c r="D6342" t="s">
        <v>14419</v>
      </c>
    </row>
    <row r="6343" spans="4:4" x14ac:dyDescent="0.25">
      <c r="D6343" t="s">
        <v>14420</v>
      </c>
    </row>
    <row r="6344" spans="4:4" x14ac:dyDescent="0.25">
      <c r="D6344" t="s">
        <v>14421</v>
      </c>
    </row>
    <row r="6345" spans="4:4" x14ac:dyDescent="0.25">
      <c r="D6345" t="s">
        <v>14422</v>
      </c>
    </row>
    <row r="6346" spans="4:4" x14ac:dyDescent="0.25">
      <c r="D6346" t="s">
        <v>14423</v>
      </c>
    </row>
    <row r="6347" spans="4:4" x14ac:dyDescent="0.25">
      <c r="D6347" t="s">
        <v>14424</v>
      </c>
    </row>
    <row r="6348" spans="4:4" x14ac:dyDescent="0.25">
      <c r="D6348" t="s">
        <v>14425</v>
      </c>
    </row>
    <row r="6349" spans="4:4" x14ac:dyDescent="0.25">
      <c r="D6349" t="s">
        <v>14426</v>
      </c>
    </row>
    <row r="6350" spans="4:4" x14ac:dyDescent="0.25">
      <c r="D6350" t="s">
        <v>14427</v>
      </c>
    </row>
    <row r="6351" spans="4:4" x14ac:dyDescent="0.25">
      <c r="D6351" t="s">
        <v>14428</v>
      </c>
    </row>
    <row r="6352" spans="4:4" x14ac:dyDescent="0.25">
      <c r="D6352" t="s">
        <v>14429</v>
      </c>
    </row>
    <row r="6353" spans="4:4" x14ac:dyDescent="0.25">
      <c r="D6353" t="s">
        <v>14430</v>
      </c>
    </row>
    <row r="6354" spans="4:4" x14ac:dyDescent="0.25">
      <c r="D6354" t="s">
        <v>14431</v>
      </c>
    </row>
    <row r="6355" spans="4:4" x14ac:dyDescent="0.25">
      <c r="D6355" t="s">
        <v>14432</v>
      </c>
    </row>
    <row r="6356" spans="4:4" x14ac:dyDescent="0.25">
      <c r="D6356" t="s">
        <v>14433</v>
      </c>
    </row>
    <row r="6357" spans="4:4" x14ac:dyDescent="0.25">
      <c r="D6357" t="s">
        <v>14434</v>
      </c>
    </row>
    <row r="6358" spans="4:4" x14ac:dyDescent="0.25">
      <c r="D6358" t="s">
        <v>14435</v>
      </c>
    </row>
    <row r="6359" spans="4:4" x14ac:dyDescent="0.25">
      <c r="D6359" t="s">
        <v>14436</v>
      </c>
    </row>
    <row r="6360" spans="4:4" x14ac:dyDescent="0.25">
      <c r="D6360" t="s">
        <v>14437</v>
      </c>
    </row>
    <row r="6361" spans="4:4" x14ac:dyDescent="0.25">
      <c r="D6361" t="s">
        <v>14438</v>
      </c>
    </row>
    <row r="6362" spans="4:4" x14ac:dyDescent="0.25">
      <c r="D6362" t="s">
        <v>14439</v>
      </c>
    </row>
    <row r="6363" spans="4:4" x14ac:dyDescent="0.25">
      <c r="D6363" t="s">
        <v>14440</v>
      </c>
    </row>
    <row r="6364" spans="4:4" x14ac:dyDescent="0.25">
      <c r="D6364" t="s">
        <v>14441</v>
      </c>
    </row>
    <row r="6365" spans="4:4" x14ac:dyDescent="0.25">
      <c r="D6365" t="s">
        <v>14442</v>
      </c>
    </row>
    <row r="6366" spans="4:4" x14ac:dyDescent="0.25">
      <c r="D6366" t="s">
        <v>14443</v>
      </c>
    </row>
    <row r="6367" spans="4:4" x14ac:dyDescent="0.25">
      <c r="D6367" t="s">
        <v>14444</v>
      </c>
    </row>
    <row r="6368" spans="4:4" x14ac:dyDescent="0.25">
      <c r="D6368" t="s">
        <v>14445</v>
      </c>
    </row>
    <row r="6369" spans="4:4" x14ac:dyDescent="0.25">
      <c r="D6369" t="s">
        <v>14446</v>
      </c>
    </row>
    <row r="6370" spans="4:4" x14ac:dyDescent="0.25">
      <c r="D6370" t="s">
        <v>14447</v>
      </c>
    </row>
    <row r="6371" spans="4:4" x14ac:dyDescent="0.25">
      <c r="D6371" t="s">
        <v>14448</v>
      </c>
    </row>
    <row r="6372" spans="4:4" x14ac:dyDescent="0.25">
      <c r="D6372" t="s">
        <v>14449</v>
      </c>
    </row>
    <row r="6373" spans="4:4" x14ac:dyDescent="0.25">
      <c r="D6373" t="s">
        <v>14450</v>
      </c>
    </row>
    <row r="6374" spans="4:4" x14ac:dyDescent="0.25">
      <c r="D6374" t="s">
        <v>14451</v>
      </c>
    </row>
    <row r="6375" spans="4:4" x14ac:dyDescent="0.25">
      <c r="D6375" t="s">
        <v>14452</v>
      </c>
    </row>
    <row r="6376" spans="4:4" x14ac:dyDescent="0.25">
      <c r="D6376" t="s">
        <v>14453</v>
      </c>
    </row>
    <row r="6377" spans="4:4" x14ac:dyDescent="0.25">
      <c r="D6377" t="s">
        <v>14454</v>
      </c>
    </row>
    <row r="6378" spans="4:4" x14ac:dyDescent="0.25">
      <c r="D6378" t="s">
        <v>14455</v>
      </c>
    </row>
    <row r="6379" spans="4:4" x14ac:dyDescent="0.25">
      <c r="D6379" t="s">
        <v>14456</v>
      </c>
    </row>
    <row r="6380" spans="4:4" x14ac:dyDescent="0.25">
      <c r="D6380" t="s">
        <v>14457</v>
      </c>
    </row>
    <row r="6381" spans="4:4" x14ac:dyDescent="0.25">
      <c r="D6381" t="s">
        <v>14458</v>
      </c>
    </row>
    <row r="6382" spans="4:4" x14ac:dyDescent="0.25">
      <c r="D6382" t="s">
        <v>14459</v>
      </c>
    </row>
    <row r="6383" spans="4:4" x14ac:dyDescent="0.25">
      <c r="D6383" t="s">
        <v>14460</v>
      </c>
    </row>
    <row r="6384" spans="4:4" x14ac:dyDescent="0.25">
      <c r="D6384" t="s">
        <v>14461</v>
      </c>
    </row>
    <row r="6385" spans="4:4" x14ac:dyDescent="0.25">
      <c r="D6385" t="s">
        <v>14462</v>
      </c>
    </row>
    <row r="6386" spans="4:4" x14ac:dyDescent="0.25">
      <c r="D6386" t="s">
        <v>14463</v>
      </c>
    </row>
    <row r="6387" spans="4:4" x14ac:dyDescent="0.25">
      <c r="D6387" t="s">
        <v>14464</v>
      </c>
    </row>
    <row r="6388" spans="4:4" x14ac:dyDescent="0.25">
      <c r="D6388" t="s">
        <v>14465</v>
      </c>
    </row>
    <row r="6389" spans="4:4" x14ac:dyDescent="0.25">
      <c r="D6389" t="s">
        <v>14466</v>
      </c>
    </row>
    <row r="6390" spans="4:4" x14ac:dyDescent="0.25">
      <c r="D6390" t="s">
        <v>14467</v>
      </c>
    </row>
    <row r="6391" spans="4:4" x14ac:dyDescent="0.25">
      <c r="D6391" t="s">
        <v>14468</v>
      </c>
    </row>
    <row r="6392" spans="4:4" x14ac:dyDescent="0.25">
      <c r="D6392" t="s">
        <v>14469</v>
      </c>
    </row>
    <row r="6393" spans="4:4" x14ac:dyDescent="0.25">
      <c r="D6393" t="s">
        <v>14470</v>
      </c>
    </row>
    <row r="6394" spans="4:4" x14ac:dyDescent="0.25">
      <c r="D6394" t="s">
        <v>14471</v>
      </c>
    </row>
    <row r="6395" spans="4:4" x14ac:dyDescent="0.25">
      <c r="D6395" t="s">
        <v>14472</v>
      </c>
    </row>
    <row r="6396" spans="4:4" x14ac:dyDescent="0.25">
      <c r="D6396" t="s">
        <v>14473</v>
      </c>
    </row>
    <row r="6397" spans="4:4" x14ac:dyDescent="0.25">
      <c r="D6397" t="s">
        <v>14474</v>
      </c>
    </row>
    <row r="6398" spans="4:4" x14ac:dyDescent="0.25">
      <c r="D6398" t="s">
        <v>14475</v>
      </c>
    </row>
    <row r="6399" spans="4:4" x14ac:dyDescent="0.25">
      <c r="D6399" t="s">
        <v>14476</v>
      </c>
    </row>
    <row r="6400" spans="4:4" x14ac:dyDescent="0.25">
      <c r="D6400" t="s">
        <v>14477</v>
      </c>
    </row>
    <row r="6401" spans="4:4" x14ac:dyDescent="0.25">
      <c r="D6401" t="s">
        <v>14478</v>
      </c>
    </row>
    <row r="6402" spans="4:4" x14ac:dyDescent="0.25">
      <c r="D6402" t="s">
        <v>14479</v>
      </c>
    </row>
    <row r="6403" spans="4:4" x14ac:dyDescent="0.25">
      <c r="D6403" t="s">
        <v>14480</v>
      </c>
    </row>
    <row r="6404" spans="4:4" x14ac:dyDescent="0.25">
      <c r="D6404" t="s">
        <v>14481</v>
      </c>
    </row>
    <row r="6405" spans="4:4" x14ac:dyDescent="0.25">
      <c r="D6405" t="s">
        <v>14482</v>
      </c>
    </row>
    <row r="6406" spans="4:4" x14ac:dyDescent="0.25">
      <c r="D6406" t="s">
        <v>14483</v>
      </c>
    </row>
    <row r="6407" spans="4:4" x14ac:dyDescent="0.25">
      <c r="D6407" t="s">
        <v>14484</v>
      </c>
    </row>
    <row r="6408" spans="4:4" x14ac:dyDescent="0.25">
      <c r="D6408" t="s">
        <v>14485</v>
      </c>
    </row>
    <row r="6409" spans="4:4" x14ac:dyDescent="0.25">
      <c r="D6409" t="s">
        <v>14486</v>
      </c>
    </row>
    <row r="6410" spans="4:4" x14ac:dyDescent="0.25">
      <c r="D6410" t="s">
        <v>14487</v>
      </c>
    </row>
    <row r="6411" spans="4:4" x14ac:dyDescent="0.25">
      <c r="D6411" t="s">
        <v>14488</v>
      </c>
    </row>
    <row r="6412" spans="4:4" x14ac:dyDescent="0.25">
      <c r="D6412" t="s">
        <v>14489</v>
      </c>
    </row>
    <row r="6413" spans="4:4" x14ac:dyDescent="0.25">
      <c r="D6413" t="s">
        <v>14490</v>
      </c>
    </row>
    <row r="6414" spans="4:4" x14ac:dyDescent="0.25">
      <c r="D6414" t="s">
        <v>14491</v>
      </c>
    </row>
    <row r="6415" spans="4:4" x14ac:dyDescent="0.25">
      <c r="D6415" t="s">
        <v>14492</v>
      </c>
    </row>
    <row r="6416" spans="4:4" x14ac:dyDescent="0.25">
      <c r="D6416" t="s">
        <v>14493</v>
      </c>
    </row>
    <row r="6417" spans="4:4" x14ac:dyDescent="0.25">
      <c r="D6417" t="s">
        <v>14494</v>
      </c>
    </row>
    <row r="6418" spans="4:4" x14ac:dyDescent="0.25">
      <c r="D6418" t="s">
        <v>14495</v>
      </c>
    </row>
    <row r="6419" spans="4:4" x14ac:dyDescent="0.25">
      <c r="D6419" t="s">
        <v>14496</v>
      </c>
    </row>
    <row r="6420" spans="4:4" x14ac:dyDescent="0.25">
      <c r="D6420" t="s">
        <v>14497</v>
      </c>
    </row>
    <row r="6421" spans="4:4" x14ac:dyDescent="0.25">
      <c r="D6421" t="s">
        <v>14498</v>
      </c>
    </row>
    <row r="6422" spans="4:4" x14ac:dyDescent="0.25">
      <c r="D6422" t="s">
        <v>14499</v>
      </c>
    </row>
    <row r="6423" spans="4:4" x14ac:dyDescent="0.25">
      <c r="D6423" t="s">
        <v>14500</v>
      </c>
    </row>
    <row r="6424" spans="4:4" x14ac:dyDescent="0.25">
      <c r="D6424" t="s">
        <v>14501</v>
      </c>
    </row>
    <row r="6425" spans="4:4" x14ac:dyDescent="0.25">
      <c r="D6425" t="s">
        <v>14502</v>
      </c>
    </row>
    <row r="6426" spans="4:4" x14ac:dyDescent="0.25">
      <c r="D6426" t="s">
        <v>14503</v>
      </c>
    </row>
    <row r="6427" spans="4:4" x14ac:dyDescent="0.25">
      <c r="D6427" t="s">
        <v>14504</v>
      </c>
    </row>
    <row r="6428" spans="4:4" x14ac:dyDescent="0.25">
      <c r="D6428" t="s">
        <v>14505</v>
      </c>
    </row>
    <row r="6429" spans="4:4" x14ac:dyDescent="0.25">
      <c r="D6429" t="s">
        <v>14506</v>
      </c>
    </row>
    <row r="6430" spans="4:4" x14ac:dyDescent="0.25">
      <c r="D6430" t="s">
        <v>14507</v>
      </c>
    </row>
    <row r="6431" spans="4:4" x14ac:dyDescent="0.25">
      <c r="D6431" t="s">
        <v>14508</v>
      </c>
    </row>
    <row r="6432" spans="4:4" x14ac:dyDescent="0.25">
      <c r="D6432" t="s">
        <v>14509</v>
      </c>
    </row>
    <row r="6433" spans="4:4" x14ac:dyDescent="0.25">
      <c r="D6433" t="s">
        <v>14510</v>
      </c>
    </row>
    <row r="6434" spans="4:4" x14ac:dyDescent="0.25">
      <c r="D6434" t="s">
        <v>14511</v>
      </c>
    </row>
    <row r="6435" spans="4:4" x14ac:dyDescent="0.25">
      <c r="D6435" t="s">
        <v>14512</v>
      </c>
    </row>
    <row r="6436" spans="4:4" x14ac:dyDescent="0.25">
      <c r="D6436" t="s">
        <v>14513</v>
      </c>
    </row>
    <row r="6437" spans="4:4" x14ac:dyDescent="0.25">
      <c r="D6437" t="s">
        <v>14514</v>
      </c>
    </row>
    <row r="6438" spans="4:4" x14ac:dyDescent="0.25">
      <c r="D6438" t="s">
        <v>14515</v>
      </c>
    </row>
    <row r="6439" spans="4:4" x14ac:dyDescent="0.25">
      <c r="D6439" t="s">
        <v>14516</v>
      </c>
    </row>
    <row r="6440" spans="4:4" x14ac:dyDescent="0.25">
      <c r="D6440" t="s">
        <v>14517</v>
      </c>
    </row>
    <row r="6441" spans="4:4" x14ac:dyDescent="0.25">
      <c r="D6441" t="s">
        <v>14518</v>
      </c>
    </row>
    <row r="6442" spans="4:4" x14ac:dyDescent="0.25">
      <c r="D6442" t="s">
        <v>14519</v>
      </c>
    </row>
    <row r="6443" spans="4:4" x14ac:dyDescent="0.25">
      <c r="D6443" t="s">
        <v>14520</v>
      </c>
    </row>
    <row r="6444" spans="4:4" x14ac:dyDescent="0.25">
      <c r="D6444" t="s">
        <v>14521</v>
      </c>
    </row>
    <row r="6445" spans="4:4" x14ac:dyDescent="0.25">
      <c r="D6445" t="s">
        <v>14522</v>
      </c>
    </row>
    <row r="6446" spans="4:4" x14ac:dyDescent="0.25">
      <c r="D6446" t="s">
        <v>14523</v>
      </c>
    </row>
    <row r="6447" spans="4:4" x14ac:dyDescent="0.25">
      <c r="D6447" t="s">
        <v>14524</v>
      </c>
    </row>
    <row r="6448" spans="4:4" x14ac:dyDescent="0.25">
      <c r="D6448" t="s">
        <v>14525</v>
      </c>
    </row>
    <row r="6449" spans="4:4" x14ac:dyDescent="0.25">
      <c r="D6449" t="s">
        <v>14526</v>
      </c>
    </row>
    <row r="6450" spans="4:4" x14ac:dyDescent="0.25">
      <c r="D6450" t="s">
        <v>14527</v>
      </c>
    </row>
    <row r="6451" spans="4:4" x14ac:dyDescent="0.25">
      <c r="D6451" t="s">
        <v>14528</v>
      </c>
    </row>
    <row r="6452" spans="4:4" x14ac:dyDescent="0.25">
      <c r="D6452" t="s">
        <v>14529</v>
      </c>
    </row>
    <row r="6453" spans="4:4" x14ac:dyDescent="0.25">
      <c r="D6453" t="s">
        <v>14530</v>
      </c>
    </row>
    <row r="6454" spans="4:4" x14ac:dyDescent="0.25">
      <c r="D6454" t="s">
        <v>14531</v>
      </c>
    </row>
    <row r="6455" spans="4:4" x14ac:dyDescent="0.25">
      <c r="D6455" t="s">
        <v>14532</v>
      </c>
    </row>
    <row r="6456" spans="4:4" x14ac:dyDescent="0.25">
      <c r="D6456" t="s">
        <v>14533</v>
      </c>
    </row>
    <row r="6457" spans="4:4" x14ac:dyDescent="0.25">
      <c r="D6457" t="s">
        <v>14534</v>
      </c>
    </row>
    <row r="6458" spans="4:4" x14ac:dyDescent="0.25">
      <c r="D6458" t="s">
        <v>14535</v>
      </c>
    </row>
    <row r="6459" spans="4:4" x14ac:dyDescent="0.25">
      <c r="D6459" t="s">
        <v>14536</v>
      </c>
    </row>
    <row r="6460" spans="4:4" x14ac:dyDescent="0.25">
      <c r="D6460" t="s">
        <v>14537</v>
      </c>
    </row>
    <row r="6461" spans="4:4" x14ac:dyDescent="0.25">
      <c r="D6461" t="s">
        <v>14538</v>
      </c>
    </row>
    <row r="6462" spans="4:4" x14ac:dyDescent="0.25">
      <c r="D6462" t="s">
        <v>14539</v>
      </c>
    </row>
    <row r="6463" spans="4:4" x14ac:dyDescent="0.25">
      <c r="D6463" t="s">
        <v>14540</v>
      </c>
    </row>
    <row r="6464" spans="4:4" x14ac:dyDescent="0.25">
      <c r="D6464" t="s">
        <v>14541</v>
      </c>
    </row>
    <row r="6465" spans="4:4" x14ac:dyDescent="0.25">
      <c r="D6465" t="s">
        <v>14542</v>
      </c>
    </row>
    <row r="6466" spans="4:4" x14ac:dyDescent="0.25">
      <c r="D6466" t="s">
        <v>14543</v>
      </c>
    </row>
    <row r="6467" spans="4:4" x14ac:dyDescent="0.25">
      <c r="D6467" t="s">
        <v>14544</v>
      </c>
    </row>
    <row r="6468" spans="4:4" x14ac:dyDescent="0.25">
      <c r="D6468" t="s">
        <v>14545</v>
      </c>
    </row>
    <row r="6469" spans="4:4" x14ac:dyDescent="0.25">
      <c r="D6469" t="s">
        <v>14546</v>
      </c>
    </row>
    <row r="6470" spans="4:4" x14ac:dyDescent="0.25">
      <c r="D6470" t="s">
        <v>14547</v>
      </c>
    </row>
    <row r="6471" spans="4:4" x14ac:dyDescent="0.25">
      <c r="D6471" t="s">
        <v>14548</v>
      </c>
    </row>
    <row r="6472" spans="4:4" x14ac:dyDescent="0.25">
      <c r="D6472" t="s">
        <v>14549</v>
      </c>
    </row>
    <row r="6473" spans="4:4" x14ac:dyDescent="0.25">
      <c r="D6473" t="s">
        <v>14550</v>
      </c>
    </row>
    <row r="6474" spans="4:4" x14ac:dyDescent="0.25">
      <c r="D6474" t="s">
        <v>14551</v>
      </c>
    </row>
    <row r="6475" spans="4:4" x14ac:dyDescent="0.25">
      <c r="D6475" t="s">
        <v>14552</v>
      </c>
    </row>
    <row r="6476" spans="4:4" x14ac:dyDescent="0.25">
      <c r="D6476" t="s">
        <v>14553</v>
      </c>
    </row>
    <row r="6477" spans="4:4" x14ac:dyDescent="0.25">
      <c r="D6477" t="s">
        <v>14554</v>
      </c>
    </row>
    <row r="6478" spans="4:4" x14ac:dyDescent="0.25">
      <c r="D6478" t="s">
        <v>14555</v>
      </c>
    </row>
    <row r="6479" spans="4:4" x14ac:dyDescent="0.25">
      <c r="D6479" t="s">
        <v>14556</v>
      </c>
    </row>
    <row r="6480" spans="4:4" x14ac:dyDescent="0.25">
      <c r="D6480" t="s">
        <v>14557</v>
      </c>
    </row>
    <row r="6481" spans="4:4" x14ac:dyDescent="0.25">
      <c r="D6481" t="s">
        <v>14558</v>
      </c>
    </row>
    <row r="6482" spans="4:4" x14ac:dyDescent="0.25">
      <c r="D6482" t="s">
        <v>14559</v>
      </c>
    </row>
    <row r="6483" spans="4:4" x14ac:dyDescent="0.25">
      <c r="D6483" t="s">
        <v>14560</v>
      </c>
    </row>
    <row r="6484" spans="4:4" x14ac:dyDescent="0.25">
      <c r="D6484" t="s">
        <v>14561</v>
      </c>
    </row>
    <row r="6485" spans="4:4" x14ac:dyDescent="0.25">
      <c r="D6485" t="s">
        <v>14562</v>
      </c>
    </row>
    <row r="6486" spans="4:4" x14ac:dyDescent="0.25">
      <c r="D6486" t="s">
        <v>14563</v>
      </c>
    </row>
    <row r="6487" spans="4:4" x14ac:dyDescent="0.25">
      <c r="D6487" t="s">
        <v>14564</v>
      </c>
    </row>
    <row r="6488" spans="4:4" x14ac:dyDescent="0.25">
      <c r="D6488" t="s">
        <v>14565</v>
      </c>
    </row>
    <row r="6489" spans="4:4" x14ac:dyDescent="0.25">
      <c r="D6489" t="s">
        <v>14566</v>
      </c>
    </row>
    <row r="6490" spans="4:4" x14ac:dyDescent="0.25">
      <c r="D6490" t="s">
        <v>14567</v>
      </c>
    </row>
    <row r="6491" spans="4:4" x14ac:dyDescent="0.25">
      <c r="D6491" t="s">
        <v>14568</v>
      </c>
    </row>
    <row r="6492" spans="4:4" x14ac:dyDescent="0.25">
      <c r="D6492" t="s">
        <v>14569</v>
      </c>
    </row>
    <row r="6493" spans="4:4" x14ac:dyDescent="0.25">
      <c r="D6493" t="s">
        <v>14570</v>
      </c>
    </row>
    <row r="6494" spans="4:4" x14ac:dyDescent="0.25">
      <c r="D6494" t="s">
        <v>14571</v>
      </c>
    </row>
    <row r="6495" spans="4:4" x14ac:dyDescent="0.25">
      <c r="D6495" t="s">
        <v>14572</v>
      </c>
    </row>
    <row r="6496" spans="4:4" x14ac:dyDescent="0.25">
      <c r="D6496" t="s">
        <v>14573</v>
      </c>
    </row>
    <row r="6497" spans="4:4" x14ac:dyDescent="0.25">
      <c r="D6497" t="s">
        <v>14574</v>
      </c>
    </row>
    <row r="6498" spans="4:4" x14ac:dyDescent="0.25">
      <c r="D6498" t="s">
        <v>14575</v>
      </c>
    </row>
    <row r="6499" spans="4:4" x14ac:dyDescent="0.25">
      <c r="D6499" t="s">
        <v>14576</v>
      </c>
    </row>
    <row r="6500" spans="4:4" x14ac:dyDescent="0.25">
      <c r="D6500" t="s">
        <v>14577</v>
      </c>
    </row>
    <row r="6501" spans="4:4" x14ac:dyDescent="0.25">
      <c r="D6501" t="s">
        <v>14578</v>
      </c>
    </row>
    <row r="6502" spans="4:4" x14ac:dyDescent="0.25">
      <c r="D6502" t="s">
        <v>14579</v>
      </c>
    </row>
    <row r="6503" spans="4:4" x14ac:dyDescent="0.25">
      <c r="D6503" t="s">
        <v>14580</v>
      </c>
    </row>
    <row r="6504" spans="4:4" x14ac:dyDescent="0.25">
      <c r="D6504" t="s">
        <v>14581</v>
      </c>
    </row>
    <row r="6505" spans="4:4" x14ac:dyDescent="0.25">
      <c r="D6505" t="s">
        <v>14582</v>
      </c>
    </row>
    <row r="6506" spans="4:4" x14ac:dyDescent="0.25">
      <c r="D6506" t="s">
        <v>14583</v>
      </c>
    </row>
    <row r="6507" spans="4:4" x14ac:dyDescent="0.25">
      <c r="D6507" t="s">
        <v>14584</v>
      </c>
    </row>
    <row r="6508" spans="4:4" x14ac:dyDescent="0.25">
      <c r="D6508" t="s">
        <v>14585</v>
      </c>
    </row>
    <row r="6509" spans="4:4" x14ac:dyDescent="0.25">
      <c r="D6509" t="s">
        <v>14586</v>
      </c>
    </row>
    <row r="6510" spans="4:4" x14ac:dyDescent="0.25">
      <c r="D6510" t="s">
        <v>14587</v>
      </c>
    </row>
    <row r="6511" spans="4:4" x14ac:dyDescent="0.25">
      <c r="D6511" t="s">
        <v>14588</v>
      </c>
    </row>
    <row r="6512" spans="4:4" x14ac:dyDescent="0.25">
      <c r="D6512" t="s">
        <v>14589</v>
      </c>
    </row>
    <row r="6513" spans="4:4" x14ac:dyDescent="0.25">
      <c r="D6513" t="s">
        <v>14590</v>
      </c>
    </row>
    <row r="6514" spans="4:4" x14ac:dyDescent="0.25">
      <c r="D6514" t="s">
        <v>14591</v>
      </c>
    </row>
    <row r="6515" spans="4:4" x14ac:dyDescent="0.25">
      <c r="D6515" t="s">
        <v>14592</v>
      </c>
    </row>
    <row r="6516" spans="4:4" x14ac:dyDescent="0.25">
      <c r="D6516" t="s">
        <v>14593</v>
      </c>
    </row>
    <row r="6517" spans="4:4" x14ac:dyDescent="0.25">
      <c r="D6517" t="s">
        <v>14594</v>
      </c>
    </row>
    <row r="6518" spans="4:4" x14ac:dyDescent="0.25">
      <c r="D6518" t="s">
        <v>14595</v>
      </c>
    </row>
    <row r="6519" spans="4:4" x14ac:dyDescent="0.25">
      <c r="D6519" t="s">
        <v>14596</v>
      </c>
    </row>
    <row r="6520" spans="4:4" x14ac:dyDescent="0.25">
      <c r="D6520" t="s">
        <v>14597</v>
      </c>
    </row>
    <row r="6521" spans="4:4" x14ac:dyDescent="0.25">
      <c r="D6521" t="s">
        <v>14598</v>
      </c>
    </row>
    <row r="6522" spans="4:4" x14ac:dyDescent="0.25">
      <c r="D6522" t="s">
        <v>14599</v>
      </c>
    </row>
    <row r="6523" spans="4:4" x14ac:dyDescent="0.25">
      <c r="D6523" t="s">
        <v>14600</v>
      </c>
    </row>
    <row r="6524" spans="4:4" x14ac:dyDescent="0.25">
      <c r="D6524" t="s">
        <v>14601</v>
      </c>
    </row>
    <row r="6525" spans="4:4" x14ac:dyDescent="0.25">
      <c r="D6525" t="s">
        <v>14602</v>
      </c>
    </row>
    <row r="6526" spans="4:4" x14ac:dyDescent="0.25">
      <c r="D6526" t="s">
        <v>14603</v>
      </c>
    </row>
    <row r="6527" spans="4:4" x14ac:dyDescent="0.25">
      <c r="D6527" t="s">
        <v>14604</v>
      </c>
    </row>
    <row r="6528" spans="4:4" x14ac:dyDescent="0.25">
      <c r="D6528" t="s">
        <v>14605</v>
      </c>
    </row>
    <row r="6529" spans="4:4" x14ac:dyDescent="0.25">
      <c r="D6529" t="s">
        <v>14606</v>
      </c>
    </row>
    <row r="6530" spans="4:4" x14ac:dyDescent="0.25">
      <c r="D6530" t="s">
        <v>14607</v>
      </c>
    </row>
    <row r="6531" spans="4:4" x14ac:dyDescent="0.25">
      <c r="D6531" t="s">
        <v>14608</v>
      </c>
    </row>
    <row r="6532" spans="4:4" x14ac:dyDescent="0.25">
      <c r="D6532" t="s">
        <v>14609</v>
      </c>
    </row>
    <row r="6533" spans="4:4" x14ac:dyDescent="0.25">
      <c r="D6533" t="s">
        <v>14610</v>
      </c>
    </row>
    <row r="6534" spans="4:4" x14ac:dyDescent="0.25">
      <c r="D6534" t="s">
        <v>14611</v>
      </c>
    </row>
    <row r="6535" spans="4:4" x14ac:dyDescent="0.25">
      <c r="D6535" t="s">
        <v>14612</v>
      </c>
    </row>
    <row r="6536" spans="4:4" x14ac:dyDescent="0.25">
      <c r="D6536" t="s">
        <v>14613</v>
      </c>
    </row>
    <row r="6537" spans="4:4" x14ac:dyDescent="0.25">
      <c r="D6537" t="s">
        <v>14614</v>
      </c>
    </row>
    <row r="6538" spans="4:4" x14ac:dyDescent="0.25">
      <c r="D6538" t="s">
        <v>14615</v>
      </c>
    </row>
    <row r="6539" spans="4:4" x14ac:dyDescent="0.25">
      <c r="D6539" t="s">
        <v>14616</v>
      </c>
    </row>
    <row r="6540" spans="4:4" x14ac:dyDescent="0.25">
      <c r="D6540" t="s">
        <v>14617</v>
      </c>
    </row>
    <row r="6541" spans="4:4" x14ac:dyDescent="0.25">
      <c r="D6541" t="s">
        <v>14618</v>
      </c>
    </row>
    <row r="6542" spans="4:4" x14ac:dyDescent="0.25">
      <c r="D6542" t="s">
        <v>14619</v>
      </c>
    </row>
    <row r="6543" spans="4:4" x14ac:dyDescent="0.25">
      <c r="D6543" t="s">
        <v>14620</v>
      </c>
    </row>
    <row r="6544" spans="4:4" x14ac:dyDescent="0.25">
      <c r="D6544" t="s">
        <v>14621</v>
      </c>
    </row>
    <row r="6545" spans="4:4" x14ac:dyDescent="0.25">
      <c r="D6545" t="s">
        <v>14622</v>
      </c>
    </row>
    <row r="6546" spans="4:4" x14ac:dyDescent="0.25">
      <c r="D6546" t="s">
        <v>14623</v>
      </c>
    </row>
    <row r="6547" spans="4:4" x14ac:dyDescent="0.25">
      <c r="D6547" t="s">
        <v>14624</v>
      </c>
    </row>
    <row r="6548" spans="4:4" x14ac:dyDescent="0.25">
      <c r="D6548" t="s">
        <v>14625</v>
      </c>
    </row>
    <row r="6549" spans="4:4" x14ac:dyDescent="0.25">
      <c r="D6549" t="s">
        <v>14626</v>
      </c>
    </row>
    <row r="6550" spans="4:4" x14ac:dyDescent="0.25">
      <c r="D6550" t="s">
        <v>14627</v>
      </c>
    </row>
    <row r="6551" spans="4:4" x14ac:dyDescent="0.25">
      <c r="D6551" t="s">
        <v>14628</v>
      </c>
    </row>
    <row r="6552" spans="4:4" x14ac:dyDescent="0.25">
      <c r="D6552" t="s">
        <v>14629</v>
      </c>
    </row>
    <row r="6553" spans="4:4" x14ac:dyDescent="0.25">
      <c r="D6553" t="s">
        <v>14630</v>
      </c>
    </row>
    <row r="6554" spans="4:4" x14ac:dyDescent="0.25">
      <c r="D6554" t="s">
        <v>14631</v>
      </c>
    </row>
    <row r="6555" spans="4:4" x14ac:dyDescent="0.25">
      <c r="D6555" t="s">
        <v>14632</v>
      </c>
    </row>
    <row r="6556" spans="4:4" x14ac:dyDescent="0.25">
      <c r="D6556" t="s">
        <v>14633</v>
      </c>
    </row>
    <row r="6557" spans="4:4" x14ac:dyDescent="0.25">
      <c r="D6557" t="s">
        <v>14634</v>
      </c>
    </row>
    <row r="6558" spans="4:4" x14ac:dyDescent="0.25">
      <c r="D6558" t="s">
        <v>14635</v>
      </c>
    </row>
    <row r="6559" spans="4:4" x14ac:dyDescent="0.25">
      <c r="D6559" t="s">
        <v>14636</v>
      </c>
    </row>
    <row r="6560" spans="4:4" x14ac:dyDescent="0.25">
      <c r="D6560" t="s">
        <v>14637</v>
      </c>
    </row>
    <row r="6561" spans="4:4" x14ac:dyDescent="0.25">
      <c r="D6561" t="s">
        <v>14638</v>
      </c>
    </row>
    <row r="6562" spans="4:4" x14ac:dyDescent="0.25">
      <c r="D6562" t="s">
        <v>14639</v>
      </c>
    </row>
    <row r="6563" spans="4:4" x14ac:dyDescent="0.25">
      <c r="D6563" t="s">
        <v>14640</v>
      </c>
    </row>
    <row r="6564" spans="4:4" x14ac:dyDescent="0.25">
      <c r="D6564" t="s">
        <v>14641</v>
      </c>
    </row>
    <row r="6565" spans="4:4" x14ac:dyDescent="0.25">
      <c r="D6565" t="s">
        <v>14642</v>
      </c>
    </row>
    <row r="6566" spans="4:4" x14ac:dyDescent="0.25">
      <c r="D6566" t="s">
        <v>14643</v>
      </c>
    </row>
    <row r="6567" spans="4:4" x14ac:dyDescent="0.25">
      <c r="D6567" t="s">
        <v>14644</v>
      </c>
    </row>
    <row r="6568" spans="4:4" x14ac:dyDescent="0.25">
      <c r="D6568" t="s">
        <v>14645</v>
      </c>
    </row>
    <row r="6569" spans="4:4" x14ac:dyDescent="0.25">
      <c r="D6569" t="s">
        <v>14646</v>
      </c>
    </row>
    <row r="6570" spans="4:4" x14ac:dyDescent="0.25">
      <c r="D6570" t="s">
        <v>14647</v>
      </c>
    </row>
    <row r="6571" spans="4:4" x14ac:dyDescent="0.25">
      <c r="D6571" t="s">
        <v>14648</v>
      </c>
    </row>
    <row r="6572" spans="4:4" x14ac:dyDescent="0.25">
      <c r="D6572" t="s">
        <v>14649</v>
      </c>
    </row>
    <row r="6573" spans="4:4" x14ac:dyDescent="0.25">
      <c r="D6573" t="s">
        <v>14650</v>
      </c>
    </row>
    <row r="6574" spans="4:4" x14ac:dyDescent="0.25">
      <c r="D6574" t="s">
        <v>14651</v>
      </c>
    </row>
    <row r="6575" spans="4:4" x14ac:dyDescent="0.25">
      <c r="D6575" t="s">
        <v>14652</v>
      </c>
    </row>
    <row r="6576" spans="4:4" x14ac:dyDescent="0.25">
      <c r="D6576" t="s">
        <v>14653</v>
      </c>
    </row>
    <row r="6577" spans="4:4" x14ac:dyDescent="0.25">
      <c r="D6577" t="s">
        <v>14654</v>
      </c>
    </row>
    <row r="6578" spans="4:4" x14ac:dyDescent="0.25">
      <c r="D6578" t="s">
        <v>14655</v>
      </c>
    </row>
    <row r="6579" spans="4:4" x14ac:dyDescent="0.25">
      <c r="D6579" t="s">
        <v>14656</v>
      </c>
    </row>
    <row r="6580" spans="4:4" x14ac:dyDescent="0.25">
      <c r="D6580" t="s">
        <v>14657</v>
      </c>
    </row>
    <row r="6581" spans="4:4" x14ac:dyDescent="0.25">
      <c r="D6581" t="s">
        <v>14658</v>
      </c>
    </row>
    <row r="6582" spans="4:4" x14ac:dyDescent="0.25">
      <c r="D6582" t="s">
        <v>14659</v>
      </c>
    </row>
    <row r="6583" spans="4:4" x14ac:dyDescent="0.25">
      <c r="D6583" t="s">
        <v>14660</v>
      </c>
    </row>
    <row r="6584" spans="4:4" x14ac:dyDescent="0.25">
      <c r="D6584" t="s">
        <v>14661</v>
      </c>
    </row>
    <row r="6585" spans="4:4" x14ac:dyDescent="0.25">
      <c r="D6585" t="s">
        <v>14662</v>
      </c>
    </row>
    <row r="6586" spans="4:4" x14ac:dyDescent="0.25">
      <c r="D6586" t="s">
        <v>14663</v>
      </c>
    </row>
    <row r="6587" spans="4:4" x14ac:dyDescent="0.25">
      <c r="D6587" t="s">
        <v>14664</v>
      </c>
    </row>
    <row r="6588" spans="4:4" x14ac:dyDescent="0.25">
      <c r="D6588" t="s">
        <v>14665</v>
      </c>
    </row>
    <row r="6589" spans="4:4" x14ac:dyDescent="0.25">
      <c r="D6589" t="s">
        <v>14666</v>
      </c>
    </row>
    <row r="6590" spans="4:4" x14ac:dyDescent="0.25">
      <c r="D6590" t="s">
        <v>14667</v>
      </c>
    </row>
    <row r="6591" spans="4:4" x14ac:dyDescent="0.25">
      <c r="D6591" t="s">
        <v>14668</v>
      </c>
    </row>
    <row r="6592" spans="4:4" x14ac:dyDescent="0.25">
      <c r="D6592" t="s">
        <v>14669</v>
      </c>
    </row>
    <row r="6593" spans="4:4" x14ac:dyDescent="0.25">
      <c r="D6593" t="s">
        <v>14670</v>
      </c>
    </row>
    <row r="6594" spans="4:4" x14ac:dyDescent="0.25">
      <c r="D6594" t="s">
        <v>14671</v>
      </c>
    </row>
    <row r="6595" spans="4:4" x14ac:dyDescent="0.25">
      <c r="D6595" t="s">
        <v>14672</v>
      </c>
    </row>
    <row r="6596" spans="4:4" x14ac:dyDescent="0.25">
      <c r="D6596" t="s">
        <v>14673</v>
      </c>
    </row>
    <row r="6597" spans="4:4" x14ac:dyDescent="0.25">
      <c r="D6597" t="s">
        <v>14674</v>
      </c>
    </row>
    <row r="6598" spans="4:4" x14ac:dyDescent="0.25">
      <c r="D6598" t="s">
        <v>14675</v>
      </c>
    </row>
    <row r="6599" spans="4:4" x14ac:dyDescent="0.25">
      <c r="D6599" t="s">
        <v>14676</v>
      </c>
    </row>
    <row r="6600" spans="4:4" x14ac:dyDescent="0.25">
      <c r="D6600" t="s">
        <v>14677</v>
      </c>
    </row>
    <row r="6601" spans="4:4" x14ac:dyDescent="0.25">
      <c r="D6601" t="s">
        <v>14678</v>
      </c>
    </row>
    <row r="6602" spans="4:4" x14ac:dyDescent="0.25">
      <c r="D6602" t="s">
        <v>14679</v>
      </c>
    </row>
    <row r="6603" spans="4:4" x14ac:dyDescent="0.25">
      <c r="D6603" t="s">
        <v>14680</v>
      </c>
    </row>
    <row r="6604" spans="4:4" x14ac:dyDescent="0.25">
      <c r="D6604" t="s">
        <v>14681</v>
      </c>
    </row>
    <row r="6605" spans="4:4" x14ac:dyDescent="0.25">
      <c r="D6605" t="s">
        <v>14682</v>
      </c>
    </row>
    <row r="6606" spans="4:4" x14ac:dyDescent="0.25">
      <c r="D6606" t="s">
        <v>14683</v>
      </c>
    </row>
    <row r="6607" spans="4:4" x14ac:dyDescent="0.25">
      <c r="D6607" t="s">
        <v>14684</v>
      </c>
    </row>
    <row r="6608" spans="4:4" x14ac:dyDescent="0.25">
      <c r="D6608" t="s">
        <v>14685</v>
      </c>
    </row>
    <row r="6609" spans="4:4" x14ac:dyDescent="0.25">
      <c r="D6609" t="s">
        <v>14686</v>
      </c>
    </row>
    <row r="6610" spans="4:4" x14ac:dyDescent="0.25">
      <c r="D6610" t="s">
        <v>14687</v>
      </c>
    </row>
    <row r="6611" spans="4:4" x14ac:dyDescent="0.25">
      <c r="D6611" t="s">
        <v>14688</v>
      </c>
    </row>
    <row r="6612" spans="4:4" x14ac:dyDescent="0.25">
      <c r="D6612" t="s">
        <v>14689</v>
      </c>
    </row>
    <row r="6613" spans="4:4" x14ac:dyDescent="0.25">
      <c r="D6613" t="s">
        <v>14690</v>
      </c>
    </row>
    <row r="6614" spans="4:4" x14ac:dyDescent="0.25">
      <c r="D6614" t="s">
        <v>14691</v>
      </c>
    </row>
    <row r="6615" spans="4:4" x14ac:dyDescent="0.25">
      <c r="D6615" t="s">
        <v>14692</v>
      </c>
    </row>
    <row r="6616" spans="4:4" x14ac:dyDescent="0.25">
      <c r="D6616" t="s">
        <v>14693</v>
      </c>
    </row>
    <row r="6617" spans="4:4" x14ac:dyDescent="0.25">
      <c r="D6617" t="s">
        <v>14694</v>
      </c>
    </row>
    <row r="6618" spans="4:4" x14ac:dyDescent="0.25">
      <c r="D6618" t="s">
        <v>14695</v>
      </c>
    </row>
    <row r="6619" spans="4:4" x14ac:dyDescent="0.25">
      <c r="D6619" t="s">
        <v>14696</v>
      </c>
    </row>
    <row r="6620" spans="4:4" x14ac:dyDescent="0.25">
      <c r="D6620" t="s">
        <v>14697</v>
      </c>
    </row>
    <row r="6621" spans="4:4" x14ac:dyDescent="0.25">
      <c r="D6621" t="s">
        <v>14698</v>
      </c>
    </row>
    <row r="6622" spans="4:4" x14ac:dyDescent="0.25">
      <c r="D6622" t="s">
        <v>14699</v>
      </c>
    </row>
    <row r="6623" spans="4:4" x14ac:dyDescent="0.25">
      <c r="D6623" t="s">
        <v>14700</v>
      </c>
    </row>
    <row r="6624" spans="4:4" x14ac:dyDescent="0.25">
      <c r="D6624" t="s">
        <v>14701</v>
      </c>
    </row>
    <row r="6625" spans="4:4" x14ac:dyDescent="0.25">
      <c r="D6625" t="s">
        <v>14702</v>
      </c>
    </row>
    <row r="6626" spans="4:4" x14ac:dyDescent="0.25">
      <c r="D6626" t="s">
        <v>14703</v>
      </c>
    </row>
    <row r="6627" spans="4:4" x14ac:dyDescent="0.25">
      <c r="D6627" t="s">
        <v>14704</v>
      </c>
    </row>
    <row r="6628" spans="4:4" x14ac:dyDescent="0.25">
      <c r="D6628" t="s">
        <v>14705</v>
      </c>
    </row>
    <row r="6629" spans="4:4" x14ac:dyDescent="0.25">
      <c r="D6629" t="s">
        <v>14706</v>
      </c>
    </row>
    <row r="6630" spans="4:4" x14ac:dyDescent="0.25">
      <c r="D6630" t="s">
        <v>14707</v>
      </c>
    </row>
    <row r="6631" spans="4:4" x14ac:dyDescent="0.25">
      <c r="D6631" t="s">
        <v>14708</v>
      </c>
    </row>
    <row r="6632" spans="4:4" x14ac:dyDescent="0.25">
      <c r="D6632" t="s">
        <v>14709</v>
      </c>
    </row>
    <row r="6633" spans="4:4" x14ac:dyDescent="0.25">
      <c r="D6633" t="s">
        <v>14710</v>
      </c>
    </row>
    <row r="6634" spans="4:4" x14ac:dyDescent="0.25">
      <c r="D6634" t="s">
        <v>14711</v>
      </c>
    </row>
    <row r="6635" spans="4:4" x14ac:dyDescent="0.25">
      <c r="D6635" t="s">
        <v>14712</v>
      </c>
    </row>
    <row r="6636" spans="4:4" x14ac:dyDescent="0.25">
      <c r="D6636" t="s">
        <v>14713</v>
      </c>
    </row>
    <row r="6637" spans="4:4" x14ac:dyDescent="0.25">
      <c r="D6637" t="s">
        <v>14714</v>
      </c>
    </row>
    <row r="6638" spans="4:4" x14ac:dyDescent="0.25">
      <c r="D6638" t="s">
        <v>14715</v>
      </c>
    </row>
    <row r="6639" spans="4:4" x14ac:dyDescent="0.25">
      <c r="D6639" t="s">
        <v>14716</v>
      </c>
    </row>
    <row r="6640" spans="4:4" x14ac:dyDescent="0.25">
      <c r="D6640" t="s">
        <v>14717</v>
      </c>
    </row>
    <row r="6641" spans="4:4" x14ac:dyDescent="0.25">
      <c r="D6641" t="s">
        <v>14718</v>
      </c>
    </row>
    <row r="6642" spans="4:4" x14ac:dyDescent="0.25">
      <c r="D6642" t="s">
        <v>14719</v>
      </c>
    </row>
    <row r="6643" spans="4:4" x14ac:dyDescent="0.25">
      <c r="D6643" t="s">
        <v>14720</v>
      </c>
    </row>
    <row r="6644" spans="4:4" x14ac:dyDescent="0.25">
      <c r="D6644" t="s">
        <v>14721</v>
      </c>
    </row>
    <row r="6645" spans="4:4" x14ac:dyDescent="0.25">
      <c r="D6645" t="s">
        <v>14722</v>
      </c>
    </row>
    <row r="6646" spans="4:4" x14ac:dyDescent="0.25">
      <c r="D6646" t="s">
        <v>14723</v>
      </c>
    </row>
    <row r="6647" spans="4:4" x14ac:dyDescent="0.25">
      <c r="D6647" t="s">
        <v>14724</v>
      </c>
    </row>
    <row r="6648" spans="4:4" x14ac:dyDescent="0.25">
      <c r="D6648" t="s">
        <v>14725</v>
      </c>
    </row>
    <row r="6649" spans="4:4" x14ac:dyDescent="0.25">
      <c r="D6649" t="s">
        <v>14726</v>
      </c>
    </row>
    <row r="6650" spans="4:4" x14ac:dyDescent="0.25">
      <c r="D6650" t="s">
        <v>14727</v>
      </c>
    </row>
    <row r="6651" spans="4:4" x14ac:dyDescent="0.25">
      <c r="D6651" t="s">
        <v>14728</v>
      </c>
    </row>
    <row r="6652" spans="4:4" x14ac:dyDescent="0.25">
      <c r="D6652" t="s">
        <v>14729</v>
      </c>
    </row>
    <row r="6653" spans="4:4" x14ac:dyDescent="0.25">
      <c r="D6653" t="s">
        <v>14730</v>
      </c>
    </row>
    <row r="6654" spans="4:4" x14ac:dyDescent="0.25">
      <c r="D6654" t="s">
        <v>14731</v>
      </c>
    </row>
    <row r="6655" spans="4:4" x14ac:dyDescent="0.25">
      <c r="D6655" t="s">
        <v>14732</v>
      </c>
    </row>
    <row r="6656" spans="4:4" x14ac:dyDescent="0.25">
      <c r="D6656" t="s">
        <v>14733</v>
      </c>
    </row>
    <row r="6657" spans="4:4" x14ac:dyDescent="0.25">
      <c r="D6657" t="s">
        <v>14734</v>
      </c>
    </row>
    <row r="6658" spans="4:4" x14ac:dyDescent="0.25">
      <c r="D6658" t="s">
        <v>14735</v>
      </c>
    </row>
    <row r="6659" spans="4:4" x14ac:dyDescent="0.25">
      <c r="D6659" t="s">
        <v>14736</v>
      </c>
    </row>
    <row r="6660" spans="4:4" x14ac:dyDescent="0.25">
      <c r="D6660" t="s">
        <v>14737</v>
      </c>
    </row>
    <row r="6661" spans="4:4" x14ac:dyDescent="0.25">
      <c r="D6661" t="s">
        <v>14738</v>
      </c>
    </row>
    <row r="6662" spans="4:4" x14ac:dyDescent="0.25">
      <c r="D6662" t="s">
        <v>14739</v>
      </c>
    </row>
    <row r="6663" spans="4:4" x14ac:dyDescent="0.25">
      <c r="D6663" t="s">
        <v>14740</v>
      </c>
    </row>
    <row r="6664" spans="4:4" x14ac:dyDescent="0.25">
      <c r="D6664" t="s">
        <v>14741</v>
      </c>
    </row>
    <row r="6665" spans="4:4" x14ac:dyDescent="0.25">
      <c r="D6665" t="s">
        <v>14742</v>
      </c>
    </row>
    <row r="6666" spans="4:4" x14ac:dyDescent="0.25">
      <c r="D6666" t="s">
        <v>14743</v>
      </c>
    </row>
    <row r="6667" spans="4:4" x14ac:dyDescent="0.25">
      <c r="D6667" t="s">
        <v>14744</v>
      </c>
    </row>
    <row r="6668" spans="4:4" x14ac:dyDescent="0.25">
      <c r="D6668" t="s">
        <v>14745</v>
      </c>
    </row>
    <row r="6669" spans="4:4" x14ac:dyDescent="0.25">
      <c r="D6669" t="s">
        <v>14746</v>
      </c>
    </row>
    <row r="6670" spans="4:4" x14ac:dyDescent="0.25">
      <c r="D6670" t="s">
        <v>14747</v>
      </c>
    </row>
    <row r="6671" spans="4:4" x14ac:dyDescent="0.25">
      <c r="D6671" t="s">
        <v>14748</v>
      </c>
    </row>
    <row r="6672" spans="4:4" x14ac:dyDescent="0.25">
      <c r="D6672" t="s">
        <v>14749</v>
      </c>
    </row>
    <row r="6673" spans="4:4" x14ac:dyDescent="0.25">
      <c r="D6673" t="s">
        <v>14750</v>
      </c>
    </row>
    <row r="6674" spans="4:4" x14ac:dyDescent="0.25">
      <c r="D6674" t="s">
        <v>14751</v>
      </c>
    </row>
    <row r="6675" spans="4:4" x14ac:dyDescent="0.25">
      <c r="D6675" t="s">
        <v>14752</v>
      </c>
    </row>
    <row r="6676" spans="4:4" x14ac:dyDescent="0.25">
      <c r="D6676" t="s">
        <v>14753</v>
      </c>
    </row>
    <row r="6677" spans="4:4" x14ac:dyDescent="0.25">
      <c r="D6677" t="s">
        <v>14754</v>
      </c>
    </row>
    <row r="6678" spans="4:4" x14ac:dyDescent="0.25">
      <c r="D6678" t="s">
        <v>14755</v>
      </c>
    </row>
    <row r="6679" spans="4:4" x14ac:dyDescent="0.25">
      <c r="D6679" t="s">
        <v>14756</v>
      </c>
    </row>
    <row r="6680" spans="4:4" x14ac:dyDescent="0.25">
      <c r="D6680" t="s">
        <v>14757</v>
      </c>
    </row>
    <row r="6681" spans="4:4" x14ac:dyDescent="0.25">
      <c r="D6681" t="s">
        <v>14758</v>
      </c>
    </row>
    <row r="6682" spans="4:4" x14ac:dyDescent="0.25">
      <c r="D6682" t="s">
        <v>14759</v>
      </c>
    </row>
    <row r="6683" spans="4:4" x14ac:dyDescent="0.25">
      <c r="D6683" t="s">
        <v>14760</v>
      </c>
    </row>
    <row r="6684" spans="4:4" x14ac:dyDescent="0.25">
      <c r="D6684" t="s">
        <v>14761</v>
      </c>
    </row>
    <row r="6685" spans="4:4" x14ac:dyDescent="0.25">
      <c r="D6685" t="s">
        <v>14762</v>
      </c>
    </row>
    <row r="6686" spans="4:4" x14ac:dyDescent="0.25">
      <c r="D6686" t="s">
        <v>14763</v>
      </c>
    </row>
    <row r="6687" spans="4:4" x14ac:dyDescent="0.25">
      <c r="D6687" t="s">
        <v>14764</v>
      </c>
    </row>
    <row r="6688" spans="4:4" x14ac:dyDescent="0.25">
      <c r="D6688" t="s">
        <v>14765</v>
      </c>
    </row>
    <row r="6689" spans="4:4" x14ac:dyDescent="0.25">
      <c r="D6689" t="s">
        <v>14766</v>
      </c>
    </row>
    <row r="6690" spans="4:4" x14ac:dyDescent="0.25">
      <c r="D6690" t="s">
        <v>14767</v>
      </c>
    </row>
    <row r="6691" spans="4:4" x14ac:dyDescent="0.25">
      <c r="D6691" t="s">
        <v>14768</v>
      </c>
    </row>
    <row r="6692" spans="4:4" x14ac:dyDescent="0.25">
      <c r="D6692" t="s">
        <v>14769</v>
      </c>
    </row>
    <row r="6693" spans="4:4" x14ac:dyDescent="0.25">
      <c r="D6693" t="s">
        <v>14770</v>
      </c>
    </row>
    <row r="6694" spans="4:4" x14ac:dyDescent="0.25">
      <c r="D6694" t="s">
        <v>14771</v>
      </c>
    </row>
    <row r="6695" spans="4:4" x14ac:dyDescent="0.25">
      <c r="D6695" t="s">
        <v>14772</v>
      </c>
    </row>
    <row r="6696" spans="4:4" x14ac:dyDescent="0.25">
      <c r="D6696" t="s">
        <v>14773</v>
      </c>
    </row>
    <row r="6697" spans="4:4" x14ac:dyDescent="0.25">
      <c r="D6697" t="s">
        <v>14774</v>
      </c>
    </row>
    <row r="6698" spans="4:4" x14ac:dyDescent="0.25">
      <c r="D6698" t="s">
        <v>14775</v>
      </c>
    </row>
    <row r="6699" spans="4:4" x14ac:dyDescent="0.25">
      <c r="D6699" t="s">
        <v>14776</v>
      </c>
    </row>
    <row r="6700" spans="4:4" x14ac:dyDescent="0.25">
      <c r="D6700" t="s">
        <v>14777</v>
      </c>
    </row>
    <row r="6701" spans="4:4" x14ac:dyDescent="0.25">
      <c r="D6701" t="s">
        <v>14778</v>
      </c>
    </row>
    <row r="6702" spans="4:4" x14ac:dyDescent="0.25">
      <c r="D6702" t="s">
        <v>14779</v>
      </c>
    </row>
    <row r="6703" spans="4:4" x14ac:dyDescent="0.25">
      <c r="D6703" t="s">
        <v>14780</v>
      </c>
    </row>
    <row r="6704" spans="4:4" x14ac:dyDescent="0.25">
      <c r="D6704" t="s">
        <v>14781</v>
      </c>
    </row>
    <row r="6705" spans="4:4" x14ac:dyDescent="0.25">
      <c r="D6705" t="s">
        <v>14782</v>
      </c>
    </row>
    <row r="6706" spans="4:4" x14ac:dyDescent="0.25">
      <c r="D6706" t="s">
        <v>14783</v>
      </c>
    </row>
    <row r="6707" spans="4:4" x14ac:dyDescent="0.25">
      <c r="D6707" t="s">
        <v>14784</v>
      </c>
    </row>
    <row r="6708" spans="4:4" x14ac:dyDescent="0.25">
      <c r="D6708" t="s">
        <v>14785</v>
      </c>
    </row>
    <row r="6709" spans="4:4" x14ac:dyDescent="0.25">
      <c r="D6709" t="s">
        <v>14786</v>
      </c>
    </row>
    <row r="6710" spans="4:4" x14ac:dyDescent="0.25">
      <c r="D6710" t="s">
        <v>14787</v>
      </c>
    </row>
    <row r="6711" spans="4:4" x14ac:dyDescent="0.25">
      <c r="D6711" t="s">
        <v>14788</v>
      </c>
    </row>
    <row r="6712" spans="4:4" x14ac:dyDescent="0.25">
      <c r="D6712" t="s">
        <v>14789</v>
      </c>
    </row>
    <row r="6713" spans="4:4" x14ac:dyDescent="0.25">
      <c r="D6713" t="s">
        <v>14790</v>
      </c>
    </row>
    <row r="6714" spans="4:4" x14ac:dyDescent="0.25">
      <c r="D6714" t="s">
        <v>14791</v>
      </c>
    </row>
    <row r="6715" spans="4:4" x14ac:dyDescent="0.25">
      <c r="D6715" t="s">
        <v>14792</v>
      </c>
    </row>
    <row r="6716" spans="4:4" x14ac:dyDescent="0.25">
      <c r="D6716" t="s">
        <v>14793</v>
      </c>
    </row>
    <row r="6717" spans="4:4" x14ac:dyDescent="0.25">
      <c r="D6717" t="s">
        <v>14794</v>
      </c>
    </row>
    <row r="6718" spans="4:4" x14ac:dyDescent="0.25">
      <c r="D6718" t="s">
        <v>14795</v>
      </c>
    </row>
    <row r="6719" spans="4:4" x14ac:dyDescent="0.25">
      <c r="D6719" t="s">
        <v>14796</v>
      </c>
    </row>
    <row r="6720" spans="4:4" x14ac:dyDescent="0.25">
      <c r="D6720" t="s">
        <v>14797</v>
      </c>
    </row>
    <row r="6721" spans="4:4" x14ac:dyDescent="0.25">
      <c r="D6721" t="s">
        <v>14798</v>
      </c>
    </row>
    <row r="6722" spans="4:4" x14ac:dyDescent="0.25">
      <c r="D6722" t="s">
        <v>14799</v>
      </c>
    </row>
    <row r="6723" spans="4:4" x14ac:dyDescent="0.25">
      <c r="D6723" t="s">
        <v>14800</v>
      </c>
    </row>
    <row r="6724" spans="4:4" x14ac:dyDescent="0.25">
      <c r="D6724" t="s">
        <v>14801</v>
      </c>
    </row>
    <row r="6725" spans="4:4" x14ac:dyDescent="0.25">
      <c r="D6725" t="s">
        <v>14802</v>
      </c>
    </row>
    <row r="6726" spans="4:4" x14ac:dyDescent="0.25">
      <c r="D6726" t="s">
        <v>14803</v>
      </c>
    </row>
    <row r="6727" spans="4:4" x14ac:dyDescent="0.25">
      <c r="D6727" t="s">
        <v>14804</v>
      </c>
    </row>
    <row r="6728" spans="4:4" x14ac:dyDescent="0.25">
      <c r="D6728" t="s">
        <v>14805</v>
      </c>
    </row>
    <row r="6729" spans="4:4" x14ac:dyDescent="0.25">
      <c r="D6729" t="s">
        <v>14806</v>
      </c>
    </row>
    <row r="6730" spans="4:4" x14ac:dyDescent="0.25">
      <c r="D6730" t="s">
        <v>14807</v>
      </c>
    </row>
    <row r="6731" spans="4:4" x14ac:dyDescent="0.25">
      <c r="D6731" t="s">
        <v>14808</v>
      </c>
    </row>
    <row r="6732" spans="4:4" x14ac:dyDescent="0.25">
      <c r="D6732" t="s">
        <v>14809</v>
      </c>
    </row>
    <row r="6733" spans="4:4" x14ac:dyDescent="0.25">
      <c r="D6733" t="s">
        <v>14810</v>
      </c>
    </row>
    <row r="6734" spans="4:4" x14ac:dyDescent="0.25">
      <c r="D6734" t="s">
        <v>14811</v>
      </c>
    </row>
    <row r="6735" spans="4:4" x14ac:dyDescent="0.25">
      <c r="D6735" t="s">
        <v>14812</v>
      </c>
    </row>
    <row r="6736" spans="4:4" x14ac:dyDescent="0.25">
      <c r="D6736" t="s">
        <v>14813</v>
      </c>
    </row>
    <row r="6737" spans="4:4" x14ac:dyDescent="0.25">
      <c r="D6737" t="s">
        <v>14814</v>
      </c>
    </row>
    <row r="6738" spans="4:4" x14ac:dyDescent="0.25">
      <c r="D6738" t="s">
        <v>14815</v>
      </c>
    </row>
    <row r="6739" spans="4:4" x14ac:dyDescent="0.25">
      <c r="D6739" t="s">
        <v>14816</v>
      </c>
    </row>
    <row r="6740" spans="4:4" x14ac:dyDescent="0.25">
      <c r="D6740" t="s">
        <v>14817</v>
      </c>
    </row>
    <row r="6741" spans="4:4" x14ac:dyDescent="0.25">
      <c r="D6741" t="s">
        <v>14818</v>
      </c>
    </row>
    <row r="6742" spans="4:4" x14ac:dyDescent="0.25">
      <c r="D6742" t="s">
        <v>14819</v>
      </c>
    </row>
    <row r="6743" spans="4:4" x14ac:dyDescent="0.25">
      <c r="D6743" t="s">
        <v>14820</v>
      </c>
    </row>
    <row r="6744" spans="4:4" x14ac:dyDescent="0.25">
      <c r="D6744" t="s">
        <v>14821</v>
      </c>
    </row>
    <row r="6745" spans="4:4" x14ac:dyDescent="0.25">
      <c r="D6745" t="s">
        <v>14822</v>
      </c>
    </row>
    <row r="6746" spans="4:4" x14ac:dyDescent="0.25">
      <c r="D6746" t="s">
        <v>14823</v>
      </c>
    </row>
    <row r="6747" spans="4:4" x14ac:dyDescent="0.25">
      <c r="D6747" t="s">
        <v>14824</v>
      </c>
    </row>
    <row r="6748" spans="4:4" x14ac:dyDescent="0.25">
      <c r="D6748" t="s">
        <v>14825</v>
      </c>
    </row>
    <row r="6749" spans="4:4" x14ac:dyDescent="0.25">
      <c r="D6749" t="s">
        <v>14826</v>
      </c>
    </row>
    <row r="6750" spans="4:4" x14ac:dyDescent="0.25">
      <c r="D6750" t="s">
        <v>14827</v>
      </c>
    </row>
    <row r="6751" spans="4:4" x14ac:dyDescent="0.25">
      <c r="D6751" t="s">
        <v>14828</v>
      </c>
    </row>
    <row r="6752" spans="4:4" x14ac:dyDescent="0.25">
      <c r="D6752" t="s">
        <v>14829</v>
      </c>
    </row>
    <row r="6753" spans="4:4" x14ac:dyDescent="0.25">
      <c r="D6753" t="s">
        <v>14830</v>
      </c>
    </row>
    <row r="6754" spans="4:4" x14ac:dyDescent="0.25">
      <c r="D6754" t="s">
        <v>14831</v>
      </c>
    </row>
    <row r="6755" spans="4:4" x14ac:dyDescent="0.25">
      <c r="D6755" t="s">
        <v>14832</v>
      </c>
    </row>
    <row r="6756" spans="4:4" x14ac:dyDescent="0.25">
      <c r="D6756" t="s">
        <v>14833</v>
      </c>
    </row>
    <row r="6757" spans="4:4" x14ac:dyDescent="0.25">
      <c r="D6757" t="s">
        <v>14834</v>
      </c>
    </row>
    <row r="6758" spans="4:4" x14ac:dyDescent="0.25">
      <c r="D6758" t="s">
        <v>14835</v>
      </c>
    </row>
    <row r="6759" spans="4:4" x14ac:dyDescent="0.25">
      <c r="D6759" t="s">
        <v>14836</v>
      </c>
    </row>
    <row r="6760" spans="4:4" x14ac:dyDescent="0.25">
      <c r="D6760" t="s">
        <v>14837</v>
      </c>
    </row>
    <row r="6761" spans="4:4" x14ac:dyDescent="0.25">
      <c r="D6761" t="s">
        <v>14838</v>
      </c>
    </row>
    <row r="6762" spans="4:4" x14ac:dyDescent="0.25">
      <c r="D6762" t="s">
        <v>14839</v>
      </c>
    </row>
    <row r="6763" spans="4:4" x14ac:dyDescent="0.25">
      <c r="D6763" t="s">
        <v>14840</v>
      </c>
    </row>
    <row r="6764" spans="4:4" x14ac:dyDescent="0.25">
      <c r="D6764" t="s">
        <v>14841</v>
      </c>
    </row>
    <row r="6765" spans="4:4" x14ac:dyDescent="0.25">
      <c r="D6765" t="s">
        <v>14842</v>
      </c>
    </row>
    <row r="6766" spans="4:4" x14ac:dyDescent="0.25">
      <c r="D6766" t="s">
        <v>14843</v>
      </c>
    </row>
    <row r="6767" spans="4:4" x14ac:dyDescent="0.25">
      <c r="D6767" t="s">
        <v>14844</v>
      </c>
    </row>
    <row r="6768" spans="4:4" x14ac:dyDescent="0.25">
      <c r="D6768" t="s">
        <v>14845</v>
      </c>
    </row>
    <row r="6769" spans="4:4" x14ac:dyDescent="0.25">
      <c r="D6769" t="s">
        <v>14846</v>
      </c>
    </row>
    <row r="6770" spans="4:4" x14ac:dyDescent="0.25">
      <c r="D6770" t="s">
        <v>14847</v>
      </c>
    </row>
    <row r="6771" spans="4:4" x14ac:dyDescent="0.25">
      <c r="D6771" t="s">
        <v>14848</v>
      </c>
    </row>
    <row r="6772" spans="4:4" x14ac:dyDescent="0.25">
      <c r="D6772" t="s">
        <v>14849</v>
      </c>
    </row>
    <row r="6773" spans="4:4" x14ac:dyDescent="0.25">
      <c r="D6773" t="s">
        <v>14850</v>
      </c>
    </row>
    <row r="6774" spans="4:4" x14ac:dyDescent="0.25">
      <c r="D6774" t="s">
        <v>14851</v>
      </c>
    </row>
    <row r="6775" spans="4:4" x14ac:dyDescent="0.25">
      <c r="D6775" t="s">
        <v>14852</v>
      </c>
    </row>
    <row r="6776" spans="4:4" x14ac:dyDescent="0.25">
      <c r="D6776" t="s">
        <v>14853</v>
      </c>
    </row>
    <row r="6777" spans="4:4" x14ac:dyDescent="0.25">
      <c r="D6777" t="s">
        <v>14854</v>
      </c>
    </row>
    <row r="6778" spans="4:4" x14ac:dyDescent="0.25">
      <c r="D6778" t="s">
        <v>14855</v>
      </c>
    </row>
    <row r="6779" spans="4:4" x14ac:dyDescent="0.25">
      <c r="D6779" t="s">
        <v>14856</v>
      </c>
    </row>
    <row r="6780" spans="4:4" x14ac:dyDescent="0.25">
      <c r="D6780" t="s">
        <v>14857</v>
      </c>
    </row>
    <row r="6781" spans="4:4" x14ac:dyDescent="0.25">
      <c r="D6781" t="s">
        <v>14858</v>
      </c>
    </row>
    <row r="6782" spans="4:4" x14ac:dyDescent="0.25">
      <c r="D6782" t="s">
        <v>14859</v>
      </c>
    </row>
    <row r="6783" spans="4:4" x14ac:dyDescent="0.25">
      <c r="D6783" t="s">
        <v>14860</v>
      </c>
    </row>
    <row r="6784" spans="4:4" x14ac:dyDescent="0.25">
      <c r="D6784" t="s">
        <v>14861</v>
      </c>
    </row>
    <row r="6785" spans="4:4" x14ac:dyDescent="0.25">
      <c r="D6785" t="s">
        <v>14862</v>
      </c>
    </row>
    <row r="6786" spans="4:4" x14ac:dyDescent="0.25">
      <c r="D6786" t="s">
        <v>14863</v>
      </c>
    </row>
    <row r="6787" spans="4:4" x14ac:dyDescent="0.25">
      <c r="D6787" t="s">
        <v>14864</v>
      </c>
    </row>
    <row r="6788" spans="4:4" x14ac:dyDescent="0.25">
      <c r="D6788" t="s">
        <v>14865</v>
      </c>
    </row>
    <row r="6789" spans="4:4" x14ac:dyDescent="0.25">
      <c r="D6789" t="s">
        <v>14866</v>
      </c>
    </row>
    <row r="6790" spans="4:4" x14ac:dyDescent="0.25">
      <c r="D6790" t="s">
        <v>14867</v>
      </c>
    </row>
    <row r="6791" spans="4:4" x14ac:dyDescent="0.25">
      <c r="D6791" t="s">
        <v>14868</v>
      </c>
    </row>
    <row r="6792" spans="4:4" x14ac:dyDescent="0.25">
      <c r="D6792" t="s">
        <v>14869</v>
      </c>
    </row>
    <row r="6793" spans="4:4" x14ac:dyDescent="0.25">
      <c r="D6793" t="s">
        <v>14870</v>
      </c>
    </row>
    <row r="6794" spans="4:4" x14ac:dyDescent="0.25">
      <c r="D6794" t="s">
        <v>14871</v>
      </c>
    </row>
    <row r="6795" spans="4:4" x14ac:dyDescent="0.25">
      <c r="D6795" t="s">
        <v>14872</v>
      </c>
    </row>
    <row r="6796" spans="4:4" x14ac:dyDescent="0.25">
      <c r="D6796" t="s">
        <v>14873</v>
      </c>
    </row>
    <row r="6797" spans="4:4" x14ac:dyDescent="0.25">
      <c r="D6797" t="s">
        <v>14874</v>
      </c>
    </row>
    <row r="6798" spans="4:4" x14ac:dyDescent="0.25">
      <c r="D6798" t="s">
        <v>14875</v>
      </c>
    </row>
    <row r="6799" spans="4:4" x14ac:dyDescent="0.25">
      <c r="D6799" t="s">
        <v>14876</v>
      </c>
    </row>
    <row r="6800" spans="4:4" x14ac:dyDescent="0.25">
      <c r="D6800" t="s">
        <v>14877</v>
      </c>
    </row>
    <row r="6801" spans="4:4" x14ac:dyDescent="0.25">
      <c r="D6801" t="s">
        <v>14878</v>
      </c>
    </row>
    <row r="6802" spans="4:4" x14ac:dyDescent="0.25">
      <c r="D6802" t="s">
        <v>14879</v>
      </c>
    </row>
    <row r="6803" spans="4:4" x14ac:dyDescent="0.25">
      <c r="D6803" t="s">
        <v>14880</v>
      </c>
    </row>
    <row r="6804" spans="4:4" x14ac:dyDescent="0.25">
      <c r="D6804" t="s">
        <v>14881</v>
      </c>
    </row>
    <row r="6805" spans="4:4" x14ac:dyDescent="0.25">
      <c r="D6805" t="s">
        <v>14882</v>
      </c>
    </row>
    <row r="6806" spans="4:4" x14ac:dyDescent="0.25">
      <c r="D6806" t="s">
        <v>14883</v>
      </c>
    </row>
    <row r="6807" spans="4:4" x14ac:dyDescent="0.25">
      <c r="D6807" t="s">
        <v>14884</v>
      </c>
    </row>
    <row r="6808" spans="4:4" x14ac:dyDescent="0.25">
      <c r="D6808" t="s">
        <v>14885</v>
      </c>
    </row>
    <row r="6809" spans="4:4" x14ac:dyDescent="0.25">
      <c r="D6809" t="s">
        <v>14886</v>
      </c>
    </row>
    <row r="6810" spans="4:4" x14ac:dyDescent="0.25">
      <c r="D6810" t="s">
        <v>14887</v>
      </c>
    </row>
    <row r="6811" spans="4:4" x14ac:dyDescent="0.25">
      <c r="D6811" t="s">
        <v>14888</v>
      </c>
    </row>
    <row r="6812" spans="4:4" x14ac:dyDescent="0.25">
      <c r="D6812" t="s">
        <v>14889</v>
      </c>
    </row>
    <row r="6813" spans="4:4" x14ac:dyDescent="0.25">
      <c r="D6813" t="s">
        <v>14890</v>
      </c>
    </row>
    <row r="6814" spans="4:4" x14ac:dyDescent="0.25">
      <c r="D6814" t="s">
        <v>14891</v>
      </c>
    </row>
    <row r="6815" spans="4:4" x14ac:dyDescent="0.25">
      <c r="D6815" t="s">
        <v>14892</v>
      </c>
    </row>
    <row r="6816" spans="4:4" x14ac:dyDescent="0.25">
      <c r="D6816" t="s">
        <v>14893</v>
      </c>
    </row>
    <row r="6817" spans="4:4" x14ac:dyDescent="0.25">
      <c r="D6817" t="s">
        <v>14894</v>
      </c>
    </row>
    <row r="6818" spans="4:4" x14ac:dyDescent="0.25">
      <c r="D6818" t="s">
        <v>14895</v>
      </c>
    </row>
    <row r="6819" spans="4:4" x14ac:dyDescent="0.25">
      <c r="D6819" t="s">
        <v>14896</v>
      </c>
    </row>
    <row r="6820" spans="4:4" x14ac:dyDescent="0.25">
      <c r="D6820" t="s">
        <v>14897</v>
      </c>
    </row>
    <row r="6821" spans="4:4" x14ac:dyDescent="0.25">
      <c r="D6821" t="s">
        <v>14898</v>
      </c>
    </row>
    <row r="6822" spans="4:4" x14ac:dyDescent="0.25">
      <c r="D6822" t="s">
        <v>14899</v>
      </c>
    </row>
    <row r="6823" spans="4:4" x14ac:dyDescent="0.25">
      <c r="D6823" t="s">
        <v>14900</v>
      </c>
    </row>
    <row r="6824" spans="4:4" x14ac:dyDescent="0.25">
      <c r="D6824" t="s">
        <v>14901</v>
      </c>
    </row>
    <row r="6825" spans="4:4" x14ac:dyDescent="0.25">
      <c r="D6825" t="s">
        <v>14902</v>
      </c>
    </row>
    <row r="6826" spans="4:4" x14ac:dyDescent="0.25">
      <c r="D6826" t="s">
        <v>14903</v>
      </c>
    </row>
    <row r="6827" spans="4:4" x14ac:dyDescent="0.25">
      <c r="D6827" t="s">
        <v>14904</v>
      </c>
    </row>
    <row r="6828" spans="4:4" x14ac:dyDescent="0.25">
      <c r="D6828" t="s">
        <v>14905</v>
      </c>
    </row>
    <row r="6829" spans="4:4" x14ac:dyDescent="0.25">
      <c r="D6829" t="s">
        <v>14906</v>
      </c>
    </row>
    <row r="6830" spans="4:4" x14ac:dyDescent="0.25">
      <c r="D6830" t="s">
        <v>14907</v>
      </c>
    </row>
    <row r="6831" spans="4:4" x14ac:dyDescent="0.25">
      <c r="D6831" t="s">
        <v>14908</v>
      </c>
    </row>
    <row r="6832" spans="4:4" x14ac:dyDescent="0.25">
      <c r="D6832" t="s">
        <v>14909</v>
      </c>
    </row>
    <row r="6833" spans="4:4" x14ac:dyDescent="0.25">
      <c r="D6833" t="s">
        <v>14910</v>
      </c>
    </row>
    <row r="6834" spans="4:4" x14ac:dyDescent="0.25">
      <c r="D6834" t="s">
        <v>14911</v>
      </c>
    </row>
    <row r="6835" spans="4:4" x14ac:dyDescent="0.25">
      <c r="D6835" t="s">
        <v>14912</v>
      </c>
    </row>
    <row r="6836" spans="4:4" x14ac:dyDescent="0.25">
      <c r="D6836" t="s">
        <v>14913</v>
      </c>
    </row>
    <row r="6837" spans="4:4" x14ac:dyDescent="0.25">
      <c r="D6837" t="s">
        <v>14914</v>
      </c>
    </row>
    <row r="6838" spans="4:4" x14ac:dyDescent="0.25">
      <c r="D6838" t="s">
        <v>14915</v>
      </c>
    </row>
    <row r="6839" spans="4:4" x14ac:dyDescent="0.25">
      <c r="D6839" t="s">
        <v>14916</v>
      </c>
    </row>
    <row r="6840" spans="4:4" x14ac:dyDescent="0.25">
      <c r="D6840" t="s">
        <v>14917</v>
      </c>
    </row>
    <row r="6841" spans="4:4" x14ac:dyDescent="0.25">
      <c r="D6841" t="s">
        <v>14918</v>
      </c>
    </row>
    <row r="6842" spans="4:4" x14ac:dyDescent="0.25">
      <c r="D6842" t="s">
        <v>14919</v>
      </c>
    </row>
    <row r="6843" spans="4:4" x14ac:dyDescent="0.25">
      <c r="D6843" t="s">
        <v>14920</v>
      </c>
    </row>
    <row r="6844" spans="4:4" x14ac:dyDescent="0.25">
      <c r="D6844" t="s">
        <v>14921</v>
      </c>
    </row>
    <row r="6845" spans="4:4" x14ac:dyDescent="0.25">
      <c r="D6845" t="s">
        <v>14922</v>
      </c>
    </row>
    <row r="6846" spans="4:4" x14ac:dyDescent="0.25">
      <c r="D6846" t="s">
        <v>14923</v>
      </c>
    </row>
    <row r="6847" spans="4:4" x14ac:dyDescent="0.25">
      <c r="D6847" t="s">
        <v>14924</v>
      </c>
    </row>
    <row r="6848" spans="4:4" x14ac:dyDescent="0.25">
      <c r="D6848" t="s">
        <v>14925</v>
      </c>
    </row>
    <row r="6849" spans="4:4" x14ac:dyDescent="0.25">
      <c r="D6849" t="s">
        <v>14926</v>
      </c>
    </row>
    <row r="6850" spans="4:4" x14ac:dyDescent="0.25">
      <c r="D6850" t="s">
        <v>14927</v>
      </c>
    </row>
    <row r="6851" spans="4:4" x14ac:dyDescent="0.25">
      <c r="D6851" t="s">
        <v>14928</v>
      </c>
    </row>
    <row r="6852" spans="4:4" x14ac:dyDescent="0.25">
      <c r="D6852" t="s">
        <v>14929</v>
      </c>
    </row>
    <row r="6853" spans="4:4" x14ac:dyDescent="0.25">
      <c r="D6853" t="s">
        <v>14930</v>
      </c>
    </row>
    <row r="6854" spans="4:4" x14ac:dyDescent="0.25">
      <c r="D6854" t="s">
        <v>14931</v>
      </c>
    </row>
    <row r="6855" spans="4:4" x14ac:dyDescent="0.25">
      <c r="D6855" t="s">
        <v>14932</v>
      </c>
    </row>
    <row r="6856" spans="4:4" x14ac:dyDescent="0.25">
      <c r="D6856" t="s">
        <v>14933</v>
      </c>
    </row>
    <row r="6857" spans="4:4" x14ac:dyDescent="0.25">
      <c r="D6857" t="s">
        <v>14934</v>
      </c>
    </row>
    <row r="6858" spans="4:4" x14ac:dyDescent="0.25">
      <c r="D6858" t="s">
        <v>14935</v>
      </c>
    </row>
    <row r="6859" spans="4:4" x14ac:dyDescent="0.25">
      <c r="D6859" t="s">
        <v>14936</v>
      </c>
    </row>
    <row r="6860" spans="4:4" x14ac:dyDescent="0.25">
      <c r="D6860" t="s">
        <v>14937</v>
      </c>
    </row>
    <row r="6861" spans="4:4" x14ac:dyDescent="0.25">
      <c r="D6861" t="s">
        <v>14938</v>
      </c>
    </row>
    <row r="6862" spans="4:4" x14ac:dyDescent="0.25">
      <c r="D6862" t="s">
        <v>14939</v>
      </c>
    </row>
    <row r="6863" spans="4:4" x14ac:dyDescent="0.25">
      <c r="D6863" t="s">
        <v>14940</v>
      </c>
    </row>
    <row r="6864" spans="4:4" x14ac:dyDescent="0.25">
      <c r="D6864" t="s">
        <v>14941</v>
      </c>
    </row>
    <row r="6865" spans="4:4" x14ac:dyDescent="0.25">
      <c r="D6865" t="s">
        <v>14942</v>
      </c>
    </row>
    <row r="6866" spans="4:4" x14ac:dyDescent="0.25">
      <c r="D6866" t="s">
        <v>14943</v>
      </c>
    </row>
    <row r="6867" spans="4:4" x14ac:dyDescent="0.25">
      <c r="D6867" t="s">
        <v>14944</v>
      </c>
    </row>
    <row r="6868" spans="4:4" x14ac:dyDescent="0.25">
      <c r="D6868" t="s">
        <v>14945</v>
      </c>
    </row>
    <row r="6869" spans="4:4" x14ac:dyDescent="0.25">
      <c r="D6869" t="s">
        <v>14946</v>
      </c>
    </row>
    <row r="6870" spans="4:4" x14ac:dyDescent="0.25">
      <c r="D6870" t="s">
        <v>14947</v>
      </c>
    </row>
    <row r="6871" spans="4:4" x14ac:dyDescent="0.25">
      <c r="D6871" t="s">
        <v>14948</v>
      </c>
    </row>
    <row r="6872" spans="4:4" x14ac:dyDescent="0.25">
      <c r="D6872" t="s">
        <v>14949</v>
      </c>
    </row>
    <row r="6873" spans="4:4" x14ac:dyDescent="0.25">
      <c r="D6873" t="s">
        <v>14950</v>
      </c>
    </row>
    <row r="6874" spans="4:4" x14ac:dyDescent="0.25">
      <c r="D6874" t="s">
        <v>14951</v>
      </c>
    </row>
    <row r="6875" spans="4:4" x14ac:dyDescent="0.25">
      <c r="D6875" t="s">
        <v>14952</v>
      </c>
    </row>
    <row r="6876" spans="4:4" x14ac:dyDescent="0.25">
      <c r="D6876" t="s">
        <v>14953</v>
      </c>
    </row>
    <row r="6877" spans="4:4" x14ac:dyDescent="0.25">
      <c r="D6877" t="s">
        <v>14954</v>
      </c>
    </row>
    <row r="6878" spans="4:4" x14ac:dyDescent="0.25">
      <c r="D6878" t="s">
        <v>14955</v>
      </c>
    </row>
    <row r="6879" spans="4:4" x14ac:dyDescent="0.25">
      <c r="D6879" t="s">
        <v>14956</v>
      </c>
    </row>
    <row r="6880" spans="4:4" x14ac:dyDescent="0.25">
      <c r="D6880" t="s">
        <v>14957</v>
      </c>
    </row>
    <row r="6881" spans="4:4" x14ac:dyDescent="0.25">
      <c r="D6881" t="s">
        <v>14958</v>
      </c>
    </row>
    <row r="6882" spans="4:4" x14ac:dyDescent="0.25">
      <c r="D6882" t="s">
        <v>14959</v>
      </c>
    </row>
    <row r="6883" spans="4:4" x14ac:dyDescent="0.25">
      <c r="D6883" t="s">
        <v>14960</v>
      </c>
    </row>
    <row r="6884" spans="4:4" x14ac:dyDescent="0.25">
      <c r="D6884" t="s">
        <v>14961</v>
      </c>
    </row>
    <row r="6885" spans="4:4" x14ac:dyDescent="0.25">
      <c r="D6885" t="s">
        <v>14962</v>
      </c>
    </row>
    <row r="6886" spans="4:4" x14ac:dyDescent="0.25">
      <c r="D6886" t="s">
        <v>14963</v>
      </c>
    </row>
    <row r="6887" spans="4:4" x14ac:dyDescent="0.25">
      <c r="D6887" t="s">
        <v>14964</v>
      </c>
    </row>
    <row r="6888" spans="4:4" x14ac:dyDescent="0.25">
      <c r="D6888" t="s">
        <v>14965</v>
      </c>
    </row>
    <row r="6889" spans="4:4" x14ac:dyDescent="0.25">
      <c r="D6889" t="s">
        <v>14966</v>
      </c>
    </row>
    <row r="6890" spans="4:4" x14ac:dyDescent="0.25">
      <c r="D6890" t="s">
        <v>14967</v>
      </c>
    </row>
    <row r="6891" spans="4:4" x14ac:dyDescent="0.25">
      <c r="D6891" t="s">
        <v>14968</v>
      </c>
    </row>
    <row r="6892" spans="4:4" x14ac:dyDescent="0.25">
      <c r="D6892" t="s">
        <v>14969</v>
      </c>
    </row>
    <row r="6893" spans="4:4" x14ac:dyDescent="0.25">
      <c r="D6893" t="s">
        <v>14970</v>
      </c>
    </row>
    <row r="6894" spans="4:4" x14ac:dyDescent="0.25">
      <c r="D6894" t="s">
        <v>14971</v>
      </c>
    </row>
    <row r="6895" spans="4:4" x14ac:dyDescent="0.25">
      <c r="D6895" t="s">
        <v>14972</v>
      </c>
    </row>
    <row r="6896" spans="4:4" x14ac:dyDescent="0.25">
      <c r="D6896" t="s">
        <v>14973</v>
      </c>
    </row>
    <row r="6897" spans="4:4" x14ac:dyDescent="0.25">
      <c r="D6897" t="s">
        <v>14974</v>
      </c>
    </row>
    <row r="6898" spans="4:4" x14ac:dyDescent="0.25">
      <c r="D6898" t="s">
        <v>14975</v>
      </c>
    </row>
    <row r="6899" spans="4:4" x14ac:dyDescent="0.25">
      <c r="D6899" t="s">
        <v>14976</v>
      </c>
    </row>
    <row r="6900" spans="4:4" x14ac:dyDescent="0.25">
      <c r="D6900" t="s">
        <v>14977</v>
      </c>
    </row>
    <row r="6901" spans="4:4" x14ac:dyDescent="0.25">
      <c r="D6901" t="s">
        <v>14978</v>
      </c>
    </row>
    <row r="6902" spans="4:4" x14ac:dyDescent="0.25">
      <c r="D6902" t="s">
        <v>14979</v>
      </c>
    </row>
    <row r="6903" spans="4:4" x14ac:dyDescent="0.25">
      <c r="D6903" t="s">
        <v>14980</v>
      </c>
    </row>
    <row r="6904" spans="4:4" x14ac:dyDescent="0.25">
      <c r="D6904" t="s">
        <v>14981</v>
      </c>
    </row>
    <row r="6905" spans="4:4" x14ac:dyDescent="0.25">
      <c r="D6905" t="s">
        <v>14982</v>
      </c>
    </row>
    <row r="6906" spans="4:4" x14ac:dyDescent="0.25">
      <c r="D6906" t="s">
        <v>14983</v>
      </c>
    </row>
    <row r="6907" spans="4:4" x14ac:dyDescent="0.25">
      <c r="D6907" t="s">
        <v>14984</v>
      </c>
    </row>
    <row r="6908" spans="4:4" x14ac:dyDescent="0.25">
      <c r="D6908" t="s">
        <v>14985</v>
      </c>
    </row>
    <row r="6909" spans="4:4" x14ac:dyDescent="0.25">
      <c r="D6909" t="s">
        <v>14986</v>
      </c>
    </row>
    <row r="6910" spans="4:4" x14ac:dyDescent="0.25">
      <c r="D6910" t="s">
        <v>14987</v>
      </c>
    </row>
    <row r="6911" spans="4:4" x14ac:dyDescent="0.25">
      <c r="D6911" t="s">
        <v>14988</v>
      </c>
    </row>
    <row r="6912" spans="4:4" x14ac:dyDescent="0.25">
      <c r="D6912" t="s">
        <v>14989</v>
      </c>
    </row>
    <row r="6913" spans="4:4" x14ac:dyDescent="0.25">
      <c r="D6913" t="s">
        <v>14990</v>
      </c>
    </row>
    <row r="6914" spans="4:4" x14ac:dyDescent="0.25">
      <c r="D6914" t="s">
        <v>14991</v>
      </c>
    </row>
    <row r="6915" spans="4:4" x14ac:dyDescent="0.25">
      <c r="D6915" t="s">
        <v>14992</v>
      </c>
    </row>
    <row r="6916" spans="4:4" x14ac:dyDescent="0.25">
      <c r="D6916" t="s">
        <v>14993</v>
      </c>
    </row>
    <row r="6917" spans="4:4" x14ac:dyDescent="0.25">
      <c r="D6917" t="s">
        <v>14994</v>
      </c>
    </row>
    <row r="6918" spans="4:4" x14ac:dyDescent="0.25">
      <c r="D6918" t="s">
        <v>14995</v>
      </c>
    </row>
    <row r="6919" spans="4:4" x14ac:dyDescent="0.25">
      <c r="D6919" t="s">
        <v>14996</v>
      </c>
    </row>
    <row r="6920" spans="4:4" x14ac:dyDescent="0.25">
      <c r="D6920" t="s">
        <v>14997</v>
      </c>
    </row>
    <row r="6921" spans="4:4" x14ac:dyDescent="0.25">
      <c r="D6921" t="s">
        <v>14998</v>
      </c>
    </row>
    <row r="6922" spans="4:4" x14ac:dyDescent="0.25">
      <c r="D6922" t="s">
        <v>14999</v>
      </c>
    </row>
    <row r="6923" spans="4:4" x14ac:dyDescent="0.25">
      <c r="D6923" t="s">
        <v>15000</v>
      </c>
    </row>
    <row r="6924" spans="4:4" x14ac:dyDescent="0.25">
      <c r="D6924" t="s">
        <v>15001</v>
      </c>
    </row>
    <row r="6925" spans="4:4" x14ac:dyDescent="0.25">
      <c r="D6925" t="s">
        <v>15002</v>
      </c>
    </row>
    <row r="6926" spans="4:4" x14ac:dyDescent="0.25">
      <c r="D6926" t="s">
        <v>15003</v>
      </c>
    </row>
    <row r="6927" spans="4:4" x14ac:dyDescent="0.25">
      <c r="D6927" t="s">
        <v>15004</v>
      </c>
    </row>
    <row r="6928" spans="4:4" x14ac:dyDescent="0.25">
      <c r="D6928" t="s">
        <v>15005</v>
      </c>
    </row>
    <row r="6929" spans="4:4" x14ac:dyDescent="0.25">
      <c r="D6929" t="s">
        <v>15006</v>
      </c>
    </row>
    <row r="6930" spans="4:4" x14ac:dyDescent="0.25">
      <c r="D6930" t="s">
        <v>15007</v>
      </c>
    </row>
    <row r="6931" spans="4:4" x14ac:dyDescent="0.25">
      <c r="D6931" t="s">
        <v>15008</v>
      </c>
    </row>
    <row r="6932" spans="4:4" x14ac:dyDescent="0.25">
      <c r="D6932" t="s">
        <v>15009</v>
      </c>
    </row>
    <row r="6933" spans="4:4" x14ac:dyDescent="0.25">
      <c r="D6933" t="s">
        <v>15010</v>
      </c>
    </row>
    <row r="6934" spans="4:4" x14ac:dyDescent="0.25">
      <c r="D6934" t="s">
        <v>15011</v>
      </c>
    </row>
    <row r="6935" spans="4:4" x14ac:dyDescent="0.25">
      <c r="D6935" t="s">
        <v>15012</v>
      </c>
    </row>
    <row r="6936" spans="4:4" x14ac:dyDescent="0.25">
      <c r="D6936" t="s">
        <v>15013</v>
      </c>
    </row>
    <row r="6937" spans="4:4" x14ac:dyDescent="0.25">
      <c r="D6937" t="s">
        <v>15014</v>
      </c>
    </row>
    <row r="6938" spans="4:4" x14ac:dyDescent="0.25">
      <c r="D6938" t="s">
        <v>15015</v>
      </c>
    </row>
    <row r="6939" spans="4:4" x14ac:dyDescent="0.25">
      <c r="D6939" t="s">
        <v>15016</v>
      </c>
    </row>
    <row r="6940" spans="4:4" x14ac:dyDescent="0.25">
      <c r="D6940" t="s">
        <v>15017</v>
      </c>
    </row>
    <row r="6941" spans="4:4" x14ac:dyDescent="0.25">
      <c r="D6941" t="s">
        <v>15018</v>
      </c>
    </row>
    <row r="6942" spans="4:4" x14ac:dyDescent="0.25">
      <c r="D6942" t="s">
        <v>15019</v>
      </c>
    </row>
    <row r="6943" spans="4:4" x14ac:dyDescent="0.25">
      <c r="D6943" t="s">
        <v>15020</v>
      </c>
    </row>
    <row r="6944" spans="4:4" x14ac:dyDescent="0.25">
      <c r="D6944" t="s">
        <v>15021</v>
      </c>
    </row>
    <row r="6945" spans="4:4" x14ac:dyDescent="0.25">
      <c r="D6945" t="s">
        <v>15022</v>
      </c>
    </row>
    <row r="6946" spans="4:4" x14ac:dyDescent="0.25">
      <c r="D6946" t="s">
        <v>15023</v>
      </c>
    </row>
    <row r="6947" spans="4:4" x14ac:dyDescent="0.25">
      <c r="D6947" t="s">
        <v>15024</v>
      </c>
    </row>
    <row r="6948" spans="4:4" x14ac:dyDescent="0.25">
      <c r="D6948" t="s">
        <v>15025</v>
      </c>
    </row>
    <row r="6949" spans="4:4" x14ac:dyDescent="0.25">
      <c r="D6949" t="s">
        <v>15026</v>
      </c>
    </row>
    <row r="6950" spans="4:4" x14ac:dyDescent="0.25">
      <c r="D6950" t="s">
        <v>15027</v>
      </c>
    </row>
    <row r="6951" spans="4:4" x14ac:dyDescent="0.25">
      <c r="D6951" t="s">
        <v>15028</v>
      </c>
    </row>
    <row r="6952" spans="4:4" x14ac:dyDescent="0.25">
      <c r="D6952" t="s">
        <v>15029</v>
      </c>
    </row>
    <row r="6953" spans="4:4" x14ac:dyDescent="0.25">
      <c r="D6953" t="s">
        <v>15030</v>
      </c>
    </row>
    <row r="6954" spans="4:4" x14ac:dyDescent="0.25">
      <c r="D6954" t="s">
        <v>15031</v>
      </c>
    </row>
    <row r="6955" spans="4:4" x14ac:dyDescent="0.25">
      <c r="D6955" t="s">
        <v>15032</v>
      </c>
    </row>
    <row r="6956" spans="4:4" x14ac:dyDescent="0.25">
      <c r="D6956" t="s">
        <v>15033</v>
      </c>
    </row>
    <row r="6957" spans="4:4" x14ac:dyDescent="0.25">
      <c r="D6957" t="s">
        <v>15034</v>
      </c>
    </row>
    <row r="6958" spans="4:4" x14ac:dyDescent="0.25">
      <c r="D6958" t="s">
        <v>15035</v>
      </c>
    </row>
    <row r="6959" spans="4:4" x14ac:dyDescent="0.25">
      <c r="D6959" t="s">
        <v>15036</v>
      </c>
    </row>
    <row r="6960" spans="4:4" x14ac:dyDescent="0.25">
      <c r="D6960" t="s">
        <v>15037</v>
      </c>
    </row>
    <row r="6961" spans="4:4" x14ac:dyDescent="0.25">
      <c r="D6961" t="s">
        <v>15038</v>
      </c>
    </row>
    <row r="6962" spans="4:4" x14ac:dyDescent="0.25">
      <c r="D6962" t="s">
        <v>15039</v>
      </c>
    </row>
    <row r="6963" spans="4:4" x14ac:dyDescent="0.25">
      <c r="D6963" t="s">
        <v>15040</v>
      </c>
    </row>
    <row r="6964" spans="4:4" x14ac:dyDescent="0.25">
      <c r="D6964" t="s">
        <v>15041</v>
      </c>
    </row>
    <row r="6965" spans="4:4" x14ac:dyDescent="0.25">
      <c r="D6965" t="s">
        <v>15042</v>
      </c>
    </row>
    <row r="6966" spans="4:4" x14ac:dyDescent="0.25">
      <c r="D6966" t="s">
        <v>15043</v>
      </c>
    </row>
    <row r="6967" spans="4:4" x14ac:dyDescent="0.25">
      <c r="D6967" t="s">
        <v>15044</v>
      </c>
    </row>
    <row r="6968" spans="4:4" x14ac:dyDescent="0.25">
      <c r="D6968" t="s">
        <v>15045</v>
      </c>
    </row>
    <row r="6969" spans="4:4" x14ac:dyDescent="0.25">
      <c r="D6969" t="s">
        <v>15046</v>
      </c>
    </row>
    <row r="6970" spans="4:4" x14ac:dyDescent="0.25">
      <c r="D6970" t="s">
        <v>15047</v>
      </c>
    </row>
    <row r="6971" spans="4:4" x14ac:dyDescent="0.25">
      <c r="D6971" t="s">
        <v>15048</v>
      </c>
    </row>
    <row r="6972" spans="4:4" x14ac:dyDescent="0.25">
      <c r="D6972" t="s">
        <v>15049</v>
      </c>
    </row>
    <row r="6973" spans="4:4" x14ac:dyDescent="0.25">
      <c r="D6973" t="s">
        <v>15050</v>
      </c>
    </row>
    <row r="6974" spans="4:4" x14ac:dyDescent="0.25">
      <c r="D6974" t="s">
        <v>15051</v>
      </c>
    </row>
    <row r="6975" spans="4:4" x14ac:dyDescent="0.25">
      <c r="D6975" t="s">
        <v>15052</v>
      </c>
    </row>
    <row r="6976" spans="4:4" x14ac:dyDescent="0.25">
      <c r="D6976" t="s">
        <v>15053</v>
      </c>
    </row>
    <row r="6977" spans="4:4" x14ac:dyDescent="0.25">
      <c r="D6977" t="s">
        <v>15054</v>
      </c>
    </row>
    <row r="6978" spans="4:4" x14ac:dyDescent="0.25">
      <c r="D6978" t="s">
        <v>15055</v>
      </c>
    </row>
    <row r="6979" spans="4:4" x14ac:dyDescent="0.25">
      <c r="D6979" t="s">
        <v>15056</v>
      </c>
    </row>
    <row r="6980" spans="4:4" x14ac:dyDescent="0.25">
      <c r="D6980" t="s">
        <v>15057</v>
      </c>
    </row>
    <row r="6981" spans="4:4" x14ac:dyDescent="0.25">
      <c r="D6981" t="s">
        <v>15058</v>
      </c>
    </row>
    <row r="6982" spans="4:4" x14ac:dyDescent="0.25">
      <c r="D6982" t="s">
        <v>15059</v>
      </c>
    </row>
    <row r="6983" spans="4:4" x14ac:dyDescent="0.25">
      <c r="D6983" t="s">
        <v>15060</v>
      </c>
    </row>
    <row r="6984" spans="4:4" x14ac:dyDescent="0.25">
      <c r="D6984" t="s">
        <v>15061</v>
      </c>
    </row>
    <row r="6985" spans="4:4" x14ac:dyDescent="0.25">
      <c r="D6985" t="s">
        <v>15062</v>
      </c>
    </row>
    <row r="6986" spans="4:4" x14ac:dyDescent="0.25">
      <c r="D6986" t="s">
        <v>15063</v>
      </c>
    </row>
    <row r="6987" spans="4:4" x14ac:dyDescent="0.25">
      <c r="D6987" t="s">
        <v>15064</v>
      </c>
    </row>
    <row r="6988" spans="4:4" x14ac:dyDescent="0.25">
      <c r="D6988" t="s">
        <v>15065</v>
      </c>
    </row>
    <row r="6989" spans="4:4" x14ac:dyDescent="0.25">
      <c r="D6989" t="s">
        <v>15066</v>
      </c>
    </row>
    <row r="6990" spans="4:4" x14ac:dyDescent="0.25">
      <c r="D6990" t="s">
        <v>15067</v>
      </c>
    </row>
    <row r="6991" spans="4:4" x14ac:dyDescent="0.25">
      <c r="D6991" t="s">
        <v>15068</v>
      </c>
    </row>
    <row r="6992" spans="4:4" x14ac:dyDescent="0.25">
      <c r="D6992" t="s">
        <v>15069</v>
      </c>
    </row>
    <row r="6993" spans="4:4" x14ac:dyDescent="0.25">
      <c r="D6993" t="s">
        <v>15070</v>
      </c>
    </row>
    <row r="6994" spans="4:4" x14ac:dyDescent="0.25">
      <c r="D6994" t="s">
        <v>15071</v>
      </c>
    </row>
    <row r="6995" spans="4:4" x14ac:dyDescent="0.25">
      <c r="D6995" t="s">
        <v>15072</v>
      </c>
    </row>
    <row r="6996" spans="4:4" x14ac:dyDescent="0.25">
      <c r="D6996" t="s">
        <v>15073</v>
      </c>
    </row>
    <row r="6997" spans="4:4" x14ac:dyDescent="0.25">
      <c r="D6997" t="s">
        <v>15074</v>
      </c>
    </row>
    <row r="6998" spans="4:4" x14ac:dyDescent="0.25">
      <c r="D6998" t="s">
        <v>15075</v>
      </c>
    </row>
    <row r="6999" spans="4:4" x14ac:dyDescent="0.25">
      <c r="D6999" t="s">
        <v>15076</v>
      </c>
    </row>
    <row r="7000" spans="4:4" x14ac:dyDescent="0.25">
      <c r="D7000" t="s">
        <v>15077</v>
      </c>
    </row>
    <row r="7001" spans="4:4" x14ac:dyDescent="0.25">
      <c r="D7001" t="s">
        <v>15078</v>
      </c>
    </row>
    <row r="7002" spans="4:4" x14ac:dyDescent="0.25">
      <c r="D7002" t="s">
        <v>15079</v>
      </c>
    </row>
    <row r="7003" spans="4:4" x14ac:dyDescent="0.25">
      <c r="D7003" t="s">
        <v>15080</v>
      </c>
    </row>
    <row r="7004" spans="4:4" x14ac:dyDescent="0.25">
      <c r="D7004" t="s">
        <v>15081</v>
      </c>
    </row>
    <row r="7005" spans="4:4" x14ac:dyDescent="0.25">
      <c r="D7005" t="s">
        <v>15082</v>
      </c>
    </row>
    <row r="7006" spans="4:4" x14ac:dyDescent="0.25">
      <c r="D7006" t="s">
        <v>15083</v>
      </c>
    </row>
    <row r="7007" spans="4:4" x14ac:dyDescent="0.25">
      <c r="D7007" t="s">
        <v>15084</v>
      </c>
    </row>
    <row r="7008" spans="4:4" x14ac:dyDescent="0.25">
      <c r="D7008" t="s">
        <v>15085</v>
      </c>
    </row>
    <row r="7009" spans="4:4" x14ac:dyDescent="0.25">
      <c r="D7009" t="s">
        <v>15086</v>
      </c>
    </row>
    <row r="7010" spans="4:4" x14ac:dyDescent="0.25">
      <c r="D7010" t="s">
        <v>15087</v>
      </c>
    </row>
    <row r="7011" spans="4:4" x14ac:dyDescent="0.25">
      <c r="D7011" t="s">
        <v>15088</v>
      </c>
    </row>
    <row r="7012" spans="4:4" x14ac:dyDescent="0.25">
      <c r="D7012" t="s">
        <v>15089</v>
      </c>
    </row>
    <row r="7013" spans="4:4" x14ac:dyDescent="0.25">
      <c r="D7013" t="s">
        <v>15090</v>
      </c>
    </row>
    <row r="7014" spans="4:4" x14ac:dyDescent="0.25">
      <c r="D7014" t="s">
        <v>15091</v>
      </c>
    </row>
    <row r="7015" spans="4:4" x14ac:dyDescent="0.25">
      <c r="D7015" t="s">
        <v>15092</v>
      </c>
    </row>
    <row r="7016" spans="4:4" x14ac:dyDescent="0.25">
      <c r="D7016" t="s">
        <v>15093</v>
      </c>
    </row>
    <row r="7017" spans="4:4" x14ac:dyDescent="0.25">
      <c r="D7017" t="s">
        <v>15094</v>
      </c>
    </row>
    <row r="7018" spans="4:4" x14ac:dyDescent="0.25">
      <c r="D7018" t="s">
        <v>15095</v>
      </c>
    </row>
    <row r="7019" spans="4:4" x14ac:dyDescent="0.25">
      <c r="D7019" t="s">
        <v>15096</v>
      </c>
    </row>
    <row r="7020" spans="4:4" x14ac:dyDescent="0.25">
      <c r="D7020" t="s">
        <v>15097</v>
      </c>
    </row>
    <row r="7021" spans="4:4" x14ac:dyDescent="0.25">
      <c r="D7021" t="s">
        <v>15098</v>
      </c>
    </row>
    <row r="7022" spans="4:4" x14ac:dyDescent="0.25">
      <c r="D7022" t="s">
        <v>15099</v>
      </c>
    </row>
    <row r="7023" spans="4:4" x14ac:dyDescent="0.25">
      <c r="D7023" t="s">
        <v>15100</v>
      </c>
    </row>
    <row r="7024" spans="4:4" x14ac:dyDescent="0.25">
      <c r="D7024" t="s">
        <v>15101</v>
      </c>
    </row>
    <row r="7025" spans="4:4" x14ac:dyDescent="0.25">
      <c r="D7025" t="s">
        <v>15102</v>
      </c>
    </row>
    <row r="7026" spans="4:4" x14ac:dyDescent="0.25">
      <c r="D7026" t="s">
        <v>15103</v>
      </c>
    </row>
    <row r="7027" spans="4:4" x14ac:dyDescent="0.25">
      <c r="D7027" t="s">
        <v>15104</v>
      </c>
    </row>
    <row r="7028" spans="4:4" x14ac:dyDescent="0.25">
      <c r="D7028" t="s">
        <v>15105</v>
      </c>
    </row>
    <row r="7029" spans="4:4" x14ac:dyDescent="0.25">
      <c r="D7029" t="s">
        <v>15106</v>
      </c>
    </row>
    <row r="7030" spans="4:4" x14ac:dyDescent="0.25">
      <c r="D7030" t="s">
        <v>15107</v>
      </c>
    </row>
    <row r="7031" spans="4:4" x14ac:dyDescent="0.25">
      <c r="D7031" t="s">
        <v>15108</v>
      </c>
    </row>
    <row r="7032" spans="4:4" x14ac:dyDescent="0.25">
      <c r="D7032" t="s">
        <v>15109</v>
      </c>
    </row>
    <row r="7033" spans="4:4" x14ac:dyDescent="0.25">
      <c r="D7033" t="s">
        <v>15110</v>
      </c>
    </row>
    <row r="7034" spans="4:4" x14ac:dyDescent="0.25">
      <c r="D7034" t="s">
        <v>15111</v>
      </c>
    </row>
    <row r="7035" spans="4:4" x14ac:dyDescent="0.25">
      <c r="D7035" t="s">
        <v>15112</v>
      </c>
    </row>
    <row r="7036" spans="4:4" x14ac:dyDescent="0.25">
      <c r="D7036" t="s">
        <v>15113</v>
      </c>
    </row>
    <row r="7037" spans="4:4" x14ac:dyDescent="0.25">
      <c r="D7037" t="s">
        <v>15114</v>
      </c>
    </row>
    <row r="7038" spans="4:4" x14ac:dyDescent="0.25">
      <c r="D7038" t="s">
        <v>15115</v>
      </c>
    </row>
    <row r="7039" spans="4:4" x14ac:dyDescent="0.25">
      <c r="D7039" t="s">
        <v>15116</v>
      </c>
    </row>
    <row r="7040" spans="4:4" x14ac:dyDescent="0.25">
      <c r="D7040" t="s">
        <v>15117</v>
      </c>
    </row>
    <row r="7041" spans="4:4" x14ac:dyDescent="0.25">
      <c r="D7041" t="s">
        <v>15118</v>
      </c>
    </row>
    <row r="7042" spans="4:4" x14ac:dyDescent="0.25">
      <c r="D7042" t="s">
        <v>15119</v>
      </c>
    </row>
    <row r="7043" spans="4:4" x14ac:dyDescent="0.25">
      <c r="D7043" t="s">
        <v>15120</v>
      </c>
    </row>
    <row r="7044" spans="4:4" x14ac:dyDescent="0.25">
      <c r="D7044" t="s">
        <v>15121</v>
      </c>
    </row>
    <row r="7045" spans="4:4" x14ac:dyDescent="0.25">
      <c r="D7045" t="s">
        <v>15122</v>
      </c>
    </row>
    <row r="7046" spans="4:4" x14ac:dyDescent="0.25">
      <c r="D7046" t="s">
        <v>15123</v>
      </c>
    </row>
    <row r="7047" spans="4:4" x14ac:dyDescent="0.25">
      <c r="D7047" t="s">
        <v>15124</v>
      </c>
    </row>
    <row r="7048" spans="4:4" x14ac:dyDescent="0.25">
      <c r="D7048" t="s">
        <v>15125</v>
      </c>
    </row>
    <row r="7049" spans="4:4" x14ac:dyDescent="0.25">
      <c r="D7049" t="s">
        <v>15126</v>
      </c>
    </row>
    <row r="7050" spans="4:4" x14ac:dyDescent="0.25">
      <c r="D7050" t="s">
        <v>15127</v>
      </c>
    </row>
    <row r="7051" spans="4:4" x14ac:dyDescent="0.25">
      <c r="D7051" t="s">
        <v>15128</v>
      </c>
    </row>
    <row r="7052" spans="4:4" x14ac:dyDescent="0.25">
      <c r="D7052" t="s">
        <v>15129</v>
      </c>
    </row>
    <row r="7053" spans="4:4" x14ac:dyDescent="0.25">
      <c r="D7053" t="s">
        <v>15130</v>
      </c>
    </row>
    <row r="7054" spans="4:4" x14ac:dyDescent="0.25">
      <c r="D7054" t="s">
        <v>15131</v>
      </c>
    </row>
    <row r="7055" spans="4:4" x14ac:dyDescent="0.25">
      <c r="D7055" t="s">
        <v>15132</v>
      </c>
    </row>
    <row r="7056" spans="4:4" x14ac:dyDescent="0.25">
      <c r="D7056" t="s">
        <v>15133</v>
      </c>
    </row>
    <row r="7057" spans="4:4" x14ac:dyDescent="0.25">
      <c r="D7057" t="s">
        <v>15134</v>
      </c>
    </row>
    <row r="7058" spans="4:4" x14ac:dyDescent="0.25">
      <c r="D7058" t="s">
        <v>15135</v>
      </c>
    </row>
    <row r="7059" spans="4:4" x14ac:dyDescent="0.25">
      <c r="D7059" t="s">
        <v>15136</v>
      </c>
    </row>
    <row r="7060" spans="4:4" x14ac:dyDescent="0.25">
      <c r="D7060" t="s">
        <v>15137</v>
      </c>
    </row>
    <row r="7061" spans="4:4" x14ac:dyDescent="0.25">
      <c r="D7061" t="s">
        <v>15138</v>
      </c>
    </row>
    <row r="7062" spans="4:4" x14ac:dyDescent="0.25">
      <c r="D7062" t="s">
        <v>15139</v>
      </c>
    </row>
    <row r="7063" spans="4:4" x14ac:dyDescent="0.25">
      <c r="D7063" t="s">
        <v>15140</v>
      </c>
    </row>
    <row r="7064" spans="4:4" x14ac:dyDescent="0.25">
      <c r="D7064" t="s">
        <v>15141</v>
      </c>
    </row>
    <row r="7065" spans="4:4" x14ac:dyDescent="0.25">
      <c r="D7065" t="s">
        <v>15142</v>
      </c>
    </row>
    <row r="7066" spans="4:4" x14ac:dyDescent="0.25">
      <c r="D7066" t="s">
        <v>15143</v>
      </c>
    </row>
    <row r="7067" spans="4:4" x14ac:dyDescent="0.25">
      <c r="D7067" t="s">
        <v>15144</v>
      </c>
    </row>
    <row r="7068" spans="4:4" x14ac:dyDescent="0.25">
      <c r="D7068" t="s">
        <v>15145</v>
      </c>
    </row>
    <row r="7069" spans="4:4" x14ac:dyDescent="0.25">
      <c r="D7069" t="s">
        <v>15146</v>
      </c>
    </row>
    <row r="7070" spans="4:4" x14ac:dyDescent="0.25">
      <c r="D7070" t="s">
        <v>15147</v>
      </c>
    </row>
    <row r="7071" spans="4:4" x14ac:dyDescent="0.25">
      <c r="D7071" t="s">
        <v>15148</v>
      </c>
    </row>
    <row r="7072" spans="4:4" x14ac:dyDescent="0.25">
      <c r="D7072" t="s">
        <v>15149</v>
      </c>
    </row>
    <row r="7073" spans="4:4" x14ac:dyDescent="0.25">
      <c r="D7073" t="s">
        <v>15150</v>
      </c>
    </row>
    <row r="7074" spans="4:4" x14ac:dyDescent="0.25">
      <c r="D7074" t="s">
        <v>15151</v>
      </c>
    </row>
    <row r="7075" spans="4:4" x14ac:dyDescent="0.25">
      <c r="D7075" t="s">
        <v>15152</v>
      </c>
    </row>
    <row r="7076" spans="4:4" x14ac:dyDescent="0.25">
      <c r="D7076" t="s">
        <v>15153</v>
      </c>
    </row>
    <row r="7077" spans="4:4" x14ac:dyDescent="0.25">
      <c r="D7077" t="s">
        <v>15154</v>
      </c>
    </row>
    <row r="7078" spans="4:4" x14ac:dyDescent="0.25">
      <c r="D7078" t="s">
        <v>15155</v>
      </c>
    </row>
    <row r="7079" spans="4:4" x14ac:dyDescent="0.25">
      <c r="D7079" t="s">
        <v>15156</v>
      </c>
    </row>
    <row r="7080" spans="4:4" x14ac:dyDescent="0.25">
      <c r="D7080" t="s">
        <v>15157</v>
      </c>
    </row>
    <row r="7081" spans="4:4" x14ac:dyDescent="0.25">
      <c r="D7081" t="s">
        <v>15158</v>
      </c>
    </row>
    <row r="7082" spans="4:4" x14ac:dyDescent="0.25">
      <c r="D7082" t="s">
        <v>15159</v>
      </c>
    </row>
    <row r="7083" spans="4:4" x14ac:dyDescent="0.25">
      <c r="D7083" t="s">
        <v>15160</v>
      </c>
    </row>
    <row r="7084" spans="4:4" x14ac:dyDescent="0.25">
      <c r="D7084" t="s">
        <v>15161</v>
      </c>
    </row>
    <row r="7085" spans="4:4" x14ac:dyDescent="0.25">
      <c r="D7085" t="s">
        <v>15162</v>
      </c>
    </row>
    <row r="7086" spans="4:4" x14ac:dyDescent="0.25">
      <c r="D7086" t="s">
        <v>15163</v>
      </c>
    </row>
    <row r="7087" spans="4:4" x14ac:dyDescent="0.25">
      <c r="D7087" t="s">
        <v>15164</v>
      </c>
    </row>
    <row r="7088" spans="4:4" x14ac:dyDescent="0.25">
      <c r="D7088" t="s">
        <v>15165</v>
      </c>
    </row>
    <row r="7089" spans="4:4" x14ac:dyDescent="0.25">
      <c r="D7089" t="s">
        <v>15166</v>
      </c>
    </row>
    <row r="7090" spans="4:4" x14ac:dyDescent="0.25">
      <c r="D7090" t="s">
        <v>15167</v>
      </c>
    </row>
    <row r="7091" spans="4:4" x14ac:dyDescent="0.25">
      <c r="D7091" t="s">
        <v>15168</v>
      </c>
    </row>
    <row r="7092" spans="4:4" x14ac:dyDescent="0.25">
      <c r="D7092" t="s">
        <v>15169</v>
      </c>
    </row>
    <row r="7093" spans="4:4" x14ac:dyDescent="0.25">
      <c r="D7093" t="s">
        <v>15170</v>
      </c>
    </row>
    <row r="7094" spans="4:4" x14ac:dyDescent="0.25">
      <c r="D7094" t="s">
        <v>15171</v>
      </c>
    </row>
    <row r="7095" spans="4:4" x14ac:dyDescent="0.25">
      <c r="D7095" t="s">
        <v>15172</v>
      </c>
    </row>
    <row r="7096" spans="4:4" x14ac:dyDescent="0.25">
      <c r="D7096" t="s">
        <v>15173</v>
      </c>
    </row>
    <row r="7097" spans="4:4" x14ac:dyDescent="0.25">
      <c r="D7097" t="s">
        <v>15174</v>
      </c>
    </row>
    <row r="7098" spans="4:4" x14ac:dyDescent="0.25">
      <c r="D7098" t="s">
        <v>15175</v>
      </c>
    </row>
    <row r="7099" spans="4:4" x14ac:dyDescent="0.25">
      <c r="D7099" t="s">
        <v>15176</v>
      </c>
    </row>
    <row r="7100" spans="4:4" x14ac:dyDescent="0.25">
      <c r="D7100" t="s">
        <v>15177</v>
      </c>
    </row>
    <row r="7101" spans="4:4" x14ac:dyDescent="0.25">
      <c r="D7101" t="s">
        <v>15178</v>
      </c>
    </row>
    <row r="7102" spans="4:4" x14ac:dyDescent="0.25">
      <c r="D7102" t="s">
        <v>15179</v>
      </c>
    </row>
    <row r="7103" spans="4:4" x14ac:dyDescent="0.25">
      <c r="D7103" t="s">
        <v>15180</v>
      </c>
    </row>
    <row r="7104" spans="4:4" x14ac:dyDescent="0.25">
      <c r="D7104" t="s">
        <v>15181</v>
      </c>
    </row>
    <row r="7105" spans="4:4" x14ac:dyDescent="0.25">
      <c r="D7105" t="s">
        <v>15182</v>
      </c>
    </row>
    <row r="7106" spans="4:4" x14ac:dyDescent="0.25">
      <c r="D7106" t="s">
        <v>15183</v>
      </c>
    </row>
    <row r="7107" spans="4:4" x14ac:dyDescent="0.25">
      <c r="D7107" t="s">
        <v>15184</v>
      </c>
    </row>
    <row r="7108" spans="4:4" x14ac:dyDescent="0.25">
      <c r="D7108" t="s">
        <v>15185</v>
      </c>
    </row>
    <row r="7109" spans="4:4" x14ac:dyDescent="0.25">
      <c r="D7109" t="s">
        <v>15186</v>
      </c>
    </row>
    <row r="7110" spans="4:4" x14ac:dyDescent="0.25">
      <c r="D7110" t="s">
        <v>15187</v>
      </c>
    </row>
    <row r="7111" spans="4:4" x14ac:dyDescent="0.25">
      <c r="D7111" t="s">
        <v>15188</v>
      </c>
    </row>
    <row r="7112" spans="4:4" x14ac:dyDescent="0.25">
      <c r="D7112" t="s">
        <v>15189</v>
      </c>
    </row>
    <row r="7113" spans="4:4" x14ac:dyDescent="0.25">
      <c r="D7113" t="s">
        <v>15190</v>
      </c>
    </row>
    <row r="7114" spans="4:4" x14ac:dyDescent="0.25">
      <c r="D7114" t="s">
        <v>15191</v>
      </c>
    </row>
    <row r="7115" spans="4:4" x14ac:dyDescent="0.25">
      <c r="D7115" t="s">
        <v>15192</v>
      </c>
    </row>
    <row r="7116" spans="4:4" x14ac:dyDescent="0.25">
      <c r="D7116" t="s">
        <v>15193</v>
      </c>
    </row>
    <row r="7117" spans="4:4" x14ac:dyDescent="0.25">
      <c r="D7117" t="s">
        <v>15194</v>
      </c>
    </row>
    <row r="7118" spans="4:4" x14ac:dyDescent="0.25">
      <c r="D7118" t="s">
        <v>15195</v>
      </c>
    </row>
    <row r="7119" spans="4:4" x14ac:dyDescent="0.25">
      <c r="D7119" t="s">
        <v>15196</v>
      </c>
    </row>
    <row r="7120" spans="4:4" x14ac:dyDescent="0.25">
      <c r="D7120" t="s">
        <v>15197</v>
      </c>
    </row>
    <row r="7121" spans="4:4" x14ac:dyDescent="0.25">
      <c r="D7121" t="s">
        <v>15198</v>
      </c>
    </row>
    <row r="7122" spans="4:4" x14ac:dyDescent="0.25">
      <c r="D7122" t="s">
        <v>15199</v>
      </c>
    </row>
    <row r="7123" spans="4:4" x14ac:dyDescent="0.25">
      <c r="D7123" t="s">
        <v>15200</v>
      </c>
    </row>
    <row r="7124" spans="4:4" x14ac:dyDescent="0.25">
      <c r="D7124" t="s">
        <v>15201</v>
      </c>
    </row>
    <row r="7125" spans="4:4" x14ac:dyDescent="0.25">
      <c r="D7125" t="s">
        <v>15202</v>
      </c>
    </row>
    <row r="7126" spans="4:4" x14ac:dyDescent="0.25">
      <c r="D7126" t="s">
        <v>15203</v>
      </c>
    </row>
    <row r="7127" spans="4:4" x14ac:dyDescent="0.25">
      <c r="D7127" t="s">
        <v>15204</v>
      </c>
    </row>
    <row r="7128" spans="4:4" x14ac:dyDescent="0.25">
      <c r="D7128" t="s">
        <v>15205</v>
      </c>
    </row>
    <row r="7129" spans="4:4" x14ac:dyDescent="0.25">
      <c r="D7129" t="s">
        <v>15206</v>
      </c>
    </row>
    <row r="7130" spans="4:4" x14ac:dyDescent="0.25">
      <c r="D7130" t="s">
        <v>15207</v>
      </c>
    </row>
    <row r="7131" spans="4:4" x14ac:dyDescent="0.25">
      <c r="D7131" t="s">
        <v>15208</v>
      </c>
    </row>
    <row r="7132" spans="4:4" x14ac:dyDescent="0.25">
      <c r="D7132" t="s">
        <v>15209</v>
      </c>
    </row>
    <row r="7133" spans="4:4" x14ac:dyDescent="0.25">
      <c r="D7133" t="s">
        <v>15210</v>
      </c>
    </row>
    <row r="7134" spans="4:4" x14ac:dyDescent="0.25">
      <c r="D7134" t="s">
        <v>15211</v>
      </c>
    </row>
    <row r="7135" spans="4:4" x14ac:dyDescent="0.25">
      <c r="D7135" t="s">
        <v>15212</v>
      </c>
    </row>
    <row r="7136" spans="4:4" x14ac:dyDescent="0.25">
      <c r="D7136" t="s">
        <v>15213</v>
      </c>
    </row>
    <row r="7137" spans="4:4" x14ac:dyDescent="0.25">
      <c r="D7137" t="s">
        <v>15214</v>
      </c>
    </row>
    <row r="7138" spans="4:4" x14ac:dyDescent="0.25">
      <c r="D7138" t="s">
        <v>15215</v>
      </c>
    </row>
    <row r="7139" spans="4:4" x14ac:dyDescent="0.25">
      <c r="D7139" t="s">
        <v>15216</v>
      </c>
    </row>
    <row r="7140" spans="4:4" x14ac:dyDescent="0.25">
      <c r="D7140" t="s">
        <v>15217</v>
      </c>
    </row>
    <row r="7141" spans="4:4" x14ac:dyDescent="0.25">
      <c r="D7141" t="s">
        <v>15218</v>
      </c>
    </row>
    <row r="7142" spans="4:4" x14ac:dyDescent="0.25">
      <c r="D7142" t="s">
        <v>15219</v>
      </c>
    </row>
    <row r="7143" spans="4:4" x14ac:dyDescent="0.25">
      <c r="D7143" t="s">
        <v>15220</v>
      </c>
    </row>
    <row r="7144" spans="4:4" x14ac:dyDescent="0.25">
      <c r="D7144" t="s">
        <v>15221</v>
      </c>
    </row>
    <row r="7145" spans="4:4" x14ac:dyDescent="0.25">
      <c r="D7145" t="s">
        <v>15222</v>
      </c>
    </row>
    <row r="7146" spans="4:4" x14ac:dyDescent="0.25">
      <c r="D7146" t="s">
        <v>15223</v>
      </c>
    </row>
    <row r="7147" spans="4:4" x14ac:dyDescent="0.25">
      <c r="D7147" t="s">
        <v>15224</v>
      </c>
    </row>
    <row r="7148" spans="4:4" x14ac:dyDescent="0.25">
      <c r="D7148" t="s">
        <v>15225</v>
      </c>
    </row>
    <row r="7149" spans="4:4" x14ac:dyDescent="0.25">
      <c r="D7149" t="s">
        <v>15226</v>
      </c>
    </row>
    <row r="7150" spans="4:4" x14ac:dyDescent="0.25">
      <c r="D7150" t="s">
        <v>15227</v>
      </c>
    </row>
    <row r="7151" spans="4:4" x14ac:dyDescent="0.25">
      <c r="D7151" t="s">
        <v>15228</v>
      </c>
    </row>
    <row r="7152" spans="4:4" x14ac:dyDescent="0.25">
      <c r="D7152" t="s">
        <v>15229</v>
      </c>
    </row>
    <row r="7153" spans="4:4" x14ac:dyDescent="0.25">
      <c r="D7153" t="s">
        <v>15230</v>
      </c>
    </row>
    <row r="7154" spans="4:4" x14ac:dyDescent="0.25">
      <c r="D7154" t="s">
        <v>15231</v>
      </c>
    </row>
    <row r="7155" spans="4:4" x14ac:dyDescent="0.25">
      <c r="D7155" t="s">
        <v>15232</v>
      </c>
    </row>
    <row r="7156" spans="4:4" x14ac:dyDescent="0.25">
      <c r="D7156" t="s">
        <v>15233</v>
      </c>
    </row>
    <row r="7157" spans="4:4" x14ac:dyDescent="0.25">
      <c r="D7157" t="s">
        <v>15234</v>
      </c>
    </row>
    <row r="7158" spans="4:4" x14ac:dyDescent="0.25">
      <c r="D7158" t="s">
        <v>15235</v>
      </c>
    </row>
    <row r="7159" spans="4:4" x14ac:dyDescent="0.25">
      <c r="D7159" t="s">
        <v>15236</v>
      </c>
    </row>
    <row r="7160" spans="4:4" x14ac:dyDescent="0.25">
      <c r="D7160" t="s">
        <v>15237</v>
      </c>
    </row>
    <row r="7161" spans="4:4" x14ac:dyDescent="0.25">
      <c r="D7161" t="s">
        <v>15238</v>
      </c>
    </row>
    <row r="7162" spans="4:4" x14ac:dyDescent="0.25">
      <c r="D7162" t="s">
        <v>15239</v>
      </c>
    </row>
    <row r="7163" spans="4:4" x14ac:dyDescent="0.25">
      <c r="D7163" t="s">
        <v>15240</v>
      </c>
    </row>
    <row r="7164" spans="4:4" x14ac:dyDescent="0.25">
      <c r="D7164" t="s">
        <v>15241</v>
      </c>
    </row>
    <row r="7165" spans="4:4" x14ac:dyDescent="0.25">
      <c r="D7165" t="s">
        <v>15242</v>
      </c>
    </row>
    <row r="7166" spans="4:4" x14ac:dyDescent="0.25">
      <c r="D7166" t="s">
        <v>15243</v>
      </c>
    </row>
    <row r="7167" spans="4:4" x14ac:dyDescent="0.25">
      <c r="D7167" t="s">
        <v>15244</v>
      </c>
    </row>
    <row r="7168" spans="4:4" x14ac:dyDescent="0.25">
      <c r="D7168" t="s">
        <v>15245</v>
      </c>
    </row>
    <row r="7169" spans="4:4" x14ac:dyDescent="0.25">
      <c r="D7169" t="s">
        <v>15246</v>
      </c>
    </row>
    <row r="7170" spans="4:4" x14ac:dyDescent="0.25">
      <c r="D7170" t="s">
        <v>15247</v>
      </c>
    </row>
    <row r="7171" spans="4:4" x14ac:dyDescent="0.25">
      <c r="D7171" t="s">
        <v>15248</v>
      </c>
    </row>
    <row r="7172" spans="4:4" x14ac:dyDescent="0.25">
      <c r="D7172" t="s">
        <v>15249</v>
      </c>
    </row>
    <row r="7173" spans="4:4" x14ac:dyDescent="0.25">
      <c r="D7173" t="s">
        <v>15250</v>
      </c>
    </row>
    <row r="7174" spans="4:4" x14ac:dyDescent="0.25">
      <c r="D7174" t="s">
        <v>15251</v>
      </c>
    </row>
    <row r="7175" spans="4:4" x14ac:dyDescent="0.25">
      <c r="D7175" t="s">
        <v>15252</v>
      </c>
    </row>
    <row r="7176" spans="4:4" x14ac:dyDescent="0.25">
      <c r="D7176" t="s">
        <v>15253</v>
      </c>
    </row>
    <row r="7177" spans="4:4" x14ac:dyDescent="0.25">
      <c r="D7177" t="s">
        <v>15254</v>
      </c>
    </row>
    <row r="7178" spans="4:4" x14ac:dyDescent="0.25">
      <c r="D7178" t="s">
        <v>15255</v>
      </c>
    </row>
    <row r="7179" spans="4:4" x14ac:dyDescent="0.25">
      <c r="D7179" t="s">
        <v>15256</v>
      </c>
    </row>
    <row r="7180" spans="4:4" x14ac:dyDescent="0.25">
      <c r="D7180" t="s">
        <v>15257</v>
      </c>
    </row>
    <row r="7181" spans="4:4" x14ac:dyDescent="0.25">
      <c r="D7181" t="s">
        <v>15258</v>
      </c>
    </row>
    <row r="7182" spans="4:4" x14ac:dyDescent="0.25">
      <c r="D7182" t="s">
        <v>15259</v>
      </c>
    </row>
    <row r="7183" spans="4:4" x14ac:dyDescent="0.25">
      <c r="D7183" t="s">
        <v>15260</v>
      </c>
    </row>
    <row r="7184" spans="4:4" x14ac:dyDescent="0.25">
      <c r="D7184" t="s">
        <v>15261</v>
      </c>
    </row>
    <row r="7185" spans="4:4" x14ac:dyDescent="0.25">
      <c r="D7185" t="s">
        <v>15262</v>
      </c>
    </row>
    <row r="7186" spans="4:4" x14ac:dyDescent="0.25">
      <c r="D7186" t="s">
        <v>15263</v>
      </c>
    </row>
    <row r="7187" spans="4:4" x14ac:dyDescent="0.25">
      <c r="D7187" t="s">
        <v>15264</v>
      </c>
    </row>
    <row r="7188" spans="4:4" x14ac:dyDescent="0.25">
      <c r="D7188" t="s">
        <v>15265</v>
      </c>
    </row>
    <row r="7189" spans="4:4" x14ac:dyDescent="0.25">
      <c r="D7189" t="s">
        <v>15266</v>
      </c>
    </row>
    <row r="7190" spans="4:4" x14ac:dyDescent="0.25">
      <c r="D7190" t="s">
        <v>15267</v>
      </c>
    </row>
    <row r="7191" spans="4:4" x14ac:dyDescent="0.25">
      <c r="D7191" t="s">
        <v>15268</v>
      </c>
    </row>
    <row r="7192" spans="4:4" x14ac:dyDescent="0.25">
      <c r="D7192" t="s">
        <v>15269</v>
      </c>
    </row>
    <row r="7193" spans="4:4" x14ac:dyDescent="0.25">
      <c r="D7193" t="s">
        <v>15270</v>
      </c>
    </row>
    <row r="7194" spans="4:4" x14ac:dyDescent="0.25">
      <c r="D7194" t="s">
        <v>15271</v>
      </c>
    </row>
    <row r="7195" spans="4:4" x14ac:dyDescent="0.25">
      <c r="D7195" t="s">
        <v>15272</v>
      </c>
    </row>
    <row r="7196" spans="4:4" x14ac:dyDescent="0.25">
      <c r="D7196" t="s">
        <v>15273</v>
      </c>
    </row>
    <row r="7197" spans="4:4" x14ac:dyDescent="0.25">
      <c r="D7197" t="s">
        <v>15274</v>
      </c>
    </row>
    <row r="7198" spans="4:4" x14ac:dyDescent="0.25">
      <c r="D7198" t="s">
        <v>15275</v>
      </c>
    </row>
    <row r="7199" spans="4:4" x14ac:dyDescent="0.25">
      <c r="D7199" t="s">
        <v>15276</v>
      </c>
    </row>
    <row r="7200" spans="4:4" x14ac:dyDescent="0.25">
      <c r="D7200" t="s">
        <v>15277</v>
      </c>
    </row>
    <row r="7201" spans="4:4" x14ac:dyDescent="0.25">
      <c r="D7201" t="s">
        <v>15278</v>
      </c>
    </row>
    <row r="7202" spans="4:4" x14ac:dyDescent="0.25">
      <c r="D7202" t="s">
        <v>15279</v>
      </c>
    </row>
    <row r="7203" spans="4:4" x14ac:dyDescent="0.25">
      <c r="D7203" t="s">
        <v>15280</v>
      </c>
    </row>
    <row r="7204" spans="4:4" x14ac:dyDescent="0.25">
      <c r="D7204" t="s">
        <v>15281</v>
      </c>
    </row>
    <row r="7205" spans="4:4" x14ac:dyDescent="0.25">
      <c r="D7205" t="s">
        <v>15282</v>
      </c>
    </row>
    <row r="7206" spans="4:4" x14ac:dyDescent="0.25">
      <c r="D7206" t="s">
        <v>15283</v>
      </c>
    </row>
    <row r="7207" spans="4:4" x14ac:dyDescent="0.25">
      <c r="D7207" t="s">
        <v>15284</v>
      </c>
    </row>
    <row r="7208" spans="4:4" x14ac:dyDescent="0.25">
      <c r="D7208" t="s">
        <v>15285</v>
      </c>
    </row>
    <row r="7209" spans="4:4" x14ac:dyDescent="0.25">
      <c r="D7209" t="s">
        <v>15286</v>
      </c>
    </row>
    <row r="7210" spans="4:4" x14ac:dyDescent="0.25">
      <c r="D7210" t="s">
        <v>15287</v>
      </c>
    </row>
    <row r="7211" spans="4:4" x14ac:dyDescent="0.25">
      <c r="D7211" t="s">
        <v>15288</v>
      </c>
    </row>
    <row r="7212" spans="4:4" x14ac:dyDescent="0.25">
      <c r="D7212" t="s">
        <v>15289</v>
      </c>
    </row>
    <row r="7213" spans="4:4" x14ac:dyDescent="0.25">
      <c r="D7213" t="s">
        <v>15290</v>
      </c>
    </row>
    <row r="7214" spans="4:4" x14ac:dyDescent="0.25">
      <c r="D7214" t="s">
        <v>15291</v>
      </c>
    </row>
    <row r="7215" spans="4:4" x14ac:dyDescent="0.25">
      <c r="D7215" t="s">
        <v>15292</v>
      </c>
    </row>
    <row r="7216" spans="4:4" x14ac:dyDescent="0.25">
      <c r="D7216" t="s">
        <v>15293</v>
      </c>
    </row>
    <row r="7217" spans="4:4" x14ac:dyDescent="0.25">
      <c r="D7217" t="s">
        <v>15294</v>
      </c>
    </row>
    <row r="7218" spans="4:4" x14ac:dyDescent="0.25">
      <c r="D7218" t="s">
        <v>15295</v>
      </c>
    </row>
    <row r="7219" spans="4:4" x14ac:dyDescent="0.25">
      <c r="D7219" t="s">
        <v>15296</v>
      </c>
    </row>
    <row r="7220" spans="4:4" x14ac:dyDescent="0.25">
      <c r="D7220" t="s">
        <v>15297</v>
      </c>
    </row>
    <row r="7221" spans="4:4" x14ac:dyDescent="0.25">
      <c r="D7221" t="s">
        <v>15298</v>
      </c>
    </row>
    <row r="7222" spans="4:4" x14ac:dyDescent="0.25">
      <c r="D7222" t="s">
        <v>15299</v>
      </c>
    </row>
    <row r="7223" spans="4:4" x14ac:dyDescent="0.25">
      <c r="D7223" t="s">
        <v>15300</v>
      </c>
    </row>
    <row r="7224" spans="4:4" x14ac:dyDescent="0.25">
      <c r="D7224" t="s">
        <v>15301</v>
      </c>
    </row>
    <row r="7225" spans="4:4" x14ac:dyDescent="0.25">
      <c r="D7225" t="s">
        <v>15302</v>
      </c>
    </row>
    <row r="7226" spans="4:4" x14ac:dyDescent="0.25">
      <c r="D7226" t="s">
        <v>15303</v>
      </c>
    </row>
    <row r="7227" spans="4:4" x14ac:dyDescent="0.25">
      <c r="D7227" t="s">
        <v>15304</v>
      </c>
    </row>
    <row r="7228" spans="4:4" x14ac:dyDescent="0.25">
      <c r="D7228" t="s">
        <v>15305</v>
      </c>
    </row>
    <row r="7229" spans="4:4" x14ac:dyDescent="0.25">
      <c r="D7229" t="s">
        <v>15306</v>
      </c>
    </row>
    <row r="7230" spans="4:4" x14ac:dyDescent="0.25">
      <c r="D7230" t="s">
        <v>15307</v>
      </c>
    </row>
    <row r="7231" spans="4:4" x14ac:dyDescent="0.25">
      <c r="D7231" t="s">
        <v>15308</v>
      </c>
    </row>
    <row r="7232" spans="4:4" x14ac:dyDescent="0.25">
      <c r="D7232" t="s">
        <v>15309</v>
      </c>
    </row>
    <row r="7233" spans="4:4" x14ac:dyDescent="0.25">
      <c r="D7233" t="s">
        <v>15310</v>
      </c>
    </row>
    <row r="7234" spans="4:4" x14ac:dyDescent="0.25">
      <c r="D7234" t="s">
        <v>15311</v>
      </c>
    </row>
    <row r="7235" spans="4:4" x14ac:dyDescent="0.25">
      <c r="D7235" t="s">
        <v>15312</v>
      </c>
    </row>
    <row r="7236" spans="4:4" x14ac:dyDescent="0.25">
      <c r="D7236" t="s">
        <v>15313</v>
      </c>
    </row>
    <row r="7237" spans="4:4" x14ac:dyDescent="0.25">
      <c r="D7237" t="s">
        <v>15314</v>
      </c>
    </row>
    <row r="7238" spans="4:4" x14ac:dyDescent="0.25">
      <c r="D7238" t="s">
        <v>15315</v>
      </c>
    </row>
    <row r="7239" spans="4:4" x14ac:dyDescent="0.25">
      <c r="D7239" t="s">
        <v>15316</v>
      </c>
    </row>
    <row r="7240" spans="4:4" x14ac:dyDescent="0.25">
      <c r="D7240" t="s">
        <v>15317</v>
      </c>
    </row>
    <row r="7241" spans="4:4" x14ac:dyDescent="0.25">
      <c r="D7241" t="s">
        <v>15318</v>
      </c>
    </row>
    <row r="7242" spans="4:4" x14ac:dyDescent="0.25">
      <c r="D7242" t="s">
        <v>15319</v>
      </c>
    </row>
    <row r="7243" spans="4:4" x14ac:dyDescent="0.25">
      <c r="D7243" t="s">
        <v>15320</v>
      </c>
    </row>
    <row r="7244" spans="4:4" x14ac:dyDescent="0.25">
      <c r="D7244" t="s">
        <v>15321</v>
      </c>
    </row>
    <row r="7245" spans="4:4" x14ac:dyDescent="0.25">
      <c r="D7245" t="s">
        <v>15322</v>
      </c>
    </row>
    <row r="7246" spans="4:4" x14ac:dyDescent="0.25">
      <c r="D7246" t="s">
        <v>15323</v>
      </c>
    </row>
    <row r="7247" spans="4:4" x14ac:dyDescent="0.25">
      <c r="D7247" t="s">
        <v>15324</v>
      </c>
    </row>
    <row r="7248" spans="4:4" x14ac:dyDescent="0.25">
      <c r="D7248" t="s">
        <v>15325</v>
      </c>
    </row>
    <row r="7249" spans="4:4" x14ac:dyDescent="0.25">
      <c r="D7249" t="s">
        <v>15326</v>
      </c>
    </row>
    <row r="7250" spans="4:4" x14ac:dyDescent="0.25">
      <c r="D7250" t="s">
        <v>15327</v>
      </c>
    </row>
    <row r="7251" spans="4:4" x14ac:dyDescent="0.25">
      <c r="D7251" t="s">
        <v>15328</v>
      </c>
    </row>
    <row r="7252" spans="4:4" x14ac:dyDescent="0.25">
      <c r="D7252" t="s">
        <v>15329</v>
      </c>
    </row>
    <row r="7253" spans="4:4" x14ac:dyDescent="0.25">
      <c r="D7253" t="s">
        <v>15330</v>
      </c>
    </row>
    <row r="7254" spans="4:4" x14ac:dyDescent="0.25">
      <c r="D7254" t="s">
        <v>15331</v>
      </c>
    </row>
    <row r="7255" spans="4:4" x14ac:dyDescent="0.25">
      <c r="D7255" t="s">
        <v>15332</v>
      </c>
    </row>
    <row r="7256" spans="4:4" x14ac:dyDescent="0.25">
      <c r="D7256" t="s">
        <v>15333</v>
      </c>
    </row>
    <row r="7257" spans="4:4" x14ac:dyDescent="0.25">
      <c r="D7257" t="s">
        <v>15334</v>
      </c>
    </row>
    <row r="7258" spans="4:4" x14ac:dyDescent="0.25">
      <c r="D7258" t="s">
        <v>15335</v>
      </c>
    </row>
    <row r="7259" spans="4:4" x14ac:dyDescent="0.25">
      <c r="D7259" t="s">
        <v>15336</v>
      </c>
    </row>
    <row r="7260" spans="4:4" x14ac:dyDescent="0.25">
      <c r="D7260" t="s">
        <v>15337</v>
      </c>
    </row>
    <row r="7261" spans="4:4" x14ac:dyDescent="0.25">
      <c r="D7261" t="s">
        <v>15338</v>
      </c>
    </row>
    <row r="7262" spans="4:4" x14ac:dyDescent="0.25">
      <c r="D7262" t="s">
        <v>15339</v>
      </c>
    </row>
    <row r="7263" spans="4:4" x14ac:dyDescent="0.25">
      <c r="D7263" t="s">
        <v>15340</v>
      </c>
    </row>
    <row r="7264" spans="4:4" x14ac:dyDescent="0.25">
      <c r="D7264" t="s">
        <v>15341</v>
      </c>
    </row>
    <row r="7265" spans="4:4" x14ac:dyDescent="0.25">
      <c r="D7265" t="s">
        <v>15342</v>
      </c>
    </row>
    <row r="7266" spans="4:4" x14ac:dyDescent="0.25">
      <c r="D7266" t="s">
        <v>15343</v>
      </c>
    </row>
    <row r="7267" spans="4:4" x14ac:dyDescent="0.25">
      <c r="D7267" t="s">
        <v>15344</v>
      </c>
    </row>
    <row r="7268" spans="4:4" x14ac:dyDescent="0.25">
      <c r="D7268" t="s">
        <v>15345</v>
      </c>
    </row>
    <row r="7269" spans="4:4" x14ac:dyDescent="0.25">
      <c r="D7269" t="s">
        <v>15346</v>
      </c>
    </row>
    <row r="7270" spans="4:4" x14ac:dyDescent="0.25">
      <c r="D7270" t="s">
        <v>15347</v>
      </c>
    </row>
    <row r="7271" spans="4:4" x14ac:dyDescent="0.25">
      <c r="D7271" t="s">
        <v>15348</v>
      </c>
    </row>
    <row r="7272" spans="4:4" x14ac:dyDescent="0.25">
      <c r="D7272" t="s">
        <v>15349</v>
      </c>
    </row>
    <row r="7273" spans="4:4" x14ac:dyDescent="0.25">
      <c r="D7273" t="s">
        <v>15350</v>
      </c>
    </row>
    <row r="7274" spans="4:4" x14ac:dyDescent="0.25">
      <c r="D7274" t="s">
        <v>15351</v>
      </c>
    </row>
    <row r="7275" spans="4:4" x14ac:dyDescent="0.25">
      <c r="D7275" t="s">
        <v>15352</v>
      </c>
    </row>
    <row r="7276" spans="4:4" x14ac:dyDescent="0.25">
      <c r="D7276" t="s">
        <v>15353</v>
      </c>
    </row>
    <row r="7277" spans="4:4" x14ac:dyDescent="0.25">
      <c r="D7277" t="s">
        <v>15354</v>
      </c>
    </row>
    <row r="7278" spans="4:4" x14ac:dyDescent="0.25">
      <c r="D7278" t="s">
        <v>15355</v>
      </c>
    </row>
    <row r="7279" spans="4:4" x14ac:dyDescent="0.25">
      <c r="D7279" t="s">
        <v>15356</v>
      </c>
    </row>
    <row r="7280" spans="4:4" x14ac:dyDescent="0.25">
      <c r="D7280" t="s">
        <v>15357</v>
      </c>
    </row>
    <row r="7281" spans="4:4" x14ac:dyDescent="0.25">
      <c r="D7281" t="s">
        <v>15358</v>
      </c>
    </row>
    <row r="7282" spans="4:4" x14ac:dyDescent="0.25">
      <c r="D7282" t="s">
        <v>15359</v>
      </c>
    </row>
    <row r="7283" spans="4:4" x14ac:dyDescent="0.25">
      <c r="D7283" t="s">
        <v>15360</v>
      </c>
    </row>
    <row r="7284" spans="4:4" x14ac:dyDescent="0.25">
      <c r="D7284" t="s">
        <v>15361</v>
      </c>
    </row>
    <row r="7285" spans="4:4" x14ac:dyDescent="0.25">
      <c r="D7285" t="s">
        <v>15362</v>
      </c>
    </row>
    <row r="7286" spans="4:4" x14ac:dyDescent="0.25">
      <c r="D7286" t="s">
        <v>15363</v>
      </c>
    </row>
    <row r="7287" spans="4:4" x14ac:dyDescent="0.25">
      <c r="D7287" t="s">
        <v>15364</v>
      </c>
    </row>
    <row r="7288" spans="4:4" x14ac:dyDescent="0.25">
      <c r="D7288" t="s">
        <v>15365</v>
      </c>
    </row>
    <row r="7289" spans="4:4" x14ac:dyDescent="0.25">
      <c r="D7289" t="s">
        <v>15366</v>
      </c>
    </row>
    <row r="7290" spans="4:4" x14ac:dyDescent="0.25">
      <c r="D7290" t="s">
        <v>15367</v>
      </c>
    </row>
    <row r="7291" spans="4:4" x14ac:dyDescent="0.25">
      <c r="D7291" t="s">
        <v>15368</v>
      </c>
    </row>
    <row r="7292" spans="4:4" x14ac:dyDescent="0.25">
      <c r="D7292" t="s">
        <v>15369</v>
      </c>
    </row>
    <row r="7293" spans="4:4" x14ac:dyDescent="0.25">
      <c r="D7293" t="s">
        <v>15370</v>
      </c>
    </row>
    <row r="7294" spans="4:4" x14ac:dyDescent="0.25">
      <c r="D7294" t="s">
        <v>15371</v>
      </c>
    </row>
    <row r="7295" spans="4:4" x14ac:dyDescent="0.25">
      <c r="D7295" t="s">
        <v>15372</v>
      </c>
    </row>
    <row r="7296" spans="4:4" x14ac:dyDescent="0.25">
      <c r="D7296" t="s">
        <v>15373</v>
      </c>
    </row>
    <row r="7297" spans="4:4" x14ac:dyDescent="0.25">
      <c r="D7297" t="s">
        <v>15374</v>
      </c>
    </row>
    <row r="7298" spans="4:4" x14ac:dyDescent="0.25">
      <c r="D7298" t="s">
        <v>15375</v>
      </c>
    </row>
    <row r="7299" spans="4:4" x14ac:dyDescent="0.25">
      <c r="D7299" t="s">
        <v>15376</v>
      </c>
    </row>
    <row r="7300" spans="4:4" x14ac:dyDescent="0.25">
      <c r="D7300" t="s">
        <v>15377</v>
      </c>
    </row>
    <row r="7301" spans="4:4" x14ac:dyDescent="0.25">
      <c r="D7301" t="s">
        <v>15378</v>
      </c>
    </row>
    <row r="7302" spans="4:4" x14ac:dyDescent="0.25">
      <c r="D7302" t="s">
        <v>15379</v>
      </c>
    </row>
    <row r="7303" spans="4:4" x14ac:dyDescent="0.25">
      <c r="D7303" t="s">
        <v>15380</v>
      </c>
    </row>
    <row r="7304" spans="4:4" x14ac:dyDescent="0.25">
      <c r="D7304" t="s">
        <v>15381</v>
      </c>
    </row>
    <row r="7305" spans="4:4" x14ac:dyDescent="0.25">
      <c r="D7305" t="s">
        <v>15382</v>
      </c>
    </row>
    <row r="7306" spans="4:4" x14ac:dyDescent="0.25">
      <c r="D7306" t="s">
        <v>15383</v>
      </c>
    </row>
    <row r="7307" spans="4:4" x14ac:dyDescent="0.25">
      <c r="D7307" t="s">
        <v>15384</v>
      </c>
    </row>
    <row r="7308" spans="4:4" x14ac:dyDescent="0.25">
      <c r="D7308" t="s">
        <v>15385</v>
      </c>
    </row>
    <row r="7309" spans="4:4" x14ac:dyDescent="0.25">
      <c r="D7309" t="s">
        <v>15386</v>
      </c>
    </row>
    <row r="7310" spans="4:4" x14ac:dyDescent="0.25">
      <c r="D7310" t="s">
        <v>15387</v>
      </c>
    </row>
    <row r="7311" spans="4:4" x14ac:dyDescent="0.25">
      <c r="D7311" t="s">
        <v>15388</v>
      </c>
    </row>
    <row r="7312" spans="4:4" x14ac:dyDescent="0.25">
      <c r="D7312" t="s">
        <v>15389</v>
      </c>
    </row>
    <row r="7313" spans="4:4" x14ac:dyDescent="0.25">
      <c r="D7313" t="s">
        <v>15390</v>
      </c>
    </row>
    <row r="7314" spans="4:4" x14ac:dyDescent="0.25">
      <c r="D7314" t="s">
        <v>15391</v>
      </c>
    </row>
    <row r="7315" spans="4:4" x14ac:dyDescent="0.25">
      <c r="D7315" t="s">
        <v>15392</v>
      </c>
    </row>
    <row r="7316" spans="4:4" x14ac:dyDescent="0.25">
      <c r="D7316" t="s">
        <v>15393</v>
      </c>
    </row>
    <row r="7317" spans="4:4" x14ac:dyDescent="0.25">
      <c r="D7317" t="s">
        <v>15394</v>
      </c>
    </row>
    <row r="7318" spans="4:4" x14ac:dyDescent="0.25">
      <c r="D7318" t="s">
        <v>15395</v>
      </c>
    </row>
    <row r="7319" spans="4:4" x14ac:dyDescent="0.25">
      <c r="D7319" t="s">
        <v>15396</v>
      </c>
    </row>
    <row r="7320" spans="4:4" x14ac:dyDescent="0.25">
      <c r="D7320" t="s">
        <v>15397</v>
      </c>
    </row>
    <row r="7321" spans="4:4" x14ac:dyDescent="0.25">
      <c r="D7321" t="s">
        <v>15398</v>
      </c>
    </row>
    <row r="7322" spans="4:4" x14ac:dyDescent="0.25">
      <c r="D7322" t="s">
        <v>15399</v>
      </c>
    </row>
    <row r="7323" spans="4:4" x14ac:dyDescent="0.25">
      <c r="D7323" t="s">
        <v>15400</v>
      </c>
    </row>
    <row r="7324" spans="4:4" x14ac:dyDescent="0.25">
      <c r="D7324" t="s">
        <v>15401</v>
      </c>
    </row>
    <row r="7325" spans="4:4" x14ac:dyDescent="0.25">
      <c r="D7325" t="s">
        <v>15402</v>
      </c>
    </row>
    <row r="7326" spans="4:4" x14ac:dyDescent="0.25">
      <c r="D7326" t="s">
        <v>15403</v>
      </c>
    </row>
    <row r="7327" spans="4:4" x14ac:dyDescent="0.25">
      <c r="D7327" t="s">
        <v>15404</v>
      </c>
    </row>
    <row r="7328" spans="4:4" x14ac:dyDescent="0.25">
      <c r="D7328" t="s">
        <v>15405</v>
      </c>
    </row>
    <row r="7329" spans="4:4" x14ac:dyDescent="0.25">
      <c r="D7329" t="s">
        <v>15406</v>
      </c>
    </row>
    <row r="7330" spans="4:4" x14ac:dyDescent="0.25">
      <c r="D7330" t="s">
        <v>15407</v>
      </c>
    </row>
    <row r="7331" spans="4:4" x14ac:dyDescent="0.25">
      <c r="D7331" t="s">
        <v>15408</v>
      </c>
    </row>
    <row r="7332" spans="4:4" x14ac:dyDescent="0.25">
      <c r="D7332" t="s">
        <v>15409</v>
      </c>
    </row>
    <row r="7333" spans="4:4" x14ac:dyDescent="0.25">
      <c r="D7333" t="s">
        <v>15410</v>
      </c>
    </row>
    <row r="7334" spans="4:4" x14ac:dyDescent="0.25">
      <c r="D7334" t="s">
        <v>15411</v>
      </c>
    </row>
    <row r="7335" spans="4:4" x14ac:dyDescent="0.25">
      <c r="D7335" t="s">
        <v>15412</v>
      </c>
    </row>
    <row r="7336" spans="4:4" x14ac:dyDescent="0.25">
      <c r="D7336" t="s">
        <v>15413</v>
      </c>
    </row>
    <row r="7337" spans="4:4" x14ac:dyDescent="0.25">
      <c r="D7337" t="s">
        <v>15414</v>
      </c>
    </row>
    <row r="7338" spans="4:4" x14ac:dyDescent="0.25">
      <c r="D7338" t="s">
        <v>15415</v>
      </c>
    </row>
    <row r="7339" spans="4:4" x14ac:dyDescent="0.25">
      <c r="D7339" t="s">
        <v>15416</v>
      </c>
    </row>
    <row r="7340" spans="4:4" x14ac:dyDescent="0.25">
      <c r="D7340" t="s">
        <v>15417</v>
      </c>
    </row>
    <row r="7341" spans="4:4" x14ac:dyDescent="0.25">
      <c r="D7341" t="s">
        <v>15418</v>
      </c>
    </row>
    <row r="7342" spans="4:4" x14ac:dyDescent="0.25">
      <c r="D7342" t="s">
        <v>15419</v>
      </c>
    </row>
    <row r="7343" spans="4:4" x14ac:dyDescent="0.25">
      <c r="D7343" t="s">
        <v>15420</v>
      </c>
    </row>
    <row r="7344" spans="4:4" x14ac:dyDescent="0.25">
      <c r="D7344" t="s">
        <v>15421</v>
      </c>
    </row>
    <row r="7345" spans="4:4" x14ac:dyDescent="0.25">
      <c r="D7345" t="s">
        <v>15422</v>
      </c>
    </row>
    <row r="7346" spans="4:4" x14ac:dyDescent="0.25">
      <c r="D7346" t="s">
        <v>15423</v>
      </c>
    </row>
    <row r="7347" spans="4:4" x14ac:dyDescent="0.25">
      <c r="D7347" t="s">
        <v>15424</v>
      </c>
    </row>
    <row r="7348" spans="4:4" x14ac:dyDescent="0.25">
      <c r="D7348" t="s">
        <v>15425</v>
      </c>
    </row>
    <row r="7349" spans="4:4" x14ac:dyDescent="0.25">
      <c r="D7349" t="s">
        <v>15426</v>
      </c>
    </row>
    <row r="7350" spans="4:4" x14ac:dyDescent="0.25">
      <c r="D7350" t="s">
        <v>15427</v>
      </c>
    </row>
    <row r="7351" spans="4:4" x14ac:dyDescent="0.25">
      <c r="D7351" t="s">
        <v>15428</v>
      </c>
    </row>
    <row r="7352" spans="4:4" x14ac:dyDescent="0.25">
      <c r="D7352" t="s">
        <v>15429</v>
      </c>
    </row>
    <row r="7353" spans="4:4" x14ac:dyDescent="0.25">
      <c r="D7353" t="s">
        <v>15430</v>
      </c>
    </row>
    <row r="7354" spans="4:4" x14ac:dyDescent="0.25">
      <c r="D7354" t="s">
        <v>15431</v>
      </c>
    </row>
    <row r="7355" spans="4:4" x14ac:dyDescent="0.25">
      <c r="D7355" t="s">
        <v>15432</v>
      </c>
    </row>
    <row r="7356" spans="4:4" x14ac:dyDescent="0.25">
      <c r="D7356" t="s">
        <v>15433</v>
      </c>
    </row>
    <row r="7357" spans="4:4" x14ac:dyDescent="0.25">
      <c r="D7357" t="s">
        <v>15434</v>
      </c>
    </row>
    <row r="7358" spans="4:4" x14ac:dyDescent="0.25">
      <c r="D7358" t="s">
        <v>15435</v>
      </c>
    </row>
    <row r="7359" spans="4:4" x14ac:dyDescent="0.25">
      <c r="D7359" t="s">
        <v>15436</v>
      </c>
    </row>
    <row r="7360" spans="4:4" x14ac:dyDescent="0.25">
      <c r="D7360" t="s">
        <v>15437</v>
      </c>
    </row>
    <row r="7361" spans="4:4" x14ac:dyDescent="0.25">
      <c r="D7361" t="s">
        <v>15438</v>
      </c>
    </row>
    <row r="7362" spans="4:4" x14ac:dyDescent="0.25">
      <c r="D7362" t="s">
        <v>15439</v>
      </c>
    </row>
    <row r="7363" spans="4:4" x14ac:dyDescent="0.25">
      <c r="D7363" t="s">
        <v>15440</v>
      </c>
    </row>
    <row r="7364" spans="4:4" x14ac:dyDescent="0.25">
      <c r="D7364" t="s">
        <v>15441</v>
      </c>
    </row>
    <row r="7365" spans="4:4" x14ac:dyDescent="0.25">
      <c r="D7365" t="s">
        <v>15442</v>
      </c>
    </row>
    <row r="7366" spans="4:4" x14ac:dyDescent="0.25">
      <c r="D7366" t="s">
        <v>15443</v>
      </c>
    </row>
    <row r="7367" spans="4:4" x14ac:dyDescent="0.25">
      <c r="D7367" t="s">
        <v>15444</v>
      </c>
    </row>
    <row r="7368" spans="4:4" x14ac:dyDescent="0.25">
      <c r="D7368" t="s">
        <v>15445</v>
      </c>
    </row>
    <row r="7369" spans="4:4" x14ac:dyDescent="0.25">
      <c r="D7369" t="s">
        <v>15446</v>
      </c>
    </row>
    <row r="7370" spans="4:4" x14ac:dyDescent="0.25">
      <c r="D7370" t="s">
        <v>15447</v>
      </c>
    </row>
    <row r="7371" spans="4:4" x14ac:dyDescent="0.25">
      <c r="D7371" t="s">
        <v>15448</v>
      </c>
    </row>
    <row r="7372" spans="4:4" x14ac:dyDescent="0.25">
      <c r="D7372" t="s">
        <v>15449</v>
      </c>
    </row>
    <row r="7373" spans="4:4" x14ac:dyDescent="0.25">
      <c r="D7373" t="s">
        <v>15450</v>
      </c>
    </row>
    <row r="7374" spans="4:4" x14ac:dyDescent="0.25">
      <c r="D7374" t="s">
        <v>15451</v>
      </c>
    </row>
    <row r="7375" spans="4:4" x14ac:dyDescent="0.25">
      <c r="D7375" t="s">
        <v>15452</v>
      </c>
    </row>
    <row r="7376" spans="4:4" x14ac:dyDescent="0.25">
      <c r="D7376" t="s">
        <v>15453</v>
      </c>
    </row>
    <row r="7377" spans="4:4" x14ac:dyDescent="0.25">
      <c r="D7377" t="s">
        <v>15454</v>
      </c>
    </row>
    <row r="7378" spans="4:4" x14ac:dyDescent="0.25">
      <c r="D7378" t="s">
        <v>15455</v>
      </c>
    </row>
    <row r="7379" spans="4:4" x14ac:dyDescent="0.25">
      <c r="D7379" t="s">
        <v>15456</v>
      </c>
    </row>
    <row r="7380" spans="4:4" x14ac:dyDescent="0.25">
      <c r="D7380" t="s">
        <v>15457</v>
      </c>
    </row>
    <row r="7381" spans="4:4" x14ac:dyDescent="0.25">
      <c r="D7381" t="s">
        <v>15458</v>
      </c>
    </row>
    <row r="7382" spans="4:4" x14ac:dyDescent="0.25">
      <c r="D7382" t="s">
        <v>15459</v>
      </c>
    </row>
    <row r="7383" spans="4:4" x14ac:dyDescent="0.25">
      <c r="D7383" t="s">
        <v>15460</v>
      </c>
    </row>
    <row r="7384" spans="4:4" x14ac:dyDescent="0.25">
      <c r="D7384" t="s">
        <v>15461</v>
      </c>
    </row>
    <row r="7385" spans="4:4" x14ac:dyDescent="0.25">
      <c r="D7385" t="s">
        <v>15462</v>
      </c>
    </row>
    <row r="7386" spans="4:4" x14ac:dyDescent="0.25">
      <c r="D7386" t="s">
        <v>15463</v>
      </c>
    </row>
    <row r="7387" spans="4:4" x14ac:dyDescent="0.25">
      <c r="D7387" t="s">
        <v>15464</v>
      </c>
    </row>
    <row r="7388" spans="4:4" x14ac:dyDescent="0.25">
      <c r="D7388" t="s">
        <v>15465</v>
      </c>
    </row>
    <row r="7389" spans="4:4" x14ac:dyDescent="0.25">
      <c r="D7389" t="s">
        <v>15466</v>
      </c>
    </row>
    <row r="7390" spans="4:4" x14ac:dyDescent="0.25">
      <c r="D7390" t="s">
        <v>15467</v>
      </c>
    </row>
    <row r="7391" spans="4:4" x14ac:dyDescent="0.25">
      <c r="D7391" t="s">
        <v>15468</v>
      </c>
    </row>
    <row r="7392" spans="4:4" x14ac:dyDescent="0.25">
      <c r="D7392" t="s">
        <v>15469</v>
      </c>
    </row>
    <row r="7393" spans="4:4" x14ac:dyDescent="0.25">
      <c r="D7393" t="s">
        <v>15470</v>
      </c>
    </row>
    <row r="7394" spans="4:4" x14ac:dyDescent="0.25">
      <c r="D7394" t="s">
        <v>15471</v>
      </c>
    </row>
    <row r="7395" spans="4:4" x14ac:dyDescent="0.25">
      <c r="D7395" t="s">
        <v>15472</v>
      </c>
    </row>
    <row r="7396" spans="4:4" x14ac:dyDescent="0.25">
      <c r="D7396" t="s">
        <v>15473</v>
      </c>
    </row>
    <row r="7397" spans="4:4" x14ac:dyDescent="0.25">
      <c r="D7397" t="s">
        <v>15474</v>
      </c>
    </row>
    <row r="7398" spans="4:4" x14ac:dyDescent="0.25">
      <c r="D7398" t="s">
        <v>15475</v>
      </c>
    </row>
    <row r="7399" spans="4:4" x14ac:dyDescent="0.25">
      <c r="D7399" t="s">
        <v>15476</v>
      </c>
    </row>
    <row r="7400" spans="4:4" x14ac:dyDescent="0.25">
      <c r="D7400" t="s">
        <v>15477</v>
      </c>
    </row>
    <row r="7401" spans="4:4" x14ac:dyDescent="0.25">
      <c r="D7401" t="s">
        <v>15478</v>
      </c>
    </row>
    <row r="7402" spans="4:4" x14ac:dyDescent="0.25">
      <c r="D7402" t="s">
        <v>15479</v>
      </c>
    </row>
    <row r="7403" spans="4:4" x14ac:dyDescent="0.25">
      <c r="D7403" t="s">
        <v>15480</v>
      </c>
    </row>
    <row r="7404" spans="4:4" x14ac:dyDescent="0.25">
      <c r="D7404" t="s">
        <v>15481</v>
      </c>
    </row>
    <row r="7405" spans="4:4" x14ac:dyDescent="0.25">
      <c r="D7405" t="s">
        <v>15482</v>
      </c>
    </row>
    <row r="7406" spans="4:4" x14ac:dyDescent="0.25">
      <c r="D7406" t="s">
        <v>15483</v>
      </c>
    </row>
    <row r="7407" spans="4:4" x14ac:dyDescent="0.25">
      <c r="D7407" t="s">
        <v>15484</v>
      </c>
    </row>
    <row r="7408" spans="4:4" x14ac:dyDescent="0.25">
      <c r="D7408" t="s">
        <v>15485</v>
      </c>
    </row>
    <row r="7409" spans="4:4" x14ac:dyDescent="0.25">
      <c r="D7409" t="s">
        <v>15486</v>
      </c>
    </row>
    <row r="7410" spans="4:4" x14ac:dyDescent="0.25">
      <c r="D7410" t="s">
        <v>15487</v>
      </c>
    </row>
    <row r="7411" spans="4:4" x14ac:dyDescent="0.25">
      <c r="D7411" t="s">
        <v>15488</v>
      </c>
    </row>
    <row r="7412" spans="4:4" x14ac:dyDescent="0.25">
      <c r="D7412" t="s">
        <v>15489</v>
      </c>
    </row>
    <row r="7413" spans="4:4" x14ac:dyDescent="0.25">
      <c r="D7413" t="s">
        <v>15490</v>
      </c>
    </row>
    <row r="7414" spans="4:4" x14ac:dyDescent="0.25">
      <c r="D7414" t="s">
        <v>15491</v>
      </c>
    </row>
    <row r="7415" spans="4:4" x14ac:dyDescent="0.25">
      <c r="D7415" t="s">
        <v>15492</v>
      </c>
    </row>
    <row r="7416" spans="4:4" x14ac:dyDescent="0.25">
      <c r="D7416" t="s">
        <v>15493</v>
      </c>
    </row>
    <row r="7417" spans="4:4" x14ac:dyDescent="0.25">
      <c r="D7417" t="s">
        <v>15494</v>
      </c>
    </row>
    <row r="7418" spans="4:4" x14ac:dyDescent="0.25">
      <c r="D7418" t="s">
        <v>15495</v>
      </c>
    </row>
    <row r="7419" spans="4:4" x14ac:dyDescent="0.25">
      <c r="D7419" t="s">
        <v>15496</v>
      </c>
    </row>
    <row r="7420" spans="4:4" x14ac:dyDescent="0.25">
      <c r="D7420" t="s">
        <v>15497</v>
      </c>
    </row>
    <row r="7421" spans="4:4" x14ac:dyDescent="0.25">
      <c r="D7421" t="s">
        <v>15498</v>
      </c>
    </row>
    <row r="7422" spans="4:4" x14ac:dyDescent="0.25">
      <c r="D7422" t="s">
        <v>15499</v>
      </c>
    </row>
    <row r="7423" spans="4:4" x14ac:dyDescent="0.25">
      <c r="D7423" t="s">
        <v>15500</v>
      </c>
    </row>
    <row r="7424" spans="4:4" x14ac:dyDescent="0.25">
      <c r="D7424" t="s">
        <v>15501</v>
      </c>
    </row>
    <row r="7425" spans="4:4" x14ac:dyDescent="0.25">
      <c r="D7425" t="s">
        <v>15502</v>
      </c>
    </row>
    <row r="7426" spans="4:4" x14ac:dyDescent="0.25">
      <c r="D7426" t="s">
        <v>15503</v>
      </c>
    </row>
    <row r="7427" spans="4:4" x14ac:dyDescent="0.25">
      <c r="D7427" t="s">
        <v>15504</v>
      </c>
    </row>
    <row r="7428" spans="4:4" x14ac:dyDescent="0.25">
      <c r="D7428" t="s">
        <v>15505</v>
      </c>
    </row>
    <row r="7429" spans="4:4" x14ac:dyDescent="0.25">
      <c r="D7429" t="s">
        <v>15506</v>
      </c>
    </row>
    <row r="7430" spans="4:4" x14ac:dyDescent="0.25">
      <c r="D7430" t="s">
        <v>15507</v>
      </c>
    </row>
    <row r="7431" spans="4:4" x14ac:dyDescent="0.25">
      <c r="D7431" t="s">
        <v>15508</v>
      </c>
    </row>
    <row r="7432" spans="4:4" x14ac:dyDescent="0.25">
      <c r="D7432" t="s">
        <v>15509</v>
      </c>
    </row>
    <row r="7433" spans="4:4" x14ac:dyDescent="0.25">
      <c r="D7433" t="s">
        <v>15510</v>
      </c>
    </row>
    <row r="7434" spans="4:4" x14ac:dyDescent="0.25">
      <c r="D7434" t="s">
        <v>15511</v>
      </c>
    </row>
    <row r="7435" spans="4:4" x14ac:dyDescent="0.25">
      <c r="D7435" t="s">
        <v>15512</v>
      </c>
    </row>
    <row r="7436" spans="4:4" x14ac:dyDescent="0.25">
      <c r="D7436" t="s">
        <v>15513</v>
      </c>
    </row>
    <row r="7437" spans="4:4" x14ac:dyDescent="0.25">
      <c r="D7437" t="s">
        <v>15514</v>
      </c>
    </row>
    <row r="7438" spans="4:4" x14ac:dyDescent="0.25">
      <c r="D7438" t="s">
        <v>15515</v>
      </c>
    </row>
    <row r="7439" spans="4:4" x14ac:dyDescent="0.25">
      <c r="D7439" t="s">
        <v>15516</v>
      </c>
    </row>
    <row r="7440" spans="4:4" x14ac:dyDescent="0.25">
      <c r="D7440" t="s">
        <v>15517</v>
      </c>
    </row>
    <row r="7441" spans="4:4" x14ac:dyDescent="0.25">
      <c r="D7441" t="s">
        <v>15518</v>
      </c>
    </row>
    <row r="7442" spans="4:4" x14ac:dyDescent="0.25">
      <c r="D7442" t="s">
        <v>15519</v>
      </c>
    </row>
    <row r="7443" spans="4:4" x14ac:dyDescent="0.25">
      <c r="D7443" t="s">
        <v>15520</v>
      </c>
    </row>
    <row r="7444" spans="4:4" x14ac:dyDescent="0.25">
      <c r="D7444" t="s">
        <v>15521</v>
      </c>
    </row>
    <row r="7445" spans="4:4" x14ac:dyDescent="0.25">
      <c r="D7445" t="s">
        <v>15522</v>
      </c>
    </row>
    <row r="7446" spans="4:4" x14ac:dyDescent="0.25">
      <c r="D7446" t="s">
        <v>15523</v>
      </c>
    </row>
    <row r="7447" spans="4:4" x14ac:dyDescent="0.25">
      <c r="D7447" t="s">
        <v>15524</v>
      </c>
    </row>
    <row r="7448" spans="4:4" x14ac:dyDescent="0.25">
      <c r="D7448" t="s">
        <v>15525</v>
      </c>
    </row>
    <row r="7449" spans="4:4" x14ac:dyDescent="0.25">
      <c r="D7449" t="s">
        <v>15526</v>
      </c>
    </row>
    <row r="7450" spans="4:4" x14ac:dyDescent="0.25">
      <c r="D7450" t="s">
        <v>15527</v>
      </c>
    </row>
    <row r="7451" spans="4:4" x14ac:dyDescent="0.25">
      <c r="D7451" t="s">
        <v>15528</v>
      </c>
    </row>
    <row r="7452" spans="4:4" x14ac:dyDescent="0.25">
      <c r="D7452" t="s">
        <v>15529</v>
      </c>
    </row>
    <row r="7453" spans="4:4" x14ac:dyDescent="0.25">
      <c r="D7453" t="s">
        <v>15530</v>
      </c>
    </row>
    <row r="7454" spans="4:4" x14ac:dyDescent="0.25">
      <c r="D7454" t="s">
        <v>15531</v>
      </c>
    </row>
    <row r="7455" spans="4:4" x14ac:dyDescent="0.25">
      <c r="D7455" t="s">
        <v>15532</v>
      </c>
    </row>
    <row r="7456" spans="4:4" x14ac:dyDescent="0.25">
      <c r="D7456" t="s">
        <v>15533</v>
      </c>
    </row>
    <row r="7457" spans="4:4" x14ac:dyDescent="0.25">
      <c r="D7457" t="s">
        <v>15534</v>
      </c>
    </row>
    <row r="7458" spans="4:4" x14ac:dyDescent="0.25">
      <c r="D7458" t="s">
        <v>15535</v>
      </c>
    </row>
    <row r="7459" spans="4:4" x14ac:dyDescent="0.25">
      <c r="D7459" t="s">
        <v>15536</v>
      </c>
    </row>
    <row r="7460" spans="4:4" x14ac:dyDescent="0.25">
      <c r="D7460" t="s">
        <v>15537</v>
      </c>
    </row>
    <row r="7461" spans="4:4" x14ac:dyDescent="0.25">
      <c r="D7461" t="s">
        <v>15538</v>
      </c>
    </row>
    <row r="7462" spans="4:4" x14ac:dyDescent="0.25">
      <c r="D7462" t="s">
        <v>15539</v>
      </c>
    </row>
    <row r="7463" spans="4:4" x14ac:dyDescent="0.25">
      <c r="D7463" t="s">
        <v>15540</v>
      </c>
    </row>
    <row r="7464" spans="4:4" x14ac:dyDescent="0.25">
      <c r="D7464" t="s">
        <v>15541</v>
      </c>
    </row>
    <row r="7465" spans="4:4" x14ac:dyDescent="0.25">
      <c r="D7465" t="s">
        <v>15542</v>
      </c>
    </row>
    <row r="7466" spans="4:4" x14ac:dyDescent="0.25">
      <c r="D7466" t="s">
        <v>15543</v>
      </c>
    </row>
    <row r="7467" spans="4:4" x14ac:dyDescent="0.25">
      <c r="D7467" t="s">
        <v>15544</v>
      </c>
    </row>
    <row r="7468" spans="4:4" x14ac:dyDescent="0.25">
      <c r="D7468" t="s">
        <v>15545</v>
      </c>
    </row>
    <row r="7469" spans="4:4" x14ac:dyDescent="0.25">
      <c r="D7469" t="s">
        <v>15546</v>
      </c>
    </row>
    <row r="7470" spans="4:4" x14ac:dyDescent="0.25">
      <c r="D7470" t="s">
        <v>15547</v>
      </c>
    </row>
    <row r="7471" spans="4:4" x14ac:dyDescent="0.25">
      <c r="D7471" t="s">
        <v>15548</v>
      </c>
    </row>
    <row r="7472" spans="4:4" x14ac:dyDescent="0.25">
      <c r="D7472" t="s">
        <v>15549</v>
      </c>
    </row>
    <row r="7473" spans="4:4" x14ac:dyDescent="0.25">
      <c r="D7473" t="s">
        <v>15550</v>
      </c>
    </row>
    <row r="7474" spans="4:4" x14ac:dyDescent="0.25">
      <c r="D7474" t="s">
        <v>15551</v>
      </c>
    </row>
    <row r="7475" spans="4:4" x14ac:dyDescent="0.25">
      <c r="D7475" t="s">
        <v>15552</v>
      </c>
    </row>
    <row r="7476" spans="4:4" x14ac:dyDescent="0.25">
      <c r="D7476" t="s">
        <v>15553</v>
      </c>
    </row>
    <row r="7477" spans="4:4" x14ac:dyDescent="0.25">
      <c r="D7477" t="s">
        <v>15554</v>
      </c>
    </row>
    <row r="7478" spans="4:4" x14ac:dyDescent="0.25">
      <c r="D7478" t="s">
        <v>15555</v>
      </c>
    </row>
    <row r="7479" spans="4:4" x14ac:dyDescent="0.25">
      <c r="D7479" t="s">
        <v>15556</v>
      </c>
    </row>
    <row r="7480" spans="4:4" x14ac:dyDescent="0.25">
      <c r="D7480" t="s">
        <v>15557</v>
      </c>
    </row>
    <row r="7481" spans="4:4" x14ac:dyDescent="0.25">
      <c r="D7481" t="s">
        <v>15558</v>
      </c>
    </row>
    <row r="7482" spans="4:4" x14ac:dyDescent="0.25">
      <c r="D7482" t="s">
        <v>15559</v>
      </c>
    </row>
    <row r="7483" spans="4:4" x14ac:dyDescent="0.25">
      <c r="D7483" t="s">
        <v>15560</v>
      </c>
    </row>
    <row r="7484" spans="4:4" x14ac:dyDescent="0.25">
      <c r="D7484" t="s">
        <v>15561</v>
      </c>
    </row>
    <row r="7485" spans="4:4" x14ac:dyDescent="0.25">
      <c r="D7485" t="s">
        <v>15562</v>
      </c>
    </row>
    <row r="7486" spans="4:4" x14ac:dyDescent="0.25">
      <c r="D7486" t="s">
        <v>15563</v>
      </c>
    </row>
    <row r="7487" spans="4:4" x14ac:dyDescent="0.25">
      <c r="D7487" t="s">
        <v>15564</v>
      </c>
    </row>
    <row r="7488" spans="4:4" x14ac:dyDescent="0.25">
      <c r="D7488" t="s">
        <v>15565</v>
      </c>
    </row>
    <row r="7489" spans="4:4" x14ac:dyDescent="0.25">
      <c r="D7489" t="s">
        <v>15566</v>
      </c>
    </row>
    <row r="7490" spans="4:4" x14ac:dyDescent="0.25">
      <c r="D7490" t="s">
        <v>15567</v>
      </c>
    </row>
    <row r="7491" spans="4:4" x14ac:dyDescent="0.25">
      <c r="D7491" t="s">
        <v>15568</v>
      </c>
    </row>
    <row r="7492" spans="4:4" x14ac:dyDescent="0.25">
      <c r="D7492" t="s">
        <v>15569</v>
      </c>
    </row>
    <row r="7493" spans="4:4" x14ac:dyDescent="0.25">
      <c r="D7493" t="s">
        <v>15570</v>
      </c>
    </row>
    <row r="7494" spans="4:4" x14ac:dyDescent="0.25">
      <c r="D7494" t="s">
        <v>15571</v>
      </c>
    </row>
    <row r="7495" spans="4:4" x14ac:dyDescent="0.25">
      <c r="D7495" t="s">
        <v>15572</v>
      </c>
    </row>
    <row r="7496" spans="4:4" x14ac:dyDescent="0.25">
      <c r="D7496" t="s">
        <v>15573</v>
      </c>
    </row>
    <row r="7497" spans="4:4" x14ac:dyDescent="0.25">
      <c r="D7497" t="s">
        <v>15574</v>
      </c>
    </row>
    <row r="7498" spans="4:4" x14ac:dyDescent="0.25">
      <c r="D7498" t="s">
        <v>15575</v>
      </c>
    </row>
    <row r="7499" spans="4:4" x14ac:dyDescent="0.25">
      <c r="D7499" t="s">
        <v>15576</v>
      </c>
    </row>
    <row r="7500" spans="4:4" x14ac:dyDescent="0.25">
      <c r="D7500" t="s">
        <v>15577</v>
      </c>
    </row>
    <row r="7501" spans="4:4" x14ac:dyDescent="0.25">
      <c r="D7501" t="s">
        <v>15578</v>
      </c>
    </row>
    <row r="7502" spans="4:4" x14ac:dyDescent="0.25">
      <c r="D7502" t="s">
        <v>15579</v>
      </c>
    </row>
    <row r="7503" spans="4:4" x14ac:dyDescent="0.25">
      <c r="D7503" t="s">
        <v>15580</v>
      </c>
    </row>
    <row r="7504" spans="4:4" x14ac:dyDescent="0.25">
      <c r="D7504" t="s">
        <v>15581</v>
      </c>
    </row>
    <row r="7505" spans="4:4" x14ac:dyDescent="0.25">
      <c r="D7505" t="s">
        <v>15582</v>
      </c>
    </row>
    <row r="7506" spans="4:4" x14ac:dyDescent="0.25">
      <c r="D7506" t="s">
        <v>15583</v>
      </c>
    </row>
    <row r="7507" spans="4:4" x14ac:dyDescent="0.25">
      <c r="D7507" t="s">
        <v>15584</v>
      </c>
    </row>
    <row r="7508" spans="4:4" x14ac:dyDescent="0.25">
      <c r="D7508" t="s">
        <v>15585</v>
      </c>
    </row>
    <row r="7509" spans="4:4" x14ac:dyDescent="0.25">
      <c r="D7509" t="s">
        <v>15586</v>
      </c>
    </row>
    <row r="7510" spans="4:4" x14ac:dyDescent="0.25">
      <c r="D7510" t="s">
        <v>15587</v>
      </c>
    </row>
    <row r="7511" spans="4:4" x14ac:dyDescent="0.25">
      <c r="D7511" t="s">
        <v>15588</v>
      </c>
    </row>
    <row r="7512" spans="4:4" x14ac:dyDescent="0.25">
      <c r="D7512" t="s">
        <v>15589</v>
      </c>
    </row>
    <row r="7513" spans="4:4" x14ac:dyDescent="0.25">
      <c r="D7513" t="s">
        <v>15590</v>
      </c>
    </row>
    <row r="7514" spans="4:4" x14ac:dyDescent="0.25">
      <c r="D7514" t="s">
        <v>15591</v>
      </c>
    </row>
    <row r="7515" spans="4:4" x14ac:dyDescent="0.25">
      <c r="D7515" t="s">
        <v>15592</v>
      </c>
    </row>
    <row r="7516" spans="4:4" x14ac:dyDescent="0.25">
      <c r="D7516" t="s">
        <v>15593</v>
      </c>
    </row>
    <row r="7517" spans="4:4" x14ac:dyDescent="0.25">
      <c r="D7517" t="s">
        <v>15594</v>
      </c>
    </row>
    <row r="7518" spans="4:4" x14ac:dyDescent="0.25">
      <c r="D7518" t="s">
        <v>15595</v>
      </c>
    </row>
    <row r="7519" spans="4:4" x14ac:dyDescent="0.25">
      <c r="D7519" t="s">
        <v>15596</v>
      </c>
    </row>
    <row r="7520" spans="4:4" x14ac:dyDescent="0.25">
      <c r="D7520" t="s">
        <v>15597</v>
      </c>
    </row>
    <row r="7521" spans="4:4" x14ac:dyDescent="0.25">
      <c r="D7521" t="s">
        <v>15598</v>
      </c>
    </row>
    <row r="7522" spans="4:4" x14ac:dyDescent="0.25">
      <c r="D7522" t="s">
        <v>15599</v>
      </c>
    </row>
    <row r="7523" spans="4:4" x14ac:dyDescent="0.25">
      <c r="D7523" t="s">
        <v>15600</v>
      </c>
    </row>
    <row r="7524" spans="4:4" x14ac:dyDescent="0.25">
      <c r="D7524" t="s">
        <v>15601</v>
      </c>
    </row>
    <row r="7525" spans="4:4" x14ac:dyDescent="0.25">
      <c r="D7525" t="s">
        <v>15602</v>
      </c>
    </row>
    <row r="7526" spans="4:4" x14ac:dyDescent="0.25">
      <c r="D7526" t="s">
        <v>15603</v>
      </c>
    </row>
    <row r="7527" spans="4:4" x14ac:dyDescent="0.25">
      <c r="D7527" t="s">
        <v>15604</v>
      </c>
    </row>
    <row r="7528" spans="4:4" x14ac:dyDescent="0.25">
      <c r="D7528" t="s">
        <v>15605</v>
      </c>
    </row>
    <row r="7529" spans="4:4" x14ac:dyDescent="0.25">
      <c r="D7529" t="s">
        <v>15606</v>
      </c>
    </row>
    <row r="7530" spans="4:4" x14ac:dyDescent="0.25">
      <c r="D7530" t="s">
        <v>15607</v>
      </c>
    </row>
    <row r="7531" spans="4:4" x14ac:dyDescent="0.25">
      <c r="D7531" t="s">
        <v>15608</v>
      </c>
    </row>
    <row r="7532" spans="4:4" x14ac:dyDescent="0.25">
      <c r="D7532" t="s">
        <v>15609</v>
      </c>
    </row>
    <row r="7533" spans="4:4" x14ac:dyDescent="0.25">
      <c r="D7533" t="s">
        <v>15610</v>
      </c>
    </row>
    <row r="7534" spans="4:4" x14ac:dyDescent="0.25">
      <c r="D7534" t="s">
        <v>15611</v>
      </c>
    </row>
    <row r="7535" spans="4:4" x14ac:dyDescent="0.25">
      <c r="D7535" t="s">
        <v>15612</v>
      </c>
    </row>
    <row r="7536" spans="4:4" x14ac:dyDescent="0.25">
      <c r="D7536" t="s">
        <v>15613</v>
      </c>
    </row>
    <row r="7537" spans="4:4" x14ac:dyDescent="0.25">
      <c r="D7537" t="s">
        <v>15614</v>
      </c>
    </row>
    <row r="7538" spans="4:4" x14ac:dyDescent="0.25">
      <c r="D7538" t="s">
        <v>15615</v>
      </c>
    </row>
    <row r="7539" spans="4:4" x14ac:dyDescent="0.25">
      <c r="D7539" t="s">
        <v>15616</v>
      </c>
    </row>
    <row r="7540" spans="4:4" x14ac:dyDescent="0.25">
      <c r="D7540" t="s">
        <v>15617</v>
      </c>
    </row>
    <row r="7541" spans="4:4" x14ac:dyDescent="0.25">
      <c r="D7541" t="s">
        <v>15618</v>
      </c>
    </row>
    <row r="7542" spans="4:4" x14ac:dyDescent="0.25">
      <c r="D7542" t="s">
        <v>15619</v>
      </c>
    </row>
    <row r="7543" spans="4:4" x14ac:dyDescent="0.25">
      <c r="D7543" t="s">
        <v>15620</v>
      </c>
    </row>
    <row r="7544" spans="4:4" x14ac:dyDescent="0.25">
      <c r="D7544" t="s">
        <v>15621</v>
      </c>
    </row>
    <row r="7545" spans="4:4" x14ac:dyDescent="0.25">
      <c r="D7545" t="s">
        <v>15622</v>
      </c>
    </row>
    <row r="7546" spans="4:4" x14ac:dyDescent="0.25">
      <c r="D7546" t="s">
        <v>15623</v>
      </c>
    </row>
    <row r="7547" spans="4:4" x14ac:dyDescent="0.25">
      <c r="D7547" t="s">
        <v>15624</v>
      </c>
    </row>
    <row r="7548" spans="4:4" x14ac:dyDescent="0.25">
      <c r="D7548" t="s">
        <v>15625</v>
      </c>
    </row>
    <row r="7549" spans="4:4" x14ac:dyDescent="0.25">
      <c r="D7549" t="s">
        <v>15626</v>
      </c>
    </row>
    <row r="7550" spans="4:4" x14ac:dyDescent="0.25">
      <c r="D7550" t="s">
        <v>15627</v>
      </c>
    </row>
    <row r="7551" spans="4:4" x14ac:dyDescent="0.25">
      <c r="D7551" t="s">
        <v>15628</v>
      </c>
    </row>
    <row r="7552" spans="4:4" x14ac:dyDescent="0.25">
      <c r="D7552" t="s">
        <v>15629</v>
      </c>
    </row>
    <row r="7553" spans="4:4" x14ac:dyDescent="0.25">
      <c r="D7553" t="s">
        <v>15630</v>
      </c>
    </row>
    <row r="7554" spans="4:4" x14ac:dyDescent="0.25">
      <c r="D7554" t="s">
        <v>15631</v>
      </c>
    </row>
    <row r="7555" spans="4:4" x14ac:dyDescent="0.25">
      <c r="D7555" t="s">
        <v>15632</v>
      </c>
    </row>
    <row r="7556" spans="4:4" x14ac:dyDescent="0.25">
      <c r="D7556" t="s">
        <v>15633</v>
      </c>
    </row>
    <row r="7557" spans="4:4" x14ac:dyDescent="0.25">
      <c r="D7557" t="s">
        <v>15634</v>
      </c>
    </row>
    <row r="7558" spans="4:4" x14ac:dyDescent="0.25">
      <c r="D7558" t="s">
        <v>15635</v>
      </c>
    </row>
    <row r="7559" spans="4:4" x14ac:dyDescent="0.25">
      <c r="D7559" t="s">
        <v>15636</v>
      </c>
    </row>
    <row r="7560" spans="4:4" x14ac:dyDescent="0.25">
      <c r="D7560" t="s">
        <v>15637</v>
      </c>
    </row>
    <row r="7561" spans="4:4" x14ac:dyDescent="0.25">
      <c r="D7561" t="s">
        <v>15638</v>
      </c>
    </row>
    <row r="7562" spans="4:4" x14ac:dyDescent="0.25">
      <c r="D7562" t="s">
        <v>15639</v>
      </c>
    </row>
    <row r="7563" spans="4:4" x14ac:dyDescent="0.25">
      <c r="D7563" t="s">
        <v>15640</v>
      </c>
    </row>
    <row r="7564" spans="4:4" x14ac:dyDescent="0.25">
      <c r="D7564" t="s">
        <v>15641</v>
      </c>
    </row>
    <row r="7565" spans="4:4" x14ac:dyDescent="0.25">
      <c r="D7565" t="s">
        <v>15642</v>
      </c>
    </row>
    <row r="7566" spans="4:4" x14ac:dyDescent="0.25">
      <c r="D7566" t="s">
        <v>15643</v>
      </c>
    </row>
    <row r="7567" spans="4:4" x14ac:dyDescent="0.25">
      <c r="D7567" t="s">
        <v>15644</v>
      </c>
    </row>
    <row r="7568" spans="4:4" x14ac:dyDescent="0.25">
      <c r="D7568" t="s">
        <v>15645</v>
      </c>
    </row>
    <row r="7569" spans="4:4" x14ac:dyDescent="0.25">
      <c r="D7569" t="s">
        <v>15646</v>
      </c>
    </row>
    <row r="7570" spans="4:4" x14ac:dyDescent="0.25">
      <c r="D7570" t="s">
        <v>15647</v>
      </c>
    </row>
    <row r="7571" spans="4:4" x14ac:dyDescent="0.25">
      <c r="D7571" t="s">
        <v>15648</v>
      </c>
    </row>
    <row r="7572" spans="4:4" x14ac:dyDescent="0.25">
      <c r="D7572" t="s">
        <v>15649</v>
      </c>
    </row>
    <row r="7573" spans="4:4" x14ac:dyDescent="0.25">
      <c r="D7573" t="s">
        <v>15650</v>
      </c>
    </row>
    <row r="7574" spans="4:4" x14ac:dyDescent="0.25">
      <c r="D7574" t="s">
        <v>15651</v>
      </c>
    </row>
    <row r="7575" spans="4:4" x14ac:dyDescent="0.25">
      <c r="D7575" t="s">
        <v>15652</v>
      </c>
    </row>
    <row r="7576" spans="4:4" x14ac:dyDescent="0.25">
      <c r="D7576" t="s">
        <v>15653</v>
      </c>
    </row>
    <row r="7577" spans="4:4" x14ac:dyDescent="0.25">
      <c r="D7577" t="s">
        <v>15654</v>
      </c>
    </row>
    <row r="7578" spans="4:4" x14ac:dyDescent="0.25">
      <c r="D7578" t="s">
        <v>15655</v>
      </c>
    </row>
    <row r="7579" spans="4:4" x14ac:dyDescent="0.25">
      <c r="D7579" t="s">
        <v>15656</v>
      </c>
    </row>
    <row r="7580" spans="4:4" x14ac:dyDescent="0.25">
      <c r="D7580" t="s">
        <v>15657</v>
      </c>
    </row>
    <row r="7581" spans="4:4" x14ac:dyDescent="0.25">
      <c r="D7581" t="s">
        <v>15658</v>
      </c>
    </row>
    <row r="7582" spans="4:4" x14ac:dyDescent="0.25">
      <c r="D7582" t="s">
        <v>15659</v>
      </c>
    </row>
    <row r="7583" spans="4:4" x14ac:dyDescent="0.25">
      <c r="D7583" t="s">
        <v>15660</v>
      </c>
    </row>
    <row r="7584" spans="4:4" x14ac:dyDescent="0.25">
      <c r="D7584" t="s">
        <v>15661</v>
      </c>
    </row>
    <row r="7585" spans="4:4" x14ac:dyDescent="0.25">
      <c r="D7585" t="s">
        <v>15662</v>
      </c>
    </row>
    <row r="7586" spans="4:4" x14ac:dyDescent="0.25">
      <c r="D7586" t="s">
        <v>15663</v>
      </c>
    </row>
    <row r="7587" spans="4:4" x14ac:dyDescent="0.25">
      <c r="D7587" t="s">
        <v>15664</v>
      </c>
    </row>
    <row r="7588" spans="4:4" x14ac:dyDescent="0.25">
      <c r="D7588" t="s">
        <v>15665</v>
      </c>
    </row>
    <row r="7589" spans="4:4" x14ac:dyDescent="0.25">
      <c r="D7589" t="s">
        <v>15666</v>
      </c>
    </row>
    <row r="7590" spans="4:4" x14ac:dyDescent="0.25">
      <c r="D7590" t="s">
        <v>15667</v>
      </c>
    </row>
    <row r="7591" spans="4:4" x14ac:dyDescent="0.25">
      <c r="D7591" t="s">
        <v>15668</v>
      </c>
    </row>
    <row r="7592" spans="4:4" x14ac:dyDescent="0.25">
      <c r="D7592" t="s">
        <v>15669</v>
      </c>
    </row>
    <row r="7593" spans="4:4" x14ac:dyDescent="0.25">
      <c r="D7593" t="s">
        <v>15670</v>
      </c>
    </row>
    <row r="7594" spans="4:4" x14ac:dyDescent="0.25">
      <c r="D7594" t="s">
        <v>15671</v>
      </c>
    </row>
    <row r="7595" spans="4:4" x14ac:dyDescent="0.25">
      <c r="D7595" t="s">
        <v>15672</v>
      </c>
    </row>
    <row r="7596" spans="4:4" x14ac:dyDescent="0.25">
      <c r="D7596" t="s">
        <v>15673</v>
      </c>
    </row>
    <row r="7597" spans="4:4" x14ac:dyDescent="0.25">
      <c r="D7597" t="s">
        <v>15674</v>
      </c>
    </row>
    <row r="7598" spans="4:4" x14ac:dyDescent="0.25">
      <c r="D7598" t="s">
        <v>15675</v>
      </c>
    </row>
    <row r="7599" spans="4:4" x14ac:dyDescent="0.25">
      <c r="D7599" t="s">
        <v>15676</v>
      </c>
    </row>
    <row r="7600" spans="4:4" x14ac:dyDescent="0.25">
      <c r="D7600" t="s">
        <v>15677</v>
      </c>
    </row>
    <row r="7601" spans="4:4" x14ac:dyDescent="0.25">
      <c r="D7601" t="s">
        <v>15678</v>
      </c>
    </row>
    <row r="7602" spans="4:4" x14ac:dyDescent="0.25">
      <c r="D7602" t="s">
        <v>15679</v>
      </c>
    </row>
    <row r="7603" spans="4:4" x14ac:dyDescent="0.25">
      <c r="D7603" t="s">
        <v>15680</v>
      </c>
    </row>
    <row r="7604" spans="4:4" x14ac:dyDescent="0.25">
      <c r="D7604" t="s">
        <v>15681</v>
      </c>
    </row>
    <row r="7605" spans="4:4" x14ac:dyDescent="0.25">
      <c r="D7605" t="s">
        <v>15682</v>
      </c>
    </row>
    <row r="7606" spans="4:4" x14ac:dyDescent="0.25">
      <c r="D7606" t="s">
        <v>15683</v>
      </c>
    </row>
    <row r="7607" spans="4:4" x14ac:dyDescent="0.25">
      <c r="D7607" t="s">
        <v>15684</v>
      </c>
    </row>
    <row r="7608" spans="4:4" x14ac:dyDescent="0.25">
      <c r="D7608" t="s">
        <v>15685</v>
      </c>
    </row>
    <row r="7609" spans="4:4" x14ac:dyDescent="0.25">
      <c r="D7609" t="s">
        <v>15686</v>
      </c>
    </row>
    <row r="7610" spans="4:4" x14ac:dyDescent="0.25">
      <c r="D7610" t="s">
        <v>15687</v>
      </c>
    </row>
    <row r="7611" spans="4:4" x14ac:dyDescent="0.25">
      <c r="D7611" t="s">
        <v>15688</v>
      </c>
    </row>
    <row r="7612" spans="4:4" x14ac:dyDescent="0.25">
      <c r="D7612" t="s">
        <v>15689</v>
      </c>
    </row>
    <row r="7613" spans="4:4" x14ac:dyDescent="0.25">
      <c r="D7613" t="s">
        <v>15690</v>
      </c>
    </row>
    <row r="7614" spans="4:4" x14ac:dyDescent="0.25">
      <c r="D7614" t="s">
        <v>15691</v>
      </c>
    </row>
    <row r="7615" spans="4:4" x14ac:dyDescent="0.25">
      <c r="D7615" t="s">
        <v>15692</v>
      </c>
    </row>
    <row r="7616" spans="4:4" x14ac:dyDescent="0.25">
      <c r="D7616" t="s">
        <v>15693</v>
      </c>
    </row>
    <row r="7617" spans="4:4" x14ac:dyDescent="0.25">
      <c r="D7617" t="s">
        <v>15694</v>
      </c>
    </row>
    <row r="7618" spans="4:4" x14ac:dyDescent="0.25">
      <c r="D7618" t="s">
        <v>15695</v>
      </c>
    </row>
    <row r="7619" spans="4:4" x14ac:dyDescent="0.25">
      <c r="D7619" t="s">
        <v>15696</v>
      </c>
    </row>
    <row r="7620" spans="4:4" x14ac:dyDescent="0.25">
      <c r="D7620" t="s">
        <v>15697</v>
      </c>
    </row>
    <row r="7621" spans="4:4" x14ac:dyDescent="0.25">
      <c r="D7621" t="s">
        <v>15698</v>
      </c>
    </row>
    <row r="7622" spans="4:4" x14ac:dyDescent="0.25">
      <c r="D7622" t="s">
        <v>15699</v>
      </c>
    </row>
    <row r="7623" spans="4:4" x14ac:dyDescent="0.25">
      <c r="D7623" t="s">
        <v>15700</v>
      </c>
    </row>
    <row r="7624" spans="4:4" x14ac:dyDescent="0.25">
      <c r="D7624" t="s">
        <v>15701</v>
      </c>
    </row>
    <row r="7625" spans="4:4" x14ac:dyDescent="0.25">
      <c r="D7625" t="s">
        <v>15702</v>
      </c>
    </row>
    <row r="7626" spans="4:4" x14ac:dyDescent="0.25">
      <c r="D7626" t="s">
        <v>15703</v>
      </c>
    </row>
    <row r="7627" spans="4:4" x14ac:dyDescent="0.25">
      <c r="D7627" t="s">
        <v>15704</v>
      </c>
    </row>
    <row r="7628" spans="4:4" x14ac:dyDescent="0.25">
      <c r="D7628" t="s">
        <v>15705</v>
      </c>
    </row>
    <row r="7629" spans="4:4" x14ac:dyDescent="0.25">
      <c r="D7629" t="s">
        <v>15706</v>
      </c>
    </row>
    <row r="7630" spans="4:4" x14ac:dyDescent="0.25">
      <c r="D7630" t="s">
        <v>15707</v>
      </c>
    </row>
    <row r="7631" spans="4:4" x14ac:dyDescent="0.25">
      <c r="D7631" t="s">
        <v>15708</v>
      </c>
    </row>
    <row r="7632" spans="4:4" x14ac:dyDescent="0.25">
      <c r="D7632" t="s">
        <v>15709</v>
      </c>
    </row>
    <row r="7633" spans="4:4" x14ac:dyDescent="0.25">
      <c r="D7633" t="s">
        <v>15710</v>
      </c>
    </row>
    <row r="7634" spans="4:4" x14ac:dyDescent="0.25">
      <c r="D7634" t="s">
        <v>15711</v>
      </c>
    </row>
    <row r="7635" spans="4:4" x14ac:dyDescent="0.25">
      <c r="D7635" t="s">
        <v>15712</v>
      </c>
    </row>
    <row r="7636" spans="4:4" x14ac:dyDescent="0.25">
      <c r="D7636" t="s">
        <v>15713</v>
      </c>
    </row>
    <row r="7637" spans="4:4" x14ac:dyDescent="0.25">
      <c r="D7637" t="s">
        <v>15714</v>
      </c>
    </row>
    <row r="7638" spans="4:4" x14ac:dyDescent="0.25">
      <c r="D7638" t="s">
        <v>15715</v>
      </c>
    </row>
    <row r="7639" spans="4:4" x14ac:dyDescent="0.25">
      <c r="D7639" t="s">
        <v>15716</v>
      </c>
    </row>
    <row r="7640" spans="4:4" x14ac:dyDescent="0.25">
      <c r="D7640" t="s">
        <v>15717</v>
      </c>
    </row>
    <row r="7641" spans="4:4" x14ac:dyDescent="0.25">
      <c r="D7641" t="s">
        <v>15718</v>
      </c>
    </row>
    <row r="7642" spans="4:4" x14ac:dyDescent="0.25">
      <c r="D7642" t="s">
        <v>15719</v>
      </c>
    </row>
    <row r="7643" spans="4:4" x14ac:dyDescent="0.25">
      <c r="D7643" t="s">
        <v>15720</v>
      </c>
    </row>
    <row r="7644" spans="4:4" x14ac:dyDescent="0.25">
      <c r="D7644" t="s">
        <v>15721</v>
      </c>
    </row>
    <row r="7645" spans="4:4" x14ac:dyDescent="0.25">
      <c r="D7645" t="s">
        <v>15722</v>
      </c>
    </row>
    <row r="7646" spans="4:4" x14ac:dyDescent="0.25">
      <c r="D7646" t="s">
        <v>15723</v>
      </c>
    </row>
    <row r="7647" spans="4:4" x14ac:dyDescent="0.25">
      <c r="D7647" t="s">
        <v>15724</v>
      </c>
    </row>
    <row r="7648" spans="4:4" x14ac:dyDescent="0.25">
      <c r="D7648" t="s">
        <v>15725</v>
      </c>
    </row>
    <row r="7649" spans="4:4" x14ac:dyDescent="0.25">
      <c r="D7649" t="s">
        <v>15726</v>
      </c>
    </row>
    <row r="7650" spans="4:4" x14ac:dyDescent="0.25">
      <c r="D7650" t="s">
        <v>15727</v>
      </c>
    </row>
    <row r="7651" spans="4:4" x14ac:dyDescent="0.25">
      <c r="D7651" t="s">
        <v>15728</v>
      </c>
    </row>
    <row r="7652" spans="4:4" x14ac:dyDescent="0.25">
      <c r="D7652" t="s">
        <v>15729</v>
      </c>
    </row>
    <row r="7653" spans="4:4" x14ac:dyDescent="0.25">
      <c r="D7653" t="s">
        <v>15730</v>
      </c>
    </row>
    <row r="7654" spans="4:4" x14ac:dyDescent="0.25">
      <c r="D7654" t="s">
        <v>15731</v>
      </c>
    </row>
    <row r="7655" spans="4:4" x14ac:dyDescent="0.25">
      <c r="D7655" t="s">
        <v>15732</v>
      </c>
    </row>
    <row r="7656" spans="4:4" x14ac:dyDescent="0.25">
      <c r="D7656" t="s">
        <v>15733</v>
      </c>
    </row>
    <row r="7657" spans="4:4" x14ac:dyDescent="0.25">
      <c r="D7657" t="s">
        <v>15734</v>
      </c>
    </row>
    <row r="7658" spans="4:4" x14ac:dyDescent="0.25">
      <c r="D7658" t="s">
        <v>15735</v>
      </c>
    </row>
    <row r="7659" spans="4:4" x14ac:dyDescent="0.25">
      <c r="D7659" t="s">
        <v>15736</v>
      </c>
    </row>
    <row r="7660" spans="4:4" x14ac:dyDescent="0.25">
      <c r="D7660" t="s">
        <v>15737</v>
      </c>
    </row>
    <row r="7661" spans="4:4" x14ac:dyDescent="0.25">
      <c r="D7661" t="s">
        <v>15738</v>
      </c>
    </row>
    <row r="7662" spans="4:4" x14ac:dyDescent="0.25">
      <c r="D7662" t="s">
        <v>15739</v>
      </c>
    </row>
    <row r="7663" spans="4:4" x14ac:dyDescent="0.25">
      <c r="D7663" t="s">
        <v>15740</v>
      </c>
    </row>
    <row r="7664" spans="4:4" x14ac:dyDescent="0.25">
      <c r="D7664" t="s">
        <v>15741</v>
      </c>
    </row>
    <row r="7665" spans="4:4" x14ac:dyDescent="0.25">
      <c r="D7665" t="s">
        <v>15742</v>
      </c>
    </row>
    <row r="7666" spans="4:4" x14ac:dyDescent="0.25">
      <c r="D7666" t="s">
        <v>15743</v>
      </c>
    </row>
    <row r="7667" spans="4:4" x14ac:dyDescent="0.25">
      <c r="D7667" t="s">
        <v>15744</v>
      </c>
    </row>
    <row r="7668" spans="4:4" x14ac:dyDescent="0.25">
      <c r="D7668" t="s">
        <v>15745</v>
      </c>
    </row>
    <row r="7669" spans="4:4" x14ac:dyDescent="0.25">
      <c r="D7669" t="s">
        <v>15746</v>
      </c>
    </row>
    <row r="7670" spans="4:4" x14ac:dyDescent="0.25">
      <c r="D7670" t="s">
        <v>15747</v>
      </c>
    </row>
    <row r="7671" spans="4:4" x14ac:dyDescent="0.25">
      <c r="D7671" t="s">
        <v>15748</v>
      </c>
    </row>
    <row r="7672" spans="4:4" x14ac:dyDescent="0.25">
      <c r="D7672" t="s">
        <v>15749</v>
      </c>
    </row>
    <row r="7673" spans="4:4" x14ac:dyDescent="0.25">
      <c r="D7673" t="s">
        <v>15750</v>
      </c>
    </row>
    <row r="7674" spans="4:4" x14ac:dyDescent="0.25">
      <c r="D7674" t="s">
        <v>15751</v>
      </c>
    </row>
    <row r="7675" spans="4:4" x14ac:dyDescent="0.25">
      <c r="D7675" t="s">
        <v>15752</v>
      </c>
    </row>
    <row r="7676" spans="4:4" x14ac:dyDescent="0.25">
      <c r="D7676" t="s">
        <v>15753</v>
      </c>
    </row>
    <row r="7677" spans="4:4" x14ac:dyDescent="0.25">
      <c r="D7677" t="s">
        <v>15754</v>
      </c>
    </row>
    <row r="7678" spans="4:4" x14ac:dyDescent="0.25">
      <c r="D7678" t="s">
        <v>15755</v>
      </c>
    </row>
    <row r="7679" spans="4:4" x14ac:dyDescent="0.25">
      <c r="D7679" t="s">
        <v>15756</v>
      </c>
    </row>
    <row r="7680" spans="4:4" x14ac:dyDescent="0.25">
      <c r="D7680" t="s">
        <v>15757</v>
      </c>
    </row>
    <row r="7681" spans="4:4" x14ac:dyDescent="0.25">
      <c r="D7681" t="s">
        <v>15758</v>
      </c>
    </row>
    <row r="7682" spans="4:4" x14ac:dyDescent="0.25">
      <c r="D7682" t="s">
        <v>15759</v>
      </c>
    </row>
    <row r="7683" spans="4:4" x14ac:dyDescent="0.25">
      <c r="D7683" t="s">
        <v>15760</v>
      </c>
    </row>
    <row r="7684" spans="4:4" x14ac:dyDescent="0.25">
      <c r="D7684" t="s">
        <v>15761</v>
      </c>
    </row>
    <row r="7685" spans="4:4" x14ac:dyDescent="0.25">
      <c r="D7685" t="s">
        <v>15762</v>
      </c>
    </row>
    <row r="7686" spans="4:4" x14ac:dyDescent="0.25">
      <c r="D7686" t="s">
        <v>15763</v>
      </c>
    </row>
    <row r="7687" spans="4:4" x14ac:dyDescent="0.25">
      <c r="D7687" t="s">
        <v>15764</v>
      </c>
    </row>
    <row r="7688" spans="4:4" x14ac:dyDescent="0.25">
      <c r="D7688" t="s">
        <v>15765</v>
      </c>
    </row>
    <row r="7689" spans="4:4" x14ac:dyDescent="0.25">
      <c r="D7689" t="s">
        <v>15766</v>
      </c>
    </row>
    <row r="7690" spans="4:4" x14ac:dyDescent="0.25">
      <c r="D7690" t="s">
        <v>15767</v>
      </c>
    </row>
    <row r="7691" spans="4:4" x14ac:dyDescent="0.25">
      <c r="D7691" t="s">
        <v>15768</v>
      </c>
    </row>
    <row r="7692" spans="4:4" x14ac:dyDescent="0.25">
      <c r="D7692" t="s">
        <v>15769</v>
      </c>
    </row>
    <row r="7693" spans="4:4" x14ac:dyDescent="0.25">
      <c r="D7693" t="s">
        <v>15770</v>
      </c>
    </row>
    <row r="7694" spans="4:4" x14ac:dyDescent="0.25">
      <c r="D7694" t="s">
        <v>15771</v>
      </c>
    </row>
    <row r="7695" spans="4:4" x14ac:dyDescent="0.25">
      <c r="D7695" t="s">
        <v>15772</v>
      </c>
    </row>
    <row r="7696" spans="4:4" x14ac:dyDescent="0.25">
      <c r="D7696" t="s">
        <v>15773</v>
      </c>
    </row>
    <row r="7697" spans="4:4" x14ac:dyDescent="0.25">
      <c r="D7697" t="s">
        <v>15774</v>
      </c>
    </row>
    <row r="7698" spans="4:4" x14ac:dyDescent="0.25">
      <c r="D7698" t="s">
        <v>15775</v>
      </c>
    </row>
    <row r="7699" spans="4:4" x14ac:dyDescent="0.25">
      <c r="D7699" t="s">
        <v>15776</v>
      </c>
    </row>
    <row r="7700" spans="4:4" x14ac:dyDescent="0.25">
      <c r="D7700" t="s">
        <v>15777</v>
      </c>
    </row>
    <row r="7701" spans="4:4" x14ac:dyDescent="0.25">
      <c r="D7701" t="s">
        <v>15778</v>
      </c>
    </row>
    <row r="7702" spans="4:4" x14ac:dyDescent="0.25">
      <c r="D7702" t="s">
        <v>15779</v>
      </c>
    </row>
    <row r="7703" spans="4:4" x14ac:dyDescent="0.25">
      <c r="D7703" t="s">
        <v>15780</v>
      </c>
    </row>
    <row r="7704" spans="4:4" x14ac:dyDescent="0.25">
      <c r="D7704" t="s">
        <v>15781</v>
      </c>
    </row>
    <row r="7705" spans="4:4" x14ac:dyDescent="0.25">
      <c r="D7705" t="s">
        <v>15782</v>
      </c>
    </row>
    <row r="7706" spans="4:4" x14ac:dyDescent="0.25">
      <c r="D7706" t="s">
        <v>15783</v>
      </c>
    </row>
    <row r="7707" spans="4:4" x14ac:dyDescent="0.25">
      <c r="D7707" t="s">
        <v>15784</v>
      </c>
    </row>
    <row r="7708" spans="4:4" x14ac:dyDescent="0.25">
      <c r="D7708" t="s">
        <v>15785</v>
      </c>
    </row>
    <row r="7709" spans="4:4" x14ac:dyDescent="0.25">
      <c r="D7709" t="s">
        <v>15786</v>
      </c>
    </row>
    <row r="7710" spans="4:4" x14ac:dyDescent="0.25">
      <c r="D7710" t="s">
        <v>15787</v>
      </c>
    </row>
    <row r="7711" spans="4:4" x14ac:dyDescent="0.25">
      <c r="D7711" t="s">
        <v>15788</v>
      </c>
    </row>
    <row r="7712" spans="4:4" x14ac:dyDescent="0.25">
      <c r="D7712" t="s">
        <v>15789</v>
      </c>
    </row>
    <row r="7713" spans="4:4" x14ac:dyDescent="0.25">
      <c r="D7713" t="s">
        <v>15790</v>
      </c>
    </row>
    <row r="7714" spans="4:4" x14ac:dyDescent="0.25">
      <c r="D7714" t="s">
        <v>15791</v>
      </c>
    </row>
    <row r="7715" spans="4:4" x14ac:dyDescent="0.25">
      <c r="D7715" t="s">
        <v>15792</v>
      </c>
    </row>
    <row r="7716" spans="4:4" x14ac:dyDescent="0.25">
      <c r="D7716" t="s">
        <v>15793</v>
      </c>
    </row>
    <row r="7717" spans="4:4" x14ac:dyDescent="0.25">
      <c r="D7717" t="s">
        <v>15794</v>
      </c>
    </row>
    <row r="7718" spans="4:4" x14ac:dyDescent="0.25">
      <c r="D7718" t="s">
        <v>15795</v>
      </c>
    </row>
    <row r="7719" spans="4:4" x14ac:dyDescent="0.25">
      <c r="D7719" t="s">
        <v>15796</v>
      </c>
    </row>
    <row r="7720" spans="4:4" x14ac:dyDescent="0.25">
      <c r="D7720" t="s">
        <v>15797</v>
      </c>
    </row>
    <row r="7721" spans="4:4" x14ac:dyDescent="0.25">
      <c r="D7721" t="s">
        <v>15798</v>
      </c>
    </row>
    <row r="7722" spans="4:4" x14ac:dyDescent="0.25">
      <c r="D7722" t="s">
        <v>15799</v>
      </c>
    </row>
    <row r="7723" spans="4:4" x14ac:dyDescent="0.25">
      <c r="D7723" t="s">
        <v>15800</v>
      </c>
    </row>
    <row r="7724" spans="4:4" x14ac:dyDescent="0.25">
      <c r="D7724" t="s">
        <v>15801</v>
      </c>
    </row>
    <row r="7725" spans="4:4" x14ac:dyDescent="0.25">
      <c r="D7725" t="s">
        <v>15802</v>
      </c>
    </row>
    <row r="7726" spans="4:4" x14ac:dyDescent="0.25">
      <c r="D7726" t="s">
        <v>15803</v>
      </c>
    </row>
    <row r="7727" spans="4:4" x14ac:dyDescent="0.25">
      <c r="D7727" t="s">
        <v>15804</v>
      </c>
    </row>
    <row r="7728" spans="4:4" x14ac:dyDescent="0.25">
      <c r="D7728" t="s">
        <v>15805</v>
      </c>
    </row>
    <row r="7729" spans="4:4" x14ac:dyDescent="0.25">
      <c r="D7729" t="s">
        <v>15806</v>
      </c>
    </row>
    <row r="7730" spans="4:4" x14ac:dyDescent="0.25">
      <c r="D7730" t="s">
        <v>15807</v>
      </c>
    </row>
    <row r="7731" spans="4:4" x14ac:dyDescent="0.25">
      <c r="D7731" t="s">
        <v>15808</v>
      </c>
    </row>
    <row r="7732" spans="4:4" x14ac:dyDescent="0.25">
      <c r="D7732" t="s">
        <v>15809</v>
      </c>
    </row>
    <row r="7733" spans="4:4" x14ac:dyDescent="0.25">
      <c r="D7733" t="s">
        <v>15810</v>
      </c>
    </row>
    <row r="7734" spans="4:4" x14ac:dyDescent="0.25">
      <c r="D7734" t="s">
        <v>15811</v>
      </c>
    </row>
    <row r="7735" spans="4:4" x14ac:dyDescent="0.25">
      <c r="D7735" t="s">
        <v>15812</v>
      </c>
    </row>
    <row r="7736" spans="4:4" x14ac:dyDescent="0.25">
      <c r="D7736" t="s">
        <v>15813</v>
      </c>
    </row>
    <row r="7737" spans="4:4" x14ac:dyDescent="0.25">
      <c r="D7737" t="s">
        <v>15814</v>
      </c>
    </row>
    <row r="7738" spans="4:4" x14ac:dyDescent="0.25">
      <c r="D7738" t="s">
        <v>15815</v>
      </c>
    </row>
    <row r="7739" spans="4:4" x14ac:dyDescent="0.25">
      <c r="D7739" t="s">
        <v>15816</v>
      </c>
    </row>
    <row r="7740" spans="4:4" x14ac:dyDescent="0.25">
      <c r="D7740" t="s">
        <v>15817</v>
      </c>
    </row>
    <row r="7741" spans="4:4" x14ac:dyDescent="0.25">
      <c r="D7741" t="s">
        <v>15818</v>
      </c>
    </row>
    <row r="7742" spans="4:4" x14ac:dyDescent="0.25">
      <c r="D7742" t="s">
        <v>15819</v>
      </c>
    </row>
    <row r="7743" spans="4:4" x14ac:dyDescent="0.25">
      <c r="D7743" t="s">
        <v>15820</v>
      </c>
    </row>
    <row r="7744" spans="4:4" x14ac:dyDescent="0.25">
      <c r="D7744" t="s">
        <v>15821</v>
      </c>
    </row>
    <row r="7745" spans="4:4" x14ac:dyDescent="0.25">
      <c r="D7745" t="s">
        <v>15822</v>
      </c>
    </row>
    <row r="7746" spans="4:4" x14ac:dyDescent="0.25">
      <c r="D7746" t="s">
        <v>15823</v>
      </c>
    </row>
    <row r="7747" spans="4:4" x14ac:dyDescent="0.25">
      <c r="D7747" t="s">
        <v>15824</v>
      </c>
    </row>
    <row r="7748" spans="4:4" x14ac:dyDescent="0.25">
      <c r="D7748" t="s">
        <v>15825</v>
      </c>
    </row>
    <row r="7749" spans="4:4" x14ac:dyDescent="0.25">
      <c r="D7749" t="s">
        <v>15826</v>
      </c>
    </row>
    <row r="7750" spans="4:4" x14ac:dyDescent="0.25">
      <c r="D7750" t="s">
        <v>15827</v>
      </c>
    </row>
    <row r="7751" spans="4:4" x14ac:dyDescent="0.25">
      <c r="D7751" t="s">
        <v>15828</v>
      </c>
    </row>
    <row r="7752" spans="4:4" x14ac:dyDescent="0.25">
      <c r="D7752" t="s">
        <v>15829</v>
      </c>
    </row>
    <row r="7753" spans="4:4" x14ac:dyDescent="0.25">
      <c r="D7753" t="s">
        <v>15830</v>
      </c>
    </row>
    <row r="7754" spans="4:4" x14ac:dyDescent="0.25">
      <c r="D7754" t="s">
        <v>15831</v>
      </c>
    </row>
    <row r="7755" spans="4:4" x14ac:dyDescent="0.25">
      <c r="D7755" t="s">
        <v>15832</v>
      </c>
    </row>
    <row r="7756" spans="4:4" x14ac:dyDescent="0.25">
      <c r="D7756" t="s">
        <v>15833</v>
      </c>
    </row>
    <row r="7757" spans="4:4" x14ac:dyDescent="0.25">
      <c r="D7757" t="s">
        <v>15834</v>
      </c>
    </row>
    <row r="7758" spans="4:4" x14ac:dyDescent="0.25">
      <c r="D7758" t="s">
        <v>15835</v>
      </c>
    </row>
    <row r="7759" spans="4:4" x14ac:dyDescent="0.25">
      <c r="D7759" t="s">
        <v>15836</v>
      </c>
    </row>
    <row r="7760" spans="4:4" x14ac:dyDescent="0.25">
      <c r="D7760" t="s">
        <v>15837</v>
      </c>
    </row>
    <row r="7761" spans="4:4" x14ac:dyDescent="0.25">
      <c r="D7761" t="s">
        <v>15838</v>
      </c>
    </row>
    <row r="7762" spans="4:4" x14ac:dyDescent="0.25">
      <c r="D7762" t="s">
        <v>15839</v>
      </c>
    </row>
    <row r="7763" spans="4:4" x14ac:dyDescent="0.25">
      <c r="D7763" t="s">
        <v>15840</v>
      </c>
    </row>
    <row r="7764" spans="4:4" x14ac:dyDescent="0.25">
      <c r="D7764" t="s">
        <v>15841</v>
      </c>
    </row>
    <row r="7765" spans="4:4" x14ac:dyDescent="0.25">
      <c r="D7765" t="s">
        <v>15842</v>
      </c>
    </row>
    <row r="7766" spans="4:4" x14ac:dyDescent="0.25">
      <c r="D7766" t="s">
        <v>15843</v>
      </c>
    </row>
    <row r="7767" spans="4:4" x14ac:dyDescent="0.25">
      <c r="D7767" t="s">
        <v>15844</v>
      </c>
    </row>
    <row r="7768" spans="4:4" x14ac:dyDescent="0.25">
      <c r="D7768" t="s">
        <v>15845</v>
      </c>
    </row>
    <row r="7769" spans="4:4" x14ac:dyDescent="0.25">
      <c r="D7769" t="s">
        <v>15846</v>
      </c>
    </row>
    <row r="7770" spans="4:4" x14ac:dyDescent="0.25">
      <c r="D7770" t="s">
        <v>15847</v>
      </c>
    </row>
    <row r="7771" spans="4:4" x14ac:dyDescent="0.25">
      <c r="D7771" t="s">
        <v>15848</v>
      </c>
    </row>
    <row r="7772" spans="4:4" x14ac:dyDescent="0.25">
      <c r="D7772" t="s">
        <v>15849</v>
      </c>
    </row>
    <row r="7773" spans="4:4" x14ac:dyDescent="0.25">
      <c r="D7773" t="s">
        <v>15850</v>
      </c>
    </row>
    <row r="7774" spans="4:4" x14ac:dyDescent="0.25">
      <c r="D7774" t="s">
        <v>15851</v>
      </c>
    </row>
    <row r="7775" spans="4:4" x14ac:dyDescent="0.25">
      <c r="D7775" t="s">
        <v>15852</v>
      </c>
    </row>
    <row r="7776" spans="4:4" x14ac:dyDescent="0.25">
      <c r="D7776" t="s">
        <v>15853</v>
      </c>
    </row>
    <row r="7777" spans="4:4" x14ac:dyDescent="0.25">
      <c r="D7777" t="s">
        <v>15854</v>
      </c>
    </row>
    <row r="7778" spans="4:4" x14ac:dyDescent="0.25">
      <c r="D7778" t="s">
        <v>15855</v>
      </c>
    </row>
    <row r="7779" spans="4:4" x14ac:dyDescent="0.25">
      <c r="D7779" t="s">
        <v>15856</v>
      </c>
    </row>
    <row r="7780" spans="4:4" x14ac:dyDescent="0.25">
      <c r="D7780" t="s">
        <v>15857</v>
      </c>
    </row>
    <row r="7781" spans="4:4" x14ac:dyDescent="0.25">
      <c r="D7781" t="s">
        <v>15858</v>
      </c>
    </row>
    <row r="7782" spans="4:4" x14ac:dyDescent="0.25">
      <c r="D7782" t="s">
        <v>15859</v>
      </c>
    </row>
    <row r="7783" spans="4:4" x14ac:dyDescent="0.25">
      <c r="D7783" t="s">
        <v>15860</v>
      </c>
    </row>
    <row r="7784" spans="4:4" x14ac:dyDescent="0.25">
      <c r="D7784" t="s">
        <v>15861</v>
      </c>
    </row>
    <row r="7785" spans="4:4" x14ac:dyDescent="0.25">
      <c r="D7785" t="s">
        <v>15862</v>
      </c>
    </row>
    <row r="7786" spans="4:4" x14ac:dyDescent="0.25">
      <c r="D7786" t="s">
        <v>15863</v>
      </c>
    </row>
    <row r="7787" spans="4:4" x14ac:dyDescent="0.25">
      <c r="D7787" t="s">
        <v>15864</v>
      </c>
    </row>
    <row r="7788" spans="4:4" x14ac:dyDescent="0.25">
      <c r="D7788" t="s">
        <v>15865</v>
      </c>
    </row>
    <row r="7789" spans="4:4" x14ac:dyDescent="0.25">
      <c r="D7789" t="s">
        <v>15866</v>
      </c>
    </row>
    <row r="7790" spans="4:4" x14ac:dyDescent="0.25">
      <c r="D7790" t="s">
        <v>15867</v>
      </c>
    </row>
    <row r="7791" spans="4:4" x14ac:dyDescent="0.25">
      <c r="D7791" t="s">
        <v>15868</v>
      </c>
    </row>
    <row r="7792" spans="4:4" x14ac:dyDescent="0.25">
      <c r="D7792" t="s">
        <v>15869</v>
      </c>
    </row>
    <row r="7793" spans="4:4" x14ac:dyDescent="0.25">
      <c r="D7793" t="s">
        <v>15870</v>
      </c>
    </row>
    <row r="7794" spans="4:4" x14ac:dyDescent="0.25">
      <c r="D7794" t="s">
        <v>15871</v>
      </c>
    </row>
    <row r="7795" spans="4:4" x14ac:dyDescent="0.25">
      <c r="D7795" t="s">
        <v>15872</v>
      </c>
    </row>
    <row r="7796" spans="4:4" x14ac:dyDescent="0.25">
      <c r="D7796" t="s">
        <v>15873</v>
      </c>
    </row>
    <row r="7797" spans="4:4" x14ac:dyDescent="0.25">
      <c r="D7797" t="s">
        <v>15874</v>
      </c>
    </row>
    <row r="7798" spans="4:4" x14ac:dyDescent="0.25">
      <c r="D7798" t="s">
        <v>15875</v>
      </c>
    </row>
    <row r="7799" spans="4:4" x14ac:dyDescent="0.25">
      <c r="D7799" t="s">
        <v>15876</v>
      </c>
    </row>
    <row r="7800" spans="4:4" x14ac:dyDescent="0.25">
      <c r="D7800" t="s">
        <v>15877</v>
      </c>
    </row>
    <row r="7801" spans="4:4" x14ac:dyDescent="0.25">
      <c r="D7801" t="s">
        <v>15878</v>
      </c>
    </row>
    <row r="7802" spans="4:4" x14ac:dyDescent="0.25">
      <c r="D7802" t="s">
        <v>15879</v>
      </c>
    </row>
    <row r="7803" spans="4:4" x14ac:dyDescent="0.25">
      <c r="D7803" t="s">
        <v>15880</v>
      </c>
    </row>
    <row r="7804" spans="4:4" x14ac:dyDescent="0.25">
      <c r="D7804" t="s">
        <v>15881</v>
      </c>
    </row>
    <row r="7805" spans="4:4" x14ac:dyDescent="0.25">
      <c r="D7805" t="s">
        <v>15882</v>
      </c>
    </row>
    <row r="7806" spans="4:4" x14ac:dyDescent="0.25">
      <c r="D7806" t="s">
        <v>15883</v>
      </c>
    </row>
    <row r="7807" spans="4:4" x14ac:dyDescent="0.25">
      <c r="D7807" t="s">
        <v>15884</v>
      </c>
    </row>
    <row r="7808" spans="4:4" x14ac:dyDescent="0.25">
      <c r="D7808" t="s">
        <v>15885</v>
      </c>
    </row>
    <row r="7809" spans="4:4" x14ac:dyDescent="0.25">
      <c r="D7809" t="s">
        <v>15886</v>
      </c>
    </row>
    <row r="7810" spans="4:4" x14ac:dyDescent="0.25">
      <c r="D7810" t="s">
        <v>15887</v>
      </c>
    </row>
    <row r="7811" spans="4:4" x14ac:dyDescent="0.25">
      <c r="D7811" t="s">
        <v>15888</v>
      </c>
    </row>
    <row r="7812" spans="4:4" x14ac:dyDescent="0.25">
      <c r="D7812" t="s">
        <v>15889</v>
      </c>
    </row>
    <row r="7813" spans="4:4" x14ac:dyDescent="0.25">
      <c r="D7813" t="s">
        <v>15890</v>
      </c>
    </row>
    <row r="7814" spans="4:4" x14ac:dyDescent="0.25">
      <c r="D7814" t="s">
        <v>15891</v>
      </c>
    </row>
    <row r="7815" spans="4:4" x14ac:dyDescent="0.25">
      <c r="D7815" t="s">
        <v>15892</v>
      </c>
    </row>
    <row r="7816" spans="4:4" x14ac:dyDescent="0.25">
      <c r="D7816" t="s">
        <v>15893</v>
      </c>
    </row>
    <row r="7817" spans="4:4" x14ac:dyDescent="0.25">
      <c r="D7817" t="s">
        <v>15894</v>
      </c>
    </row>
    <row r="7818" spans="4:4" x14ac:dyDescent="0.25">
      <c r="D7818" t="s">
        <v>15895</v>
      </c>
    </row>
    <row r="7819" spans="4:4" x14ac:dyDescent="0.25">
      <c r="D7819" t="s">
        <v>15896</v>
      </c>
    </row>
    <row r="7820" spans="4:4" x14ac:dyDescent="0.25">
      <c r="D7820" t="s">
        <v>15897</v>
      </c>
    </row>
    <row r="7821" spans="4:4" x14ac:dyDescent="0.25">
      <c r="D7821" t="s">
        <v>15898</v>
      </c>
    </row>
    <row r="7822" spans="4:4" x14ac:dyDescent="0.25">
      <c r="D7822" t="s">
        <v>15899</v>
      </c>
    </row>
    <row r="7823" spans="4:4" x14ac:dyDescent="0.25">
      <c r="D7823" t="s">
        <v>15900</v>
      </c>
    </row>
    <row r="7824" spans="4:4" x14ac:dyDescent="0.25">
      <c r="D7824" t="s">
        <v>15901</v>
      </c>
    </row>
    <row r="7825" spans="4:4" x14ac:dyDescent="0.25">
      <c r="D7825" t="s">
        <v>15902</v>
      </c>
    </row>
    <row r="7826" spans="4:4" x14ac:dyDescent="0.25">
      <c r="D7826" t="s">
        <v>15903</v>
      </c>
    </row>
    <row r="7827" spans="4:4" x14ac:dyDescent="0.25">
      <c r="D7827" t="s">
        <v>15904</v>
      </c>
    </row>
    <row r="7828" spans="4:4" x14ac:dyDescent="0.25">
      <c r="D7828" t="s">
        <v>15905</v>
      </c>
    </row>
    <row r="7829" spans="4:4" x14ac:dyDescent="0.25">
      <c r="D7829" t="s">
        <v>15906</v>
      </c>
    </row>
    <row r="7830" spans="4:4" x14ac:dyDescent="0.25">
      <c r="D7830" t="s">
        <v>15907</v>
      </c>
    </row>
    <row r="7831" spans="4:4" x14ac:dyDescent="0.25">
      <c r="D7831" t="s">
        <v>15908</v>
      </c>
    </row>
    <row r="7832" spans="4:4" x14ac:dyDescent="0.25">
      <c r="D7832" t="s">
        <v>15909</v>
      </c>
    </row>
    <row r="7833" spans="4:4" x14ac:dyDescent="0.25">
      <c r="D7833" t="s">
        <v>15910</v>
      </c>
    </row>
    <row r="7834" spans="4:4" x14ac:dyDescent="0.25">
      <c r="D7834" t="s">
        <v>15911</v>
      </c>
    </row>
    <row r="7835" spans="4:4" x14ac:dyDescent="0.25">
      <c r="D7835" t="s">
        <v>15912</v>
      </c>
    </row>
    <row r="7836" spans="4:4" x14ac:dyDescent="0.25">
      <c r="D7836" t="s">
        <v>15913</v>
      </c>
    </row>
    <row r="7837" spans="4:4" x14ac:dyDescent="0.25">
      <c r="D7837" t="s">
        <v>15914</v>
      </c>
    </row>
    <row r="7838" spans="4:4" x14ac:dyDescent="0.25">
      <c r="D7838" t="s">
        <v>15915</v>
      </c>
    </row>
    <row r="7839" spans="4:4" x14ac:dyDescent="0.25">
      <c r="D7839" t="s">
        <v>15916</v>
      </c>
    </row>
    <row r="7840" spans="4:4" x14ac:dyDescent="0.25">
      <c r="D7840" t="s">
        <v>15917</v>
      </c>
    </row>
    <row r="7841" spans="4:4" x14ac:dyDescent="0.25">
      <c r="D7841" t="s">
        <v>15918</v>
      </c>
    </row>
    <row r="7842" spans="4:4" x14ac:dyDescent="0.25">
      <c r="D7842" t="s">
        <v>15919</v>
      </c>
    </row>
    <row r="7843" spans="4:4" x14ac:dyDescent="0.25">
      <c r="D7843" t="s">
        <v>15920</v>
      </c>
    </row>
    <row r="7844" spans="4:4" x14ac:dyDescent="0.25">
      <c r="D7844" t="s">
        <v>15921</v>
      </c>
    </row>
    <row r="7845" spans="4:4" x14ac:dyDescent="0.25">
      <c r="D7845" t="s">
        <v>15922</v>
      </c>
    </row>
    <row r="7846" spans="4:4" x14ac:dyDescent="0.25">
      <c r="D7846" t="s">
        <v>15923</v>
      </c>
    </row>
    <row r="7847" spans="4:4" x14ac:dyDescent="0.25">
      <c r="D7847" t="s">
        <v>15924</v>
      </c>
    </row>
    <row r="7848" spans="4:4" x14ac:dyDescent="0.25">
      <c r="D7848" t="s">
        <v>15925</v>
      </c>
    </row>
    <row r="7849" spans="4:4" x14ac:dyDescent="0.25">
      <c r="D7849" t="s">
        <v>15926</v>
      </c>
    </row>
    <row r="7850" spans="4:4" x14ac:dyDescent="0.25">
      <c r="D7850" t="s">
        <v>15927</v>
      </c>
    </row>
    <row r="7851" spans="4:4" x14ac:dyDescent="0.25">
      <c r="D7851" t="s">
        <v>15928</v>
      </c>
    </row>
    <row r="7852" spans="4:4" x14ac:dyDescent="0.25">
      <c r="D7852" t="s">
        <v>15929</v>
      </c>
    </row>
    <row r="7853" spans="4:4" x14ac:dyDescent="0.25">
      <c r="D7853" t="s">
        <v>15930</v>
      </c>
    </row>
    <row r="7854" spans="4:4" x14ac:dyDescent="0.25">
      <c r="D7854" t="s">
        <v>15931</v>
      </c>
    </row>
    <row r="7855" spans="4:4" x14ac:dyDescent="0.25">
      <c r="D7855" t="s">
        <v>15932</v>
      </c>
    </row>
    <row r="7856" spans="4:4" x14ac:dyDescent="0.25">
      <c r="D7856" t="s">
        <v>15933</v>
      </c>
    </row>
    <row r="7857" spans="4:4" x14ac:dyDescent="0.25">
      <c r="D7857" t="s">
        <v>15934</v>
      </c>
    </row>
    <row r="7858" spans="4:4" x14ac:dyDescent="0.25">
      <c r="D7858" t="s">
        <v>15935</v>
      </c>
    </row>
    <row r="7859" spans="4:4" x14ac:dyDescent="0.25">
      <c r="D7859" t="s">
        <v>15936</v>
      </c>
    </row>
    <row r="7860" spans="4:4" x14ac:dyDescent="0.25">
      <c r="D7860" t="s">
        <v>15937</v>
      </c>
    </row>
    <row r="7861" spans="4:4" x14ac:dyDescent="0.25">
      <c r="D7861" t="s">
        <v>15938</v>
      </c>
    </row>
    <row r="7862" spans="4:4" x14ac:dyDescent="0.25">
      <c r="D7862" t="s">
        <v>15939</v>
      </c>
    </row>
    <row r="7863" spans="4:4" x14ac:dyDescent="0.25">
      <c r="D7863" t="s">
        <v>15940</v>
      </c>
    </row>
    <row r="7864" spans="4:4" x14ac:dyDescent="0.25">
      <c r="D7864" t="s">
        <v>15941</v>
      </c>
    </row>
    <row r="7865" spans="4:4" x14ac:dyDescent="0.25">
      <c r="D7865" t="s">
        <v>15942</v>
      </c>
    </row>
    <row r="7866" spans="4:4" x14ac:dyDescent="0.25">
      <c r="D7866" t="s">
        <v>15943</v>
      </c>
    </row>
    <row r="7867" spans="4:4" x14ac:dyDescent="0.25">
      <c r="D7867" t="s">
        <v>15944</v>
      </c>
    </row>
    <row r="7868" spans="4:4" x14ac:dyDescent="0.25">
      <c r="D7868" t="s">
        <v>15945</v>
      </c>
    </row>
    <row r="7869" spans="4:4" x14ac:dyDescent="0.25">
      <c r="D7869" t="s">
        <v>15946</v>
      </c>
    </row>
    <row r="7870" spans="4:4" x14ac:dyDescent="0.25">
      <c r="D7870" t="s">
        <v>15947</v>
      </c>
    </row>
    <row r="7871" spans="4:4" x14ac:dyDescent="0.25">
      <c r="D7871" t="s">
        <v>15948</v>
      </c>
    </row>
    <row r="7872" spans="4:4" x14ac:dyDescent="0.25">
      <c r="D7872" t="s">
        <v>15949</v>
      </c>
    </row>
    <row r="7873" spans="4:4" x14ac:dyDescent="0.25">
      <c r="D7873" t="s">
        <v>15950</v>
      </c>
    </row>
    <row r="7874" spans="4:4" x14ac:dyDescent="0.25">
      <c r="D7874" t="s">
        <v>15951</v>
      </c>
    </row>
    <row r="7875" spans="4:4" x14ac:dyDescent="0.25">
      <c r="D7875" t="s">
        <v>15952</v>
      </c>
    </row>
    <row r="7876" spans="4:4" x14ac:dyDescent="0.25">
      <c r="D7876" t="s">
        <v>15953</v>
      </c>
    </row>
    <row r="7877" spans="4:4" x14ac:dyDescent="0.25">
      <c r="D7877" t="s">
        <v>15954</v>
      </c>
    </row>
    <row r="7878" spans="4:4" x14ac:dyDescent="0.25">
      <c r="D7878" t="s">
        <v>15955</v>
      </c>
    </row>
    <row r="7879" spans="4:4" x14ac:dyDescent="0.25">
      <c r="D7879" t="s">
        <v>15956</v>
      </c>
    </row>
    <row r="7880" spans="4:4" x14ac:dyDescent="0.25">
      <c r="D7880" t="s">
        <v>15957</v>
      </c>
    </row>
    <row r="7881" spans="4:4" x14ac:dyDescent="0.25">
      <c r="D7881" t="s">
        <v>15958</v>
      </c>
    </row>
    <row r="7882" spans="4:4" x14ac:dyDescent="0.25">
      <c r="D7882" t="s">
        <v>15959</v>
      </c>
    </row>
    <row r="7883" spans="4:4" x14ac:dyDescent="0.25">
      <c r="D7883" t="s">
        <v>15960</v>
      </c>
    </row>
    <row r="7884" spans="4:4" x14ac:dyDescent="0.25">
      <c r="D7884" t="s">
        <v>15961</v>
      </c>
    </row>
    <row r="7885" spans="4:4" x14ac:dyDescent="0.25">
      <c r="D7885" t="s">
        <v>15962</v>
      </c>
    </row>
    <row r="7886" spans="4:4" x14ac:dyDescent="0.25">
      <c r="D7886" t="s">
        <v>15963</v>
      </c>
    </row>
    <row r="7887" spans="4:4" x14ac:dyDescent="0.25">
      <c r="D7887" t="s">
        <v>15964</v>
      </c>
    </row>
    <row r="7888" spans="4:4" x14ac:dyDescent="0.25">
      <c r="D7888" t="s">
        <v>15965</v>
      </c>
    </row>
    <row r="7889" spans="4:4" x14ac:dyDescent="0.25">
      <c r="D7889" t="s">
        <v>15966</v>
      </c>
    </row>
    <row r="7890" spans="4:4" x14ac:dyDescent="0.25">
      <c r="D7890" t="s">
        <v>15967</v>
      </c>
    </row>
    <row r="7891" spans="4:4" x14ac:dyDescent="0.25">
      <c r="D7891" t="s">
        <v>15968</v>
      </c>
    </row>
    <row r="7892" spans="4:4" x14ac:dyDescent="0.25">
      <c r="D7892" t="s">
        <v>15969</v>
      </c>
    </row>
    <row r="7893" spans="4:4" x14ac:dyDescent="0.25">
      <c r="D7893" t="s">
        <v>15970</v>
      </c>
    </row>
    <row r="7894" spans="4:4" x14ac:dyDescent="0.25">
      <c r="D7894" t="s">
        <v>15971</v>
      </c>
    </row>
    <row r="7895" spans="4:4" x14ac:dyDescent="0.25">
      <c r="D7895" t="s">
        <v>15972</v>
      </c>
    </row>
    <row r="7896" spans="4:4" x14ac:dyDescent="0.25">
      <c r="D7896" t="s">
        <v>15973</v>
      </c>
    </row>
    <row r="7897" spans="4:4" x14ac:dyDescent="0.25">
      <c r="D7897" t="s">
        <v>15974</v>
      </c>
    </row>
    <row r="7898" spans="4:4" x14ac:dyDescent="0.25">
      <c r="D7898" t="s">
        <v>15975</v>
      </c>
    </row>
    <row r="7899" spans="4:4" x14ac:dyDescent="0.25">
      <c r="D7899" t="s">
        <v>15976</v>
      </c>
    </row>
    <row r="7900" spans="4:4" x14ac:dyDescent="0.25">
      <c r="D7900" t="s">
        <v>15977</v>
      </c>
    </row>
    <row r="7901" spans="4:4" x14ac:dyDescent="0.25">
      <c r="D7901" t="s">
        <v>15978</v>
      </c>
    </row>
    <row r="7902" spans="4:4" x14ac:dyDescent="0.25">
      <c r="D7902" t="s">
        <v>15979</v>
      </c>
    </row>
    <row r="7903" spans="4:4" x14ac:dyDescent="0.25">
      <c r="D7903" t="s">
        <v>15980</v>
      </c>
    </row>
    <row r="7904" spans="4:4" x14ac:dyDescent="0.25">
      <c r="D7904" t="s">
        <v>15981</v>
      </c>
    </row>
    <row r="7905" spans="4:4" x14ac:dyDescent="0.25">
      <c r="D7905" t="s">
        <v>15982</v>
      </c>
    </row>
    <row r="7906" spans="4:4" x14ac:dyDescent="0.25">
      <c r="D7906" t="s">
        <v>15983</v>
      </c>
    </row>
    <row r="7907" spans="4:4" x14ac:dyDescent="0.25">
      <c r="D7907" t="s">
        <v>15984</v>
      </c>
    </row>
    <row r="7908" spans="4:4" x14ac:dyDescent="0.25">
      <c r="D7908" t="s">
        <v>15985</v>
      </c>
    </row>
    <row r="7909" spans="4:4" x14ac:dyDescent="0.25">
      <c r="D7909" t="s">
        <v>15986</v>
      </c>
    </row>
    <row r="7910" spans="4:4" x14ac:dyDescent="0.25">
      <c r="D7910" t="s">
        <v>15987</v>
      </c>
    </row>
    <row r="7911" spans="4:4" x14ac:dyDescent="0.25">
      <c r="D7911" t="s">
        <v>15988</v>
      </c>
    </row>
    <row r="7912" spans="4:4" x14ac:dyDescent="0.25">
      <c r="D7912" t="s">
        <v>15989</v>
      </c>
    </row>
    <row r="7913" spans="4:4" x14ac:dyDescent="0.25">
      <c r="D7913" t="s">
        <v>15990</v>
      </c>
    </row>
    <row r="7914" spans="4:4" x14ac:dyDescent="0.25">
      <c r="D7914" t="s">
        <v>15991</v>
      </c>
    </row>
    <row r="7915" spans="4:4" x14ac:dyDescent="0.25">
      <c r="D7915" t="s">
        <v>15992</v>
      </c>
    </row>
    <row r="7916" spans="4:4" x14ac:dyDescent="0.25">
      <c r="D7916" t="s">
        <v>15993</v>
      </c>
    </row>
    <row r="7917" spans="4:4" x14ac:dyDescent="0.25">
      <c r="D7917" t="s">
        <v>15994</v>
      </c>
    </row>
    <row r="7918" spans="4:4" x14ac:dyDescent="0.25">
      <c r="D7918" t="s">
        <v>15995</v>
      </c>
    </row>
    <row r="7919" spans="4:4" x14ac:dyDescent="0.25">
      <c r="D7919" t="s">
        <v>15996</v>
      </c>
    </row>
    <row r="7920" spans="4:4" x14ac:dyDescent="0.25">
      <c r="D7920" t="s">
        <v>15997</v>
      </c>
    </row>
    <row r="7921" spans="4:4" x14ac:dyDescent="0.25">
      <c r="D7921" t="s">
        <v>15998</v>
      </c>
    </row>
    <row r="7922" spans="4:4" x14ac:dyDescent="0.25">
      <c r="D7922" t="s">
        <v>15999</v>
      </c>
    </row>
    <row r="7923" spans="4:4" x14ac:dyDescent="0.25">
      <c r="D7923" t="s">
        <v>16000</v>
      </c>
    </row>
    <row r="7924" spans="4:4" x14ac:dyDescent="0.25">
      <c r="D7924" t="s">
        <v>16001</v>
      </c>
    </row>
    <row r="7925" spans="4:4" x14ac:dyDescent="0.25">
      <c r="D7925" t="s">
        <v>16002</v>
      </c>
    </row>
    <row r="7926" spans="4:4" x14ac:dyDescent="0.25">
      <c r="D7926" t="s">
        <v>16003</v>
      </c>
    </row>
    <row r="7927" spans="4:4" x14ac:dyDescent="0.25">
      <c r="D7927" t="s">
        <v>16004</v>
      </c>
    </row>
    <row r="7928" spans="4:4" x14ac:dyDescent="0.25">
      <c r="D7928" t="s">
        <v>16005</v>
      </c>
    </row>
    <row r="7929" spans="4:4" x14ac:dyDescent="0.25">
      <c r="D7929" t="s">
        <v>16006</v>
      </c>
    </row>
    <row r="7930" spans="4:4" x14ac:dyDescent="0.25">
      <c r="D7930" t="s">
        <v>16007</v>
      </c>
    </row>
    <row r="7931" spans="4:4" x14ac:dyDescent="0.25">
      <c r="D7931" t="s">
        <v>16008</v>
      </c>
    </row>
    <row r="7932" spans="4:4" x14ac:dyDescent="0.25">
      <c r="D7932" t="s">
        <v>16009</v>
      </c>
    </row>
    <row r="7933" spans="4:4" x14ac:dyDescent="0.25">
      <c r="D7933" t="s">
        <v>16010</v>
      </c>
    </row>
    <row r="7934" spans="4:4" x14ac:dyDescent="0.25">
      <c r="D7934" t="s">
        <v>16011</v>
      </c>
    </row>
    <row r="7935" spans="4:4" x14ac:dyDescent="0.25">
      <c r="D7935" t="s">
        <v>16012</v>
      </c>
    </row>
    <row r="7936" spans="4:4" x14ac:dyDescent="0.25">
      <c r="D7936" t="s">
        <v>16013</v>
      </c>
    </row>
    <row r="7937" spans="4:4" x14ac:dyDescent="0.25">
      <c r="D7937" t="s">
        <v>16014</v>
      </c>
    </row>
    <row r="7938" spans="4:4" x14ac:dyDescent="0.25">
      <c r="D7938" t="s">
        <v>16015</v>
      </c>
    </row>
    <row r="7939" spans="4:4" x14ac:dyDescent="0.25">
      <c r="D7939" t="s">
        <v>16016</v>
      </c>
    </row>
    <row r="7940" spans="4:4" x14ac:dyDescent="0.25">
      <c r="D7940" t="s">
        <v>16017</v>
      </c>
    </row>
    <row r="7941" spans="4:4" x14ac:dyDescent="0.25">
      <c r="D7941" t="s">
        <v>16018</v>
      </c>
    </row>
    <row r="7942" spans="4:4" x14ac:dyDescent="0.25">
      <c r="D7942" t="s">
        <v>16019</v>
      </c>
    </row>
    <row r="7943" spans="4:4" x14ac:dyDescent="0.25">
      <c r="D7943" t="s">
        <v>16020</v>
      </c>
    </row>
    <row r="7944" spans="4:4" x14ac:dyDescent="0.25">
      <c r="D7944" t="s">
        <v>16021</v>
      </c>
    </row>
    <row r="7945" spans="4:4" x14ac:dyDescent="0.25">
      <c r="D7945" t="s">
        <v>16022</v>
      </c>
    </row>
    <row r="7946" spans="4:4" x14ac:dyDescent="0.25">
      <c r="D7946" t="s">
        <v>16023</v>
      </c>
    </row>
    <row r="7947" spans="4:4" x14ac:dyDescent="0.25">
      <c r="D7947" t="s">
        <v>16024</v>
      </c>
    </row>
    <row r="7948" spans="4:4" x14ac:dyDescent="0.25">
      <c r="D7948" t="s">
        <v>16025</v>
      </c>
    </row>
    <row r="7949" spans="4:4" x14ac:dyDescent="0.25">
      <c r="D7949" t="s">
        <v>16026</v>
      </c>
    </row>
    <row r="7950" spans="4:4" x14ac:dyDescent="0.25">
      <c r="D7950" t="s">
        <v>16027</v>
      </c>
    </row>
    <row r="7951" spans="4:4" x14ac:dyDescent="0.25">
      <c r="D7951" t="s">
        <v>16028</v>
      </c>
    </row>
    <row r="7952" spans="4:4" x14ac:dyDescent="0.25">
      <c r="D7952" t="s">
        <v>16029</v>
      </c>
    </row>
    <row r="7953" spans="4:4" x14ac:dyDescent="0.25">
      <c r="D7953" t="s">
        <v>16030</v>
      </c>
    </row>
    <row r="7954" spans="4:4" x14ac:dyDescent="0.25">
      <c r="D7954" t="s">
        <v>16031</v>
      </c>
    </row>
    <row r="7955" spans="4:4" x14ac:dyDescent="0.25">
      <c r="D7955" t="s">
        <v>16032</v>
      </c>
    </row>
    <row r="7956" spans="4:4" x14ac:dyDescent="0.25">
      <c r="D7956" t="s">
        <v>16033</v>
      </c>
    </row>
    <row r="7957" spans="4:4" x14ac:dyDescent="0.25">
      <c r="D7957" t="s">
        <v>16034</v>
      </c>
    </row>
    <row r="7958" spans="4:4" x14ac:dyDescent="0.25">
      <c r="D7958" t="s">
        <v>16035</v>
      </c>
    </row>
    <row r="7959" spans="4:4" x14ac:dyDescent="0.25">
      <c r="D7959" t="s">
        <v>16036</v>
      </c>
    </row>
    <row r="7960" spans="4:4" x14ac:dyDescent="0.25">
      <c r="D7960" t="s">
        <v>16037</v>
      </c>
    </row>
    <row r="7961" spans="4:4" x14ac:dyDescent="0.25">
      <c r="D7961" t="s">
        <v>16038</v>
      </c>
    </row>
    <row r="7962" spans="4:4" x14ac:dyDescent="0.25">
      <c r="D7962" t="s">
        <v>16039</v>
      </c>
    </row>
    <row r="7963" spans="4:4" x14ac:dyDescent="0.25">
      <c r="D7963" t="s">
        <v>16040</v>
      </c>
    </row>
    <row r="7964" spans="4:4" x14ac:dyDescent="0.25">
      <c r="D7964" t="s">
        <v>16041</v>
      </c>
    </row>
    <row r="7965" spans="4:4" x14ac:dyDescent="0.25">
      <c r="D7965" t="s">
        <v>16042</v>
      </c>
    </row>
    <row r="7966" spans="4:4" x14ac:dyDescent="0.25">
      <c r="D7966" t="s">
        <v>16043</v>
      </c>
    </row>
    <row r="7967" spans="4:4" x14ac:dyDescent="0.25">
      <c r="D7967" t="s">
        <v>16044</v>
      </c>
    </row>
    <row r="7968" spans="4:4" x14ac:dyDescent="0.25">
      <c r="D7968" t="s">
        <v>16045</v>
      </c>
    </row>
    <row r="7969" spans="4:4" x14ac:dyDescent="0.25">
      <c r="D7969" t="s">
        <v>16046</v>
      </c>
    </row>
    <row r="7970" spans="4:4" x14ac:dyDescent="0.25">
      <c r="D7970" t="s">
        <v>16047</v>
      </c>
    </row>
    <row r="7971" spans="4:4" x14ac:dyDescent="0.25">
      <c r="D7971" t="s">
        <v>16048</v>
      </c>
    </row>
    <row r="7972" spans="4:4" x14ac:dyDescent="0.25">
      <c r="D7972" t="s">
        <v>16049</v>
      </c>
    </row>
    <row r="7973" spans="4:4" x14ac:dyDescent="0.25">
      <c r="D7973" t="s">
        <v>16050</v>
      </c>
    </row>
    <row r="7974" spans="4:4" x14ac:dyDescent="0.25">
      <c r="D7974" t="s">
        <v>16051</v>
      </c>
    </row>
    <row r="7975" spans="4:4" x14ac:dyDescent="0.25">
      <c r="D7975" t="s">
        <v>16052</v>
      </c>
    </row>
    <row r="7976" spans="4:4" x14ac:dyDescent="0.25">
      <c r="D7976" t="s">
        <v>16053</v>
      </c>
    </row>
    <row r="7977" spans="4:4" x14ac:dyDescent="0.25">
      <c r="D7977" t="s">
        <v>16054</v>
      </c>
    </row>
    <row r="7978" spans="4:4" x14ac:dyDescent="0.25">
      <c r="D7978" t="s">
        <v>16055</v>
      </c>
    </row>
    <row r="7979" spans="4:4" x14ac:dyDescent="0.25">
      <c r="D7979" t="s">
        <v>16056</v>
      </c>
    </row>
    <row r="7980" spans="4:4" x14ac:dyDescent="0.25">
      <c r="D7980" t="s">
        <v>16057</v>
      </c>
    </row>
    <row r="7981" spans="4:4" x14ac:dyDescent="0.25">
      <c r="D7981" t="s">
        <v>16058</v>
      </c>
    </row>
    <row r="7982" spans="4:4" x14ac:dyDescent="0.25">
      <c r="D7982" t="s">
        <v>16059</v>
      </c>
    </row>
    <row r="7983" spans="4:4" x14ac:dyDescent="0.25">
      <c r="D7983" t="s">
        <v>16060</v>
      </c>
    </row>
    <row r="7984" spans="4:4" x14ac:dyDescent="0.25">
      <c r="D7984" t="s">
        <v>16061</v>
      </c>
    </row>
    <row r="7985" spans="4:4" x14ac:dyDescent="0.25">
      <c r="D7985" t="s">
        <v>16062</v>
      </c>
    </row>
    <row r="7986" spans="4:4" x14ac:dyDescent="0.25">
      <c r="D7986" t="s">
        <v>16063</v>
      </c>
    </row>
    <row r="7987" spans="4:4" x14ac:dyDescent="0.25">
      <c r="D7987" t="s">
        <v>16064</v>
      </c>
    </row>
    <row r="7988" spans="4:4" x14ac:dyDescent="0.25">
      <c r="D7988" t="s">
        <v>16065</v>
      </c>
    </row>
    <row r="7989" spans="4:4" x14ac:dyDescent="0.25">
      <c r="D7989" t="s">
        <v>16066</v>
      </c>
    </row>
    <row r="7990" spans="4:4" x14ac:dyDescent="0.25">
      <c r="D7990" t="s">
        <v>16067</v>
      </c>
    </row>
    <row r="7991" spans="4:4" x14ac:dyDescent="0.25">
      <c r="D7991" t="s">
        <v>16068</v>
      </c>
    </row>
    <row r="7992" spans="4:4" x14ac:dyDescent="0.25">
      <c r="D7992" t="s">
        <v>16069</v>
      </c>
    </row>
    <row r="7993" spans="4:4" x14ac:dyDescent="0.25">
      <c r="D7993" t="s">
        <v>16070</v>
      </c>
    </row>
    <row r="7994" spans="4:4" x14ac:dyDescent="0.25">
      <c r="D7994" t="s">
        <v>16071</v>
      </c>
    </row>
    <row r="7995" spans="4:4" x14ac:dyDescent="0.25">
      <c r="D7995" t="s">
        <v>16072</v>
      </c>
    </row>
    <row r="7996" spans="4:4" x14ac:dyDescent="0.25">
      <c r="D7996" t="s">
        <v>16073</v>
      </c>
    </row>
    <row r="7997" spans="4:4" x14ac:dyDescent="0.25">
      <c r="D7997" t="s">
        <v>16074</v>
      </c>
    </row>
    <row r="7998" spans="4:4" x14ac:dyDescent="0.25">
      <c r="D7998" t="s">
        <v>16075</v>
      </c>
    </row>
    <row r="7999" spans="4:4" x14ac:dyDescent="0.25">
      <c r="D7999" t="s">
        <v>16076</v>
      </c>
    </row>
    <row r="8000" spans="4:4" x14ac:dyDescent="0.25">
      <c r="D8000" t="s">
        <v>16077</v>
      </c>
    </row>
    <row r="8001" spans="4:4" x14ac:dyDescent="0.25">
      <c r="D8001" t="s">
        <v>16078</v>
      </c>
    </row>
    <row r="8002" spans="4:4" x14ac:dyDescent="0.25">
      <c r="D8002" t="s">
        <v>16079</v>
      </c>
    </row>
    <row r="8003" spans="4:4" x14ac:dyDescent="0.25">
      <c r="D8003" t="s">
        <v>16080</v>
      </c>
    </row>
    <row r="8004" spans="4:4" x14ac:dyDescent="0.25">
      <c r="D8004" t="s">
        <v>16081</v>
      </c>
    </row>
    <row r="8005" spans="4:4" x14ac:dyDescent="0.25">
      <c r="D8005" t="s">
        <v>16082</v>
      </c>
    </row>
    <row r="8006" spans="4:4" x14ac:dyDescent="0.25">
      <c r="D8006" t="s">
        <v>16083</v>
      </c>
    </row>
    <row r="8007" spans="4:4" x14ac:dyDescent="0.25">
      <c r="D8007" t="s">
        <v>16084</v>
      </c>
    </row>
    <row r="8008" spans="4:4" x14ac:dyDescent="0.25">
      <c r="D8008" t="s">
        <v>16085</v>
      </c>
    </row>
    <row r="8009" spans="4:4" x14ac:dyDescent="0.25">
      <c r="D8009" t="s">
        <v>16086</v>
      </c>
    </row>
    <row r="8010" spans="4:4" x14ac:dyDescent="0.25">
      <c r="D8010" t="s">
        <v>16087</v>
      </c>
    </row>
    <row r="8011" spans="4:4" x14ac:dyDescent="0.25">
      <c r="D8011" t="s">
        <v>16088</v>
      </c>
    </row>
    <row r="8012" spans="4:4" x14ac:dyDescent="0.25">
      <c r="D8012" t="s">
        <v>16089</v>
      </c>
    </row>
    <row r="8013" spans="4:4" x14ac:dyDescent="0.25">
      <c r="D8013" t="s">
        <v>16090</v>
      </c>
    </row>
    <row r="8014" spans="4:4" x14ac:dyDescent="0.25">
      <c r="D8014" t="s">
        <v>16091</v>
      </c>
    </row>
    <row r="8015" spans="4:4" x14ac:dyDescent="0.25">
      <c r="D8015" t="s">
        <v>16092</v>
      </c>
    </row>
    <row r="8016" spans="4:4" x14ac:dyDescent="0.25">
      <c r="D8016" t="s">
        <v>16093</v>
      </c>
    </row>
    <row r="8017" spans="4:4" x14ac:dyDescent="0.25">
      <c r="D8017" t="s">
        <v>16094</v>
      </c>
    </row>
    <row r="8018" spans="4:4" x14ac:dyDescent="0.25">
      <c r="D8018" t="s">
        <v>16095</v>
      </c>
    </row>
    <row r="8019" spans="4:4" x14ac:dyDescent="0.25">
      <c r="D8019" t="s">
        <v>16096</v>
      </c>
    </row>
    <row r="8020" spans="4:4" x14ac:dyDescent="0.25">
      <c r="D8020" t="s">
        <v>16097</v>
      </c>
    </row>
    <row r="8021" spans="4:4" x14ac:dyDescent="0.25">
      <c r="D8021" t="s">
        <v>16098</v>
      </c>
    </row>
    <row r="8022" spans="4:4" x14ac:dyDescent="0.25">
      <c r="D8022" t="s">
        <v>16099</v>
      </c>
    </row>
    <row r="8023" spans="4:4" x14ac:dyDescent="0.25">
      <c r="D8023" t="s">
        <v>16100</v>
      </c>
    </row>
    <row r="8024" spans="4:4" x14ac:dyDescent="0.25">
      <c r="D8024" t="s">
        <v>16101</v>
      </c>
    </row>
    <row r="8025" spans="4:4" x14ac:dyDescent="0.25">
      <c r="D8025" t="s">
        <v>16102</v>
      </c>
    </row>
    <row r="8026" spans="4:4" x14ac:dyDescent="0.25">
      <c r="D8026" t="s">
        <v>16103</v>
      </c>
    </row>
    <row r="8027" spans="4:4" x14ac:dyDescent="0.25">
      <c r="D8027" t="s">
        <v>16104</v>
      </c>
    </row>
    <row r="8028" spans="4:4" x14ac:dyDescent="0.25">
      <c r="D8028" t="s">
        <v>16105</v>
      </c>
    </row>
    <row r="8029" spans="4:4" x14ac:dyDescent="0.25">
      <c r="D8029" t="s">
        <v>16106</v>
      </c>
    </row>
    <row r="8030" spans="4:4" x14ac:dyDescent="0.25">
      <c r="D8030" t="s">
        <v>16107</v>
      </c>
    </row>
    <row r="8031" spans="4:4" x14ac:dyDescent="0.25">
      <c r="D8031" t="s">
        <v>16108</v>
      </c>
    </row>
    <row r="8032" spans="4:4" x14ac:dyDescent="0.25">
      <c r="D8032" t="s">
        <v>16109</v>
      </c>
    </row>
    <row r="8033" spans="4:4" x14ac:dyDescent="0.25">
      <c r="D8033" t="s">
        <v>16110</v>
      </c>
    </row>
    <row r="8034" spans="4:4" x14ac:dyDescent="0.25">
      <c r="D8034" t="s">
        <v>16111</v>
      </c>
    </row>
    <row r="8035" spans="4:4" x14ac:dyDescent="0.25">
      <c r="D8035" t="s">
        <v>16112</v>
      </c>
    </row>
    <row r="8036" spans="4:4" x14ac:dyDescent="0.25">
      <c r="D8036" t="s">
        <v>16113</v>
      </c>
    </row>
    <row r="8037" spans="4:4" x14ac:dyDescent="0.25">
      <c r="D8037" t="s">
        <v>16114</v>
      </c>
    </row>
    <row r="8038" spans="4:4" x14ac:dyDescent="0.25">
      <c r="D8038" t="s">
        <v>16115</v>
      </c>
    </row>
    <row r="8039" spans="4:4" x14ac:dyDescent="0.25">
      <c r="D8039" t="s">
        <v>16116</v>
      </c>
    </row>
    <row r="8040" spans="4:4" x14ac:dyDescent="0.25">
      <c r="D8040" t="s">
        <v>16117</v>
      </c>
    </row>
    <row r="8041" spans="4:4" x14ac:dyDescent="0.25">
      <c r="D8041" t="s">
        <v>16118</v>
      </c>
    </row>
    <row r="8042" spans="4:4" x14ac:dyDescent="0.25">
      <c r="D8042" t="s">
        <v>16119</v>
      </c>
    </row>
    <row r="8043" spans="4:4" x14ac:dyDescent="0.25">
      <c r="D8043" t="s">
        <v>16120</v>
      </c>
    </row>
    <row r="8044" spans="4:4" x14ac:dyDescent="0.25">
      <c r="D8044" t="s">
        <v>16121</v>
      </c>
    </row>
    <row r="8045" spans="4:4" x14ac:dyDescent="0.25">
      <c r="D8045" t="s">
        <v>16122</v>
      </c>
    </row>
    <row r="8046" spans="4:4" x14ac:dyDescent="0.25">
      <c r="D8046" t="s">
        <v>16123</v>
      </c>
    </row>
    <row r="8047" spans="4:4" x14ac:dyDescent="0.25">
      <c r="D8047" t="s">
        <v>16124</v>
      </c>
    </row>
    <row r="8048" spans="4:4" x14ac:dyDescent="0.25">
      <c r="D8048" t="s">
        <v>16125</v>
      </c>
    </row>
    <row r="8049" spans="4:4" x14ac:dyDescent="0.25">
      <c r="D8049" t="s">
        <v>16126</v>
      </c>
    </row>
    <row r="8050" spans="4:4" x14ac:dyDescent="0.25">
      <c r="D8050" t="s">
        <v>16127</v>
      </c>
    </row>
    <row r="8051" spans="4:4" x14ac:dyDescent="0.25">
      <c r="D8051" t="s">
        <v>16128</v>
      </c>
    </row>
    <row r="8052" spans="4:4" x14ac:dyDescent="0.25">
      <c r="D8052" t="s">
        <v>16129</v>
      </c>
    </row>
    <row r="8053" spans="4:4" x14ac:dyDescent="0.25">
      <c r="D8053" t="s">
        <v>16130</v>
      </c>
    </row>
    <row r="8054" spans="4:4" x14ac:dyDescent="0.25">
      <c r="D8054" t="s">
        <v>16131</v>
      </c>
    </row>
    <row r="8055" spans="4:4" x14ac:dyDescent="0.25">
      <c r="D8055" t="s">
        <v>16132</v>
      </c>
    </row>
    <row r="8056" spans="4:4" x14ac:dyDescent="0.25">
      <c r="D8056" t="s">
        <v>16133</v>
      </c>
    </row>
    <row r="8057" spans="4:4" x14ac:dyDescent="0.25">
      <c r="D8057" t="s">
        <v>16134</v>
      </c>
    </row>
    <row r="8058" spans="4:4" x14ac:dyDescent="0.25">
      <c r="D8058" t="s">
        <v>16135</v>
      </c>
    </row>
    <row r="8059" spans="4:4" x14ac:dyDescent="0.25">
      <c r="D8059" t="s">
        <v>16136</v>
      </c>
    </row>
    <row r="8060" spans="4:4" x14ac:dyDescent="0.25">
      <c r="D8060" t="s">
        <v>16137</v>
      </c>
    </row>
    <row r="8061" spans="4:4" x14ac:dyDescent="0.25">
      <c r="D8061" t="s">
        <v>16138</v>
      </c>
    </row>
    <row r="8062" spans="4:4" x14ac:dyDescent="0.25">
      <c r="D8062" t="s">
        <v>16139</v>
      </c>
    </row>
    <row r="8063" spans="4:4" x14ac:dyDescent="0.25">
      <c r="D8063" t="s">
        <v>16140</v>
      </c>
    </row>
    <row r="8064" spans="4:4" x14ac:dyDescent="0.25">
      <c r="D8064" t="s">
        <v>16141</v>
      </c>
    </row>
    <row r="8065" spans="4:4" x14ac:dyDescent="0.25">
      <c r="D8065" t="s">
        <v>16142</v>
      </c>
    </row>
    <row r="8066" spans="4:4" x14ac:dyDescent="0.25">
      <c r="D8066" t="s">
        <v>16143</v>
      </c>
    </row>
    <row r="8067" spans="4:4" x14ac:dyDescent="0.25">
      <c r="D8067" t="s">
        <v>16144</v>
      </c>
    </row>
    <row r="8068" spans="4:4" x14ac:dyDescent="0.25">
      <c r="D8068" t="s">
        <v>16145</v>
      </c>
    </row>
    <row r="8069" spans="4:4" x14ac:dyDescent="0.25">
      <c r="D8069" t="s">
        <v>16146</v>
      </c>
    </row>
    <row r="8070" spans="4:4" x14ac:dyDescent="0.25">
      <c r="D8070" t="s">
        <v>16147</v>
      </c>
    </row>
    <row r="8071" spans="4:4" x14ac:dyDescent="0.25">
      <c r="D8071" t="s">
        <v>16148</v>
      </c>
    </row>
    <row r="8072" spans="4:4" x14ac:dyDescent="0.25">
      <c r="D8072" t="s">
        <v>16149</v>
      </c>
    </row>
    <row r="8073" spans="4:4" x14ac:dyDescent="0.25">
      <c r="D8073" t="s">
        <v>16150</v>
      </c>
    </row>
    <row r="8074" spans="4:4" x14ac:dyDescent="0.25">
      <c r="D8074" t="s">
        <v>16151</v>
      </c>
    </row>
    <row r="8075" spans="4:4" x14ac:dyDescent="0.25">
      <c r="D8075" t="s">
        <v>16152</v>
      </c>
    </row>
    <row r="8076" spans="4:4" x14ac:dyDescent="0.25">
      <c r="D8076" t="s">
        <v>16153</v>
      </c>
    </row>
    <row r="8077" spans="4:4" x14ac:dyDescent="0.25">
      <c r="D8077" t="s">
        <v>16154</v>
      </c>
    </row>
    <row r="8078" spans="4:4" x14ac:dyDescent="0.25">
      <c r="D8078" t="s">
        <v>16155</v>
      </c>
    </row>
    <row r="8079" spans="4:4" x14ac:dyDescent="0.25">
      <c r="D8079" t="s">
        <v>16156</v>
      </c>
    </row>
    <row r="8080" spans="4:4" x14ac:dyDescent="0.25">
      <c r="D8080" t="s">
        <v>16157</v>
      </c>
    </row>
    <row r="8081" spans="4:4" x14ac:dyDescent="0.25">
      <c r="D8081" t="s">
        <v>16158</v>
      </c>
    </row>
    <row r="8082" spans="4:4" x14ac:dyDescent="0.25">
      <c r="D8082" t="s">
        <v>16159</v>
      </c>
    </row>
    <row r="8083" spans="4:4" x14ac:dyDescent="0.25">
      <c r="D8083" t="s">
        <v>16160</v>
      </c>
    </row>
    <row r="8084" spans="4:4" x14ac:dyDescent="0.25">
      <c r="D8084" t="s">
        <v>16161</v>
      </c>
    </row>
    <row r="8085" spans="4:4" x14ac:dyDescent="0.25">
      <c r="D8085" t="s">
        <v>16162</v>
      </c>
    </row>
    <row r="8086" spans="4:4" x14ac:dyDescent="0.25">
      <c r="D8086" t="s">
        <v>16163</v>
      </c>
    </row>
    <row r="8087" spans="4:4" x14ac:dyDescent="0.25">
      <c r="D8087" t="s">
        <v>16164</v>
      </c>
    </row>
    <row r="8088" spans="4:4" x14ac:dyDescent="0.25">
      <c r="D8088" t="s">
        <v>16165</v>
      </c>
    </row>
    <row r="8089" spans="4:4" x14ac:dyDescent="0.25">
      <c r="D8089" t="s">
        <v>16166</v>
      </c>
    </row>
    <row r="8090" spans="4:4" x14ac:dyDescent="0.25">
      <c r="D8090" t="s">
        <v>16167</v>
      </c>
    </row>
    <row r="8091" spans="4:4" x14ac:dyDescent="0.25">
      <c r="D8091" t="s">
        <v>16168</v>
      </c>
    </row>
    <row r="8092" spans="4:4" x14ac:dyDescent="0.25">
      <c r="D8092" t="s">
        <v>16169</v>
      </c>
    </row>
    <row r="8093" spans="4:4" x14ac:dyDescent="0.25">
      <c r="D8093" t="s">
        <v>16170</v>
      </c>
    </row>
    <row r="8094" spans="4:4" x14ac:dyDescent="0.25">
      <c r="D8094" t="s">
        <v>16171</v>
      </c>
    </row>
    <row r="8095" spans="4:4" x14ac:dyDescent="0.25">
      <c r="D8095" t="s">
        <v>16172</v>
      </c>
    </row>
    <row r="8096" spans="4:4" x14ac:dyDescent="0.25">
      <c r="D8096" t="s">
        <v>16173</v>
      </c>
    </row>
    <row r="8097" spans="4:4" x14ac:dyDescent="0.25">
      <c r="D8097" t="s">
        <v>16174</v>
      </c>
    </row>
    <row r="8098" spans="4:4" x14ac:dyDescent="0.25">
      <c r="D8098" t="s">
        <v>16175</v>
      </c>
    </row>
    <row r="8099" spans="4:4" x14ac:dyDescent="0.25">
      <c r="D8099" t="s">
        <v>16176</v>
      </c>
    </row>
    <row r="8100" spans="4:4" x14ac:dyDescent="0.25">
      <c r="D8100" t="s">
        <v>16177</v>
      </c>
    </row>
    <row r="8101" spans="4:4" x14ac:dyDescent="0.25">
      <c r="D8101" t="s">
        <v>16178</v>
      </c>
    </row>
    <row r="8102" spans="4:4" x14ac:dyDescent="0.25">
      <c r="D8102" t="s">
        <v>16179</v>
      </c>
    </row>
    <row r="8103" spans="4:4" x14ac:dyDescent="0.25">
      <c r="D8103" t="s">
        <v>16180</v>
      </c>
    </row>
    <row r="8104" spans="4:4" x14ac:dyDescent="0.25">
      <c r="D8104" t="s">
        <v>16181</v>
      </c>
    </row>
    <row r="8105" spans="4:4" x14ac:dyDescent="0.25">
      <c r="D8105" t="s">
        <v>16182</v>
      </c>
    </row>
    <row r="8106" spans="4:4" x14ac:dyDescent="0.25">
      <c r="D8106" t="s">
        <v>16183</v>
      </c>
    </row>
    <row r="8107" spans="4:4" x14ac:dyDescent="0.25">
      <c r="D8107" t="s">
        <v>16184</v>
      </c>
    </row>
    <row r="8108" spans="4:4" x14ac:dyDescent="0.25">
      <c r="D8108" t="s">
        <v>16185</v>
      </c>
    </row>
    <row r="8109" spans="4:4" x14ac:dyDescent="0.25">
      <c r="D8109" t="s">
        <v>16186</v>
      </c>
    </row>
    <row r="8110" spans="4:4" x14ac:dyDescent="0.25">
      <c r="D8110" t="s">
        <v>16187</v>
      </c>
    </row>
    <row r="8111" spans="4:4" x14ac:dyDescent="0.25">
      <c r="D8111" t="s">
        <v>16188</v>
      </c>
    </row>
    <row r="8112" spans="4:4" x14ac:dyDescent="0.25">
      <c r="D8112" t="s">
        <v>16189</v>
      </c>
    </row>
    <row r="8113" spans="4:4" x14ac:dyDescent="0.25">
      <c r="D8113" t="s">
        <v>16190</v>
      </c>
    </row>
    <row r="8114" spans="4:4" x14ac:dyDescent="0.25">
      <c r="D8114" t="s">
        <v>16191</v>
      </c>
    </row>
    <row r="8115" spans="4:4" x14ac:dyDescent="0.25">
      <c r="D8115" t="s">
        <v>16192</v>
      </c>
    </row>
    <row r="8116" spans="4:4" x14ac:dyDescent="0.25">
      <c r="D8116" t="s">
        <v>16193</v>
      </c>
    </row>
    <row r="8117" spans="4:4" x14ac:dyDescent="0.25">
      <c r="D8117" t="s">
        <v>16194</v>
      </c>
    </row>
    <row r="8118" spans="4:4" x14ac:dyDescent="0.25">
      <c r="D8118" t="s">
        <v>16195</v>
      </c>
    </row>
    <row r="8119" spans="4:4" x14ac:dyDescent="0.25">
      <c r="D8119" t="s">
        <v>16196</v>
      </c>
    </row>
    <row r="8120" spans="4:4" x14ac:dyDescent="0.25">
      <c r="D8120" t="s">
        <v>16197</v>
      </c>
    </row>
    <row r="8121" spans="4:4" x14ac:dyDescent="0.25">
      <c r="D8121" t="s">
        <v>16198</v>
      </c>
    </row>
    <row r="8122" spans="4:4" x14ac:dyDescent="0.25">
      <c r="D8122" t="s">
        <v>16199</v>
      </c>
    </row>
    <row r="8123" spans="4:4" x14ac:dyDescent="0.25">
      <c r="D8123" t="s">
        <v>16200</v>
      </c>
    </row>
    <row r="8124" spans="4:4" x14ac:dyDescent="0.25">
      <c r="D8124" t="s">
        <v>16201</v>
      </c>
    </row>
    <row r="8125" spans="4:4" x14ac:dyDescent="0.25">
      <c r="D8125" t="s">
        <v>16202</v>
      </c>
    </row>
    <row r="8126" spans="4:4" x14ac:dyDescent="0.25">
      <c r="D8126" t="s">
        <v>16203</v>
      </c>
    </row>
    <row r="8127" spans="4:4" x14ac:dyDescent="0.25">
      <c r="D8127" t="s">
        <v>16204</v>
      </c>
    </row>
    <row r="8128" spans="4:4" x14ac:dyDescent="0.25">
      <c r="D8128" t="s">
        <v>16205</v>
      </c>
    </row>
    <row r="8129" spans="4:4" x14ac:dyDescent="0.25">
      <c r="D8129" t="s">
        <v>16206</v>
      </c>
    </row>
    <row r="8130" spans="4:4" x14ac:dyDescent="0.25">
      <c r="D8130" t="s">
        <v>16207</v>
      </c>
    </row>
    <row r="8131" spans="4:4" x14ac:dyDescent="0.25">
      <c r="D8131" t="s">
        <v>16208</v>
      </c>
    </row>
    <row r="8132" spans="4:4" x14ac:dyDescent="0.25">
      <c r="D8132" t="s">
        <v>16209</v>
      </c>
    </row>
    <row r="8133" spans="4:4" x14ac:dyDescent="0.25">
      <c r="D8133" t="s">
        <v>16210</v>
      </c>
    </row>
    <row r="8134" spans="4:4" x14ac:dyDescent="0.25">
      <c r="D8134" t="s">
        <v>16211</v>
      </c>
    </row>
    <row r="8135" spans="4:4" x14ac:dyDescent="0.25">
      <c r="D8135" t="s">
        <v>16212</v>
      </c>
    </row>
    <row r="8136" spans="4:4" x14ac:dyDescent="0.25">
      <c r="D8136" t="s">
        <v>16213</v>
      </c>
    </row>
    <row r="8137" spans="4:4" x14ac:dyDescent="0.25">
      <c r="D8137" t="s">
        <v>16214</v>
      </c>
    </row>
    <row r="8138" spans="4:4" x14ac:dyDescent="0.25">
      <c r="D8138" t="s">
        <v>16215</v>
      </c>
    </row>
    <row r="8139" spans="4:4" x14ac:dyDescent="0.25">
      <c r="D8139" t="s">
        <v>16216</v>
      </c>
    </row>
    <row r="8140" spans="4:4" x14ac:dyDescent="0.25">
      <c r="D8140" t="s">
        <v>16217</v>
      </c>
    </row>
    <row r="8141" spans="4:4" x14ac:dyDescent="0.25">
      <c r="D8141" t="s">
        <v>16218</v>
      </c>
    </row>
    <row r="8142" spans="4:4" x14ac:dyDescent="0.25">
      <c r="D8142" t="s">
        <v>16219</v>
      </c>
    </row>
    <row r="8143" spans="4:4" x14ac:dyDescent="0.25">
      <c r="D8143" t="s">
        <v>16220</v>
      </c>
    </row>
    <row r="8144" spans="4:4" x14ac:dyDescent="0.25">
      <c r="D8144" t="s">
        <v>16221</v>
      </c>
    </row>
    <row r="8145" spans="4:4" x14ac:dyDescent="0.25">
      <c r="D8145" t="s">
        <v>16222</v>
      </c>
    </row>
    <row r="8146" spans="4:4" x14ac:dyDescent="0.25">
      <c r="D8146" t="s">
        <v>16223</v>
      </c>
    </row>
    <row r="8147" spans="4:4" x14ac:dyDescent="0.25">
      <c r="D8147" t="s">
        <v>16224</v>
      </c>
    </row>
    <row r="8148" spans="4:4" x14ac:dyDescent="0.25">
      <c r="D8148" t="s">
        <v>16225</v>
      </c>
    </row>
    <row r="8149" spans="4:4" x14ac:dyDescent="0.25">
      <c r="D8149" t="s">
        <v>16226</v>
      </c>
    </row>
    <row r="8150" spans="4:4" x14ac:dyDescent="0.25">
      <c r="D8150" t="s">
        <v>16227</v>
      </c>
    </row>
    <row r="8151" spans="4:4" x14ac:dyDescent="0.25">
      <c r="D8151" t="s">
        <v>16228</v>
      </c>
    </row>
    <row r="8152" spans="4:4" x14ac:dyDescent="0.25">
      <c r="D8152" t="s">
        <v>16229</v>
      </c>
    </row>
    <row r="8153" spans="4:4" x14ac:dyDescent="0.25">
      <c r="D8153" t="s">
        <v>16230</v>
      </c>
    </row>
    <row r="8154" spans="4:4" x14ac:dyDescent="0.25">
      <c r="D8154" t="s">
        <v>16231</v>
      </c>
    </row>
    <row r="8155" spans="4:4" x14ac:dyDescent="0.25">
      <c r="D8155" t="s">
        <v>16232</v>
      </c>
    </row>
    <row r="8156" spans="4:4" x14ac:dyDescent="0.25">
      <c r="D8156" t="s">
        <v>16233</v>
      </c>
    </row>
    <row r="8157" spans="4:4" x14ac:dyDescent="0.25">
      <c r="D8157" t="s">
        <v>16234</v>
      </c>
    </row>
    <row r="8158" spans="4:4" x14ac:dyDescent="0.25">
      <c r="D8158" t="s">
        <v>16235</v>
      </c>
    </row>
    <row r="8159" spans="4:4" x14ac:dyDescent="0.25">
      <c r="D8159" t="s">
        <v>16236</v>
      </c>
    </row>
    <row r="8160" spans="4:4" x14ac:dyDescent="0.25">
      <c r="D8160" t="s">
        <v>16237</v>
      </c>
    </row>
    <row r="8161" spans="4:4" x14ac:dyDescent="0.25">
      <c r="D8161" t="s">
        <v>16238</v>
      </c>
    </row>
    <row r="8162" spans="4:4" x14ac:dyDescent="0.25">
      <c r="D8162" t="s">
        <v>16239</v>
      </c>
    </row>
    <row r="8163" spans="4:4" x14ac:dyDescent="0.25">
      <c r="D8163" t="s">
        <v>16240</v>
      </c>
    </row>
    <row r="8164" spans="4:4" x14ac:dyDescent="0.25">
      <c r="D8164" t="s">
        <v>16241</v>
      </c>
    </row>
    <row r="8165" spans="4:4" x14ac:dyDescent="0.25">
      <c r="D8165" t="s">
        <v>16242</v>
      </c>
    </row>
    <row r="8166" spans="4:4" x14ac:dyDescent="0.25">
      <c r="D8166" t="s">
        <v>16243</v>
      </c>
    </row>
    <row r="8167" spans="4:4" x14ac:dyDescent="0.25">
      <c r="D8167" t="s">
        <v>16244</v>
      </c>
    </row>
    <row r="8168" spans="4:4" x14ac:dyDescent="0.25">
      <c r="D8168" t="s">
        <v>16245</v>
      </c>
    </row>
    <row r="8169" spans="4:4" x14ac:dyDescent="0.25">
      <c r="D8169" t="s">
        <v>16246</v>
      </c>
    </row>
    <row r="8170" spans="4:4" x14ac:dyDescent="0.25">
      <c r="D8170" t="s">
        <v>16247</v>
      </c>
    </row>
    <row r="8171" spans="4:4" x14ac:dyDescent="0.25">
      <c r="D8171" t="s">
        <v>16248</v>
      </c>
    </row>
    <row r="8172" spans="4:4" x14ac:dyDescent="0.25">
      <c r="D8172" t="s">
        <v>16249</v>
      </c>
    </row>
    <row r="8173" spans="4:4" x14ac:dyDescent="0.25">
      <c r="D8173" t="s">
        <v>16250</v>
      </c>
    </row>
    <row r="8174" spans="4:4" x14ac:dyDescent="0.25">
      <c r="D8174" t="s">
        <v>16251</v>
      </c>
    </row>
    <row r="8175" spans="4:4" x14ac:dyDescent="0.25">
      <c r="D8175" t="s">
        <v>16252</v>
      </c>
    </row>
    <row r="8176" spans="4:4" x14ac:dyDescent="0.25">
      <c r="D8176" t="s">
        <v>16253</v>
      </c>
    </row>
    <row r="8177" spans="4:4" x14ac:dyDescent="0.25">
      <c r="D8177" t="s">
        <v>16254</v>
      </c>
    </row>
    <row r="8178" spans="4:4" x14ac:dyDescent="0.25">
      <c r="D8178" t="s">
        <v>16255</v>
      </c>
    </row>
    <row r="8179" spans="4:4" x14ac:dyDescent="0.25">
      <c r="D8179" t="s">
        <v>16256</v>
      </c>
    </row>
    <row r="8180" spans="4:4" x14ac:dyDescent="0.25">
      <c r="D8180" t="s">
        <v>16257</v>
      </c>
    </row>
    <row r="8181" spans="4:4" x14ac:dyDescent="0.25">
      <c r="D8181" t="s">
        <v>16258</v>
      </c>
    </row>
    <row r="8182" spans="4:4" x14ac:dyDescent="0.25">
      <c r="D8182" t="s">
        <v>16259</v>
      </c>
    </row>
    <row r="8183" spans="4:4" x14ac:dyDescent="0.25">
      <c r="D8183" t="s">
        <v>16260</v>
      </c>
    </row>
    <row r="8184" spans="4:4" x14ac:dyDescent="0.25">
      <c r="D8184" t="s">
        <v>16261</v>
      </c>
    </row>
    <row r="8185" spans="4:4" x14ac:dyDescent="0.25">
      <c r="D8185" t="s">
        <v>16262</v>
      </c>
    </row>
    <row r="8186" spans="4:4" x14ac:dyDescent="0.25">
      <c r="D8186" t="s">
        <v>16263</v>
      </c>
    </row>
    <row r="8187" spans="4:4" x14ac:dyDescent="0.25">
      <c r="D8187" t="s">
        <v>16264</v>
      </c>
    </row>
    <row r="8188" spans="4:4" x14ac:dyDescent="0.25">
      <c r="D8188" t="s">
        <v>16265</v>
      </c>
    </row>
    <row r="8189" spans="4:4" x14ac:dyDescent="0.25">
      <c r="D8189" t="s">
        <v>16266</v>
      </c>
    </row>
    <row r="8190" spans="4:4" x14ac:dyDescent="0.25">
      <c r="D8190" t="s">
        <v>16267</v>
      </c>
    </row>
    <row r="8191" spans="4:4" x14ac:dyDescent="0.25">
      <c r="D8191" t="s">
        <v>16268</v>
      </c>
    </row>
    <row r="8192" spans="4:4" x14ac:dyDescent="0.25">
      <c r="D8192" t="s">
        <v>16269</v>
      </c>
    </row>
    <row r="8193" spans="4:4" x14ac:dyDescent="0.25">
      <c r="D8193" t="s">
        <v>16270</v>
      </c>
    </row>
    <row r="8194" spans="4:4" x14ac:dyDescent="0.25">
      <c r="D8194" t="s">
        <v>16271</v>
      </c>
    </row>
    <row r="8195" spans="4:4" x14ac:dyDescent="0.25">
      <c r="D8195" t="s">
        <v>16272</v>
      </c>
    </row>
    <row r="8196" spans="4:4" x14ac:dyDescent="0.25">
      <c r="D8196" t="s">
        <v>16273</v>
      </c>
    </row>
    <row r="8197" spans="4:4" x14ac:dyDescent="0.25">
      <c r="D8197" t="s">
        <v>16274</v>
      </c>
    </row>
    <row r="8198" spans="4:4" x14ac:dyDescent="0.25">
      <c r="D8198" t="s">
        <v>16275</v>
      </c>
    </row>
    <row r="8199" spans="4:4" x14ac:dyDescent="0.25">
      <c r="D8199" t="s">
        <v>16276</v>
      </c>
    </row>
    <row r="8200" spans="4:4" x14ac:dyDescent="0.25">
      <c r="D8200" t="s">
        <v>16277</v>
      </c>
    </row>
    <row r="8201" spans="4:4" x14ac:dyDescent="0.25">
      <c r="D8201" t="s">
        <v>16278</v>
      </c>
    </row>
    <row r="8202" spans="4:4" x14ac:dyDescent="0.25">
      <c r="D8202" t="s">
        <v>16279</v>
      </c>
    </row>
    <row r="8203" spans="4:4" x14ac:dyDescent="0.25">
      <c r="D8203" t="s">
        <v>16280</v>
      </c>
    </row>
    <row r="8204" spans="4:4" x14ac:dyDescent="0.25">
      <c r="D8204" t="s">
        <v>16281</v>
      </c>
    </row>
    <row r="8205" spans="4:4" x14ac:dyDescent="0.25">
      <c r="D8205" t="s">
        <v>16282</v>
      </c>
    </row>
    <row r="8206" spans="4:4" x14ac:dyDescent="0.25">
      <c r="D8206" t="s">
        <v>16283</v>
      </c>
    </row>
    <row r="8207" spans="4:4" x14ac:dyDescent="0.25">
      <c r="D8207" t="s">
        <v>16284</v>
      </c>
    </row>
    <row r="8208" spans="4:4" x14ac:dyDescent="0.25">
      <c r="D8208" t="s">
        <v>16285</v>
      </c>
    </row>
    <row r="8209" spans="4:4" x14ac:dyDescent="0.25">
      <c r="D8209" t="s">
        <v>16286</v>
      </c>
    </row>
    <row r="8210" spans="4:4" x14ac:dyDescent="0.25">
      <c r="D8210" t="s">
        <v>16287</v>
      </c>
    </row>
    <row r="8211" spans="4:4" x14ac:dyDescent="0.25">
      <c r="D8211" t="s">
        <v>16288</v>
      </c>
    </row>
    <row r="8212" spans="4:4" x14ac:dyDescent="0.25">
      <c r="D8212" t="s">
        <v>16289</v>
      </c>
    </row>
    <row r="8213" spans="4:4" x14ac:dyDescent="0.25">
      <c r="D8213" t="s">
        <v>16290</v>
      </c>
    </row>
    <row r="8214" spans="4:4" x14ac:dyDescent="0.25">
      <c r="D8214" t="s">
        <v>16291</v>
      </c>
    </row>
    <row r="8215" spans="4:4" x14ac:dyDescent="0.25">
      <c r="D8215" t="s">
        <v>16292</v>
      </c>
    </row>
    <row r="8216" spans="4:4" x14ac:dyDescent="0.25">
      <c r="D8216" t="s">
        <v>16293</v>
      </c>
    </row>
    <row r="8217" spans="4:4" x14ac:dyDescent="0.25">
      <c r="D8217" t="s">
        <v>16294</v>
      </c>
    </row>
    <row r="8218" spans="4:4" x14ac:dyDescent="0.25">
      <c r="D8218" t="s">
        <v>16295</v>
      </c>
    </row>
    <row r="8219" spans="4:4" x14ac:dyDescent="0.25">
      <c r="D8219" t="s">
        <v>16296</v>
      </c>
    </row>
    <row r="8220" spans="4:4" x14ac:dyDescent="0.25">
      <c r="D8220" t="s">
        <v>16297</v>
      </c>
    </row>
    <row r="8221" spans="4:4" x14ac:dyDescent="0.25">
      <c r="D8221" t="s">
        <v>16298</v>
      </c>
    </row>
    <row r="8222" spans="4:4" x14ac:dyDescent="0.25">
      <c r="D8222" t="s">
        <v>16299</v>
      </c>
    </row>
    <row r="8223" spans="4:4" x14ac:dyDescent="0.25">
      <c r="D8223" t="s">
        <v>16300</v>
      </c>
    </row>
    <row r="8224" spans="4:4" x14ac:dyDescent="0.25">
      <c r="D8224" t="s">
        <v>16301</v>
      </c>
    </row>
    <row r="8225" spans="4:4" x14ac:dyDescent="0.25">
      <c r="D8225" t="s">
        <v>16302</v>
      </c>
    </row>
    <row r="8226" spans="4:4" x14ac:dyDescent="0.25">
      <c r="D8226" t="s">
        <v>16303</v>
      </c>
    </row>
    <row r="8227" spans="4:4" x14ac:dyDescent="0.25">
      <c r="D8227" t="s">
        <v>16304</v>
      </c>
    </row>
    <row r="8228" spans="4:4" x14ac:dyDescent="0.25">
      <c r="D8228" t="s">
        <v>16305</v>
      </c>
    </row>
    <row r="8229" spans="4:4" x14ac:dyDescent="0.25">
      <c r="D8229" t="s">
        <v>16306</v>
      </c>
    </row>
    <row r="8230" spans="4:4" x14ac:dyDescent="0.25">
      <c r="D8230" t="s">
        <v>16307</v>
      </c>
    </row>
    <row r="8231" spans="4:4" x14ac:dyDescent="0.25">
      <c r="D8231" t="s">
        <v>16308</v>
      </c>
    </row>
    <row r="8232" spans="4:4" x14ac:dyDescent="0.25">
      <c r="D8232" t="s">
        <v>16309</v>
      </c>
    </row>
    <row r="8233" spans="4:4" x14ac:dyDescent="0.25">
      <c r="D8233" t="s">
        <v>16310</v>
      </c>
    </row>
    <row r="8234" spans="4:4" x14ac:dyDescent="0.25">
      <c r="D8234" t="s">
        <v>16311</v>
      </c>
    </row>
    <row r="8235" spans="4:4" x14ac:dyDescent="0.25">
      <c r="D8235" t="s">
        <v>16312</v>
      </c>
    </row>
    <row r="8236" spans="4:4" x14ac:dyDescent="0.25">
      <c r="D8236" t="s">
        <v>16313</v>
      </c>
    </row>
    <row r="8237" spans="4:4" x14ac:dyDescent="0.25">
      <c r="D8237" t="s">
        <v>16314</v>
      </c>
    </row>
    <row r="8238" spans="4:4" x14ac:dyDescent="0.25">
      <c r="D8238" t="s">
        <v>16315</v>
      </c>
    </row>
    <row r="8239" spans="4:4" x14ac:dyDescent="0.25">
      <c r="D8239" t="s">
        <v>16316</v>
      </c>
    </row>
    <row r="8240" spans="4:4" x14ac:dyDescent="0.25">
      <c r="D8240" t="s">
        <v>16317</v>
      </c>
    </row>
    <row r="8241" spans="4:4" x14ac:dyDescent="0.25">
      <c r="D8241" t="s">
        <v>16318</v>
      </c>
    </row>
    <row r="8242" spans="4:4" x14ac:dyDescent="0.25">
      <c r="D8242" t="s">
        <v>16319</v>
      </c>
    </row>
    <row r="8243" spans="4:4" x14ac:dyDescent="0.25">
      <c r="D8243" t="s">
        <v>16320</v>
      </c>
    </row>
    <row r="8244" spans="4:4" x14ac:dyDescent="0.25">
      <c r="D8244" t="s">
        <v>16321</v>
      </c>
    </row>
    <row r="8245" spans="4:4" x14ac:dyDescent="0.25">
      <c r="D8245" t="s">
        <v>16322</v>
      </c>
    </row>
    <row r="8246" spans="4:4" x14ac:dyDescent="0.25">
      <c r="D8246" t="s">
        <v>16323</v>
      </c>
    </row>
    <row r="8247" spans="4:4" x14ac:dyDescent="0.25">
      <c r="D8247" t="s">
        <v>16324</v>
      </c>
    </row>
    <row r="8248" spans="4:4" x14ac:dyDescent="0.25">
      <c r="D8248" t="s">
        <v>16325</v>
      </c>
    </row>
    <row r="8249" spans="4:4" x14ac:dyDescent="0.25">
      <c r="D8249" t="s">
        <v>16326</v>
      </c>
    </row>
    <row r="8250" spans="4:4" x14ac:dyDescent="0.25">
      <c r="D8250" t="s">
        <v>16327</v>
      </c>
    </row>
    <row r="8251" spans="4:4" x14ac:dyDescent="0.25">
      <c r="D8251" t="s">
        <v>16328</v>
      </c>
    </row>
    <row r="8252" spans="4:4" x14ac:dyDescent="0.25">
      <c r="D8252" t="s">
        <v>16329</v>
      </c>
    </row>
    <row r="8253" spans="4:4" x14ac:dyDescent="0.25">
      <c r="D8253" t="s">
        <v>16330</v>
      </c>
    </row>
    <row r="8254" spans="4:4" x14ac:dyDescent="0.25">
      <c r="D8254" t="s">
        <v>16331</v>
      </c>
    </row>
    <row r="8255" spans="4:4" x14ac:dyDescent="0.25">
      <c r="D8255" t="s">
        <v>16332</v>
      </c>
    </row>
    <row r="8256" spans="4:4" x14ac:dyDescent="0.25">
      <c r="D8256" t="s">
        <v>16333</v>
      </c>
    </row>
    <row r="8257" spans="4:4" x14ac:dyDescent="0.25">
      <c r="D8257" t="s">
        <v>16334</v>
      </c>
    </row>
    <row r="8258" spans="4:4" x14ac:dyDescent="0.25">
      <c r="D8258" t="s">
        <v>16335</v>
      </c>
    </row>
    <row r="8259" spans="4:4" x14ac:dyDescent="0.25">
      <c r="D8259" t="s">
        <v>16336</v>
      </c>
    </row>
    <row r="8260" spans="4:4" x14ac:dyDescent="0.25">
      <c r="D8260" t="s">
        <v>16337</v>
      </c>
    </row>
    <row r="8261" spans="4:4" x14ac:dyDescent="0.25">
      <c r="D8261" t="s">
        <v>16338</v>
      </c>
    </row>
    <row r="8262" spans="4:4" x14ac:dyDescent="0.25">
      <c r="D8262" t="s">
        <v>16339</v>
      </c>
    </row>
    <row r="8263" spans="4:4" x14ac:dyDescent="0.25">
      <c r="D8263" t="s">
        <v>16340</v>
      </c>
    </row>
    <row r="8264" spans="4:4" x14ac:dyDescent="0.25">
      <c r="D8264" t="s">
        <v>16341</v>
      </c>
    </row>
    <row r="8265" spans="4:4" x14ac:dyDescent="0.25">
      <c r="D8265" t="s">
        <v>16342</v>
      </c>
    </row>
    <row r="8266" spans="4:4" x14ac:dyDescent="0.25">
      <c r="D8266" t="s">
        <v>16343</v>
      </c>
    </row>
    <row r="8267" spans="4:4" x14ac:dyDescent="0.25">
      <c r="D8267" t="s">
        <v>16344</v>
      </c>
    </row>
    <row r="8268" spans="4:4" x14ac:dyDescent="0.25">
      <c r="D8268" t="s">
        <v>16345</v>
      </c>
    </row>
    <row r="8269" spans="4:4" x14ac:dyDescent="0.25">
      <c r="D8269" t="s">
        <v>16346</v>
      </c>
    </row>
    <row r="8270" spans="4:4" x14ac:dyDescent="0.25">
      <c r="D8270" t="s">
        <v>16347</v>
      </c>
    </row>
    <row r="8271" spans="4:4" x14ac:dyDescent="0.25">
      <c r="D8271" t="s">
        <v>16348</v>
      </c>
    </row>
    <row r="8272" spans="4:4" x14ac:dyDescent="0.25">
      <c r="D8272" t="s">
        <v>16349</v>
      </c>
    </row>
    <row r="8273" spans="4:4" x14ac:dyDescent="0.25">
      <c r="D8273" t="s">
        <v>16350</v>
      </c>
    </row>
    <row r="8274" spans="4:4" x14ac:dyDescent="0.25">
      <c r="D8274" t="s">
        <v>16351</v>
      </c>
    </row>
    <row r="8275" spans="4:4" x14ac:dyDescent="0.25">
      <c r="D8275" t="s">
        <v>16352</v>
      </c>
    </row>
    <row r="8276" spans="4:4" x14ac:dyDescent="0.25">
      <c r="D8276" t="s">
        <v>16353</v>
      </c>
    </row>
    <row r="8277" spans="4:4" x14ac:dyDescent="0.25">
      <c r="D8277" t="s">
        <v>16354</v>
      </c>
    </row>
    <row r="8278" spans="4:4" x14ac:dyDescent="0.25">
      <c r="D8278" t="s">
        <v>16355</v>
      </c>
    </row>
    <row r="8279" spans="4:4" x14ac:dyDescent="0.25">
      <c r="D8279" t="s">
        <v>16356</v>
      </c>
    </row>
    <row r="8280" spans="4:4" x14ac:dyDescent="0.25">
      <c r="D8280" t="s">
        <v>16357</v>
      </c>
    </row>
    <row r="8281" spans="4:4" x14ac:dyDescent="0.25">
      <c r="D8281" t="s">
        <v>16358</v>
      </c>
    </row>
    <row r="8282" spans="4:4" x14ac:dyDescent="0.25">
      <c r="D8282" t="s">
        <v>16359</v>
      </c>
    </row>
    <row r="8283" spans="4:4" x14ac:dyDescent="0.25">
      <c r="D8283" t="s">
        <v>16360</v>
      </c>
    </row>
    <row r="8284" spans="4:4" x14ac:dyDescent="0.25">
      <c r="D8284" t="s">
        <v>16361</v>
      </c>
    </row>
    <row r="8285" spans="4:4" x14ac:dyDescent="0.25">
      <c r="D8285" t="s">
        <v>16362</v>
      </c>
    </row>
    <row r="8286" spans="4:4" x14ac:dyDescent="0.25">
      <c r="D8286" t="s">
        <v>16363</v>
      </c>
    </row>
    <row r="8287" spans="4:4" x14ac:dyDescent="0.25">
      <c r="D8287" t="s">
        <v>16364</v>
      </c>
    </row>
    <row r="8288" spans="4:4" x14ac:dyDescent="0.25">
      <c r="D8288" t="s">
        <v>16365</v>
      </c>
    </row>
    <row r="8289" spans="4:4" x14ac:dyDescent="0.25">
      <c r="D8289" t="s">
        <v>16366</v>
      </c>
    </row>
    <row r="8290" spans="4:4" x14ac:dyDescent="0.25">
      <c r="D8290" t="s">
        <v>16367</v>
      </c>
    </row>
    <row r="8291" spans="4:4" x14ac:dyDescent="0.25">
      <c r="D8291" t="s">
        <v>16368</v>
      </c>
    </row>
    <row r="8292" spans="4:4" x14ac:dyDescent="0.25">
      <c r="D8292" t="s">
        <v>16369</v>
      </c>
    </row>
    <row r="8293" spans="4:4" x14ac:dyDescent="0.25">
      <c r="D8293" t="s">
        <v>16370</v>
      </c>
    </row>
    <row r="8294" spans="4:4" x14ac:dyDescent="0.25">
      <c r="D8294" t="s">
        <v>16371</v>
      </c>
    </row>
    <row r="8295" spans="4:4" x14ac:dyDescent="0.25">
      <c r="D8295" t="s">
        <v>16372</v>
      </c>
    </row>
    <row r="8296" spans="4:4" x14ac:dyDescent="0.25">
      <c r="D8296" t="s">
        <v>16373</v>
      </c>
    </row>
    <row r="8297" spans="4:4" x14ac:dyDescent="0.25">
      <c r="D8297" t="s">
        <v>16374</v>
      </c>
    </row>
    <row r="8298" spans="4:4" x14ac:dyDescent="0.25">
      <c r="D8298" t="s">
        <v>16375</v>
      </c>
    </row>
    <row r="8299" spans="4:4" x14ac:dyDescent="0.25">
      <c r="D8299" t="s">
        <v>16376</v>
      </c>
    </row>
    <row r="8300" spans="4:4" x14ac:dyDescent="0.25">
      <c r="D8300" t="s">
        <v>16377</v>
      </c>
    </row>
    <row r="8301" spans="4:4" x14ac:dyDescent="0.25">
      <c r="D8301" t="s">
        <v>16378</v>
      </c>
    </row>
    <row r="8302" spans="4:4" x14ac:dyDescent="0.25">
      <c r="D8302" t="s">
        <v>16379</v>
      </c>
    </row>
    <row r="8303" spans="4:4" x14ac:dyDescent="0.25">
      <c r="D8303" t="s">
        <v>16380</v>
      </c>
    </row>
    <row r="8304" spans="4:4" x14ac:dyDescent="0.25">
      <c r="D8304" t="s">
        <v>16381</v>
      </c>
    </row>
    <row r="8305" spans="4:4" x14ac:dyDescent="0.25">
      <c r="D8305" t="s">
        <v>16382</v>
      </c>
    </row>
    <row r="8306" spans="4:4" x14ac:dyDescent="0.25">
      <c r="D8306" t="s">
        <v>16383</v>
      </c>
    </row>
    <row r="8307" spans="4:4" x14ac:dyDescent="0.25">
      <c r="D8307" t="s">
        <v>16384</v>
      </c>
    </row>
    <row r="8308" spans="4:4" x14ac:dyDescent="0.25">
      <c r="D8308" t="s">
        <v>16385</v>
      </c>
    </row>
    <row r="8309" spans="4:4" x14ac:dyDescent="0.25">
      <c r="D8309" t="s">
        <v>16386</v>
      </c>
    </row>
    <row r="8310" spans="4:4" x14ac:dyDescent="0.25">
      <c r="D8310" t="s">
        <v>16387</v>
      </c>
    </row>
    <row r="8311" spans="4:4" x14ac:dyDescent="0.25">
      <c r="D8311" t="s">
        <v>16388</v>
      </c>
    </row>
    <row r="8312" spans="4:4" x14ac:dyDescent="0.25">
      <c r="D8312" t="s">
        <v>16389</v>
      </c>
    </row>
    <row r="8313" spans="4:4" x14ac:dyDescent="0.25">
      <c r="D8313" t="s">
        <v>16390</v>
      </c>
    </row>
    <row r="8314" spans="4:4" x14ac:dyDescent="0.25">
      <c r="D8314" t="s">
        <v>16391</v>
      </c>
    </row>
    <row r="8315" spans="4:4" x14ac:dyDescent="0.25">
      <c r="D8315" t="s">
        <v>16392</v>
      </c>
    </row>
    <row r="8316" spans="4:4" x14ac:dyDescent="0.25">
      <c r="D8316" t="s">
        <v>16393</v>
      </c>
    </row>
    <row r="8317" spans="4:4" x14ac:dyDescent="0.25">
      <c r="D8317" t="s">
        <v>16394</v>
      </c>
    </row>
    <row r="8318" spans="4:4" x14ac:dyDescent="0.25">
      <c r="D8318" t="s">
        <v>16395</v>
      </c>
    </row>
    <row r="8319" spans="4:4" x14ac:dyDescent="0.25">
      <c r="D8319" t="s">
        <v>16396</v>
      </c>
    </row>
    <row r="8320" spans="4:4" x14ac:dyDescent="0.25">
      <c r="D8320" t="s">
        <v>16397</v>
      </c>
    </row>
    <row r="8321" spans="4:4" x14ac:dyDescent="0.25">
      <c r="D8321" t="s">
        <v>16398</v>
      </c>
    </row>
    <row r="8322" spans="4:4" x14ac:dyDescent="0.25">
      <c r="D8322" t="s">
        <v>16399</v>
      </c>
    </row>
    <row r="8323" spans="4:4" x14ac:dyDescent="0.25">
      <c r="D8323" t="s">
        <v>16400</v>
      </c>
    </row>
    <row r="8324" spans="4:4" x14ac:dyDescent="0.25">
      <c r="D8324" t="s">
        <v>16401</v>
      </c>
    </row>
    <row r="8325" spans="4:4" x14ac:dyDescent="0.25">
      <c r="D8325" t="s">
        <v>16402</v>
      </c>
    </row>
    <row r="8326" spans="4:4" x14ac:dyDescent="0.25">
      <c r="D8326" t="s">
        <v>16403</v>
      </c>
    </row>
    <row r="8327" spans="4:4" x14ac:dyDescent="0.25">
      <c r="D8327" t="s">
        <v>16404</v>
      </c>
    </row>
    <row r="8328" spans="4:4" x14ac:dyDescent="0.25">
      <c r="D8328" t="s">
        <v>16405</v>
      </c>
    </row>
    <row r="8329" spans="4:4" x14ac:dyDescent="0.25">
      <c r="D8329" t="s">
        <v>16406</v>
      </c>
    </row>
    <row r="8330" spans="4:4" x14ac:dyDescent="0.25">
      <c r="D8330" t="s">
        <v>16407</v>
      </c>
    </row>
    <row r="8331" spans="4:4" x14ac:dyDescent="0.25">
      <c r="D8331" t="s">
        <v>16408</v>
      </c>
    </row>
    <row r="8332" spans="4:4" x14ac:dyDescent="0.25">
      <c r="D8332" t="s">
        <v>16409</v>
      </c>
    </row>
    <row r="8333" spans="4:4" x14ac:dyDescent="0.25">
      <c r="D8333" t="s">
        <v>16410</v>
      </c>
    </row>
    <row r="8334" spans="4:4" x14ac:dyDescent="0.25">
      <c r="D8334" t="s">
        <v>16411</v>
      </c>
    </row>
    <row r="8335" spans="4:4" x14ac:dyDescent="0.25">
      <c r="D8335" t="s">
        <v>16412</v>
      </c>
    </row>
    <row r="8336" spans="4:4" x14ac:dyDescent="0.25">
      <c r="D8336" t="s">
        <v>16413</v>
      </c>
    </row>
    <row r="8337" spans="4:4" x14ac:dyDescent="0.25">
      <c r="D8337" t="s">
        <v>16414</v>
      </c>
    </row>
    <row r="8338" spans="4:4" x14ac:dyDescent="0.25">
      <c r="D8338" t="s">
        <v>16415</v>
      </c>
    </row>
    <row r="8339" spans="4:4" x14ac:dyDescent="0.25">
      <c r="D8339" t="s">
        <v>16416</v>
      </c>
    </row>
    <row r="8340" spans="4:4" x14ac:dyDescent="0.25">
      <c r="D8340" t="s">
        <v>16417</v>
      </c>
    </row>
    <row r="8341" spans="4:4" x14ac:dyDescent="0.25">
      <c r="D8341" t="s">
        <v>16418</v>
      </c>
    </row>
    <row r="8342" spans="4:4" x14ac:dyDescent="0.25">
      <c r="D8342" t="s">
        <v>16419</v>
      </c>
    </row>
    <row r="8343" spans="4:4" x14ac:dyDescent="0.25">
      <c r="D8343" t="s">
        <v>16420</v>
      </c>
    </row>
    <row r="8344" spans="4:4" x14ac:dyDescent="0.25">
      <c r="D8344" t="s">
        <v>16421</v>
      </c>
    </row>
    <row r="8345" spans="4:4" x14ac:dyDescent="0.25">
      <c r="D8345" t="s">
        <v>16422</v>
      </c>
    </row>
    <row r="8346" spans="4:4" x14ac:dyDescent="0.25">
      <c r="D8346" t="s">
        <v>16423</v>
      </c>
    </row>
    <row r="8347" spans="4:4" x14ac:dyDescent="0.25">
      <c r="D8347" t="s">
        <v>16424</v>
      </c>
    </row>
    <row r="8348" spans="4:4" x14ac:dyDescent="0.25">
      <c r="D8348" t="s">
        <v>16425</v>
      </c>
    </row>
    <row r="8349" spans="4:4" x14ac:dyDescent="0.25">
      <c r="D8349" t="s">
        <v>16426</v>
      </c>
    </row>
    <row r="8350" spans="4:4" x14ac:dyDescent="0.25">
      <c r="D8350" t="s">
        <v>16427</v>
      </c>
    </row>
    <row r="8351" spans="4:4" x14ac:dyDescent="0.25">
      <c r="D8351" t="s">
        <v>16428</v>
      </c>
    </row>
    <row r="8352" spans="4:4" x14ac:dyDescent="0.25">
      <c r="D8352" t="s">
        <v>16429</v>
      </c>
    </row>
    <row r="8353" spans="4:4" x14ac:dyDescent="0.25">
      <c r="D8353" t="s">
        <v>16430</v>
      </c>
    </row>
    <row r="8354" spans="4:4" x14ac:dyDescent="0.25">
      <c r="D8354" t="s">
        <v>16431</v>
      </c>
    </row>
    <row r="8355" spans="4:4" x14ac:dyDescent="0.25">
      <c r="D8355" t="s">
        <v>16432</v>
      </c>
    </row>
    <row r="8356" spans="4:4" x14ac:dyDescent="0.25">
      <c r="D8356" t="s">
        <v>16433</v>
      </c>
    </row>
    <row r="8357" spans="4:4" x14ac:dyDescent="0.25">
      <c r="D8357" t="s">
        <v>16434</v>
      </c>
    </row>
    <row r="8358" spans="4:4" x14ac:dyDescent="0.25">
      <c r="D8358" t="s">
        <v>16435</v>
      </c>
    </row>
    <row r="8359" spans="4:4" x14ac:dyDescent="0.25">
      <c r="D8359" t="s">
        <v>16436</v>
      </c>
    </row>
    <row r="8360" spans="4:4" x14ac:dyDescent="0.25">
      <c r="D8360" t="s">
        <v>16437</v>
      </c>
    </row>
    <row r="8361" spans="4:4" x14ac:dyDescent="0.25">
      <c r="D8361" t="s">
        <v>16438</v>
      </c>
    </row>
    <row r="8362" spans="4:4" x14ac:dyDescent="0.25">
      <c r="D8362" t="s">
        <v>16439</v>
      </c>
    </row>
    <row r="8363" spans="4:4" x14ac:dyDescent="0.25">
      <c r="D8363" t="s">
        <v>16440</v>
      </c>
    </row>
    <row r="8364" spans="4:4" x14ac:dyDescent="0.25">
      <c r="D8364" t="s">
        <v>16441</v>
      </c>
    </row>
    <row r="8365" spans="4:4" x14ac:dyDescent="0.25">
      <c r="D8365" t="s">
        <v>16442</v>
      </c>
    </row>
    <row r="8366" spans="4:4" x14ac:dyDescent="0.25">
      <c r="D8366" t="s">
        <v>16443</v>
      </c>
    </row>
    <row r="8367" spans="4:4" x14ac:dyDescent="0.25">
      <c r="D8367" t="s">
        <v>16444</v>
      </c>
    </row>
    <row r="8368" spans="4:4" x14ac:dyDescent="0.25">
      <c r="D8368" t="s">
        <v>16445</v>
      </c>
    </row>
    <row r="8369" spans="4:4" x14ac:dyDescent="0.25">
      <c r="D8369" t="s">
        <v>16446</v>
      </c>
    </row>
    <row r="8370" spans="4:4" x14ac:dyDescent="0.25">
      <c r="D8370" t="s">
        <v>16447</v>
      </c>
    </row>
    <row r="8371" spans="4:4" x14ac:dyDescent="0.25">
      <c r="D8371" t="s">
        <v>16448</v>
      </c>
    </row>
    <row r="8372" spans="4:4" x14ac:dyDescent="0.25">
      <c r="D8372" t="s">
        <v>16449</v>
      </c>
    </row>
    <row r="8373" spans="4:4" x14ac:dyDescent="0.25">
      <c r="D8373" t="s">
        <v>16450</v>
      </c>
    </row>
    <row r="8374" spans="4:4" x14ac:dyDescent="0.25">
      <c r="D8374" t="s">
        <v>16451</v>
      </c>
    </row>
    <row r="8375" spans="4:4" x14ac:dyDescent="0.25">
      <c r="D8375" t="s">
        <v>16452</v>
      </c>
    </row>
    <row r="8376" spans="4:4" x14ac:dyDescent="0.25">
      <c r="D8376" t="s">
        <v>16453</v>
      </c>
    </row>
    <row r="8377" spans="4:4" x14ac:dyDescent="0.25">
      <c r="D8377" t="s">
        <v>16454</v>
      </c>
    </row>
    <row r="8378" spans="4:4" x14ac:dyDescent="0.25">
      <c r="D8378" t="s">
        <v>16455</v>
      </c>
    </row>
    <row r="8379" spans="4:4" x14ac:dyDescent="0.25">
      <c r="D8379" t="s">
        <v>16456</v>
      </c>
    </row>
    <row r="8380" spans="4:4" x14ac:dyDescent="0.25">
      <c r="D8380" t="s">
        <v>16457</v>
      </c>
    </row>
    <row r="8381" spans="4:4" x14ac:dyDescent="0.25">
      <c r="D8381" t="s">
        <v>16458</v>
      </c>
    </row>
    <row r="8382" spans="4:4" x14ac:dyDescent="0.25">
      <c r="D8382" t="s">
        <v>16459</v>
      </c>
    </row>
    <row r="8383" spans="4:4" x14ac:dyDescent="0.25">
      <c r="D8383" t="s">
        <v>16460</v>
      </c>
    </row>
    <row r="8384" spans="4:4" x14ac:dyDescent="0.25">
      <c r="D8384" t="s">
        <v>16461</v>
      </c>
    </row>
    <row r="8385" spans="4:4" x14ac:dyDescent="0.25">
      <c r="D8385" t="s">
        <v>16462</v>
      </c>
    </row>
    <row r="8386" spans="4:4" x14ac:dyDescent="0.25">
      <c r="D8386" t="s">
        <v>16463</v>
      </c>
    </row>
    <row r="8387" spans="4:4" x14ac:dyDescent="0.25">
      <c r="D8387" t="s">
        <v>16464</v>
      </c>
    </row>
    <row r="8388" spans="4:4" x14ac:dyDescent="0.25">
      <c r="D8388" t="s">
        <v>16465</v>
      </c>
    </row>
    <row r="8389" spans="4:4" x14ac:dyDescent="0.25">
      <c r="D8389" t="s">
        <v>16466</v>
      </c>
    </row>
    <row r="8390" spans="4:4" x14ac:dyDescent="0.25">
      <c r="D8390" t="s">
        <v>16467</v>
      </c>
    </row>
    <row r="8391" spans="4:4" x14ac:dyDescent="0.25">
      <c r="D8391" t="s">
        <v>16468</v>
      </c>
    </row>
    <row r="8392" spans="4:4" x14ac:dyDescent="0.25">
      <c r="D8392" t="s">
        <v>16469</v>
      </c>
    </row>
    <row r="8393" spans="4:4" x14ac:dyDescent="0.25">
      <c r="D8393" t="s">
        <v>16470</v>
      </c>
    </row>
    <row r="8394" spans="4:4" x14ac:dyDescent="0.25">
      <c r="D8394" t="s">
        <v>16471</v>
      </c>
    </row>
    <row r="8395" spans="4:4" x14ac:dyDescent="0.25">
      <c r="D8395" t="s">
        <v>16472</v>
      </c>
    </row>
    <row r="8396" spans="4:4" x14ac:dyDescent="0.25">
      <c r="D8396" t="s">
        <v>16473</v>
      </c>
    </row>
    <row r="8397" spans="4:4" x14ac:dyDescent="0.25">
      <c r="D8397" t="s">
        <v>16474</v>
      </c>
    </row>
    <row r="8398" spans="4:4" x14ac:dyDescent="0.25">
      <c r="D8398" t="s">
        <v>16475</v>
      </c>
    </row>
    <row r="8399" spans="4:4" x14ac:dyDescent="0.25">
      <c r="D8399" t="s">
        <v>16476</v>
      </c>
    </row>
    <row r="8400" spans="4:4" x14ac:dyDescent="0.25">
      <c r="D8400" t="s">
        <v>16477</v>
      </c>
    </row>
    <row r="8401" spans="4:4" x14ac:dyDescent="0.25">
      <c r="D8401" t="s">
        <v>16478</v>
      </c>
    </row>
    <row r="8402" spans="4:4" x14ac:dyDescent="0.25">
      <c r="D8402" t="s">
        <v>16479</v>
      </c>
    </row>
    <row r="8403" spans="4:4" x14ac:dyDescent="0.25">
      <c r="D8403" t="s">
        <v>16480</v>
      </c>
    </row>
    <row r="8404" spans="4:4" x14ac:dyDescent="0.25">
      <c r="D8404" t="s">
        <v>16481</v>
      </c>
    </row>
    <row r="8405" spans="4:4" x14ac:dyDescent="0.25">
      <c r="D8405" t="s">
        <v>16482</v>
      </c>
    </row>
    <row r="8406" spans="4:4" x14ac:dyDescent="0.25">
      <c r="D8406" t="s">
        <v>16483</v>
      </c>
    </row>
    <row r="8407" spans="4:4" x14ac:dyDescent="0.25">
      <c r="D8407" t="s">
        <v>16484</v>
      </c>
    </row>
    <row r="8408" spans="4:4" x14ac:dyDescent="0.25">
      <c r="D8408" t="s">
        <v>16485</v>
      </c>
    </row>
    <row r="8409" spans="4:4" x14ac:dyDescent="0.25">
      <c r="D8409" t="s">
        <v>16486</v>
      </c>
    </row>
    <row r="8410" spans="4:4" x14ac:dyDescent="0.25">
      <c r="D8410" t="s">
        <v>16487</v>
      </c>
    </row>
    <row r="8411" spans="4:4" x14ac:dyDescent="0.25">
      <c r="D8411" t="s">
        <v>16488</v>
      </c>
    </row>
    <row r="8412" spans="4:4" x14ac:dyDescent="0.25">
      <c r="D8412" t="s">
        <v>16489</v>
      </c>
    </row>
    <row r="8413" spans="4:4" x14ac:dyDescent="0.25">
      <c r="D8413" t="s">
        <v>16490</v>
      </c>
    </row>
    <row r="8414" spans="4:4" x14ac:dyDescent="0.25">
      <c r="D8414" t="s">
        <v>16491</v>
      </c>
    </row>
    <row r="8415" spans="4:4" x14ac:dyDescent="0.25">
      <c r="D8415" t="s">
        <v>16492</v>
      </c>
    </row>
    <row r="8416" spans="4:4" x14ac:dyDescent="0.25">
      <c r="D8416" t="s">
        <v>16493</v>
      </c>
    </row>
    <row r="8417" spans="4:4" x14ac:dyDescent="0.25">
      <c r="D8417" t="s">
        <v>16494</v>
      </c>
    </row>
    <row r="8418" spans="4:4" x14ac:dyDescent="0.25">
      <c r="D8418" t="s">
        <v>16495</v>
      </c>
    </row>
    <row r="8419" spans="4:4" x14ac:dyDescent="0.25">
      <c r="D8419" t="s">
        <v>16496</v>
      </c>
    </row>
    <row r="8420" spans="4:4" x14ac:dyDescent="0.25">
      <c r="D8420" t="s">
        <v>16497</v>
      </c>
    </row>
    <row r="8421" spans="4:4" x14ac:dyDescent="0.25">
      <c r="D8421" t="s">
        <v>16498</v>
      </c>
    </row>
    <row r="8422" spans="4:4" x14ac:dyDescent="0.25">
      <c r="D8422" t="s">
        <v>16499</v>
      </c>
    </row>
    <row r="8423" spans="4:4" x14ac:dyDescent="0.25">
      <c r="D8423" t="s">
        <v>16500</v>
      </c>
    </row>
    <row r="8424" spans="4:4" x14ac:dyDescent="0.25">
      <c r="D8424" t="s">
        <v>16501</v>
      </c>
    </row>
    <row r="8425" spans="4:4" x14ac:dyDescent="0.25">
      <c r="D8425" t="s">
        <v>16502</v>
      </c>
    </row>
    <row r="8426" spans="4:4" x14ac:dyDescent="0.25">
      <c r="D8426" t="s">
        <v>16503</v>
      </c>
    </row>
    <row r="8427" spans="4:4" x14ac:dyDescent="0.25">
      <c r="D8427" t="s">
        <v>16504</v>
      </c>
    </row>
    <row r="8428" spans="4:4" x14ac:dyDescent="0.25">
      <c r="D8428" t="s">
        <v>16505</v>
      </c>
    </row>
    <row r="8429" spans="4:4" x14ac:dyDescent="0.25">
      <c r="D8429" t="s">
        <v>16506</v>
      </c>
    </row>
    <row r="8430" spans="4:4" x14ac:dyDescent="0.25">
      <c r="D8430" t="s">
        <v>16507</v>
      </c>
    </row>
    <row r="8431" spans="4:4" x14ac:dyDescent="0.25">
      <c r="D8431" t="s">
        <v>16508</v>
      </c>
    </row>
    <row r="8432" spans="4:4" x14ac:dyDescent="0.25">
      <c r="D8432" t="s">
        <v>16509</v>
      </c>
    </row>
    <row r="8433" spans="4:4" x14ac:dyDescent="0.25">
      <c r="D8433" t="s">
        <v>16510</v>
      </c>
    </row>
    <row r="8434" spans="4:4" x14ac:dyDescent="0.25">
      <c r="D8434" t="s">
        <v>16511</v>
      </c>
    </row>
    <row r="8435" spans="4:4" x14ac:dyDescent="0.25">
      <c r="D8435" t="s">
        <v>16512</v>
      </c>
    </row>
    <row r="8436" spans="4:4" x14ac:dyDescent="0.25">
      <c r="D8436" t="s">
        <v>16513</v>
      </c>
    </row>
    <row r="8437" spans="4:4" x14ac:dyDescent="0.25">
      <c r="D8437" t="s">
        <v>16514</v>
      </c>
    </row>
    <row r="8438" spans="4:4" x14ac:dyDescent="0.25">
      <c r="D8438" t="s">
        <v>16515</v>
      </c>
    </row>
    <row r="8439" spans="4:4" x14ac:dyDescent="0.25">
      <c r="D8439" t="s">
        <v>16516</v>
      </c>
    </row>
    <row r="8440" spans="4:4" x14ac:dyDescent="0.25">
      <c r="D8440" t="s">
        <v>16517</v>
      </c>
    </row>
    <row r="8441" spans="4:4" x14ac:dyDescent="0.25">
      <c r="D8441" t="s">
        <v>16518</v>
      </c>
    </row>
    <row r="8442" spans="4:4" x14ac:dyDescent="0.25">
      <c r="D8442" t="s">
        <v>16519</v>
      </c>
    </row>
    <row r="8443" spans="4:4" x14ac:dyDescent="0.25">
      <c r="D8443" t="s">
        <v>16520</v>
      </c>
    </row>
    <row r="8444" spans="4:4" x14ac:dyDescent="0.25">
      <c r="D8444" t="s">
        <v>16521</v>
      </c>
    </row>
    <row r="8445" spans="4:4" x14ac:dyDescent="0.25">
      <c r="D8445" t="s">
        <v>16522</v>
      </c>
    </row>
    <row r="8446" spans="4:4" x14ac:dyDescent="0.25">
      <c r="D8446" t="s">
        <v>16523</v>
      </c>
    </row>
    <row r="8447" spans="4:4" x14ac:dyDescent="0.25">
      <c r="D8447" t="s">
        <v>16524</v>
      </c>
    </row>
    <row r="8448" spans="4:4" x14ac:dyDescent="0.25">
      <c r="D8448" t="s">
        <v>16525</v>
      </c>
    </row>
    <row r="8449" spans="4:4" x14ac:dyDescent="0.25">
      <c r="D8449" t="s">
        <v>16526</v>
      </c>
    </row>
    <row r="8450" spans="4:4" x14ac:dyDescent="0.25">
      <c r="D8450" t="s">
        <v>16527</v>
      </c>
    </row>
    <row r="8451" spans="4:4" x14ac:dyDescent="0.25">
      <c r="D8451" t="s">
        <v>16528</v>
      </c>
    </row>
    <row r="8452" spans="4:4" x14ac:dyDescent="0.25">
      <c r="D8452" t="s">
        <v>16529</v>
      </c>
    </row>
    <row r="8453" spans="4:4" x14ac:dyDescent="0.25">
      <c r="D8453" t="s">
        <v>16530</v>
      </c>
    </row>
    <row r="8454" spans="4:4" x14ac:dyDescent="0.25">
      <c r="D8454" t="s">
        <v>16531</v>
      </c>
    </row>
    <row r="8455" spans="4:4" x14ac:dyDescent="0.25">
      <c r="D8455" t="s">
        <v>16532</v>
      </c>
    </row>
    <row r="8456" spans="4:4" x14ac:dyDescent="0.25">
      <c r="D8456" t="s">
        <v>16533</v>
      </c>
    </row>
    <row r="8457" spans="4:4" x14ac:dyDescent="0.25">
      <c r="D8457" t="s">
        <v>16534</v>
      </c>
    </row>
    <row r="8458" spans="4:4" x14ac:dyDescent="0.25">
      <c r="D8458" t="s">
        <v>16535</v>
      </c>
    </row>
    <row r="8459" spans="4:4" x14ac:dyDescent="0.25">
      <c r="D8459" t="s">
        <v>16536</v>
      </c>
    </row>
    <row r="8460" spans="4:4" x14ac:dyDescent="0.25">
      <c r="D8460" t="s">
        <v>16537</v>
      </c>
    </row>
    <row r="8461" spans="4:4" x14ac:dyDescent="0.25">
      <c r="D8461" t="s">
        <v>16538</v>
      </c>
    </row>
    <row r="8462" spans="4:4" x14ac:dyDescent="0.25">
      <c r="D8462" t="s">
        <v>16539</v>
      </c>
    </row>
    <row r="8463" spans="4:4" x14ac:dyDescent="0.25">
      <c r="D8463" t="s">
        <v>16540</v>
      </c>
    </row>
    <row r="8464" spans="4:4" x14ac:dyDescent="0.25">
      <c r="D8464" t="s">
        <v>16541</v>
      </c>
    </row>
    <row r="8465" spans="4:4" x14ac:dyDescent="0.25">
      <c r="D8465" t="s">
        <v>16542</v>
      </c>
    </row>
    <row r="8466" spans="4:4" x14ac:dyDescent="0.25">
      <c r="D8466" t="s">
        <v>16543</v>
      </c>
    </row>
    <row r="8467" spans="4:4" x14ac:dyDescent="0.25">
      <c r="D8467" t="s">
        <v>16544</v>
      </c>
    </row>
    <row r="8468" spans="4:4" x14ac:dyDescent="0.25">
      <c r="D8468" t="s">
        <v>16545</v>
      </c>
    </row>
    <row r="8469" spans="4:4" x14ac:dyDescent="0.25">
      <c r="D8469" t="s">
        <v>16546</v>
      </c>
    </row>
    <row r="8470" spans="4:4" x14ac:dyDescent="0.25">
      <c r="D8470" t="s">
        <v>16547</v>
      </c>
    </row>
    <row r="8471" spans="4:4" x14ac:dyDescent="0.25">
      <c r="D8471" t="s">
        <v>16548</v>
      </c>
    </row>
    <row r="8472" spans="4:4" x14ac:dyDescent="0.25">
      <c r="D8472" t="s">
        <v>16549</v>
      </c>
    </row>
    <row r="8473" spans="4:4" x14ac:dyDescent="0.25">
      <c r="D8473" t="s">
        <v>16550</v>
      </c>
    </row>
    <row r="8474" spans="4:4" x14ac:dyDescent="0.25">
      <c r="D8474" t="s">
        <v>16551</v>
      </c>
    </row>
    <row r="8475" spans="4:4" x14ac:dyDescent="0.25">
      <c r="D8475" t="s">
        <v>16552</v>
      </c>
    </row>
    <row r="8476" spans="4:4" x14ac:dyDescent="0.25">
      <c r="D8476" t="s">
        <v>16553</v>
      </c>
    </row>
    <row r="8477" spans="4:4" x14ac:dyDescent="0.25">
      <c r="D8477" t="s">
        <v>16554</v>
      </c>
    </row>
    <row r="8478" spans="4:4" x14ac:dyDescent="0.25">
      <c r="D8478" t="s">
        <v>16555</v>
      </c>
    </row>
    <row r="8479" spans="4:4" x14ac:dyDescent="0.25">
      <c r="D8479" t="s">
        <v>16556</v>
      </c>
    </row>
    <row r="8480" spans="4:4" x14ac:dyDescent="0.25">
      <c r="D8480" t="s">
        <v>16557</v>
      </c>
    </row>
    <row r="8481" spans="4:4" x14ac:dyDescent="0.25">
      <c r="D8481" t="s">
        <v>16558</v>
      </c>
    </row>
    <row r="8482" spans="4:4" x14ac:dyDescent="0.25">
      <c r="D8482" t="s">
        <v>16559</v>
      </c>
    </row>
    <row r="8483" spans="4:4" x14ac:dyDescent="0.25">
      <c r="D8483" t="s">
        <v>16560</v>
      </c>
    </row>
    <row r="8484" spans="4:4" x14ac:dyDescent="0.25">
      <c r="D8484" t="s">
        <v>16561</v>
      </c>
    </row>
    <row r="8485" spans="4:4" x14ac:dyDescent="0.25">
      <c r="D8485" t="s">
        <v>16562</v>
      </c>
    </row>
    <row r="8486" spans="4:4" x14ac:dyDescent="0.25">
      <c r="D8486" t="s">
        <v>16563</v>
      </c>
    </row>
    <row r="8487" spans="4:4" x14ac:dyDescent="0.25">
      <c r="D8487" t="s">
        <v>16564</v>
      </c>
    </row>
    <row r="8488" spans="4:4" x14ac:dyDescent="0.25">
      <c r="D8488" t="s">
        <v>16565</v>
      </c>
    </row>
    <row r="8489" spans="4:4" x14ac:dyDescent="0.25">
      <c r="D8489" t="s">
        <v>16566</v>
      </c>
    </row>
    <row r="8490" spans="4:4" x14ac:dyDescent="0.25">
      <c r="D8490" t="s">
        <v>16567</v>
      </c>
    </row>
    <row r="8491" spans="4:4" x14ac:dyDescent="0.25">
      <c r="D8491" t="s">
        <v>16568</v>
      </c>
    </row>
    <row r="8492" spans="4:4" x14ac:dyDescent="0.25">
      <c r="D8492" t="s">
        <v>16569</v>
      </c>
    </row>
    <row r="8493" spans="4:4" x14ac:dyDescent="0.25">
      <c r="D8493" t="s">
        <v>16570</v>
      </c>
    </row>
    <row r="8494" spans="4:4" x14ac:dyDescent="0.25">
      <c r="D8494" t="s">
        <v>16571</v>
      </c>
    </row>
    <row r="8495" spans="4:4" x14ac:dyDescent="0.25">
      <c r="D8495" t="s">
        <v>16572</v>
      </c>
    </row>
    <row r="8496" spans="4:4" x14ac:dyDescent="0.25">
      <c r="D8496" t="s">
        <v>16573</v>
      </c>
    </row>
    <row r="8497" spans="4:4" x14ac:dyDescent="0.25">
      <c r="D8497" t="s">
        <v>16574</v>
      </c>
    </row>
    <row r="8498" spans="4:4" x14ac:dyDescent="0.25">
      <c r="D8498" t="s">
        <v>16575</v>
      </c>
    </row>
    <row r="8499" spans="4:4" x14ac:dyDescent="0.25">
      <c r="D8499" t="s">
        <v>16576</v>
      </c>
    </row>
    <row r="8500" spans="4:4" x14ac:dyDescent="0.25">
      <c r="D8500" t="s">
        <v>16577</v>
      </c>
    </row>
    <row r="8501" spans="4:4" x14ac:dyDescent="0.25">
      <c r="D8501" t="s">
        <v>16578</v>
      </c>
    </row>
    <row r="8502" spans="4:4" x14ac:dyDescent="0.25">
      <c r="D8502" t="s">
        <v>16579</v>
      </c>
    </row>
    <row r="8503" spans="4:4" x14ac:dyDescent="0.25">
      <c r="D8503" t="s">
        <v>16580</v>
      </c>
    </row>
    <row r="8504" spans="4:4" x14ac:dyDescent="0.25">
      <c r="D8504" t="s">
        <v>16581</v>
      </c>
    </row>
    <row r="8505" spans="4:4" x14ac:dyDescent="0.25">
      <c r="D8505" t="s">
        <v>16582</v>
      </c>
    </row>
    <row r="8506" spans="4:4" x14ac:dyDescent="0.25">
      <c r="D8506" t="s">
        <v>16583</v>
      </c>
    </row>
    <row r="8507" spans="4:4" x14ac:dyDescent="0.25">
      <c r="D8507" t="s">
        <v>16584</v>
      </c>
    </row>
    <row r="8508" spans="4:4" x14ac:dyDescent="0.25">
      <c r="D8508" t="s">
        <v>16585</v>
      </c>
    </row>
    <row r="8509" spans="4:4" x14ac:dyDescent="0.25">
      <c r="D8509" t="s">
        <v>16586</v>
      </c>
    </row>
    <row r="8510" spans="4:4" x14ac:dyDescent="0.25">
      <c r="D8510" t="s">
        <v>16587</v>
      </c>
    </row>
    <row r="8511" spans="4:4" x14ac:dyDescent="0.25">
      <c r="D8511" t="s">
        <v>16588</v>
      </c>
    </row>
    <row r="8512" spans="4:4" x14ac:dyDescent="0.25">
      <c r="D8512" t="s">
        <v>16589</v>
      </c>
    </row>
    <row r="8513" spans="4:4" x14ac:dyDescent="0.25">
      <c r="D8513" t="s">
        <v>16590</v>
      </c>
    </row>
    <row r="8514" spans="4:4" x14ac:dyDescent="0.25">
      <c r="D8514" t="s">
        <v>16591</v>
      </c>
    </row>
    <row r="8515" spans="4:4" x14ac:dyDescent="0.25">
      <c r="D8515" t="s">
        <v>16592</v>
      </c>
    </row>
    <row r="8516" spans="4:4" x14ac:dyDescent="0.25">
      <c r="D8516" t="s">
        <v>16593</v>
      </c>
    </row>
    <row r="8517" spans="4:4" x14ac:dyDescent="0.25">
      <c r="D8517" t="s">
        <v>16594</v>
      </c>
    </row>
    <row r="8518" spans="4:4" x14ac:dyDescent="0.25">
      <c r="D8518" t="s">
        <v>16595</v>
      </c>
    </row>
    <row r="8519" spans="4:4" x14ac:dyDescent="0.25">
      <c r="D8519" t="s">
        <v>16596</v>
      </c>
    </row>
    <row r="8520" spans="4:4" x14ac:dyDescent="0.25">
      <c r="D8520" t="s">
        <v>16597</v>
      </c>
    </row>
    <row r="8521" spans="4:4" x14ac:dyDescent="0.25">
      <c r="D8521" t="s">
        <v>16598</v>
      </c>
    </row>
    <row r="8522" spans="4:4" x14ac:dyDescent="0.25">
      <c r="D8522" t="s">
        <v>16599</v>
      </c>
    </row>
    <row r="8523" spans="4:4" x14ac:dyDescent="0.25">
      <c r="D8523" t="s">
        <v>16600</v>
      </c>
    </row>
    <row r="8524" spans="4:4" x14ac:dyDescent="0.25">
      <c r="D8524" t="s">
        <v>16601</v>
      </c>
    </row>
    <row r="8525" spans="4:4" x14ac:dyDescent="0.25">
      <c r="D8525" t="s">
        <v>16602</v>
      </c>
    </row>
    <row r="8526" spans="4:4" x14ac:dyDescent="0.25">
      <c r="D8526" t="s">
        <v>16603</v>
      </c>
    </row>
    <row r="8527" spans="4:4" x14ac:dyDescent="0.25">
      <c r="D8527" t="s">
        <v>16604</v>
      </c>
    </row>
    <row r="8528" spans="4:4" x14ac:dyDescent="0.25">
      <c r="D8528" t="s">
        <v>16605</v>
      </c>
    </row>
    <row r="8529" spans="4:4" x14ac:dyDescent="0.25">
      <c r="D8529" t="s">
        <v>16606</v>
      </c>
    </row>
    <row r="8530" spans="4:4" x14ac:dyDescent="0.25">
      <c r="D8530" t="s">
        <v>16607</v>
      </c>
    </row>
    <row r="8531" spans="4:4" x14ac:dyDescent="0.25">
      <c r="D8531" t="s">
        <v>16608</v>
      </c>
    </row>
    <row r="8532" spans="4:4" x14ac:dyDescent="0.25">
      <c r="D8532" t="s">
        <v>16609</v>
      </c>
    </row>
    <row r="8533" spans="4:4" x14ac:dyDescent="0.25">
      <c r="D8533" t="s">
        <v>16610</v>
      </c>
    </row>
    <row r="8534" spans="4:4" x14ac:dyDescent="0.25">
      <c r="D8534" t="s">
        <v>16611</v>
      </c>
    </row>
    <row r="8535" spans="4:4" x14ac:dyDescent="0.25">
      <c r="D8535" t="s">
        <v>16612</v>
      </c>
    </row>
    <row r="8536" spans="4:4" x14ac:dyDescent="0.25">
      <c r="D8536" t="s">
        <v>16613</v>
      </c>
    </row>
    <row r="8537" spans="4:4" x14ac:dyDescent="0.25">
      <c r="D8537" t="s">
        <v>16614</v>
      </c>
    </row>
    <row r="8538" spans="4:4" x14ac:dyDescent="0.25">
      <c r="D8538" t="s">
        <v>16615</v>
      </c>
    </row>
    <row r="8539" spans="4:4" x14ac:dyDescent="0.25">
      <c r="D8539" t="s">
        <v>16616</v>
      </c>
    </row>
    <row r="8540" spans="4:4" x14ac:dyDescent="0.25">
      <c r="D8540" t="s">
        <v>16617</v>
      </c>
    </row>
    <row r="8541" spans="4:4" x14ac:dyDescent="0.25">
      <c r="D8541" t="s">
        <v>16618</v>
      </c>
    </row>
    <row r="8542" spans="4:4" x14ac:dyDescent="0.25">
      <c r="D8542" t="s">
        <v>16619</v>
      </c>
    </row>
    <row r="8543" spans="4:4" x14ac:dyDescent="0.25">
      <c r="D8543" t="s">
        <v>16620</v>
      </c>
    </row>
    <row r="8544" spans="4:4" x14ac:dyDescent="0.25">
      <c r="D8544" t="s">
        <v>16621</v>
      </c>
    </row>
    <row r="8545" spans="4:4" x14ac:dyDescent="0.25">
      <c r="D8545" t="s">
        <v>16622</v>
      </c>
    </row>
    <row r="8546" spans="4:4" x14ac:dyDescent="0.25">
      <c r="D8546" t="s">
        <v>16623</v>
      </c>
    </row>
    <row r="8547" spans="4:4" x14ac:dyDescent="0.25">
      <c r="D8547" t="s">
        <v>16624</v>
      </c>
    </row>
    <row r="8548" spans="4:4" x14ac:dyDescent="0.25">
      <c r="D8548" t="s">
        <v>16625</v>
      </c>
    </row>
    <row r="8549" spans="4:4" x14ac:dyDescent="0.25">
      <c r="D8549" t="s">
        <v>16626</v>
      </c>
    </row>
    <row r="8550" spans="4:4" x14ac:dyDescent="0.25">
      <c r="D8550" t="s">
        <v>16627</v>
      </c>
    </row>
    <row r="8551" spans="4:4" x14ac:dyDescent="0.25">
      <c r="D8551" t="s">
        <v>16628</v>
      </c>
    </row>
    <row r="8552" spans="4:4" x14ac:dyDescent="0.25">
      <c r="D8552" t="s">
        <v>16629</v>
      </c>
    </row>
    <row r="8553" spans="4:4" x14ac:dyDescent="0.25">
      <c r="D8553" t="s">
        <v>16630</v>
      </c>
    </row>
    <row r="8554" spans="4:4" x14ac:dyDescent="0.25">
      <c r="D8554" t="s">
        <v>16631</v>
      </c>
    </row>
    <row r="8555" spans="4:4" x14ac:dyDescent="0.25">
      <c r="D8555" t="s">
        <v>16632</v>
      </c>
    </row>
    <row r="8556" spans="4:4" x14ac:dyDescent="0.25">
      <c r="D8556" t="s">
        <v>16633</v>
      </c>
    </row>
    <row r="8557" spans="4:4" x14ac:dyDescent="0.25">
      <c r="D8557" t="s">
        <v>16634</v>
      </c>
    </row>
    <row r="8558" spans="4:4" x14ac:dyDescent="0.25">
      <c r="D8558" t="s">
        <v>16635</v>
      </c>
    </row>
    <row r="8559" spans="4:4" x14ac:dyDescent="0.25">
      <c r="D8559" t="s">
        <v>16636</v>
      </c>
    </row>
    <row r="8560" spans="4:4" x14ac:dyDescent="0.25">
      <c r="D8560" t="s">
        <v>16637</v>
      </c>
    </row>
    <row r="8561" spans="4:4" x14ac:dyDescent="0.25">
      <c r="D8561" t="s">
        <v>16638</v>
      </c>
    </row>
    <row r="8562" spans="4:4" x14ac:dyDescent="0.25">
      <c r="D8562" t="s">
        <v>16639</v>
      </c>
    </row>
    <row r="8563" spans="4:4" x14ac:dyDescent="0.25">
      <c r="D8563" t="s">
        <v>16640</v>
      </c>
    </row>
    <row r="8564" spans="4:4" x14ac:dyDescent="0.25">
      <c r="D8564" t="s">
        <v>16641</v>
      </c>
    </row>
    <row r="8565" spans="4:4" x14ac:dyDescent="0.25">
      <c r="D8565" t="s">
        <v>16642</v>
      </c>
    </row>
    <row r="8566" spans="4:4" x14ac:dyDescent="0.25">
      <c r="D8566" t="s">
        <v>16643</v>
      </c>
    </row>
    <row r="8567" spans="4:4" x14ac:dyDescent="0.25">
      <c r="D8567" t="s">
        <v>16644</v>
      </c>
    </row>
    <row r="8568" spans="4:4" x14ac:dyDescent="0.25">
      <c r="D8568" t="s">
        <v>16645</v>
      </c>
    </row>
    <row r="8569" spans="4:4" x14ac:dyDescent="0.25">
      <c r="D8569" t="s">
        <v>16646</v>
      </c>
    </row>
    <row r="8570" spans="4:4" x14ac:dyDescent="0.25">
      <c r="D8570" t="s">
        <v>16647</v>
      </c>
    </row>
    <row r="8571" spans="4:4" x14ac:dyDescent="0.25">
      <c r="D8571" t="s">
        <v>16648</v>
      </c>
    </row>
    <row r="8572" spans="4:4" x14ac:dyDescent="0.25">
      <c r="D8572" t="s">
        <v>16649</v>
      </c>
    </row>
    <row r="8573" spans="4:4" x14ac:dyDescent="0.25">
      <c r="D8573" t="s">
        <v>16650</v>
      </c>
    </row>
    <row r="8574" spans="4:4" x14ac:dyDescent="0.25">
      <c r="D8574" t="s">
        <v>16651</v>
      </c>
    </row>
    <row r="8575" spans="4:4" x14ac:dyDescent="0.25">
      <c r="D8575" t="s">
        <v>16652</v>
      </c>
    </row>
    <row r="8576" spans="4:4" x14ac:dyDescent="0.25">
      <c r="D8576" t="s">
        <v>16653</v>
      </c>
    </row>
    <row r="8577" spans="4:4" x14ac:dyDescent="0.25">
      <c r="D8577" t="s">
        <v>16654</v>
      </c>
    </row>
    <row r="8578" spans="4:4" x14ac:dyDescent="0.25">
      <c r="D8578" t="s">
        <v>16655</v>
      </c>
    </row>
    <row r="8579" spans="4:4" x14ac:dyDescent="0.25">
      <c r="D8579" t="s">
        <v>16656</v>
      </c>
    </row>
    <row r="8580" spans="4:4" x14ac:dyDescent="0.25">
      <c r="D8580" t="s">
        <v>16657</v>
      </c>
    </row>
    <row r="8581" spans="4:4" x14ac:dyDescent="0.25">
      <c r="D8581" t="s">
        <v>16658</v>
      </c>
    </row>
    <row r="8582" spans="4:4" x14ac:dyDescent="0.25">
      <c r="D8582" t="s">
        <v>16659</v>
      </c>
    </row>
    <row r="8583" spans="4:4" x14ac:dyDescent="0.25">
      <c r="D8583" t="s">
        <v>16660</v>
      </c>
    </row>
    <row r="8584" spans="4:4" x14ac:dyDescent="0.25">
      <c r="D8584" t="s">
        <v>16661</v>
      </c>
    </row>
    <row r="8585" spans="4:4" x14ac:dyDescent="0.25">
      <c r="D8585" t="s">
        <v>16662</v>
      </c>
    </row>
    <row r="8586" spans="4:4" x14ac:dyDescent="0.25">
      <c r="D8586" t="s">
        <v>16663</v>
      </c>
    </row>
    <row r="8587" spans="4:4" x14ac:dyDescent="0.25">
      <c r="D8587" t="s">
        <v>16664</v>
      </c>
    </row>
    <row r="8588" spans="4:4" x14ac:dyDescent="0.25">
      <c r="D8588" t="s">
        <v>16665</v>
      </c>
    </row>
    <row r="8589" spans="4:4" x14ac:dyDescent="0.25">
      <c r="D8589" t="s">
        <v>16666</v>
      </c>
    </row>
    <row r="8590" spans="4:4" x14ac:dyDescent="0.25">
      <c r="D8590" t="s">
        <v>16667</v>
      </c>
    </row>
    <row r="8591" spans="4:4" x14ac:dyDescent="0.25">
      <c r="D8591" t="s">
        <v>16668</v>
      </c>
    </row>
    <row r="8592" spans="4:4" x14ac:dyDescent="0.25">
      <c r="D8592" t="s">
        <v>16669</v>
      </c>
    </row>
    <row r="8593" spans="4:4" x14ac:dyDescent="0.25">
      <c r="D8593" t="s">
        <v>16670</v>
      </c>
    </row>
    <row r="8594" spans="4:4" x14ac:dyDescent="0.25">
      <c r="D8594" t="s">
        <v>16671</v>
      </c>
    </row>
    <row r="8595" spans="4:4" x14ac:dyDescent="0.25">
      <c r="D8595" t="s">
        <v>16672</v>
      </c>
    </row>
    <row r="8596" spans="4:4" x14ac:dyDescent="0.25">
      <c r="D8596" t="s">
        <v>16673</v>
      </c>
    </row>
    <row r="8597" spans="4:4" x14ac:dyDescent="0.25">
      <c r="D8597" t="s">
        <v>16674</v>
      </c>
    </row>
    <row r="8598" spans="4:4" x14ac:dyDescent="0.25">
      <c r="D8598" t="s">
        <v>16675</v>
      </c>
    </row>
    <row r="8599" spans="4:4" x14ac:dyDescent="0.25">
      <c r="D8599" t="s">
        <v>16676</v>
      </c>
    </row>
    <row r="8600" spans="4:4" x14ac:dyDescent="0.25">
      <c r="D8600" t="s">
        <v>16677</v>
      </c>
    </row>
    <row r="8601" spans="4:4" x14ac:dyDescent="0.25">
      <c r="D8601" t="s">
        <v>16678</v>
      </c>
    </row>
    <row r="8602" spans="4:4" x14ac:dyDescent="0.25">
      <c r="D8602" t="s">
        <v>16679</v>
      </c>
    </row>
    <row r="8603" spans="4:4" x14ac:dyDescent="0.25">
      <c r="D8603" t="s">
        <v>16680</v>
      </c>
    </row>
    <row r="8604" spans="4:4" x14ac:dyDescent="0.25">
      <c r="D8604" t="s">
        <v>16681</v>
      </c>
    </row>
    <row r="8605" spans="4:4" x14ac:dyDescent="0.25">
      <c r="D8605" t="s">
        <v>16682</v>
      </c>
    </row>
    <row r="8606" spans="4:4" x14ac:dyDescent="0.25">
      <c r="D8606" t="s">
        <v>16683</v>
      </c>
    </row>
    <row r="8607" spans="4:4" x14ac:dyDescent="0.25">
      <c r="D8607" t="s">
        <v>16684</v>
      </c>
    </row>
    <row r="8608" spans="4:4" x14ac:dyDescent="0.25">
      <c r="D8608" t="s">
        <v>16685</v>
      </c>
    </row>
    <row r="8609" spans="4:4" x14ac:dyDescent="0.25">
      <c r="D8609" t="s">
        <v>16686</v>
      </c>
    </row>
    <row r="8610" spans="4:4" x14ac:dyDescent="0.25">
      <c r="D8610" t="s">
        <v>16687</v>
      </c>
    </row>
    <row r="8611" spans="4:4" x14ac:dyDescent="0.25">
      <c r="D8611" t="s">
        <v>16688</v>
      </c>
    </row>
    <row r="8612" spans="4:4" x14ac:dyDescent="0.25">
      <c r="D8612" t="s">
        <v>16689</v>
      </c>
    </row>
    <row r="8613" spans="4:4" x14ac:dyDescent="0.25">
      <c r="D8613" t="s">
        <v>16690</v>
      </c>
    </row>
    <row r="8614" spans="4:4" x14ac:dyDescent="0.25">
      <c r="D8614" t="s">
        <v>16691</v>
      </c>
    </row>
    <row r="8615" spans="4:4" x14ac:dyDescent="0.25">
      <c r="D8615" t="s">
        <v>16692</v>
      </c>
    </row>
    <row r="8616" spans="4:4" x14ac:dyDescent="0.25">
      <c r="D8616" t="s">
        <v>16693</v>
      </c>
    </row>
    <row r="8617" spans="4:4" x14ac:dyDescent="0.25">
      <c r="D8617" t="s">
        <v>16694</v>
      </c>
    </row>
    <row r="8618" spans="4:4" x14ac:dyDescent="0.25">
      <c r="D8618" t="s">
        <v>16695</v>
      </c>
    </row>
    <row r="8619" spans="4:4" x14ac:dyDescent="0.25">
      <c r="D8619" t="s">
        <v>16696</v>
      </c>
    </row>
    <row r="8620" spans="4:4" x14ac:dyDescent="0.25">
      <c r="D8620" t="s">
        <v>16697</v>
      </c>
    </row>
    <row r="8621" spans="4:4" x14ac:dyDescent="0.25">
      <c r="D8621" t="s">
        <v>16698</v>
      </c>
    </row>
    <row r="8622" spans="4:4" x14ac:dyDescent="0.25">
      <c r="D8622" t="s">
        <v>16699</v>
      </c>
    </row>
    <row r="8623" spans="4:4" x14ac:dyDescent="0.25">
      <c r="D8623" t="s">
        <v>16700</v>
      </c>
    </row>
    <row r="8624" spans="4:4" x14ac:dyDescent="0.25">
      <c r="D8624" t="s">
        <v>16701</v>
      </c>
    </row>
    <row r="8625" spans="4:4" x14ac:dyDescent="0.25">
      <c r="D8625" t="s">
        <v>16702</v>
      </c>
    </row>
    <row r="8626" spans="4:4" x14ac:dyDescent="0.25">
      <c r="D8626" t="s">
        <v>16703</v>
      </c>
    </row>
    <row r="8627" spans="4:4" x14ac:dyDescent="0.25">
      <c r="D8627" t="s">
        <v>16704</v>
      </c>
    </row>
    <row r="8628" spans="4:4" x14ac:dyDescent="0.25">
      <c r="D8628" t="s">
        <v>16705</v>
      </c>
    </row>
    <row r="8629" spans="4:4" x14ac:dyDescent="0.25">
      <c r="D8629" t="s">
        <v>16706</v>
      </c>
    </row>
    <row r="8630" spans="4:4" x14ac:dyDescent="0.25">
      <c r="D8630" t="s">
        <v>16707</v>
      </c>
    </row>
    <row r="8631" spans="4:4" x14ac:dyDescent="0.25">
      <c r="D8631" t="s">
        <v>16708</v>
      </c>
    </row>
    <row r="8632" spans="4:4" x14ac:dyDescent="0.25">
      <c r="D8632" t="s">
        <v>16709</v>
      </c>
    </row>
    <row r="8633" spans="4:4" x14ac:dyDescent="0.25">
      <c r="D8633" t="s">
        <v>16710</v>
      </c>
    </row>
    <row r="8634" spans="4:4" x14ac:dyDescent="0.25">
      <c r="D8634" t="s">
        <v>16711</v>
      </c>
    </row>
    <row r="8635" spans="4:4" x14ac:dyDescent="0.25">
      <c r="D8635" t="s">
        <v>16712</v>
      </c>
    </row>
    <row r="8636" spans="4:4" x14ac:dyDescent="0.25">
      <c r="D8636" t="s">
        <v>16713</v>
      </c>
    </row>
    <row r="8637" spans="4:4" x14ac:dyDescent="0.25">
      <c r="D8637" t="s">
        <v>16714</v>
      </c>
    </row>
    <row r="8638" spans="4:4" x14ac:dyDescent="0.25">
      <c r="D8638" t="s">
        <v>16715</v>
      </c>
    </row>
    <row r="8639" spans="4:4" x14ac:dyDescent="0.25">
      <c r="D8639" t="s">
        <v>16716</v>
      </c>
    </row>
    <row r="8640" spans="4:4" x14ac:dyDescent="0.25">
      <c r="D8640" t="s">
        <v>16717</v>
      </c>
    </row>
    <row r="8641" spans="4:4" x14ac:dyDescent="0.25">
      <c r="D8641" t="s">
        <v>16718</v>
      </c>
    </row>
    <row r="8642" spans="4:4" x14ac:dyDescent="0.25">
      <c r="D8642" t="s">
        <v>16719</v>
      </c>
    </row>
    <row r="8643" spans="4:4" x14ac:dyDescent="0.25">
      <c r="D8643" t="s">
        <v>16720</v>
      </c>
    </row>
    <row r="8644" spans="4:4" x14ac:dyDescent="0.25">
      <c r="D8644" t="s">
        <v>16721</v>
      </c>
    </row>
    <row r="8645" spans="4:4" x14ac:dyDescent="0.25">
      <c r="D8645" t="s">
        <v>16722</v>
      </c>
    </row>
    <row r="8646" spans="4:4" x14ac:dyDescent="0.25">
      <c r="D8646" t="s">
        <v>16723</v>
      </c>
    </row>
    <row r="8647" spans="4:4" x14ac:dyDescent="0.25">
      <c r="D8647" t="s">
        <v>16724</v>
      </c>
    </row>
    <row r="8648" spans="4:4" x14ac:dyDescent="0.25">
      <c r="D8648" t="s">
        <v>16725</v>
      </c>
    </row>
    <row r="8649" spans="4:4" x14ac:dyDescent="0.25">
      <c r="D8649" t="s">
        <v>16726</v>
      </c>
    </row>
    <row r="8650" spans="4:4" x14ac:dyDescent="0.25">
      <c r="D8650" t="s">
        <v>16727</v>
      </c>
    </row>
    <row r="8651" spans="4:4" x14ac:dyDescent="0.25">
      <c r="D8651" t="s">
        <v>16728</v>
      </c>
    </row>
    <row r="8652" spans="4:4" x14ac:dyDescent="0.25">
      <c r="D8652" t="s">
        <v>16729</v>
      </c>
    </row>
    <row r="8653" spans="4:4" x14ac:dyDescent="0.25">
      <c r="D8653" t="s">
        <v>16730</v>
      </c>
    </row>
    <row r="8654" spans="4:4" x14ac:dyDescent="0.25">
      <c r="D8654" t="s">
        <v>16731</v>
      </c>
    </row>
    <row r="8655" spans="4:4" x14ac:dyDescent="0.25">
      <c r="D8655" t="s">
        <v>16732</v>
      </c>
    </row>
    <row r="8656" spans="4:4" x14ac:dyDescent="0.25">
      <c r="D8656" t="s">
        <v>16733</v>
      </c>
    </row>
    <row r="8657" spans="4:4" x14ac:dyDescent="0.25">
      <c r="D8657" t="s">
        <v>16734</v>
      </c>
    </row>
    <row r="8658" spans="4:4" x14ac:dyDescent="0.25">
      <c r="D8658" t="s">
        <v>16735</v>
      </c>
    </row>
    <row r="8659" spans="4:4" x14ac:dyDescent="0.25">
      <c r="D8659" t="s">
        <v>16736</v>
      </c>
    </row>
    <row r="8660" spans="4:4" x14ac:dyDescent="0.25">
      <c r="D8660" t="s">
        <v>16737</v>
      </c>
    </row>
    <row r="8661" spans="4:4" x14ac:dyDescent="0.25">
      <c r="D8661" t="s">
        <v>16738</v>
      </c>
    </row>
    <row r="8662" spans="4:4" x14ac:dyDescent="0.25">
      <c r="D8662" t="s">
        <v>16739</v>
      </c>
    </row>
    <row r="8663" spans="4:4" x14ac:dyDescent="0.25">
      <c r="D8663" t="s">
        <v>16740</v>
      </c>
    </row>
    <row r="8664" spans="4:4" x14ac:dyDescent="0.25">
      <c r="D8664" t="s">
        <v>16741</v>
      </c>
    </row>
    <row r="8665" spans="4:4" x14ac:dyDescent="0.25">
      <c r="D8665" t="s">
        <v>16742</v>
      </c>
    </row>
    <row r="8666" spans="4:4" x14ac:dyDescent="0.25">
      <c r="D8666" t="s">
        <v>16743</v>
      </c>
    </row>
    <row r="8667" spans="4:4" x14ac:dyDescent="0.25">
      <c r="D8667" t="s">
        <v>16744</v>
      </c>
    </row>
    <row r="8668" spans="4:4" x14ac:dyDescent="0.25">
      <c r="D8668" t="s">
        <v>16745</v>
      </c>
    </row>
    <row r="8669" spans="4:4" x14ac:dyDescent="0.25">
      <c r="D8669" t="s">
        <v>16746</v>
      </c>
    </row>
    <row r="8670" spans="4:4" x14ac:dyDescent="0.25">
      <c r="D8670" t="s">
        <v>16747</v>
      </c>
    </row>
    <row r="8671" spans="4:4" x14ac:dyDescent="0.25">
      <c r="D8671" t="s">
        <v>16748</v>
      </c>
    </row>
    <row r="8672" spans="4:4" x14ac:dyDescent="0.25">
      <c r="D8672" t="s">
        <v>16749</v>
      </c>
    </row>
    <row r="8673" spans="4:4" x14ac:dyDescent="0.25">
      <c r="D8673" t="s">
        <v>16750</v>
      </c>
    </row>
    <row r="8674" spans="4:4" x14ac:dyDescent="0.25">
      <c r="D8674" t="s">
        <v>16751</v>
      </c>
    </row>
    <row r="8675" spans="4:4" x14ac:dyDescent="0.25">
      <c r="D8675" t="s">
        <v>16752</v>
      </c>
    </row>
    <row r="8676" spans="4:4" x14ac:dyDescent="0.25">
      <c r="D8676" t="s">
        <v>16753</v>
      </c>
    </row>
    <row r="8677" spans="4:4" x14ac:dyDescent="0.25">
      <c r="D8677" t="s">
        <v>16754</v>
      </c>
    </row>
    <row r="8678" spans="4:4" x14ac:dyDescent="0.25">
      <c r="D8678" t="s">
        <v>16755</v>
      </c>
    </row>
    <row r="8679" spans="4:4" x14ac:dyDescent="0.25">
      <c r="D8679" t="s">
        <v>16756</v>
      </c>
    </row>
    <row r="8680" spans="4:4" x14ac:dyDescent="0.25">
      <c r="D8680" t="s">
        <v>16757</v>
      </c>
    </row>
    <row r="8681" spans="4:4" x14ac:dyDescent="0.25">
      <c r="D8681" t="s">
        <v>16758</v>
      </c>
    </row>
    <row r="8682" spans="4:4" x14ac:dyDescent="0.25">
      <c r="D8682" t="s">
        <v>16759</v>
      </c>
    </row>
    <row r="8683" spans="4:4" x14ac:dyDescent="0.25">
      <c r="D8683" t="s">
        <v>16760</v>
      </c>
    </row>
    <row r="8684" spans="4:4" x14ac:dyDescent="0.25">
      <c r="D8684" t="s">
        <v>16761</v>
      </c>
    </row>
    <row r="8685" spans="4:4" x14ac:dyDescent="0.25">
      <c r="D8685" t="s">
        <v>16762</v>
      </c>
    </row>
    <row r="8686" spans="4:4" x14ac:dyDescent="0.25">
      <c r="D8686" t="s">
        <v>16763</v>
      </c>
    </row>
    <row r="8687" spans="4:4" x14ac:dyDescent="0.25">
      <c r="D8687" t="s">
        <v>16764</v>
      </c>
    </row>
    <row r="8688" spans="4:4" x14ac:dyDescent="0.25">
      <c r="D8688" t="s">
        <v>16765</v>
      </c>
    </row>
    <row r="8689" spans="4:4" x14ac:dyDescent="0.25">
      <c r="D8689" t="s">
        <v>16766</v>
      </c>
    </row>
    <row r="8690" spans="4:4" x14ac:dyDescent="0.25">
      <c r="D8690" t="s">
        <v>16767</v>
      </c>
    </row>
    <row r="8691" spans="4:4" x14ac:dyDescent="0.25">
      <c r="D8691" t="s">
        <v>16768</v>
      </c>
    </row>
    <row r="8692" spans="4:4" x14ac:dyDescent="0.25">
      <c r="D8692" t="s">
        <v>16769</v>
      </c>
    </row>
    <row r="8693" spans="4:4" x14ac:dyDescent="0.25">
      <c r="D8693" t="s">
        <v>16770</v>
      </c>
    </row>
    <row r="8694" spans="4:4" x14ac:dyDescent="0.25">
      <c r="D8694" t="s">
        <v>16771</v>
      </c>
    </row>
    <row r="8695" spans="4:4" x14ac:dyDescent="0.25">
      <c r="D8695" t="s">
        <v>16772</v>
      </c>
    </row>
    <row r="8696" spans="4:4" x14ac:dyDescent="0.25">
      <c r="D8696" t="s">
        <v>16773</v>
      </c>
    </row>
    <row r="8697" spans="4:4" x14ac:dyDescent="0.25">
      <c r="D8697" t="s">
        <v>16774</v>
      </c>
    </row>
    <row r="8698" spans="4:4" x14ac:dyDescent="0.25">
      <c r="D8698" t="s">
        <v>16775</v>
      </c>
    </row>
    <row r="8699" spans="4:4" x14ac:dyDescent="0.25">
      <c r="D8699" t="s">
        <v>16776</v>
      </c>
    </row>
    <row r="8700" spans="4:4" x14ac:dyDescent="0.25">
      <c r="D8700" t="s">
        <v>16777</v>
      </c>
    </row>
    <row r="8701" spans="4:4" x14ac:dyDescent="0.25">
      <c r="D8701" t="s">
        <v>16778</v>
      </c>
    </row>
    <row r="8702" spans="4:4" x14ac:dyDescent="0.25">
      <c r="D8702" t="s">
        <v>16779</v>
      </c>
    </row>
    <row r="8703" spans="4:4" x14ac:dyDescent="0.25">
      <c r="D8703" t="s">
        <v>16780</v>
      </c>
    </row>
    <row r="8704" spans="4:4" x14ac:dyDescent="0.25">
      <c r="D8704" t="s">
        <v>16781</v>
      </c>
    </row>
    <row r="8705" spans="4:4" x14ac:dyDescent="0.25">
      <c r="D8705" t="s">
        <v>16782</v>
      </c>
    </row>
    <row r="8706" spans="4:4" x14ac:dyDescent="0.25">
      <c r="D8706" t="s">
        <v>16783</v>
      </c>
    </row>
    <row r="8707" spans="4:4" x14ac:dyDescent="0.25">
      <c r="D8707" t="s">
        <v>16784</v>
      </c>
    </row>
    <row r="8708" spans="4:4" x14ac:dyDescent="0.25">
      <c r="D8708" t="s">
        <v>16785</v>
      </c>
    </row>
    <row r="8709" spans="4:4" x14ac:dyDescent="0.25">
      <c r="D8709" t="s">
        <v>16786</v>
      </c>
    </row>
    <row r="8710" spans="4:4" x14ac:dyDescent="0.25">
      <c r="D8710" t="s">
        <v>16787</v>
      </c>
    </row>
    <row r="8711" spans="4:4" x14ac:dyDescent="0.25">
      <c r="D8711" t="s">
        <v>16788</v>
      </c>
    </row>
    <row r="8712" spans="4:4" x14ac:dyDescent="0.25">
      <c r="D8712" t="s">
        <v>16789</v>
      </c>
    </row>
    <row r="8713" spans="4:4" x14ac:dyDescent="0.25">
      <c r="D8713" t="s">
        <v>16790</v>
      </c>
    </row>
    <row r="8714" spans="4:4" x14ac:dyDescent="0.25">
      <c r="D8714" t="s">
        <v>16791</v>
      </c>
    </row>
    <row r="8715" spans="4:4" x14ac:dyDescent="0.25">
      <c r="D8715" t="s">
        <v>16792</v>
      </c>
    </row>
    <row r="8716" spans="4:4" x14ac:dyDescent="0.25">
      <c r="D8716" t="s">
        <v>16793</v>
      </c>
    </row>
    <row r="8717" spans="4:4" x14ac:dyDescent="0.25">
      <c r="D8717" t="s">
        <v>16794</v>
      </c>
    </row>
    <row r="8718" spans="4:4" x14ac:dyDescent="0.25">
      <c r="D8718" t="s">
        <v>16795</v>
      </c>
    </row>
    <row r="8719" spans="4:4" x14ac:dyDescent="0.25">
      <c r="D8719" t="s">
        <v>16796</v>
      </c>
    </row>
    <row r="8720" spans="4:4" x14ac:dyDescent="0.25">
      <c r="D8720" t="s">
        <v>16797</v>
      </c>
    </row>
    <row r="8721" spans="4:4" x14ac:dyDescent="0.25">
      <c r="D8721" t="s">
        <v>16798</v>
      </c>
    </row>
    <row r="8722" spans="4:4" x14ac:dyDescent="0.25">
      <c r="D8722" t="s">
        <v>16799</v>
      </c>
    </row>
    <row r="8723" spans="4:4" x14ac:dyDescent="0.25">
      <c r="D8723" t="s">
        <v>16800</v>
      </c>
    </row>
    <row r="8724" spans="4:4" x14ac:dyDescent="0.25">
      <c r="D8724" t="s">
        <v>16801</v>
      </c>
    </row>
    <row r="8725" spans="4:4" x14ac:dyDescent="0.25">
      <c r="D8725" t="s">
        <v>16802</v>
      </c>
    </row>
    <row r="8726" spans="4:4" x14ac:dyDescent="0.25">
      <c r="D8726" t="s">
        <v>16803</v>
      </c>
    </row>
    <row r="8727" spans="4:4" x14ac:dyDescent="0.25">
      <c r="D8727" t="s">
        <v>16804</v>
      </c>
    </row>
    <row r="8728" spans="4:4" x14ac:dyDescent="0.25">
      <c r="D8728" t="s">
        <v>16805</v>
      </c>
    </row>
    <row r="8729" spans="4:4" x14ac:dyDescent="0.25">
      <c r="D8729" t="s">
        <v>16806</v>
      </c>
    </row>
    <row r="8730" spans="4:4" x14ac:dyDescent="0.25">
      <c r="D8730" t="s">
        <v>16807</v>
      </c>
    </row>
    <row r="8731" spans="4:4" x14ac:dyDescent="0.25">
      <c r="D8731" t="s">
        <v>16808</v>
      </c>
    </row>
    <row r="8732" spans="4:4" x14ac:dyDescent="0.25">
      <c r="D8732" t="s">
        <v>16809</v>
      </c>
    </row>
    <row r="8733" spans="4:4" x14ac:dyDescent="0.25">
      <c r="D8733" t="s">
        <v>16810</v>
      </c>
    </row>
    <row r="8734" spans="4:4" x14ac:dyDescent="0.25">
      <c r="D8734" t="s">
        <v>16811</v>
      </c>
    </row>
    <row r="8735" spans="4:4" x14ac:dyDescent="0.25">
      <c r="D8735" t="s">
        <v>16812</v>
      </c>
    </row>
    <row r="8736" spans="4:4" x14ac:dyDescent="0.25">
      <c r="D8736" t="s">
        <v>16813</v>
      </c>
    </row>
    <row r="8737" spans="4:4" x14ac:dyDescent="0.25">
      <c r="D8737" t="s">
        <v>16814</v>
      </c>
    </row>
    <row r="8738" spans="4:4" x14ac:dyDescent="0.25">
      <c r="D8738" t="s">
        <v>16815</v>
      </c>
    </row>
    <row r="8739" spans="4:4" x14ac:dyDescent="0.25">
      <c r="D8739" t="s">
        <v>16816</v>
      </c>
    </row>
    <row r="8740" spans="4:4" x14ac:dyDescent="0.25">
      <c r="D8740" t="s">
        <v>16817</v>
      </c>
    </row>
    <row r="8741" spans="4:4" x14ac:dyDescent="0.25">
      <c r="D8741" t="s">
        <v>16818</v>
      </c>
    </row>
    <row r="8742" spans="4:4" x14ac:dyDescent="0.25">
      <c r="D8742" t="s">
        <v>16819</v>
      </c>
    </row>
    <row r="8743" spans="4:4" x14ac:dyDescent="0.25">
      <c r="D8743" t="s">
        <v>16820</v>
      </c>
    </row>
    <row r="8744" spans="4:4" x14ac:dyDescent="0.25">
      <c r="D8744" t="s">
        <v>16821</v>
      </c>
    </row>
    <row r="8745" spans="4:4" x14ac:dyDescent="0.25">
      <c r="D8745" t="s">
        <v>16822</v>
      </c>
    </row>
    <row r="8746" spans="4:4" x14ac:dyDescent="0.25">
      <c r="D8746" t="s">
        <v>16823</v>
      </c>
    </row>
    <row r="8747" spans="4:4" x14ac:dyDescent="0.25">
      <c r="D8747" t="s">
        <v>16824</v>
      </c>
    </row>
    <row r="8748" spans="4:4" x14ac:dyDescent="0.25">
      <c r="D8748" t="s">
        <v>16825</v>
      </c>
    </row>
    <row r="8749" spans="4:4" x14ac:dyDescent="0.25">
      <c r="D8749" t="s">
        <v>16826</v>
      </c>
    </row>
    <row r="8750" spans="4:4" x14ac:dyDescent="0.25">
      <c r="D8750" t="s">
        <v>16827</v>
      </c>
    </row>
    <row r="8751" spans="4:4" x14ac:dyDescent="0.25">
      <c r="D8751" t="s">
        <v>16828</v>
      </c>
    </row>
    <row r="8752" spans="4:4" x14ac:dyDescent="0.25">
      <c r="D8752" t="s">
        <v>16829</v>
      </c>
    </row>
    <row r="8753" spans="4:4" x14ac:dyDescent="0.25">
      <c r="D8753" t="s">
        <v>16830</v>
      </c>
    </row>
    <row r="8754" spans="4:4" x14ac:dyDescent="0.25">
      <c r="D8754" t="s">
        <v>16831</v>
      </c>
    </row>
    <row r="8755" spans="4:4" x14ac:dyDescent="0.25">
      <c r="D8755" t="s">
        <v>16832</v>
      </c>
    </row>
    <row r="8756" spans="4:4" x14ac:dyDescent="0.25">
      <c r="D8756" t="s">
        <v>16833</v>
      </c>
    </row>
    <row r="8757" spans="4:4" x14ac:dyDescent="0.25">
      <c r="D8757" t="s">
        <v>16834</v>
      </c>
    </row>
    <row r="8758" spans="4:4" x14ac:dyDescent="0.25">
      <c r="D8758" t="s">
        <v>16835</v>
      </c>
    </row>
    <row r="8759" spans="4:4" x14ac:dyDescent="0.25">
      <c r="D8759" t="s">
        <v>16836</v>
      </c>
    </row>
    <row r="8760" spans="4:4" x14ac:dyDescent="0.25">
      <c r="D8760" t="s">
        <v>16837</v>
      </c>
    </row>
    <row r="8761" spans="4:4" x14ac:dyDescent="0.25">
      <c r="D8761" t="s">
        <v>16838</v>
      </c>
    </row>
    <row r="8762" spans="4:4" x14ac:dyDescent="0.25">
      <c r="D8762" t="s">
        <v>16839</v>
      </c>
    </row>
    <row r="8763" spans="4:4" x14ac:dyDescent="0.25">
      <c r="D8763" t="s">
        <v>16840</v>
      </c>
    </row>
    <row r="8764" spans="4:4" x14ac:dyDescent="0.25">
      <c r="D8764" t="s">
        <v>16841</v>
      </c>
    </row>
    <row r="8765" spans="4:4" x14ac:dyDescent="0.25">
      <c r="D8765" t="s">
        <v>16842</v>
      </c>
    </row>
    <row r="8766" spans="4:4" x14ac:dyDescent="0.25">
      <c r="D8766" t="s">
        <v>16843</v>
      </c>
    </row>
    <row r="8767" spans="4:4" x14ac:dyDescent="0.25">
      <c r="D8767" t="s">
        <v>16844</v>
      </c>
    </row>
    <row r="8768" spans="4:4" x14ac:dyDescent="0.25">
      <c r="D8768" t="s">
        <v>16845</v>
      </c>
    </row>
    <row r="8769" spans="4:4" x14ac:dyDescent="0.25">
      <c r="D8769" t="s">
        <v>16846</v>
      </c>
    </row>
    <row r="8770" spans="4:4" x14ac:dyDescent="0.25">
      <c r="D8770" t="s">
        <v>16847</v>
      </c>
    </row>
    <row r="8771" spans="4:4" x14ac:dyDescent="0.25">
      <c r="D8771" t="s">
        <v>16848</v>
      </c>
    </row>
    <row r="8772" spans="4:4" x14ac:dyDescent="0.25">
      <c r="D8772" t="s">
        <v>16849</v>
      </c>
    </row>
    <row r="8773" spans="4:4" x14ac:dyDescent="0.25">
      <c r="D8773" t="s">
        <v>16850</v>
      </c>
    </row>
    <row r="8774" spans="4:4" x14ac:dyDescent="0.25">
      <c r="D8774" t="s">
        <v>16851</v>
      </c>
    </row>
    <row r="8775" spans="4:4" x14ac:dyDescent="0.25">
      <c r="D8775" t="s">
        <v>16852</v>
      </c>
    </row>
    <row r="8776" spans="4:4" x14ac:dyDescent="0.25">
      <c r="D8776" t="s">
        <v>16853</v>
      </c>
    </row>
    <row r="8777" spans="4:4" x14ac:dyDescent="0.25">
      <c r="D8777" t="s">
        <v>16854</v>
      </c>
    </row>
    <row r="8778" spans="4:4" x14ac:dyDescent="0.25">
      <c r="D8778" t="s">
        <v>16855</v>
      </c>
    </row>
    <row r="8779" spans="4:4" x14ac:dyDescent="0.25">
      <c r="D8779" t="s">
        <v>16856</v>
      </c>
    </row>
    <row r="8780" spans="4:4" x14ac:dyDescent="0.25">
      <c r="D8780" t="s">
        <v>16857</v>
      </c>
    </row>
    <row r="8781" spans="4:4" x14ac:dyDescent="0.25">
      <c r="D8781" t="s">
        <v>16858</v>
      </c>
    </row>
    <row r="8782" spans="4:4" x14ac:dyDescent="0.25">
      <c r="D8782" t="s">
        <v>16859</v>
      </c>
    </row>
    <row r="8783" spans="4:4" x14ac:dyDescent="0.25">
      <c r="D8783" t="s">
        <v>16860</v>
      </c>
    </row>
    <row r="8784" spans="4:4" x14ac:dyDescent="0.25">
      <c r="D8784" t="s">
        <v>16861</v>
      </c>
    </row>
    <row r="8785" spans="4:4" x14ac:dyDescent="0.25">
      <c r="D8785" t="s">
        <v>16862</v>
      </c>
    </row>
    <row r="8786" spans="4:4" x14ac:dyDescent="0.25">
      <c r="D8786" t="s">
        <v>16863</v>
      </c>
    </row>
    <row r="8787" spans="4:4" x14ac:dyDescent="0.25">
      <c r="D8787" t="s">
        <v>16864</v>
      </c>
    </row>
    <row r="8788" spans="4:4" x14ac:dyDescent="0.25">
      <c r="D8788" t="s">
        <v>16865</v>
      </c>
    </row>
    <row r="8789" spans="4:4" x14ac:dyDescent="0.25">
      <c r="D8789" t="s">
        <v>16866</v>
      </c>
    </row>
    <row r="8790" spans="4:4" x14ac:dyDescent="0.25">
      <c r="D8790" t="s">
        <v>16867</v>
      </c>
    </row>
    <row r="8791" spans="4:4" x14ac:dyDescent="0.25">
      <c r="D8791" t="s">
        <v>16868</v>
      </c>
    </row>
    <row r="8792" spans="4:4" x14ac:dyDescent="0.25">
      <c r="D8792" t="s">
        <v>16869</v>
      </c>
    </row>
    <row r="8793" spans="4:4" x14ac:dyDescent="0.25">
      <c r="D8793" t="s">
        <v>16870</v>
      </c>
    </row>
    <row r="8794" spans="4:4" x14ac:dyDescent="0.25">
      <c r="D8794" t="s">
        <v>16871</v>
      </c>
    </row>
    <row r="8795" spans="4:4" x14ac:dyDescent="0.25">
      <c r="D8795" t="s">
        <v>16872</v>
      </c>
    </row>
    <row r="8796" spans="4:4" x14ac:dyDescent="0.25">
      <c r="D8796" t="s">
        <v>16873</v>
      </c>
    </row>
    <row r="8797" spans="4:4" x14ac:dyDescent="0.25">
      <c r="D8797" t="s">
        <v>16874</v>
      </c>
    </row>
    <row r="8798" spans="4:4" x14ac:dyDescent="0.25">
      <c r="D8798" t="s">
        <v>16875</v>
      </c>
    </row>
    <row r="8799" spans="4:4" x14ac:dyDescent="0.25">
      <c r="D8799" t="s">
        <v>16876</v>
      </c>
    </row>
    <row r="8800" spans="4:4" x14ac:dyDescent="0.25">
      <c r="D8800" t="s">
        <v>16877</v>
      </c>
    </row>
    <row r="8801" spans="4:4" x14ac:dyDescent="0.25">
      <c r="D8801" t="s">
        <v>16878</v>
      </c>
    </row>
    <row r="8802" spans="4:4" x14ac:dyDescent="0.25">
      <c r="D8802" t="s">
        <v>16879</v>
      </c>
    </row>
    <row r="8803" spans="4:4" x14ac:dyDescent="0.25">
      <c r="D8803" t="s">
        <v>16880</v>
      </c>
    </row>
    <row r="8804" spans="4:4" x14ac:dyDescent="0.25">
      <c r="D8804" t="s">
        <v>16881</v>
      </c>
    </row>
    <row r="8805" spans="4:4" x14ac:dyDescent="0.25">
      <c r="D8805" t="s">
        <v>16882</v>
      </c>
    </row>
    <row r="8806" spans="4:4" x14ac:dyDescent="0.25">
      <c r="D8806" t="s">
        <v>16883</v>
      </c>
    </row>
    <row r="8807" spans="4:4" x14ac:dyDescent="0.25">
      <c r="D8807" t="s">
        <v>16884</v>
      </c>
    </row>
    <row r="8808" spans="4:4" x14ac:dyDescent="0.25">
      <c r="D8808" t="s">
        <v>16885</v>
      </c>
    </row>
    <row r="8809" spans="4:4" x14ac:dyDescent="0.25">
      <c r="D8809" t="s">
        <v>16886</v>
      </c>
    </row>
    <row r="8810" spans="4:4" x14ac:dyDescent="0.25">
      <c r="D8810" t="s">
        <v>16887</v>
      </c>
    </row>
    <row r="8811" spans="4:4" x14ac:dyDescent="0.25">
      <c r="D8811" t="s">
        <v>16888</v>
      </c>
    </row>
    <row r="8812" spans="4:4" x14ac:dyDescent="0.25">
      <c r="D8812" t="s">
        <v>16889</v>
      </c>
    </row>
    <row r="8813" spans="4:4" x14ac:dyDescent="0.25">
      <c r="D8813" t="s">
        <v>16890</v>
      </c>
    </row>
    <row r="8814" spans="4:4" x14ac:dyDescent="0.25">
      <c r="D8814" t="s">
        <v>16891</v>
      </c>
    </row>
    <row r="8815" spans="4:4" x14ac:dyDescent="0.25">
      <c r="D8815" t="s">
        <v>16892</v>
      </c>
    </row>
    <row r="8816" spans="4:4" x14ac:dyDescent="0.25">
      <c r="D8816" t="s">
        <v>16893</v>
      </c>
    </row>
    <row r="8817" spans="4:4" x14ac:dyDescent="0.25">
      <c r="D8817" t="s">
        <v>16894</v>
      </c>
    </row>
    <row r="8818" spans="4:4" x14ac:dyDescent="0.25">
      <c r="D8818" t="s">
        <v>16895</v>
      </c>
    </row>
    <row r="8819" spans="4:4" x14ac:dyDescent="0.25">
      <c r="D8819" t="s">
        <v>16896</v>
      </c>
    </row>
    <row r="8820" spans="4:4" x14ac:dyDescent="0.25">
      <c r="D8820" t="s">
        <v>16897</v>
      </c>
    </row>
    <row r="8821" spans="4:4" x14ac:dyDescent="0.25">
      <c r="D8821" t="s">
        <v>16898</v>
      </c>
    </row>
    <row r="8822" spans="4:4" x14ac:dyDescent="0.25">
      <c r="D8822" t="s">
        <v>16899</v>
      </c>
    </row>
    <row r="8823" spans="4:4" x14ac:dyDescent="0.25">
      <c r="D8823" t="s">
        <v>16900</v>
      </c>
    </row>
    <row r="8824" spans="4:4" x14ac:dyDescent="0.25">
      <c r="D8824" t="s">
        <v>16901</v>
      </c>
    </row>
    <row r="8825" spans="4:4" x14ac:dyDescent="0.25">
      <c r="D8825" t="s">
        <v>16902</v>
      </c>
    </row>
    <row r="8826" spans="4:4" x14ac:dyDescent="0.25">
      <c r="D8826" t="s">
        <v>16903</v>
      </c>
    </row>
    <row r="8827" spans="4:4" x14ac:dyDescent="0.25">
      <c r="D8827" t="s">
        <v>16904</v>
      </c>
    </row>
    <row r="8828" spans="4:4" x14ac:dyDescent="0.25">
      <c r="D8828" t="s">
        <v>16905</v>
      </c>
    </row>
    <row r="8829" spans="4:4" x14ac:dyDescent="0.25">
      <c r="D8829" t="s">
        <v>16906</v>
      </c>
    </row>
    <row r="8830" spans="4:4" x14ac:dyDescent="0.25">
      <c r="D8830" t="s">
        <v>16907</v>
      </c>
    </row>
    <row r="8831" spans="4:4" x14ac:dyDescent="0.25">
      <c r="D8831" t="s">
        <v>16908</v>
      </c>
    </row>
    <row r="8832" spans="4:4" x14ac:dyDescent="0.25">
      <c r="D8832" t="s">
        <v>16909</v>
      </c>
    </row>
    <row r="8833" spans="4:4" x14ac:dyDescent="0.25">
      <c r="D8833" t="s">
        <v>16910</v>
      </c>
    </row>
    <row r="8834" spans="4:4" x14ac:dyDescent="0.25">
      <c r="D8834" t="s">
        <v>16911</v>
      </c>
    </row>
    <row r="8835" spans="4:4" x14ac:dyDescent="0.25">
      <c r="D8835" t="s">
        <v>16912</v>
      </c>
    </row>
    <row r="8836" spans="4:4" x14ac:dyDescent="0.25">
      <c r="D8836" t="s">
        <v>16913</v>
      </c>
    </row>
    <row r="8837" spans="4:4" x14ac:dyDescent="0.25">
      <c r="D8837" t="s">
        <v>16914</v>
      </c>
    </row>
    <row r="8838" spans="4:4" x14ac:dyDescent="0.25">
      <c r="D8838" t="s">
        <v>16915</v>
      </c>
    </row>
    <row r="8839" spans="4:4" x14ac:dyDescent="0.25">
      <c r="D8839" t="s">
        <v>16916</v>
      </c>
    </row>
    <row r="8840" spans="4:4" x14ac:dyDescent="0.25">
      <c r="D8840" t="s">
        <v>16917</v>
      </c>
    </row>
    <row r="8841" spans="4:4" x14ac:dyDescent="0.25">
      <c r="D8841" t="s">
        <v>16918</v>
      </c>
    </row>
    <row r="8842" spans="4:4" x14ac:dyDescent="0.25">
      <c r="D8842" t="s">
        <v>16919</v>
      </c>
    </row>
    <row r="8843" spans="4:4" x14ac:dyDescent="0.25">
      <c r="D8843" t="s">
        <v>16920</v>
      </c>
    </row>
    <row r="8844" spans="4:4" x14ac:dyDescent="0.25">
      <c r="D8844" t="s">
        <v>16921</v>
      </c>
    </row>
    <row r="8845" spans="4:4" x14ac:dyDescent="0.25">
      <c r="D8845" t="s">
        <v>16922</v>
      </c>
    </row>
    <row r="8846" spans="4:4" x14ac:dyDescent="0.25">
      <c r="D8846" t="s">
        <v>16923</v>
      </c>
    </row>
    <row r="8847" spans="4:4" x14ac:dyDescent="0.25">
      <c r="D8847" t="s">
        <v>16924</v>
      </c>
    </row>
    <row r="8848" spans="4:4" x14ac:dyDescent="0.25">
      <c r="D8848" t="s">
        <v>16925</v>
      </c>
    </row>
    <row r="8849" spans="4:4" x14ac:dyDescent="0.25">
      <c r="D8849" t="s">
        <v>16926</v>
      </c>
    </row>
    <row r="8850" spans="4:4" x14ac:dyDescent="0.25">
      <c r="D8850" t="s">
        <v>16927</v>
      </c>
    </row>
    <row r="8851" spans="4:4" x14ac:dyDescent="0.25">
      <c r="D8851" t="s">
        <v>16928</v>
      </c>
    </row>
    <row r="8852" spans="4:4" x14ac:dyDescent="0.25">
      <c r="D8852" t="s">
        <v>16929</v>
      </c>
    </row>
    <row r="8853" spans="4:4" x14ac:dyDescent="0.25">
      <c r="D8853" t="s">
        <v>16930</v>
      </c>
    </row>
    <row r="8854" spans="4:4" x14ac:dyDescent="0.25">
      <c r="D8854" t="s">
        <v>16931</v>
      </c>
    </row>
    <row r="8855" spans="4:4" x14ac:dyDescent="0.25">
      <c r="D8855" t="s">
        <v>16932</v>
      </c>
    </row>
    <row r="8856" spans="4:4" x14ac:dyDescent="0.25">
      <c r="D8856" t="s">
        <v>16933</v>
      </c>
    </row>
    <row r="8857" spans="4:4" x14ac:dyDescent="0.25">
      <c r="D8857" t="s">
        <v>16934</v>
      </c>
    </row>
    <row r="8858" spans="4:4" x14ac:dyDescent="0.25">
      <c r="D8858" t="s">
        <v>16935</v>
      </c>
    </row>
    <row r="8859" spans="4:4" x14ac:dyDescent="0.25">
      <c r="D8859" t="s">
        <v>16936</v>
      </c>
    </row>
    <row r="8860" spans="4:4" x14ac:dyDescent="0.25">
      <c r="D8860" t="s">
        <v>16937</v>
      </c>
    </row>
    <row r="8861" spans="4:4" x14ac:dyDescent="0.25">
      <c r="D8861" t="s">
        <v>16938</v>
      </c>
    </row>
    <row r="8862" spans="4:4" x14ac:dyDescent="0.25">
      <c r="D8862" t="s">
        <v>16939</v>
      </c>
    </row>
    <row r="8863" spans="4:4" x14ac:dyDescent="0.25">
      <c r="D8863" t="s">
        <v>16940</v>
      </c>
    </row>
    <row r="8864" spans="4:4" x14ac:dyDescent="0.25">
      <c r="D8864" t="s">
        <v>16941</v>
      </c>
    </row>
    <row r="8865" spans="4:4" x14ac:dyDescent="0.25">
      <c r="D8865" t="s">
        <v>16942</v>
      </c>
    </row>
    <row r="8866" spans="4:4" x14ac:dyDescent="0.25">
      <c r="D8866" t="s">
        <v>16943</v>
      </c>
    </row>
    <row r="8867" spans="4:4" x14ac:dyDescent="0.25">
      <c r="D8867" t="s">
        <v>16944</v>
      </c>
    </row>
    <row r="8868" spans="4:4" x14ac:dyDescent="0.25">
      <c r="D8868" t="s">
        <v>16945</v>
      </c>
    </row>
    <row r="8869" spans="4:4" x14ac:dyDescent="0.25">
      <c r="D8869" t="s">
        <v>16946</v>
      </c>
    </row>
    <row r="8870" spans="4:4" x14ac:dyDescent="0.25">
      <c r="D8870" t="s">
        <v>16947</v>
      </c>
    </row>
    <row r="8871" spans="4:4" x14ac:dyDescent="0.25">
      <c r="D8871" t="s">
        <v>16948</v>
      </c>
    </row>
    <row r="8872" spans="4:4" x14ac:dyDescent="0.25">
      <c r="D8872" t="s">
        <v>16949</v>
      </c>
    </row>
    <row r="8873" spans="4:4" x14ac:dyDescent="0.25">
      <c r="D8873" t="s">
        <v>16950</v>
      </c>
    </row>
    <row r="8874" spans="4:4" x14ac:dyDescent="0.25">
      <c r="D8874" t="s">
        <v>16951</v>
      </c>
    </row>
    <row r="8875" spans="4:4" x14ac:dyDescent="0.25">
      <c r="D8875" t="s">
        <v>16952</v>
      </c>
    </row>
    <row r="8876" spans="4:4" x14ac:dyDescent="0.25">
      <c r="D8876" t="s">
        <v>16953</v>
      </c>
    </row>
    <row r="8877" spans="4:4" x14ac:dyDescent="0.25">
      <c r="D8877" t="s">
        <v>16954</v>
      </c>
    </row>
    <row r="8878" spans="4:4" x14ac:dyDescent="0.25">
      <c r="D8878" t="s">
        <v>16955</v>
      </c>
    </row>
    <row r="8879" spans="4:4" x14ac:dyDescent="0.25">
      <c r="D8879" t="s">
        <v>16956</v>
      </c>
    </row>
    <row r="8880" spans="4:4" x14ac:dyDescent="0.25">
      <c r="D8880" t="s">
        <v>16957</v>
      </c>
    </row>
    <row r="8881" spans="4:4" x14ac:dyDescent="0.25">
      <c r="D8881" t="s">
        <v>16958</v>
      </c>
    </row>
    <row r="8882" spans="4:4" x14ac:dyDescent="0.25">
      <c r="D8882" t="s">
        <v>16959</v>
      </c>
    </row>
    <row r="8883" spans="4:4" x14ac:dyDescent="0.25">
      <c r="D8883" t="s">
        <v>16960</v>
      </c>
    </row>
    <row r="8884" spans="4:4" x14ac:dyDescent="0.25">
      <c r="D8884" t="s">
        <v>16961</v>
      </c>
    </row>
    <row r="8885" spans="4:4" x14ac:dyDescent="0.25">
      <c r="D8885" t="s">
        <v>16962</v>
      </c>
    </row>
    <row r="8886" spans="4:4" x14ac:dyDescent="0.25">
      <c r="D8886" t="s">
        <v>16963</v>
      </c>
    </row>
    <row r="8887" spans="4:4" x14ac:dyDescent="0.25">
      <c r="D8887" t="s">
        <v>16964</v>
      </c>
    </row>
    <row r="8888" spans="4:4" x14ac:dyDescent="0.25">
      <c r="D8888" t="s">
        <v>16965</v>
      </c>
    </row>
    <row r="8889" spans="4:4" x14ac:dyDescent="0.25">
      <c r="D8889" t="s">
        <v>16966</v>
      </c>
    </row>
    <row r="8890" spans="4:4" x14ac:dyDescent="0.25">
      <c r="D8890" t="s">
        <v>16967</v>
      </c>
    </row>
    <row r="8891" spans="4:4" x14ac:dyDescent="0.25">
      <c r="D8891" t="s">
        <v>16968</v>
      </c>
    </row>
    <row r="8892" spans="4:4" x14ac:dyDescent="0.25">
      <c r="D8892" t="s">
        <v>16969</v>
      </c>
    </row>
    <row r="8893" spans="4:4" x14ac:dyDescent="0.25">
      <c r="D8893" t="s">
        <v>16970</v>
      </c>
    </row>
    <row r="8894" spans="4:4" x14ac:dyDescent="0.25">
      <c r="D8894" t="s">
        <v>16971</v>
      </c>
    </row>
    <row r="8895" spans="4:4" x14ac:dyDescent="0.25">
      <c r="D8895" t="s">
        <v>16972</v>
      </c>
    </row>
    <row r="8896" spans="4:4" x14ac:dyDescent="0.25">
      <c r="D8896" t="s">
        <v>16973</v>
      </c>
    </row>
    <row r="8897" spans="4:4" x14ac:dyDescent="0.25">
      <c r="D8897" t="s">
        <v>16974</v>
      </c>
    </row>
    <row r="8898" spans="4:4" x14ac:dyDescent="0.25">
      <c r="D8898" t="s">
        <v>16975</v>
      </c>
    </row>
    <row r="8899" spans="4:4" x14ac:dyDescent="0.25">
      <c r="D8899" t="s">
        <v>16976</v>
      </c>
    </row>
    <row r="8900" spans="4:4" x14ac:dyDescent="0.25">
      <c r="D8900" t="s">
        <v>16977</v>
      </c>
    </row>
    <row r="8901" spans="4:4" x14ac:dyDescent="0.25">
      <c r="D8901" t="s">
        <v>16978</v>
      </c>
    </row>
    <row r="8902" spans="4:4" x14ac:dyDescent="0.25">
      <c r="D8902" t="s">
        <v>16979</v>
      </c>
    </row>
    <row r="8903" spans="4:4" x14ac:dyDescent="0.25">
      <c r="D8903" t="s">
        <v>16980</v>
      </c>
    </row>
    <row r="8904" spans="4:4" x14ac:dyDescent="0.25">
      <c r="D8904" t="s">
        <v>16981</v>
      </c>
    </row>
    <row r="8905" spans="4:4" x14ac:dyDescent="0.25">
      <c r="D8905" t="s">
        <v>16982</v>
      </c>
    </row>
    <row r="8906" spans="4:4" x14ac:dyDescent="0.25">
      <c r="D8906" t="s">
        <v>16983</v>
      </c>
    </row>
    <row r="8907" spans="4:4" x14ac:dyDescent="0.25">
      <c r="D8907" t="s">
        <v>16984</v>
      </c>
    </row>
    <row r="8908" spans="4:4" x14ac:dyDescent="0.25">
      <c r="D8908" t="s">
        <v>16985</v>
      </c>
    </row>
    <row r="8909" spans="4:4" x14ac:dyDescent="0.25">
      <c r="D8909" t="s">
        <v>16986</v>
      </c>
    </row>
    <row r="8910" spans="4:4" x14ac:dyDescent="0.25">
      <c r="D8910" t="s">
        <v>16987</v>
      </c>
    </row>
    <row r="8911" spans="4:4" x14ac:dyDescent="0.25">
      <c r="D8911" t="s">
        <v>16988</v>
      </c>
    </row>
    <row r="8912" spans="4:4" x14ac:dyDescent="0.25">
      <c r="D8912" t="s">
        <v>16989</v>
      </c>
    </row>
    <row r="8913" spans="4:4" x14ac:dyDescent="0.25">
      <c r="D8913" t="s">
        <v>16990</v>
      </c>
    </row>
    <row r="8914" spans="4:4" x14ac:dyDescent="0.25">
      <c r="D8914" t="s">
        <v>16991</v>
      </c>
    </row>
    <row r="8915" spans="4:4" x14ac:dyDescent="0.25">
      <c r="D8915" t="s">
        <v>16992</v>
      </c>
    </row>
    <row r="8916" spans="4:4" x14ac:dyDescent="0.25">
      <c r="D8916" t="s">
        <v>16993</v>
      </c>
    </row>
    <row r="8917" spans="4:4" x14ac:dyDescent="0.25">
      <c r="D8917" t="s">
        <v>16994</v>
      </c>
    </row>
    <row r="8918" spans="4:4" x14ac:dyDescent="0.25">
      <c r="D8918" t="s">
        <v>16995</v>
      </c>
    </row>
    <row r="8919" spans="4:4" x14ac:dyDescent="0.25">
      <c r="D8919" t="s">
        <v>16996</v>
      </c>
    </row>
    <row r="8920" spans="4:4" x14ac:dyDescent="0.25">
      <c r="D8920" t="s">
        <v>16997</v>
      </c>
    </row>
    <row r="8921" spans="4:4" x14ac:dyDescent="0.25">
      <c r="D8921" t="s">
        <v>16998</v>
      </c>
    </row>
    <row r="8922" spans="4:4" x14ac:dyDescent="0.25">
      <c r="D8922" t="s">
        <v>16999</v>
      </c>
    </row>
    <row r="8923" spans="4:4" x14ac:dyDescent="0.25">
      <c r="D8923" t="s">
        <v>17000</v>
      </c>
    </row>
    <row r="8924" spans="4:4" x14ac:dyDescent="0.25">
      <c r="D8924" t="s">
        <v>17001</v>
      </c>
    </row>
    <row r="8925" spans="4:4" x14ac:dyDescent="0.25">
      <c r="D8925" t="s">
        <v>17002</v>
      </c>
    </row>
    <row r="8926" spans="4:4" x14ac:dyDescent="0.25">
      <c r="D8926" t="s">
        <v>17003</v>
      </c>
    </row>
    <row r="8927" spans="4:4" x14ac:dyDescent="0.25">
      <c r="D8927" t="s">
        <v>17004</v>
      </c>
    </row>
    <row r="8928" spans="4:4" x14ac:dyDescent="0.25">
      <c r="D8928" t="s">
        <v>17005</v>
      </c>
    </row>
    <row r="8929" spans="4:4" x14ac:dyDescent="0.25">
      <c r="D8929" t="s">
        <v>17006</v>
      </c>
    </row>
    <row r="8930" spans="4:4" x14ac:dyDescent="0.25">
      <c r="D8930" t="s">
        <v>17007</v>
      </c>
    </row>
    <row r="8931" spans="4:4" x14ac:dyDescent="0.25">
      <c r="D8931" t="s">
        <v>17008</v>
      </c>
    </row>
    <row r="8932" spans="4:4" x14ac:dyDescent="0.25">
      <c r="D8932" t="s">
        <v>17009</v>
      </c>
    </row>
    <row r="8933" spans="4:4" x14ac:dyDescent="0.25">
      <c r="D8933" t="s">
        <v>17010</v>
      </c>
    </row>
    <row r="8934" spans="4:4" x14ac:dyDescent="0.25">
      <c r="D8934" t="s">
        <v>17011</v>
      </c>
    </row>
    <row r="8935" spans="4:4" x14ac:dyDescent="0.25">
      <c r="D8935" t="s">
        <v>17012</v>
      </c>
    </row>
    <row r="8936" spans="4:4" x14ac:dyDescent="0.25">
      <c r="D8936" t="s">
        <v>17013</v>
      </c>
    </row>
    <row r="8937" spans="4:4" x14ac:dyDescent="0.25">
      <c r="D8937" t="s">
        <v>17014</v>
      </c>
    </row>
    <row r="8938" spans="4:4" x14ac:dyDescent="0.25">
      <c r="D8938" t="s">
        <v>17015</v>
      </c>
    </row>
    <row r="8939" spans="4:4" x14ac:dyDescent="0.25">
      <c r="D8939" t="s">
        <v>17016</v>
      </c>
    </row>
    <row r="8940" spans="4:4" x14ac:dyDescent="0.25">
      <c r="D8940" t="s">
        <v>17017</v>
      </c>
    </row>
    <row r="8941" spans="4:4" x14ac:dyDescent="0.25">
      <c r="D8941" t="s">
        <v>17018</v>
      </c>
    </row>
    <row r="8942" spans="4:4" x14ac:dyDescent="0.25">
      <c r="D8942" t="s">
        <v>17019</v>
      </c>
    </row>
    <row r="8943" spans="4:4" x14ac:dyDescent="0.25">
      <c r="D8943" t="s">
        <v>17020</v>
      </c>
    </row>
    <row r="8944" spans="4:4" x14ac:dyDescent="0.25">
      <c r="D8944" t="s">
        <v>17021</v>
      </c>
    </row>
    <row r="8945" spans="4:4" x14ac:dyDescent="0.25">
      <c r="D8945" t="s">
        <v>17022</v>
      </c>
    </row>
    <row r="8946" spans="4:4" x14ac:dyDescent="0.25">
      <c r="D8946" t="s">
        <v>17023</v>
      </c>
    </row>
    <row r="8947" spans="4:4" x14ac:dyDescent="0.25">
      <c r="D8947" t="s">
        <v>17024</v>
      </c>
    </row>
    <row r="8948" spans="4:4" x14ac:dyDescent="0.25">
      <c r="D8948" t="s">
        <v>17025</v>
      </c>
    </row>
    <row r="8949" spans="4:4" x14ac:dyDescent="0.25">
      <c r="D8949" t="s">
        <v>17026</v>
      </c>
    </row>
    <row r="8950" spans="4:4" x14ac:dyDescent="0.25">
      <c r="D8950" t="s">
        <v>17027</v>
      </c>
    </row>
    <row r="8951" spans="4:4" x14ac:dyDescent="0.25">
      <c r="D8951" t="s">
        <v>17028</v>
      </c>
    </row>
    <row r="8952" spans="4:4" x14ac:dyDescent="0.25">
      <c r="D8952" t="s">
        <v>17029</v>
      </c>
    </row>
    <row r="8953" spans="4:4" x14ac:dyDescent="0.25">
      <c r="D8953" t="s">
        <v>17030</v>
      </c>
    </row>
    <row r="8954" spans="4:4" x14ac:dyDescent="0.25">
      <c r="D8954" t="s">
        <v>17031</v>
      </c>
    </row>
    <row r="8955" spans="4:4" x14ac:dyDescent="0.25">
      <c r="D8955" t="s">
        <v>17032</v>
      </c>
    </row>
    <row r="8956" spans="4:4" x14ac:dyDescent="0.25">
      <c r="D8956" t="s">
        <v>17033</v>
      </c>
    </row>
    <row r="8957" spans="4:4" x14ac:dyDescent="0.25">
      <c r="D8957" t="s">
        <v>17034</v>
      </c>
    </row>
    <row r="8958" spans="4:4" x14ac:dyDescent="0.25">
      <c r="D8958" t="s">
        <v>17035</v>
      </c>
    </row>
    <row r="8959" spans="4:4" x14ac:dyDescent="0.25">
      <c r="D8959" t="s">
        <v>17036</v>
      </c>
    </row>
    <row r="8960" spans="4:4" x14ac:dyDescent="0.25">
      <c r="D8960" t="s">
        <v>17037</v>
      </c>
    </row>
    <row r="8961" spans="4:4" x14ac:dyDescent="0.25">
      <c r="D8961" t="s">
        <v>17038</v>
      </c>
    </row>
    <row r="8962" spans="4:4" x14ac:dyDescent="0.25">
      <c r="D8962" t="s">
        <v>17039</v>
      </c>
    </row>
    <row r="8963" spans="4:4" x14ac:dyDescent="0.25">
      <c r="D8963" t="s">
        <v>17040</v>
      </c>
    </row>
    <row r="8964" spans="4:4" x14ac:dyDescent="0.25">
      <c r="D8964" t="s">
        <v>17041</v>
      </c>
    </row>
    <row r="8965" spans="4:4" x14ac:dyDescent="0.25">
      <c r="D8965" t="s">
        <v>17042</v>
      </c>
    </row>
    <row r="8966" spans="4:4" x14ac:dyDescent="0.25">
      <c r="D8966" t="s">
        <v>17043</v>
      </c>
    </row>
    <row r="8967" spans="4:4" x14ac:dyDescent="0.25">
      <c r="D8967" t="s">
        <v>17044</v>
      </c>
    </row>
    <row r="8968" spans="4:4" x14ac:dyDescent="0.25">
      <c r="D8968" t="s">
        <v>17045</v>
      </c>
    </row>
    <row r="8969" spans="4:4" x14ac:dyDescent="0.25">
      <c r="D8969" t="s">
        <v>17046</v>
      </c>
    </row>
    <row r="8970" spans="4:4" x14ac:dyDescent="0.25">
      <c r="D8970" t="s">
        <v>17047</v>
      </c>
    </row>
    <row r="8971" spans="4:4" x14ac:dyDescent="0.25">
      <c r="D8971" t="s">
        <v>17048</v>
      </c>
    </row>
    <row r="8972" spans="4:4" x14ac:dyDescent="0.25">
      <c r="D8972" t="s">
        <v>17049</v>
      </c>
    </row>
    <row r="8973" spans="4:4" x14ac:dyDescent="0.25">
      <c r="D8973" t="s">
        <v>17050</v>
      </c>
    </row>
    <row r="8974" spans="4:4" x14ac:dyDescent="0.25">
      <c r="D8974" t="s">
        <v>17051</v>
      </c>
    </row>
    <row r="8975" spans="4:4" x14ac:dyDescent="0.25">
      <c r="D8975" t="s">
        <v>17052</v>
      </c>
    </row>
    <row r="8976" spans="4:4" x14ac:dyDescent="0.25">
      <c r="D8976" t="s">
        <v>17053</v>
      </c>
    </row>
    <row r="8977" spans="4:4" x14ac:dyDescent="0.25">
      <c r="D8977" t="s">
        <v>17054</v>
      </c>
    </row>
    <row r="8978" spans="4:4" x14ac:dyDescent="0.25">
      <c r="D8978" t="s">
        <v>17055</v>
      </c>
    </row>
    <row r="8979" spans="4:4" x14ac:dyDescent="0.25">
      <c r="D8979" t="s">
        <v>17056</v>
      </c>
    </row>
    <row r="8980" spans="4:4" x14ac:dyDescent="0.25">
      <c r="D8980" t="s">
        <v>17057</v>
      </c>
    </row>
    <row r="8981" spans="4:4" x14ac:dyDescent="0.25">
      <c r="D8981" t="s">
        <v>17058</v>
      </c>
    </row>
    <row r="8982" spans="4:4" x14ac:dyDescent="0.25">
      <c r="D8982" t="s">
        <v>17059</v>
      </c>
    </row>
    <row r="8983" spans="4:4" x14ac:dyDescent="0.25">
      <c r="D8983" t="s">
        <v>17060</v>
      </c>
    </row>
    <row r="8984" spans="4:4" x14ac:dyDescent="0.25">
      <c r="D8984" t="s">
        <v>17061</v>
      </c>
    </row>
    <row r="8985" spans="4:4" x14ac:dyDescent="0.25">
      <c r="D8985" t="s">
        <v>17062</v>
      </c>
    </row>
    <row r="8986" spans="4:4" x14ac:dyDescent="0.25">
      <c r="D8986" t="s">
        <v>17063</v>
      </c>
    </row>
    <row r="8987" spans="4:4" x14ac:dyDescent="0.25">
      <c r="D8987" t="s">
        <v>17064</v>
      </c>
    </row>
    <row r="8988" spans="4:4" x14ac:dyDescent="0.25">
      <c r="D8988" t="s">
        <v>17065</v>
      </c>
    </row>
    <row r="8989" spans="4:4" x14ac:dyDescent="0.25">
      <c r="D8989" t="s">
        <v>17066</v>
      </c>
    </row>
    <row r="8990" spans="4:4" x14ac:dyDescent="0.25">
      <c r="D8990" t="s">
        <v>17067</v>
      </c>
    </row>
    <row r="8991" spans="4:4" x14ac:dyDescent="0.25">
      <c r="D8991" t="s">
        <v>17068</v>
      </c>
    </row>
    <row r="8992" spans="4:4" x14ac:dyDescent="0.25">
      <c r="D8992" t="s">
        <v>17069</v>
      </c>
    </row>
    <row r="8993" spans="4:4" x14ac:dyDescent="0.25">
      <c r="D8993" t="s">
        <v>17070</v>
      </c>
    </row>
    <row r="8994" spans="4:4" x14ac:dyDescent="0.25">
      <c r="D8994" t="s">
        <v>17071</v>
      </c>
    </row>
    <row r="8995" spans="4:4" x14ac:dyDescent="0.25">
      <c r="D8995" t="s">
        <v>17072</v>
      </c>
    </row>
    <row r="8996" spans="4:4" x14ac:dyDescent="0.25">
      <c r="D8996" t="s">
        <v>17073</v>
      </c>
    </row>
    <row r="8997" spans="4:4" x14ac:dyDescent="0.25">
      <c r="D8997" t="s">
        <v>17074</v>
      </c>
    </row>
    <row r="8998" spans="4:4" x14ac:dyDescent="0.25">
      <c r="D8998" t="s">
        <v>17075</v>
      </c>
    </row>
    <row r="8999" spans="4:4" x14ac:dyDescent="0.25">
      <c r="D8999" t="s">
        <v>17076</v>
      </c>
    </row>
    <row r="9000" spans="4:4" x14ac:dyDescent="0.25">
      <c r="D9000" t="s">
        <v>17077</v>
      </c>
    </row>
    <row r="9001" spans="4:4" x14ac:dyDescent="0.25">
      <c r="D9001" t="s">
        <v>17078</v>
      </c>
    </row>
    <row r="9002" spans="4:4" x14ac:dyDescent="0.25">
      <c r="D9002" t="s">
        <v>17079</v>
      </c>
    </row>
    <row r="9003" spans="4:4" x14ac:dyDescent="0.25">
      <c r="D9003" t="s">
        <v>17080</v>
      </c>
    </row>
    <row r="9004" spans="4:4" x14ac:dyDescent="0.25">
      <c r="D9004" t="s">
        <v>17081</v>
      </c>
    </row>
    <row r="9005" spans="4:4" x14ac:dyDescent="0.25">
      <c r="D9005" t="s">
        <v>17082</v>
      </c>
    </row>
    <row r="9006" spans="4:4" x14ac:dyDescent="0.25">
      <c r="D9006" t="s">
        <v>17083</v>
      </c>
    </row>
    <row r="9007" spans="4:4" x14ac:dyDescent="0.25">
      <c r="D9007" t="s">
        <v>17084</v>
      </c>
    </row>
    <row r="9008" spans="4:4" x14ac:dyDescent="0.25">
      <c r="D9008" t="s">
        <v>17085</v>
      </c>
    </row>
    <row r="9009" spans="4:4" x14ac:dyDescent="0.25">
      <c r="D9009" t="s">
        <v>17086</v>
      </c>
    </row>
    <row r="9010" spans="4:4" x14ac:dyDescent="0.25">
      <c r="D9010" t="s">
        <v>17087</v>
      </c>
    </row>
    <row r="9011" spans="4:4" x14ac:dyDescent="0.25">
      <c r="D9011" t="s">
        <v>17088</v>
      </c>
    </row>
    <row r="9012" spans="4:4" x14ac:dyDescent="0.25">
      <c r="D9012" t="s">
        <v>17089</v>
      </c>
    </row>
    <row r="9013" spans="4:4" x14ac:dyDescent="0.25">
      <c r="D9013" t="s">
        <v>17090</v>
      </c>
    </row>
    <row r="9014" spans="4:4" x14ac:dyDescent="0.25">
      <c r="D9014" t="s">
        <v>17091</v>
      </c>
    </row>
    <row r="9015" spans="4:4" x14ac:dyDescent="0.25">
      <c r="D9015" t="s">
        <v>17092</v>
      </c>
    </row>
    <row r="9016" spans="4:4" x14ac:dyDescent="0.25">
      <c r="D9016" t="s">
        <v>17093</v>
      </c>
    </row>
    <row r="9017" spans="4:4" x14ac:dyDescent="0.25">
      <c r="D9017" t="s">
        <v>17094</v>
      </c>
    </row>
    <row r="9018" spans="4:4" x14ac:dyDescent="0.25">
      <c r="D9018" t="s">
        <v>17095</v>
      </c>
    </row>
    <row r="9019" spans="4:4" x14ac:dyDescent="0.25">
      <c r="D9019" t="s">
        <v>17096</v>
      </c>
    </row>
    <row r="9020" spans="4:4" x14ac:dyDescent="0.25">
      <c r="D9020" t="s">
        <v>17097</v>
      </c>
    </row>
    <row r="9021" spans="4:4" x14ac:dyDescent="0.25">
      <c r="D9021" t="s">
        <v>17098</v>
      </c>
    </row>
    <row r="9022" spans="4:4" x14ac:dyDescent="0.25">
      <c r="D9022" t="s">
        <v>17099</v>
      </c>
    </row>
    <row r="9023" spans="4:4" x14ac:dyDescent="0.25">
      <c r="D9023" t="s">
        <v>17100</v>
      </c>
    </row>
    <row r="9024" spans="4:4" x14ac:dyDescent="0.25">
      <c r="D9024" t="s">
        <v>17101</v>
      </c>
    </row>
    <row r="9025" spans="4:4" x14ac:dyDescent="0.25">
      <c r="D9025" t="s">
        <v>17102</v>
      </c>
    </row>
    <row r="9026" spans="4:4" x14ac:dyDescent="0.25">
      <c r="D9026" t="s">
        <v>17103</v>
      </c>
    </row>
    <row r="9027" spans="4:4" x14ac:dyDescent="0.25">
      <c r="D9027" t="s">
        <v>17104</v>
      </c>
    </row>
    <row r="9028" spans="4:4" x14ac:dyDescent="0.25">
      <c r="D9028" t="s">
        <v>17105</v>
      </c>
    </row>
    <row r="9029" spans="4:4" x14ac:dyDescent="0.25">
      <c r="D9029" t="s">
        <v>17106</v>
      </c>
    </row>
    <row r="9030" spans="4:4" x14ac:dyDescent="0.25">
      <c r="D9030" t="s">
        <v>17107</v>
      </c>
    </row>
    <row r="9031" spans="4:4" x14ac:dyDescent="0.25">
      <c r="D9031" t="s">
        <v>17108</v>
      </c>
    </row>
    <row r="9032" spans="4:4" x14ac:dyDescent="0.25">
      <c r="D9032" t="s">
        <v>17109</v>
      </c>
    </row>
    <row r="9033" spans="4:4" x14ac:dyDescent="0.25">
      <c r="D9033" t="s">
        <v>17110</v>
      </c>
    </row>
    <row r="9034" spans="4:4" x14ac:dyDescent="0.25">
      <c r="D9034" t="s">
        <v>17111</v>
      </c>
    </row>
    <row r="9035" spans="4:4" x14ac:dyDescent="0.25">
      <c r="D9035" t="s">
        <v>17112</v>
      </c>
    </row>
    <row r="9036" spans="4:4" x14ac:dyDescent="0.25">
      <c r="D9036" t="s">
        <v>17113</v>
      </c>
    </row>
    <row r="9037" spans="4:4" x14ac:dyDescent="0.25">
      <c r="D9037" t="s">
        <v>17114</v>
      </c>
    </row>
    <row r="9038" spans="4:4" x14ac:dyDescent="0.25">
      <c r="D9038" t="s">
        <v>17115</v>
      </c>
    </row>
    <row r="9039" spans="4:4" x14ac:dyDescent="0.25">
      <c r="D9039" t="s">
        <v>17116</v>
      </c>
    </row>
    <row r="9040" spans="4:4" x14ac:dyDescent="0.25">
      <c r="D9040" t="s">
        <v>17117</v>
      </c>
    </row>
    <row r="9041" spans="4:4" x14ac:dyDescent="0.25">
      <c r="D9041" t="s">
        <v>17118</v>
      </c>
    </row>
    <row r="9042" spans="4:4" x14ac:dyDescent="0.25">
      <c r="D9042" t="s">
        <v>17119</v>
      </c>
    </row>
    <row r="9043" spans="4:4" x14ac:dyDescent="0.25">
      <c r="D9043" t="s">
        <v>17120</v>
      </c>
    </row>
    <row r="9044" spans="4:4" x14ac:dyDescent="0.25">
      <c r="D9044" t="s">
        <v>17121</v>
      </c>
    </row>
    <row r="9045" spans="4:4" x14ac:dyDescent="0.25">
      <c r="D9045" t="s">
        <v>17122</v>
      </c>
    </row>
    <row r="9046" spans="4:4" x14ac:dyDescent="0.25">
      <c r="D9046" t="s">
        <v>17123</v>
      </c>
    </row>
    <row r="9047" spans="4:4" x14ac:dyDescent="0.25">
      <c r="D9047" t="s">
        <v>17124</v>
      </c>
    </row>
    <row r="9048" spans="4:4" x14ac:dyDescent="0.25">
      <c r="D9048" t="s">
        <v>17125</v>
      </c>
    </row>
    <row r="9049" spans="4:4" x14ac:dyDescent="0.25">
      <c r="D9049" t="s">
        <v>17126</v>
      </c>
    </row>
    <row r="9050" spans="4:4" x14ac:dyDescent="0.25">
      <c r="D9050" t="s">
        <v>17127</v>
      </c>
    </row>
    <row r="9051" spans="4:4" x14ac:dyDescent="0.25">
      <c r="D9051" t="s">
        <v>17128</v>
      </c>
    </row>
    <row r="9052" spans="4:4" x14ac:dyDescent="0.25">
      <c r="D9052" t="s">
        <v>17129</v>
      </c>
    </row>
    <row r="9053" spans="4:4" x14ac:dyDescent="0.25">
      <c r="D9053" t="s">
        <v>17130</v>
      </c>
    </row>
    <row r="9054" spans="4:4" x14ac:dyDescent="0.25">
      <c r="D9054" t="s">
        <v>17131</v>
      </c>
    </row>
    <row r="9055" spans="4:4" x14ac:dyDescent="0.25">
      <c r="D9055" t="s">
        <v>17132</v>
      </c>
    </row>
    <row r="9056" spans="4:4" x14ac:dyDescent="0.25">
      <c r="D9056" t="s">
        <v>17133</v>
      </c>
    </row>
    <row r="9057" spans="4:4" x14ac:dyDescent="0.25">
      <c r="D9057" t="s">
        <v>17134</v>
      </c>
    </row>
    <row r="9058" spans="4:4" x14ac:dyDescent="0.25">
      <c r="D9058" t="s">
        <v>17135</v>
      </c>
    </row>
    <row r="9059" spans="4:4" x14ac:dyDescent="0.25">
      <c r="D9059" t="s">
        <v>17136</v>
      </c>
    </row>
    <row r="9060" spans="4:4" x14ac:dyDescent="0.25">
      <c r="D9060" t="s">
        <v>17137</v>
      </c>
    </row>
    <row r="9061" spans="4:4" x14ac:dyDescent="0.25">
      <c r="D9061" t="s">
        <v>17138</v>
      </c>
    </row>
    <row r="9062" spans="4:4" x14ac:dyDescent="0.25">
      <c r="D9062" t="s">
        <v>17139</v>
      </c>
    </row>
    <row r="9063" spans="4:4" x14ac:dyDescent="0.25">
      <c r="D9063" t="s">
        <v>17140</v>
      </c>
    </row>
    <row r="9064" spans="4:4" x14ac:dyDescent="0.25">
      <c r="D9064" t="s">
        <v>17141</v>
      </c>
    </row>
    <row r="9065" spans="4:4" x14ac:dyDescent="0.25">
      <c r="D9065" t="s">
        <v>17142</v>
      </c>
    </row>
    <row r="9066" spans="4:4" x14ac:dyDescent="0.25">
      <c r="D9066" t="s">
        <v>17143</v>
      </c>
    </row>
    <row r="9067" spans="4:4" x14ac:dyDescent="0.25">
      <c r="D9067" t="s">
        <v>17144</v>
      </c>
    </row>
    <row r="9068" spans="4:4" x14ac:dyDescent="0.25">
      <c r="D9068" t="s">
        <v>17145</v>
      </c>
    </row>
    <row r="9069" spans="4:4" x14ac:dyDescent="0.25">
      <c r="D9069" t="s">
        <v>17146</v>
      </c>
    </row>
    <row r="9070" spans="4:4" x14ac:dyDescent="0.25">
      <c r="D9070" t="s">
        <v>17147</v>
      </c>
    </row>
    <row r="9071" spans="4:4" x14ac:dyDescent="0.25">
      <c r="D9071" t="s">
        <v>17148</v>
      </c>
    </row>
    <row r="9072" spans="4:4" x14ac:dyDescent="0.25">
      <c r="D9072" t="s">
        <v>17149</v>
      </c>
    </row>
    <row r="9073" spans="4:4" x14ac:dyDescent="0.25">
      <c r="D9073" t="s">
        <v>17150</v>
      </c>
    </row>
    <row r="9074" spans="4:4" x14ac:dyDescent="0.25">
      <c r="D9074" t="s">
        <v>17151</v>
      </c>
    </row>
    <row r="9075" spans="4:4" x14ac:dyDescent="0.25">
      <c r="D9075" t="s">
        <v>17152</v>
      </c>
    </row>
    <row r="9076" spans="4:4" x14ac:dyDescent="0.25">
      <c r="D9076" t="s">
        <v>17153</v>
      </c>
    </row>
    <row r="9077" spans="4:4" x14ac:dyDescent="0.25">
      <c r="D9077" t="s">
        <v>17154</v>
      </c>
    </row>
    <row r="9078" spans="4:4" x14ac:dyDescent="0.25">
      <c r="D9078" t="s">
        <v>17155</v>
      </c>
    </row>
    <row r="9079" spans="4:4" x14ac:dyDescent="0.25">
      <c r="D9079" t="s">
        <v>17156</v>
      </c>
    </row>
    <row r="9080" spans="4:4" x14ac:dyDescent="0.25">
      <c r="D9080" t="s">
        <v>17157</v>
      </c>
    </row>
    <row r="9081" spans="4:4" x14ac:dyDescent="0.25">
      <c r="D9081" t="s">
        <v>17158</v>
      </c>
    </row>
    <row r="9082" spans="4:4" x14ac:dyDescent="0.25">
      <c r="D9082" t="s">
        <v>17159</v>
      </c>
    </row>
    <row r="9083" spans="4:4" x14ac:dyDescent="0.25">
      <c r="D9083" t="s">
        <v>17160</v>
      </c>
    </row>
    <row r="9084" spans="4:4" x14ac:dyDescent="0.25">
      <c r="D9084" t="s">
        <v>17161</v>
      </c>
    </row>
    <row r="9085" spans="4:4" x14ac:dyDescent="0.25">
      <c r="D9085" t="s">
        <v>17162</v>
      </c>
    </row>
    <row r="9086" spans="4:4" x14ac:dyDescent="0.25">
      <c r="D9086" t="s">
        <v>17163</v>
      </c>
    </row>
    <row r="9087" spans="4:4" x14ac:dyDescent="0.25">
      <c r="D9087" t="s">
        <v>17164</v>
      </c>
    </row>
    <row r="9088" spans="4:4" x14ac:dyDescent="0.25">
      <c r="D9088" t="s">
        <v>17165</v>
      </c>
    </row>
    <row r="9089" spans="4:4" x14ac:dyDescent="0.25">
      <c r="D9089" t="s">
        <v>17166</v>
      </c>
    </row>
    <row r="9090" spans="4:4" x14ac:dyDescent="0.25">
      <c r="D9090" t="s">
        <v>17167</v>
      </c>
    </row>
    <row r="9091" spans="4:4" x14ac:dyDescent="0.25">
      <c r="D9091" t="s">
        <v>17168</v>
      </c>
    </row>
    <row r="9092" spans="4:4" x14ac:dyDescent="0.25">
      <c r="D9092" t="s">
        <v>17169</v>
      </c>
    </row>
    <row r="9093" spans="4:4" x14ac:dyDescent="0.25">
      <c r="D9093" t="s">
        <v>17170</v>
      </c>
    </row>
    <row r="9094" spans="4:4" x14ac:dyDescent="0.25">
      <c r="D9094" t="s">
        <v>17171</v>
      </c>
    </row>
    <row r="9095" spans="4:4" x14ac:dyDescent="0.25">
      <c r="D9095" t="s">
        <v>17172</v>
      </c>
    </row>
    <row r="9096" spans="4:4" x14ac:dyDescent="0.25">
      <c r="D9096" t="s">
        <v>17173</v>
      </c>
    </row>
    <row r="9097" spans="4:4" x14ac:dyDescent="0.25">
      <c r="D9097" t="s">
        <v>17174</v>
      </c>
    </row>
    <row r="9098" spans="4:4" x14ac:dyDescent="0.25">
      <c r="D9098" t="s">
        <v>17175</v>
      </c>
    </row>
    <row r="9099" spans="4:4" x14ac:dyDescent="0.25">
      <c r="D9099" t="s">
        <v>17176</v>
      </c>
    </row>
    <row r="9100" spans="4:4" x14ac:dyDescent="0.25">
      <c r="D9100" t="s">
        <v>17177</v>
      </c>
    </row>
    <row r="9101" spans="4:4" x14ac:dyDescent="0.25">
      <c r="D9101" t="s">
        <v>17178</v>
      </c>
    </row>
    <row r="9102" spans="4:4" x14ac:dyDescent="0.25">
      <c r="D9102" t="s">
        <v>17179</v>
      </c>
    </row>
    <row r="9103" spans="4:4" x14ac:dyDescent="0.25">
      <c r="D9103" t="s">
        <v>17180</v>
      </c>
    </row>
    <row r="9104" spans="4:4" x14ac:dyDescent="0.25">
      <c r="D9104" t="s">
        <v>17181</v>
      </c>
    </row>
    <row r="9105" spans="4:4" x14ac:dyDescent="0.25">
      <c r="D9105" t="s">
        <v>17182</v>
      </c>
    </row>
    <row r="9106" spans="4:4" x14ac:dyDescent="0.25">
      <c r="D9106" t="s">
        <v>17183</v>
      </c>
    </row>
    <row r="9107" spans="4:4" x14ac:dyDescent="0.25">
      <c r="D9107" t="s">
        <v>17184</v>
      </c>
    </row>
    <row r="9108" spans="4:4" x14ac:dyDescent="0.25">
      <c r="D9108" t="s">
        <v>17185</v>
      </c>
    </row>
    <row r="9109" spans="4:4" x14ac:dyDescent="0.25">
      <c r="D9109" t="s">
        <v>17186</v>
      </c>
    </row>
    <row r="9110" spans="4:4" x14ac:dyDescent="0.25">
      <c r="D9110" t="s">
        <v>17187</v>
      </c>
    </row>
    <row r="9111" spans="4:4" x14ac:dyDescent="0.25">
      <c r="D9111" t="s">
        <v>17188</v>
      </c>
    </row>
    <row r="9112" spans="4:4" x14ac:dyDescent="0.25">
      <c r="D9112" t="s">
        <v>17189</v>
      </c>
    </row>
    <row r="9113" spans="4:4" x14ac:dyDescent="0.25">
      <c r="D9113" t="s">
        <v>17190</v>
      </c>
    </row>
    <row r="9114" spans="4:4" x14ac:dyDescent="0.25">
      <c r="D9114" t="s">
        <v>17191</v>
      </c>
    </row>
    <row r="9115" spans="4:4" x14ac:dyDescent="0.25">
      <c r="D9115" t="s">
        <v>17192</v>
      </c>
    </row>
    <row r="9116" spans="4:4" x14ac:dyDescent="0.25">
      <c r="D9116" t="s">
        <v>17193</v>
      </c>
    </row>
    <row r="9117" spans="4:4" x14ac:dyDescent="0.25">
      <c r="D9117" t="s">
        <v>17194</v>
      </c>
    </row>
    <row r="9118" spans="4:4" x14ac:dyDescent="0.25">
      <c r="D9118" t="s">
        <v>17195</v>
      </c>
    </row>
    <row r="9119" spans="4:4" x14ac:dyDescent="0.25">
      <c r="D9119" t="s">
        <v>17196</v>
      </c>
    </row>
    <row r="9120" spans="4:4" x14ac:dyDescent="0.25">
      <c r="D9120" t="s">
        <v>17197</v>
      </c>
    </row>
    <row r="9121" spans="4:4" x14ac:dyDescent="0.25">
      <c r="D9121" t="s">
        <v>17198</v>
      </c>
    </row>
    <row r="9122" spans="4:4" x14ac:dyDescent="0.25">
      <c r="D9122" t="s">
        <v>17199</v>
      </c>
    </row>
    <row r="9123" spans="4:4" x14ac:dyDescent="0.25">
      <c r="D9123" t="s">
        <v>17200</v>
      </c>
    </row>
    <row r="9124" spans="4:4" x14ac:dyDescent="0.25">
      <c r="D9124" t="s">
        <v>17201</v>
      </c>
    </row>
    <row r="9125" spans="4:4" x14ac:dyDescent="0.25">
      <c r="D9125" t="s">
        <v>17202</v>
      </c>
    </row>
    <row r="9126" spans="4:4" x14ac:dyDescent="0.25">
      <c r="D9126" t="s">
        <v>17203</v>
      </c>
    </row>
    <row r="9127" spans="4:4" x14ac:dyDescent="0.25">
      <c r="D9127" t="s">
        <v>17204</v>
      </c>
    </row>
    <row r="9128" spans="4:4" x14ac:dyDescent="0.25">
      <c r="D9128" t="s">
        <v>17205</v>
      </c>
    </row>
    <row r="9129" spans="4:4" x14ac:dyDescent="0.25">
      <c r="D9129" t="s">
        <v>17206</v>
      </c>
    </row>
    <row r="9130" spans="4:4" x14ac:dyDescent="0.25">
      <c r="D9130" t="s">
        <v>17207</v>
      </c>
    </row>
    <row r="9131" spans="4:4" x14ac:dyDescent="0.25">
      <c r="D9131" t="s">
        <v>17208</v>
      </c>
    </row>
    <row r="9132" spans="4:4" x14ac:dyDescent="0.25">
      <c r="D9132" t="s">
        <v>17209</v>
      </c>
    </row>
    <row r="9133" spans="4:4" x14ac:dyDescent="0.25">
      <c r="D9133" t="s">
        <v>17210</v>
      </c>
    </row>
    <row r="9134" spans="4:4" x14ac:dyDescent="0.25">
      <c r="D9134" t="s">
        <v>17211</v>
      </c>
    </row>
    <row r="9135" spans="4:4" x14ac:dyDescent="0.25">
      <c r="D9135" t="s">
        <v>17212</v>
      </c>
    </row>
    <row r="9136" spans="4:4" x14ac:dyDescent="0.25">
      <c r="D9136" t="s">
        <v>17213</v>
      </c>
    </row>
    <row r="9137" spans="4:4" x14ac:dyDescent="0.25">
      <c r="D9137" t="s">
        <v>17214</v>
      </c>
    </row>
    <row r="9138" spans="4:4" x14ac:dyDescent="0.25">
      <c r="D9138" t="s">
        <v>17215</v>
      </c>
    </row>
    <row r="9139" spans="4:4" x14ac:dyDescent="0.25">
      <c r="D9139" t="s">
        <v>17216</v>
      </c>
    </row>
    <row r="9140" spans="4:4" x14ac:dyDescent="0.25">
      <c r="D9140" t="s">
        <v>17217</v>
      </c>
    </row>
    <row r="9141" spans="4:4" x14ac:dyDescent="0.25">
      <c r="D9141" t="s">
        <v>17218</v>
      </c>
    </row>
    <row r="9142" spans="4:4" x14ac:dyDescent="0.25">
      <c r="D9142" t="s">
        <v>17219</v>
      </c>
    </row>
    <row r="9143" spans="4:4" x14ac:dyDescent="0.25">
      <c r="D9143" t="s">
        <v>17220</v>
      </c>
    </row>
    <row r="9144" spans="4:4" x14ac:dyDescent="0.25">
      <c r="D9144" t="s">
        <v>17221</v>
      </c>
    </row>
    <row r="9145" spans="4:4" x14ac:dyDescent="0.25">
      <c r="D9145" t="s">
        <v>17222</v>
      </c>
    </row>
    <row r="9146" spans="4:4" x14ac:dyDescent="0.25">
      <c r="D9146" t="s">
        <v>17223</v>
      </c>
    </row>
    <row r="9147" spans="4:4" x14ac:dyDescent="0.25">
      <c r="D9147" t="s">
        <v>17224</v>
      </c>
    </row>
    <row r="9148" spans="4:4" x14ac:dyDescent="0.25">
      <c r="D9148" t="s">
        <v>17225</v>
      </c>
    </row>
    <row r="9149" spans="4:4" x14ac:dyDescent="0.25">
      <c r="D9149" t="s">
        <v>17226</v>
      </c>
    </row>
    <row r="9150" spans="4:4" x14ac:dyDescent="0.25">
      <c r="D9150" t="s">
        <v>17227</v>
      </c>
    </row>
    <row r="9151" spans="4:4" x14ac:dyDescent="0.25">
      <c r="D9151" t="s">
        <v>17228</v>
      </c>
    </row>
    <row r="9152" spans="4:4" x14ac:dyDescent="0.25">
      <c r="D9152" t="s">
        <v>17229</v>
      </c>
    </row>
    <row r="9153" spans="4:4" x14ac:dyDescent="0.25">
      <c r="D9153" t="s">
        <v>17230</v>
      </c>
    </row>
    <row r="9154" spans="4:4" x14ac:dyDescent="0.25">
      <c r="D9154" t="s">
        <v>17231</v>
      </c>
    </row>
    <row r="9155" spans="4:4" x14ac:dyDescent="0.25">
      <c r="D9155" t="s">
        <v>17232</v>
      </c>
    </row>
    <row r="9156" spans="4:4" x14ac:dyDescent="0.25">
      <c r="D9156" t="s">
        <v>17233</v>
      </c>
    </row>
    <row r="9157" spans="4:4" x14ac:dyDescent="0.25">
      <c r="D9157" t="s">
        <v>17234</v>
      </c>
    </row>
    <row r="9158" spans="4:4" x14ac:dyDescent="0.25">
      <c r="D9158" t="s">
        <v>17235</v>
      </c>
    </row>
    <row r="9159" spans="4:4" x14ac:dyDescent="0.25">
      <c r="D9159" t="s">
        <v>17236</v>
      </c>
    </row>
    <row r="9160" spans="4:4" x14ac:dyDescent="0.25">
      <c r="D9160" t="s">
        <v>17237</v>
      </c>
    </row>
    <row r="9161" spans="4:4" x14ac:dyDescent="0.25">
      <c r="D9161" t="s">
        <v>17238</v>
      </c>
    </row>
    <row r="9162" spans="4:4" x14ac:dyDescent="0.25">
      <c r="D9162" t="s">
        <v>17239</v>
      </c>
    </row>
    <row r="9163" spans="4:4" x14ac:dyDescent="0.25">
      <c r="D9163" t="s">
        <v>17240</v>
      </c>
    </row>
    <row r="9164" spans="4:4" x14ac:dyDescent="0.25">
      <c r="D9164" t="s">
        <v>17241</v>
      </c>
    </row>
    <row r="9165" spans="4:4" x14ac:dyDescent="0.25">
      <c r="D9165" t="s">
        <v>17242</v>
      </c>
    </row>
    <row r="9166" spans="4:4" x14ac:dyDescent="0.25">
      <c r="D9166" t="s">
        <v>17243</v>
      </c>
    </row>
    <row r="9167" spans="4:4" x14ac:dyDescent="0.25">
      <c r="D9167" t="s">
        <v>17244</v>
      </c>
    </row>
    <row r="9168" spans="4:4" x14ac:dyDescent="0.25">
      <c r="D9168" t="s">
        <v>17245</v>
      </c>
    </row>
    <row r="9169" spans="4:4" x14ac:dyDescent="0.25">
      <c r="D9169" t="s">
        <v>17246</v>
      </c>
    </row>
    <row r="9170" spans="4:4" x14ac:dyDescent="0.25">
      <c r="D9170" t="s">
        <v>17247</v>
      </c>
    </row>
    <row r="9171" spans="4:4" x14ac:dyDescent="0.25">
      <c r="D9171" t="s">
        <v>17248</v>
      </c>
    </row>
    <row r="9172" spans="4:4" x14ac:dyDescent="0.25">
      <c r="D9172" t="s">
        <v>17249</v>
      </c>
    </row>
    <row r="9173" spans="4:4" x14ac:dyDescent="0.25">
      <c r="D9173" t="s">
        <v>17250</v>
      </c>
    </row>
    <row r="9174" spans="4:4" x14ac:dyDescent="0.25">
      <c r="D9174" t="s">
        <v>17251</v>
      </c>
    </row>
    <row r="9175" spans="4:4" x14ac:dyDescent="0.25">
      <c r="D9175" t="s">
        <v>17252</v>
      </c>
    </row>
    <row r="9176" spans="4:4" x14ac:dyDescent="0.25">
      <c r="D9176" t="s">
        <v>17253</v>
      </c>
    </row>
    <row r="9177" spans="4:4" x14ac:dyDescent="0.25">
      <c r="D9177" t="s">
        <v>17254</v>
      </c>
    </row>
    <row r="9178" spans="4:4" x14ac:dyDescent="0.25">
      <c r="D9178" t="s">
        <v>17255</v>
      </c>
    </row>
    <row r="9179" spans="4:4" x14ac:dyDescent="0.25">
      <c r="D9179" t="s">
        <v>17256</v>
      </c>
    </row>
    <row r="9180" spans="4:4" x14ac:dyDescent="0.25">
      <c r="D9180" t="s">
        <v>17257</v>
      </c>
    </row>
    <row r="9181" spans="4:4" x14ac:dyDescent="0.25">
      <c r="D9181" t="s">
        <v>17258</v>
      </c>
    </row>
    <row r="9182" spans="4:4" x14ac:dyDescent="0.25">
      <c r="D9182" t="s">
        <v>17259</v>
      </c>
    </row>
    <row r="9183" spans="4:4" x14ac:dyDescent="0.25">
      <c r="D9183" t="s">
        <v>17260</v>
      </c>
    </row>
    <row r="9184" spans="4:4" x14ac:dyDescent="0.25">
      <c r="D9184" t="s">
        <v>17261</v>
      </c>
    </row>
    <row r="9185" spans="4:4" x14ac:dyDescent="0.25">
      <c r="D9185" t="s">
        <v>17262</v>
      </c>
    </row>
    <row r="9186" spans="4:4" x14ac:dyDescent="0.25">
      <c r="D9186" t="s">
        <v>17263</v>
      </c>
    </row>
    <row r="9187" spans="4:4" x14ac:dyDescent="0.25">
      <c r="D9187" t="s">
        <v>17264</v>
      </c>
    </row>
    <row r="9188" spans="4:4" x14ac:dyDescent="0.25">
      <c r="D9188" t="s">
        <v>17265</v>
      </c>
    </row>
    <row r="9189" spans="4:4" x14ac:dyDescent="0.25">
      <c r="D9189" t="s">
        <v>17266</v>
      </c>
    </row>
    <row r="9190" spans="4:4" x14ac:dyDescent="0.25">
      <c r="D9190" t="s">
        <v>17267</v>
      </c>
    </row>
    <row r="9191" spans="4:4" x14ac:dyDescent="0.25">
      <c r="D9191" t="s">
        <v>17268</v>
      </c>
    </row>
    <row r="9192" spans="4:4" x14ac:dyDescent="0.25">
      <c r="D9192" t="s">
        <v>17269</v>
      </c>
    </row>
    <row r="9193" spans="4:4" x14ac:dyDescent="0.25">
      <c r="D9193" t="s">
        <v>17270</v>
      </c>
    </row>
    <row r="9194" spans="4:4" x14ac:dyDescent="0.25">
      <c r="D9194" t="s">
        <v>17271</v>
      </c>
    </row>
    <row r="9195" spans="4:4" x14ac:dyDescent="0.25">
      <c r="D9195" t="s">
        <v>17272</v>
      </c>
    </row>
    <row r="9196" spans="4:4" x14ac:dyDescent="0.25">
      <c r="D9196" t="s">
        <v>17273</v>
      </c>
    </row>
    <row r="9197" spans="4:4" x14ac:dyDescent="0.25">
      <c r="D9197" t="s">
        <v>17274</v>
      </c>
    </row>
    <row r="9198" spans="4:4" x14ac:dyDescent="0.25">
      <c r="D9198" t="s">
        <v>17275</v>
      </c>
    </row>
    <row r="9199" spans="4:4" x14ac:dyDescent="0.25">
      <c r="D9199" t="s">
        <v>17276</v>
      </c>
    </row>
    <row r="9200" spans="4:4" x14ac:dyDescent="0.25">
      <c r="D9200" t="s">
        <v>17277</v>
      </c>
    </row>
    <row r="9201" spans="4:4" x14ac:dyDescent="0.25">
      <c r="D9201" t="s">
        <v>17278</v>
      </c>
    </row>
    <row r="9202" spans="4:4" x14ac:dyDescent="0.25">
      <c r="D9202" t="s">
        <v>17279</v>
      </c>
    </row>
    <row r="9203" spans="4:4" x14ac:dyDescent="0.25">
      <c r="D9203" t="s">
        <v>17280</v>
      </c>
    </row>
    <row r="9204" spans="4:4" x14ac:dyDescent="0.25">
      <c r="D9204" t="s">
        <v>17281</v>
      </c>
    </row>
    <row r="9205" spans="4:4" x14ac:dyDescent="0.25">
      <c r="D9205" t="s">
        <v>17282</v>
      </c>
    </row>
    <row r="9206" spans="4:4" x14ac:dyDescent="0.25">
      <c r="D9206" t="s">
        <v>17283</v>
      </c>
    </row>
    <row r="9207" spans="4:4" x14ac:dyDescent="0.25">
      <c r="D9207" t="s">
        <v>17284</v>
      </c>
    </row>
    <row r="9208" spans="4:4" x14ac:dyDescent="0.25">
      <c r="D9208" t="s">
        <v>17285</v>
      </c>
    </row>
    <row r="9209" spans="4:4" x14ac:dyDescent="0.25">
      <c r="D9209" t="s">
        <v>17286</v>
      </c>
    </row>
    <row r="9210" spans="4:4" x14ac:dyDescent="0.25">
      <c r="D9210" t="s">
        <v>17287</v>
      </c>
    </row>
    <row r="9211" spans="4:4" x14ac:dyDescent="0.25">
      <c r="D9211" t="s">
        <v>17288</v>
      </c>
    </row>
    <row r="9212" spans="4:4" x14ac:dyDescent="0.25">
      <c r="D9212" t="s">
        <v>17289</v>
      </c>
    </row>
    <row r="9213" spans="4:4" x14ac:dyDescent="0.25">
      <c r="D9213" t="s">
        <v>17290</v>
      </c>
    </row>
    <row r="9214" spans="4:4" x14ac:dyDescent="0.25">
      <c r="D9214" t="s">
        <v>17291</v>
      </c>
    </row>
    <row r="9215" spans="4:4" x14ac:dyDescent="0.25">
      <c r="D9215" t="s">
        <v>17292</v>
      </c>
    </row>
    <row r="9216" spans="4:4" x14ac:dyDescent="0.25">
      <c r="D9216" t="s">
        <v>17293</v>
      </c>
    </row>
    <row r="9217" spans="4:4" x14ac:dyDescent="0.25">
      <c r="D9217" t="s">
        <v>17294</v>
      </c>
    </row>
    <row r="9218" spans="4:4" x14ac:dyDescent="0.25">
      <c r="D9218" t="s">
        <v>17295</v>
      </c>
    </row>
    <row r="9219" spans="4:4" x14ac:dyDescent="0.25">
      <c r="D9219" t="s">
        <v>17296</v>
      </c>
    </row>
    <row r="9220" spans="4:4" x14ac:dyDescent="0.25">
      <c r="D9220" t="s">
        <v>17297</v>
      </c>
    </row>
    <row r="9221" spans="4:4" x14ac:dyDescent="0.25">
      <c r="D9221" t="s">
        <v>17298</v>
      </c>
    </row>
    <row r="9222" spans="4:4" x14ac:dyDescent="0.25">
      <c r="D9222" t="s">
        <v>17299</v>
      </c>
    </row>
    <row r="9223" spans="4:4" x14ac:dyDescent="0.25">
      <c r="D9223" t="s">
        <v>17300</v>
      </c>
    </row>
    <row r="9224" spans="4:4" x14ac:dyDescent="0.25">
      <c r="D9224" t="s">
        <v>17301</v>
      </c>
    </row>
    <row r="9225" spans="4:4" x14ac:dyDescent="0.25">
      <c r="D9225" t="s">
        <v>17302</v>
      </c>
    </row>
    <row r="9226" spans="4:4" x14ac:dyDescent="0.25">
      <c r="D9226" t="s">
        <v>17303</v>
      </c>
    </row>
    <row r="9227" spans="4:4" x14ac:dyDescent="0.25">
      <c r="D9227" t="s">
        <v>17304</v>
      </c>
    </row>
    <row r="9228" spans="4:4" x14ac:dyDescent="0.25">
      <c r="D9228" t="s">
        <v>17305</v>
      </c>
    </row>
    <row r="9229" spans="4:4" x14ac:dyDescent="0.25">
      <c r="D9229" t="s">
        <v>17306</v>
      </c>
    </row>
    <row r="9230" spans="4:4" x14ac:dyDescent="0.25">
      <c r="D9230" t="s">
        <v>17307</v>
      </c>
    </row>
    <row r="9231" spans="4:4" x14ac:dyDescent="0.25">
      <c r="D9231" t="s">
        <v>17308</v>
      </c>
    </row>
    <row r="9232" spans="4:4" x14ac:dyDescent="0.25">
      <c r="D9232" t="s">
        <v>17309</v>
      </c>
    </row>
    <row r="9233" spans="4:4" x14ac:dyDescent="0.25">
      <c r="D9233" t="s">
        <v>17310</v>
      </c>
    </row>
    <row r="9234" spans="4:4" x14ac:dyDescent="0.25">
      <c r="D9234" t="s">
        <v>17311</v>
      </c>
    </row>
    <row r="9235" spans="4:4" x14ac:dyDescent="0.25">
      <c r="D9235" t="s">
        <v>17312</v>
      </c>
    </row>
    <row r="9236" spans="4:4" x14ac:dyDescent="0.25">
      <c r="D9236" t="s">
        <v>17313</v>
      </c>
    </row>
    <row r="9237" spans="4:4" x14ac:dyDescent="0.25">
      <c r="D9237" t="s">
        <v>17314</v>
      </c>
    </row>
    <row r="9238" spans="4:4" x14ac:dyDescent="0.25">
      <c r="D9238" t="s">
        <v>17315</v>
      </c>
    </row>
    <row r="9239" spans="4:4" x14ac:dyDescent="0.25">
      <c r="D9239" t="s">
        <v>17316</v>
      </c>
    </row>
    <row r="9240" spans="4:4" x14ac:dyDescent="0.25">
      <c r="D9240" t="s">
        <v>17317</v>
      </c>
    </row>
    <row r="9241" spans="4:4" x14ac:dyDescent="0.25">
      <c r="D9241" t="s">
        <v>17318</v>
      </c>
    </row>
    <row r="9242" spans="4:4" x14ac:dyDescent="0.25">
      <c r="D9242" t="s">
        <v>17319</v>
      </c>
    </row>
    <row r="9243" spans="4:4" x14ac:dyDescent="0.25">
      <c r="D9243" t="s">
        <v>17320</v>
      </c>
    </row>
    <row r="9244" spans="4:4" x14ac:dyDescent="0.25">
      <c r="D9244" t="s">
        <v>17321</v>
      </c>
    </row>
    <row r="9245" spans="4:4" x14ac:dyDescent="0.25">
      <c r="D9245" t="s">
        <v>17322</v>
      </c>
    </row>
    <row r="9246" spans="4:4" x14ac:dyDescent="0.25">
      <c r="D9246" t="s">
        <v>17323</v>
      </c>
    </row>
    <row r="9247" spans="4:4" x14ac:dyDescent="0.25">
      <c r="D9247" t="s">
        <v>17324</v>
      </c>
    </row>
    <row r="9248" spans="4:4" x14ac:dyDescent="0.25">
      <c r="D9248" t="s">
        <v>17325</v>
      </c>
    </row>
    <row r="9249" spans="4:4" x14ac:dyDescent="0.25">
      <c r="D9249" t="s">
        <v>17326</v>
      </c>
    </row>
    <row r="9250" spans="4:4" x14ac:dyDescent="0.25">
      <c r="D9250" t="s">
        <v>17327</v>
      </c>
    </row>
    <row r="9251" spans="4:4" x14ac:dyDescent="0.25">
      <c r="D9251" t="s">
        <v>17328</v>
      </c>
    </row>
    <row r="9252" spans="4:4" x14ac:dyDescent="0.25">
      <c r="D9252" t="s">
        <v>17329</v>
      </c>
    </row>
    <row r="9253" spans="4:4" x14ac:dyDescent="0.25">
      <c r="D9253" t="s">
        <v>17330</v>
      </c>
    </row>
    <row r="9254" spans="4:4" x14ac:dyDescent="0.25">
      <c r="D9254" t="s">
        <v>17331</v>
      </c>
    </row>
    <row r="9255" spans="4:4" x14ac:dyDescent="0.25">
      <c r="D9255" t="s">
        <v>17332</v>
      </c>
    </row>
    <row r="9256" spans="4:4" x14ac:dyDescent="0.25">
      <c r="D9256" t="s">
        <v>17333</v>
      </c>
    </row>
    <row r="9257" spans="4:4" x14ac:dyDescent="0.25">
      <c r="D9257" t="s">
        <v>17334</v>
      </c>
    </row>
    <row r="9258" spans="4:4" x14ac:dyDescent="0.25">
      <c r="D9258" t="s">
        <v>17335</v>
      </c>
    </row>
    <row r="9259" spans="4:4" x14ac:dyDescent="0.25">
      <c r="D9259" t="s">
        <v>17336</v>
      </c>
    </row>
    <row r="9260" spans="4:4" x14ac:dyDescent="0.25">
      <c r="D9260" t="s">
        <v>17337</v>
      </c>
    </row>
    <row r="9261" spans="4:4" x14ac:dyDescent="0.25">
      <c r="D9261" t="s">
        <v>17338</v>
      </c>
    </row>
    <row r="9262" spans="4:4" x14ac:dyDescent="0.25">
      <c r="D9262" t="s">
        <v>17339</v>
      </c>
    </row>
    <row r="9263" spans="4:4" x14ac:dyDescent="0.25">
      <c r="D9263" t="s">
        <v>17340</v>
      </c>
    </row>
    <row r="9264" spans="4:4" x14ac:dyDescent="0.25">
      <c r="D9264" t="s">
        <v>17341</v>
      </c>
    </row>
    <row r="9265" spans="4:4" x14ac:dyDescent="0.25">
      <c r="D9265" t="s">
        <v>17342</v>
      </c>
    </row>
    <row r="9266" spans="4:4" x14ac:dyDescent="0.25">
      <c r="D9266" t="s">
        <v>17343</v>
      </c>
    </row>
    <row r="9267" spans="4:4" x14ac:dyDescent="0.25">
      <c r="D9267" t="s">
        <v>17344</v>
      </c>
    </row>
    <row r="9268" spans="4:4" x14ac:dyDescent="0.25">
      <c r="D9268" t="s">
        <v>17345</v>
      </c>
    </row>
    <row r="9269" spans="4:4" x14ac:dyDescent="0.25">
      <c r="D9269" t="s">
        <v>17346</v>
      </c>
    </row>
    <row r="9270" spans="4:4" x14ac:dyDescent="0.25">
      <c r="D9270" t="s">
        <v>17347</v>
      </c>
    </row>
    <row r="9271" spans="4:4" x14ac:dyDescent="0.25">
      <c r="D9271" t="s">
        <v>17348</v>
      </c>
    </row>
    <row r="9272" spans="4:4" x14ac:dyDescent="0.25">
      <c r="D9272" t="s">
        <v>17349</v>
      </c>
    </row>
    <row r="9273" spans="4:4" x14ac:dyDescent="0.25">
      <c r="D9273" t="s">
        <v>17350</v>
      </c>
    </row>
    <row r="9274" spans="4:4" x14ac:dyDescent="0.25">
      <c r="D9274" t="s">
        <v>17351</v>
      </c>
    </row>
    <row r="9275" spans="4:4" x14ac:dyDescent="0.25">
      <c r="D9275" t="s">
        <v>17352</v>
      </c>
    </row>
    <row r="9276" spans="4:4" x14ac:dyDescent="0.25">
      <c r="D9276" t="s">
        <v>17353</v>
      </c>
    </row>
    <row r="9277" spans="4:4" x14ac:dyDescent="0.25">
      <c r="D9277" t="s">
        <v>17354</v>
      </c>
    </row>
    <row r="9278" spans="4:4" x14ac:dyDescent="0.25">
      <c r="D9278" t="s">
        <v>17355</v>
      </c>
    </row>
    <row r="9279" spans="4:4" x14ac:dyDescent="0.25">
      <c r="D9279" t="s">
        <v>17356</v>
      </c>
    </row>
    <row r="9280" spans="4:4" x14ac:dyDescent="0.25">
      <c r="D9280" t="s">
        <v>17357</v>
      </c>
    </row>
    <row r="9281" spans="4:4" x14ac:dyDescent="0.25">
      <c r="D9281" t="s">
        <v>17358</v>
      </c>
    </row>
    <row r="9282" spans="4:4" x14ac:dyDescent="0.25">
      <c r="D9282" t="s">
        <v>17359</v>
      </c>
    </row>
    <row r="9283" spans="4:4" x14ac:dyDescent="0.25">
      <c r="D9283" t="s">
        <v>17360</v>
      </c>
    </row>
    <row r="9284" spans="4:4" x14ac:dyDescent="0.25">
      <c r="D9284" t="s">
        <v>17361</v>
      </c>
    </row>
    <row r="9285" spans="4:4" x14ac:dyDescent="0.25">
      <c r="D9285" t="s">
        <v>17362</v>
      </c>
    </row>
    <row r="9286" spans="4:4" x14ac:dyDescent="0.25">
      <c r="D9286" t="s">
        <v>17363</v>
      </c>
    </row>
    <row r="9287" spans="4:4" x14ac:dyDescent="0.25">
      <c r="D9287" t="s">
        <v>17364</v>
      </c>
    </row>
    <row r="9288" spans="4:4" x14ac:dyDescent="0.25">
      <c r="D9288" t="s">
        <v>17365</v>
      </c>
    </row>
    <row r="9289" spans="4:4" x14ac:dyDescent="0.25">
      <c r="D9289" t="s">
        <v>17366</v>
      </c>
    </row>
    <row r="9290" spans="4:4" x14ac:dyDescent="0.25">
      <c r="D9290" t="s">
        <v>17367</v>
      </c>
    </row>
    <row r="9291" spans="4:4" x14ac:dyDescent="0.25">
      <c r="D9291" t="s">
        <v>17368</v>
      </c>
    </row>
    <row r="9292" spans="4:4" x14ac:dyDescent="0.25">
      <c r="D9292" t="s">
        <v>17369</v>
      </c>
    </row>
    <row r="9293" spans="4:4" x14ac:dyDescent="0.25">
      <c r="D9293" t="s">
        <v>17370</v>
      </c>
    </row>
    <row r="9294" spans="4:4" x14ac:dyDescent="0.25">
      <c r="D9294" t="s">
        <v>17371</v>
      </c>
    </row>
    <row r="9295" spans="4:4" x14ac:dyDescent="0.25">
      <c r="D9295" t="s">
        <v>17372</v>
      </c>
    </row>
    <row r="9296" spans="4:4" x14ac:dyDescent="0.25">
      <c r="D9296" t="s">
        <v>17373</v>
      </c>
    </row>
    <row r="9297" spans="4:4" x14ac:dyDescent="0.25">
      <c r="D9297" t="s">
        <v>17374</v>
      </c>
    </row>
    <row r="9298" spans="4:4" x14ac:dyDescent="0.25">
      <c r="D9298" t="s">
        <v>17375</v>
      </c>
    </row>
    <row r="9299" spans="4:4" x14ac:dyDescent="0.25">
      <c r="D9299" t="s">
        <v>17376</v>
      </c>
    </row>
    <row r="9300" spans="4:4" x14ac:dyDescent="0.25">
      <c r="D9300" t="s">
        <v>17377</v>
      </c>
    </row>
    <row r="9301" spans="4:4" x14ac:dyDescent="0.25">
      <c r="D9301" t="s">
        <v>17378</v>
      </c>
    </row>
    <row r="9302" spans="4:4" x14ac:dyDescent="0.25">
      <c r="D9302" t="s">
        <v>17379</v>
      </c>
    </row>
    <row r="9303" spans="4:4" x14ac:dyDescent="0.25">
      <c r="D9303" t="s">
        <v>17380</v>
      </c>
    </row>
    <row r="9304" spans="4:4" x14ac:dyDescent="0.25">
      <c r="D9304" t="s">
        <v>17381</v>
      </c>
    </row>
    <row r="9305" spans="4:4" x14ac:dyDescent="0.25">
      <c r="D9305" t="s">
        <v>17382</v>
      </c>
    </row>
    <row r="9306" spans="4:4" x14ac:dyDescent="0.25">
      <c r="D9306" t="s">
        <v>17383</v>
      </c>
    </row>
    <row r="9307" spans="4:4" x14ac:dyDescent="0.25">
      <c r="D9307" t="s">
        <v>17384</v>
      </c>
    </row>
    <row r="9308" spans="4:4" x14ac:dyDescent="0.25">
      <c r="D9308" t="s">
        <v>17385</v>
      </c>
    </row>
    <row r="9309" spans="4:4" x14ac:dyDescent="0.25">
      <c r="D9309" t="s">
        <v>17386</v>
      </c>
    </row>
    <row r="9310" spans="4:4" x14ac:dyDescent="0.25">
      <c r="D9310" t="s">
        <v>17387</v>
      </c>
    </row>
    <row r="9311" spans="4:4" x14ac:dyDescent="0.25">
      <c r="D9311" t="s">
        <v>17388</v>
      </c>
    </row>
    <row r="9312" spans="4:4" x14ac:dyDescent="0.25">
      <c r="D9312" t="s">
        <v>17389</v>
      </c>
    </row>
    <row r="9313" spans="4:4" x14ac:dyDescent="0.25">
      <c r="D9313" t="s">
        <v>17390</v>
      </c>
    </row>
    <row r="9314" spans="4:4" x14ac:dyDescent="0.25">
      <c r="D9314" t="s">
        <v>17391</v>
      </c>
    </row>
    <row r="9315" spans="4:4" x14ac:dyDescent="0.25">
      <c r="D9315" t="s">
        <v>17392</v>
      </c>
    </row>
    <row r="9316" spans="4:4" x14ac:dyDescent="0.25">
      <c r="D9316" t="s">
        <v>17393</v>
      </c>
    </row>
    <row r="9317" spans="4:4" x14ac:dyDescent="0.25">
      <c r="D9317" t="s">
        <v>17394</v>
      </c>
    </row>
    <row r="9318" spans="4:4" x14ac:dyDescent="0.25">
      <c r="D9318" t="s">
        <v>17395</v>
      </c>
    </row>
    <row r="9319" spans="4:4" x14ac:dyDescent="0.25">
      <c r="D9319" t="s">
        <v>17396</v>
      </c>
    </row>
    <row r="9320" spans="4:4" x14ac:dyDescent="0.25">
      <c r="D9320" t="s">
        <v>17397</v>
      </c>
    </row>
    <row r="9321" spans="4:4" x14ac:dyDescent="0.25">
      <c r="D9321" t="s">
        <v>17398</v>
      </c>
    </row>
    <row r="9322" spans="4:4" x14ac:dyDescent="0.25">
      <c r="D9322" t="s">
        <v>17399</v>
      </c>
    </row>
    <row r="9323" spans="4:4" x14ac:dyDescent="0.25">
      <c r="D9323" t="s">
        <v>17400</v>
      </c>
    </row>
    <row r="9324" spans="4:4" x14ac:dyDescent="0.25">
      <c r="D9324" t="s">
        <v>17401</v>
      </c>
    </row>
    <row r="9325" spans="4:4" x14ac:dyDescent="0.25">
      <c r="D9325" t="s">
        <v>17402</v>
      </c>
    </row>
    <row r="9326" spans="4:4" x14ac:dyDescent="0.25">
      <c r="D9326" t="s">
        <v>17403</v>
      </c>
    </row>
    <row r="9327" spans="4:4" x14ac:dyDescent="0.25">
      <c r="D9327" t="s">
        <v>17404</v>
      </c>
    </row>
    <row r="9328" spans="4:4" x14ac:dyDescent="0.25">
      <c r="D9328" t="s">
        <v>17405</v>
      </c>
    </row>
    <row r="9329" spans="4:4" x14ac:dyDescent="0.25">
      <c r="D9329" t="s">
        <v>17406</v>
      </c>
    </row>
    <row r="9330" spans="4:4" x14ac:dyDescent="0.25">
      <c r="D9330" t="s">
        <v>17407</v>
      </c>
    </row>
    <row r="9331" spans="4:4" x14ac:dyDescent="0.25">
      <c r="D9331" t="s">
        <v>17408</v>
      </c>
    </row>
    <row r="9332" spans="4:4" x14ac:dyDescent="0.25">
      <c r="D9332" t="s">
        <v>17409</v>
      </c>
    </row>
    <row r="9333" spans="4:4" x14ac:dyDescent="0.25">
      <c r="D9333" t="s">
        <v>17410</v>
      </c>
    </row>
    <row r="9334" spans="4:4" x14ac:dyDescent="0.25">
      <c r="D9334" t="s">
        <v>17411</v>
      </c>
    </row>
    <row r="9335" spans="4:4" x14ac:dyDescent="0.25">
      <c r="D9335" t="s">
        <v>17412</v>
      </c>
    </row>
    <row r="9336" spans="4:4" x14ac:dyDescent="0.25">
      <c r="D9336" t="s">
        <v>17413</v>
      </c>
    </row>
    <row r="9337" spans="4:4" x14ac:dyDescent="0.25">
      <c r="D9337" t="s">
        <v>17414</v>
      </c>
    </row>
    <row r="9338" spans="4:4" x14ac:dyDescent="0.25">
      <c r="D9338" t="s">
        <v>17415</v>
      </c>
    </row>
    <row r="9339" spans="4:4" x14ac:dyDescent="0.25">
      <c r="D9339" t="s">
        <v>17416</v>
      </c>
    </row>
    <row r="9340" spans="4:4" x14ac:dyDescent="0.25">
      <c r="D9340" t="s">
        <v>17417</v>
      </c>
    </row>
    <row r="9341" spans="4:4" x14ac:dyDescent="0.25">
      <c r="D9341" t="s">
        <v>17418</v>
      </c>
    </row>
    <row r="9342" spans="4:4" x14ac:dyDescent="0.25">
      <c r="D9342" t="s">
        <v>17419</v>
      </c>
    </row>
    <row r="9343" spans="4:4" x14ac:dyDescent="0.25">
      <c r="D9343" t="s">
        <v>17420</v>
      </c>
    </row>
    <row r="9344" spans="4:4" x14ac:dyDescent="0.25">
      <c r="D9344" t="s">
        <v>17421</v>
      </c>
    </row>
    <row r="9345" spans="4:4" x14ac:dyDescent="0.25">
      <c r="D9345" t="s">
        <v>17422</v>
      </c>
    </row>
    <row r="9346" spans="4:4" x14ac:dyDescent="0.25">
      <c r="D9346" t="s">
        <v>17423</v>
      </c>
    </row>
    <row r="9347" spans="4:4" x14ac:dyDescent="0.25">
      <c r="D9347" t="s">
        <v>17424</v>
      </c>
    </row>
    <row r="9348" spans="4:4" x14ac:dyDescent="0.25">
      <c r="D9348" t="s">
        <v>17425</v>
      </c>
    </row>
    <row r="9349" spans="4:4" x14ac:dyDescent="0.25">
      <c r="D9349" t="s">
        <v>17426</v>
      </c>
    </row>
    <row r="9350" spans="4:4" x14ac:dyDescent="0.25">
      <c r="D9350" t="s">
        <v>17427</v>
      </c>
    </row>
    <row r="9351" spans="4:4" x14ac:dyDescent="0.25">
      <c r="D9351" t="s">
        <v>17428</v>
      </c>
    </row>
    <row r="9352" spans="4:4" x14ac:dyDescent="0.25">
      <c r="D9352" t="s">
        <v>17429</v>
      </c>
    </row>
    <row r="9353" spans="4:4" x14ac:dyDescent="0.25">
      <c r="D9353" t="s">
        <v>17430</v>
      </c>
    </row>
    <row r="9354" spans="4:4" x14ac:dyDescent="0.25">
      <c r="D9354" t="s">
        <v>17431</v>
      </c>
    </row>
    <row r="9355" spans="4:4" x14ac:dyDescent="0.25">
      <c r="D9355" t="s">
        <v>17432</v>
      </c>
    </row>
    <row r="9356" spans="4:4" x14ac:dyDescent="0.25">
      <c r="D9356" t="s">
        <v>17433</v>
      </c>
    </row>
    <row r="9357" spans="4:4" x14ac:dyDescent="0.25">
      <c r="D9357" t="s">
        <v>17434</v>
      </c>
    </row>
    <row r="9358" spans="4:4" x14ac:dyDescent="0.25">
      <c r="D9358" t="s">
        <v>17435</v>
      </c>
    </row>
    <row r="9359" spans="4:4" x14ac:dyDescent="0.25">
      <c r="D9359" t="s">
        <v>17436</v>
      </c>
    </row>
    <row r="9360" spans="4:4" x14ac:dyDescent="0.25">
      <c r="D9360" t="s">
        <v>17437</v>
      </c>
    </row>
    <row r="9361" spans="4:4" x14ac:dyDescent="0.25">
      <c r="D9361" t="s">
        <v>17438</v>
      </c>
    </row>
    <row r="9362" spans="4:4" x14ac:dyDescent="0.25">
      <c r="D9362" t="s">
        <v>17439</v>
      </c>
    </row>
    <row r="9363" spans="4:4" x14ac:dyDescent="0.25">
      <c r="D9363" t="s">
        <v>17440</v>
      </c>
    </row>
    <row r="9364" spans="4:4" x14ac:dyDescent="0.25">
      <c r="D9364" t="s">
        <v>17441</v>
      </c>
    </row>
    <row r="9365" spans="4:4" x14ac:dyDescent="0.25">
      <c r="D9365" t="s">
        <v>17442</v>
      </c>
    </row>
    <row r="9366" spans="4:4" x14ac:dyDescent="0.25">
      <c r="D9366" t="s">
        <v>17443</v>
      </c>
    </row>
    <row r="9367" spans="4:4" x14ac:dyDescent="0.25">
      <c r="D9367" t="s">
        <v>17444</v>
      </c>
    </row>
    <row r="9368" spans="4:4" x14ac:dyDescent="0.25">
      <c r="D9368" t="s">
        <v>17445</v>
      </c>
    </row>
    <row r="9369" spans="4:4" x14ac:dyDescent="0.25">
      <c r="D9369" t="s">
        <v>17446</v>
      </c>
    </row>
    <row r="9370" spans="4:4" x14ac:dyDescent="0.25">
      <c r="D9370" t="s">
        <v>17447</v>
      </c>
    </row>
    <row r="9371" spans="4:4" x14ac:dyDescent="0.25">
      <c r="D9371" t="s">
        <v>17448</v>
      </c>
    </row>
    <row r="9372" spans="4:4" x14ac:dyDescent="0.25">
      <c r="D9372" t="s">
        <v>17449</v>
      </c>
    </row>
    <row r="9373" spans="4:4" x14ac:dyDescent="0.25">
      <c r="D9373" t="s">
        <v>17450</v>
      </c>
    </row>
    <row r="9374" spans="4:4" x14ac:dyDescent="0.25">
      <c r="D9374" t="s">
        <v>17451</v>
      </c>
    </row>
    <row r="9375" spans="4:4" x14ac:dyDescent="0.25">
      <c r="D9375" t="s">
        <v>17452</v>
      </c>
    </row>
    <row r="9376" spans="4:4" x14ac:dyDescent="0.25">
      <c r="D9376" t="s">
        <v>17453</v>
      </c>
    </row>
    <row r="9377" spans="4:4" x14ac:dyDescent="0.25">
      <c r="D9377" t="s">
        <v>17454</v>
      </c>
    </row>
    <row r="9378" spans="4:4" x14ac:dyDescent="0.25">
      <c r="D9378" t="s">
        <v>17455</v>
      </c>
    </row>
    <row r="9379" spans="4:4" x14ac:dyDescent="0.25">
      <c r="D9379" t="s">
        <v>17456</v>
      </c>
    </row>
    <row r="9380" spans="4:4" x14ac:dyDescent="0.25">
      <c r="D9380" t="s">
        <v>17457</v>
      </c>
    </row>
    <row r="9381" spans="4:4" x14ac:dyDescent="0.25">
      <c r="D9381" t="s">
        <v>17458</v>
      </c>
    </row>
    <row r="9382" spans="4:4" x14ac:dyDescent="0.25">
      <c r="D9382" t="s">
        <v>17459</v>
      </c>
    </row>
    <row r="9383" spans="4:4" x14ac:dyDescent="0.25">
      <c r="D9383" t="s">
        <v>17460</v>
      </c>
    </row>
    <row r="9384" spans="4:4" x14ac:dyDescent="0.25">
      <c r="D9384" t="s">
        <v>17461</v>
      </c>
    </row>
    <row r="9385" spans="4:4" x14ac:dyDescent="0.25">
      <c r="D9385" t="s">
        <v>17462</v>
      </c>
    </row>
    <row r="9386" spans="4:4" x14ac:dyDescent="0.25">
      <c r="D9386" t="s">
        <v>17463</v>
      </c>
    </row>
    <row r="9387" spans="4:4" x14ac:dyDescent="0.25">
      <c r="D9387" t="s">
        <v>17464</v>
      </c>
    </row>
    <row r="9388" spans="4:4" x14ac:dyDescent="0.25">
      <c r="D9388" t="s">
        <v>17465</v>
      </c>
    </row>
    <row r="9389" spans="4:4" x14ac:dyDescent="0.25">
      <c r="D9389" t="s">
        <v>17466</v>
      </c>
    </row>
    <row r="9390" spans="4:4" x14ac:dyDescent="0.25">
      <c r="D9390" t="s">
        <v>17467</v>
      </c>
    </row>
    <row r="9391" spans="4:4" x14ac:dyDescent="0.25">
      <c r="D9391" t="s">
        <v>17468</v>
      </c>
    </row>
    <row r="9392" spans="4:4" x14ac:dyDescent="0.25">
      <c r="D9392" t="s">
        <v>17469</v>
      </c>
    </row>
    <row r="9393" spans="4:4" x14ac:dyDescent="0.25">
      <c r="D9393" t="s">
        <v>17470</v>
      </c>
    </row>
    <row r="9394" spans="4:4" x14ac:dyDescent="0.25">
      <c r="D9394" t="s">
        <v>17471</v>
      </c>
    </row>
    <row r="9395" spans="4:4" x14ac:dyDescent="0.25">
      <c r="D9395" t="s">
        <v>17472</v>
      </c>
    </row>
    <row r="9396" spans="4:4" x14ac:dyDescent="0.25">
      <c r="D9396" t="s">
        <v>17473</v>
      </c>
    </row>
    <row r="9397" spans="4:4" x14ac:dyDescent="0.25">
      <c r="D9397" t="s">
        <v>17474</v>
      </c>
    </row>
    <row r="9398" spans="4:4" x14ac:dyDescent="0.25">
      <c r="D9398" t="s">
        <v>17475</v>
      </c>
    </row>
    <row r="9399" spans="4:4" x14ac:dyDescent="0.25">
      <c r="D9399" t="s">
        <v>17476</v>
      </c>
    </row>
    <row r="9400" spans="4:4" x14ac:dyDescent="0.25">
      <c r="D9400" t="s">
        <v>17477</v>
      </c>
    </row>
    <row r="9401" spans="4:4" x14ac:dyDescent="0.25">
      <c r="D9401" t="s">
        <v>17478</v>
      </c>
    </row>
    <row r="9402" spans="4:4" x14ac:dyDescent="0.25">
      <c r="D9402" t="s">
        <v>17479</v>
      </c>
    </row>
    <row r="9403" spans="4:4" x14ac:dyDescent="0.25">
      <c r="D9403" t="s">
        <v>17480</v>
      </c>
    </row>
    <row r="9404" spans="4:4" x14ac:dyDescent="0.25">
      <c r="D9404" t="s">
        <v>17481</v>
      </c>
    </row>
    <row r="9405" spans="4:4" x14ac:dyDescent="0.25">
      <c r="D9405" t="s">
        <v>17482</v>
      </c>
    </row>
    <row r="9406" spans="4:4" x14ac:dyDescent="0.25">
      <c r="D9406" t="s">
        <v>17483</v>
      </c>
    </row>
    <row r="9407" spans="4:4" x14ac:dyDescent="0.25">
      <c r="D9407" t="s">
        <v>17484</v>
      </c>
    </row>
    <row r="9408" spans="4:4" x14ac:dyDescent="0.25">
      <c r="D9408" t="s">
        <v>17485</v>
      </c>
    </row>
    <row r="9409" spans="4:4" x14ac:dyDescent="0.25">
      <c r="D9409" t="s">
        <v>17486</v>
      </c>
    </row>
    <row r="9410" spans="4:4" x14ac:dyDescent="0.25">
      <c r="D9410" t="s">
        <v>17487</v>
      </c>
    </row>
    <row r="9411" spans="4:4" x14ac:dyDescent="0.25">
      <c r="D9411" t="s">
        <v>17488</v>
      </c>
    </row>
    <row r="9412" spans="4:4" x14ac:dyDescent="0.25">
      <c r="D9412" t="s">
        <v>17489</v>
      </c>
    </row>
    <row r="9413" spans="4:4" x14ac:dyDescent="0.25">
      <c r="D9413" t="s">
        <v>17490</v>
      </c>
    </row>
    <row r="9414" spans="4:4" x14ac:dyDescent="0.25">
      <c r="D9414" t="s">
        <v>17491</v>
      </c>
    </row>
    <row r="9415" spans="4:4" x14ac:dyDescent="0.25">
      <c r="D9415" t="s">
        <v>17492</v>
      </c>
    </row>
    <row r="9416" spans="4:4" x14ac:dyDescent="0.25">
      <c r="D9416" t="s">
        <v>17493</v>
      </c>
    </row>
    <row r="9417" spans="4:4" x14ac:dyDescent="0.25">
      <c r="D9417" t="s">
        <v>17494</v>
      </c>
    </row>
    <row r="9418" spans="4:4" x14ac:dyDescent="0.25">
      <c r="D9418" t="s">
        <v>17495</v>
      </c>
    </row>
    <row r="9419" spans="4:4" x14ac:dyDescent="0.25">
      <c r="D9419" t="s">
        <v>17496</v>
      </c>
    </row>
    <row r="9420" spans="4:4" x14ac:dyDescent="0.25">
      <c r="D9420" t="s">
        <v>17497</v>
      </c>
    </row>
    <row r="9421" spans="4:4" x14ac:dyDescent="0.25">
      <c r="D9421" t="s">
        <v>17498</v>
      </c>
    </row>
    <row r="9422" spans="4:4" x14ac:dyDescent="0.25">
      <c r="D9422" t="s">
        <v>17499</v>
      </c>
    </row>
    <row r="9423" spans="4:4" x14ac:dyDescent="0.25">
      <c r="D9423" t="s">
        <v>17500</v>
      </c>
    </row>
    <row r="9424" spans="4:4" x14ac:dyDescent="0.25">
      <c r="D9424" t="s">
        <v>17501</v>
      </c>
    </row>
    <row r="9425" spans="4:4" x14ac:dyDescent="0.25">
      <c r="D9425" t="s">
        <v>17502</v>
      </c>
    </row>
    <row r="9426" spans="4:4" x14ac:dyDescent="0.25">
      <c r="D9426" t="s">
        <v>17503</v>
      </c>
    </row>
    <row r="9427" spans="4:4" x14ac:dyDescent="0.25">
      <c r="D9427" t="s">
        <v>17504</v>
      </c>
    </row>
    <row r="9428" spans="4:4" x14ac:dyDescent="0.25">
      <c r="D9428" t="s">
        <v>17505</v>
      </c>
    </row>
    <row r="9429" spans="4:4" x14ac:dyDescent="0.25">
      <c r="D9429" t="s">
        <v>17506</v>
      </c>
    </row>
    <row r="9430" spans="4:4" x14ac:dyDescent="0.25">
      <c r="D9430" t="s">
        <v>17507</v>
      </c>
    </row>
    <row r="9431" spans="4:4" x14ac:dyDescent="0.25">
      <c r="D9431" t="s">
        <v>17508</v>
      </c>
    </row>
    <row r="9432" spans="4:4" x14ac:dyDescent="0.25">
      <c r="D9432" t="s">
        <v>17509</v>
      </c>
    </row>
    <row r="9433" spans="4:4" x14ac:dyDescent="0.25">
      <c r="D9433" t="s">
        <v>17510</v>
      </c>
    </row>
    <row r="9434" spans="4:4" x14ac:dyDescent="0.25">
      <c r="D9434" t="s">
        <v>17511</v>
      </c>
    </row>
    <row r="9435" spans="4:4" x14ac:dyDescent="0.25">
      <c r="D9435" t="s">
        <v>17512</v>
      </c>
    </row>
    <row r="9436" spans="4:4" x14ac:dyDescent="0.25">
      <c r="D9436" t="s">
        <v>17513</v>
      </c>
    </row>
    <row r="9437" spans="4:4" x14ac:dyDescent="0.25">
      <c r="D9437" t="s">
        <v>17514</v>
      </c>
    </row>
    <row r="9438" spans="4:4" x14ac:dyDescent="0.25">
      <c r="D9438" t="s">
        <v>17515</v>
      </c>
    </row>
    <row r="9439" spans="4:4" x14ac:dyDescent="0.25">
      <c r="D9439" t="s">
        <v>17516</v>
      </c>
    </row>
    <row r="9440" spans="4:4" x14ac:dyDescent="0.25">
      <c r="D9440" t="s">
        <v>17517</v>
      </c>
    </row>
    <row r="9441" spans="4:4" x14ac:dyDescent="0.25">
      <c r="D9441" t="s">
        <v>17518</v>
      </c>
    </row>
    <row r="9442" spans="4:4" x14ac:dyDescent="0.25">
      <c r="D9442" t="s">
        <v>17519</v>
      </c>
    </row>
    <row r="9443" spans="4:4" x14ac:dyDescent="0.25">
      <c r="D9443" t="s">
        <v>17520</v>
      </c>
    </row>
    <row r="9444" spans="4:4" x14ac:dyDescent="0.25">
      <c r="D9444" t="s">
        <v>17521</v>
      </c>
    </row>
    <row r="9445" spans="4:4" x14ac:dyDescent="0.25">
      <c r="D9445" t="s">
        <v>17522</v>
      </c>
    </row>
    <row r="9446" spans="4:4" x14ac:dyDescent="0.25">
      <c r="D9446" t="s">
        <v>17523</v>
      </c>
    </row>
    <row r="9447" spans="4:4" x14ac:dyDescent="0.25">
      <c r="D9447" t="s">
        <v>17524</v>
      </c>
    </row>
    <row r="9448" spans="4:4" x14ac:dyDescent="0.25">
      <c r="D9448" t="s">
        <v>17525</v>
      </c>
    </row>
    <row r="9449" spans="4:4" x14ac:dyDescent="0.25">
      <c r="D9449" t="s">
        <v>17526</v>
      </c>
    </row>
    <row r="9450" spans="4:4" x14ac:dyDescent="0.25">
      <c r="D9450" t="s">
        <v>17527</v>
      </c>
    </row>
    <row r="9451" spans="4:4" x14ac:dyDescent="0.25">
      <c r="D9451" t="s">
        <v>17528</v>
      </c>
    </row>
    <row r="9452" spans="4:4" x14ac:dyDescent="0.25">
      <c r="D9452" t="s">
        <v>17529</v>
      </c>
    </row>
    <row r="9453" spans="4:4" x14ac:dyDescent="0.25">
      <c r="D9453" t="s">
        <v>17530</v>
      </c>
    </row>
    <row r="9454" spans="4:4" x14ac:dyDescent="0.25">
      <c r="D9454" t="s">
        <v>17531</v>
      </c>
    </row>
    <row r="9455" spans="4:4" x14ac:dyDescent="0.25">
      <c r="D9455" t="s">
        <v>17532</v>
      </c>
    </row>
    <row r="9456" spans="4:4" x14ac:dyDescent="0.25">
      <c r="D9456" t="s">
        <v>17533</v>
      </c>
    </row>
    <row r="9457" spans="4:4" x14ac:dyDescent="0.25">
      <c r="D9457" t="s">
        <v>17534</v>
      </c>
    </row>
    <row r="9458" spans="4:4" x14ac:dyDescent="0.25">
      <c r="D9458" t="s">
        <v>17535</v>
      </c>
    </row>
    <row r="9459" spans="4:4" x14ac:dyDescent="0.25">
      <c r="D9459" t="s">
        <v>17536</v>
      </c>
    </row>
    <row r="9460" spans="4:4" x14ac:dyDescent="0.25">
      <c r="D9460" t="s">
        <v>17537</v>
      </c>
    </row>
    <row r="9461" spans="4:4" x14ac:dyDescent="0.25">
      <c r="D9461" t="s">
        <v>17538</v>
      </c>
    </row>
    <row r="9462" spans="4:4" x14ac:dyDescent="0.25">
      <c r="D9462" t="s">
        <v>17539</v>
      </c>
    </row>
    <row r="9463" spans="4:4" x14ac:dyDescent="0.25">
      <c r="D9463" t="s">
        <v>17540</v>
      </c>
    </row>
    <row r="9464" spans="4:4" x14ac:dyDescent="0.25">
      <c r="D9464" t="s">
        <v>17541</v>
      </c>
    </row>
    <row r="9465" spans="4:4" x14ac:dyDescent="0.25">
      <c r="D9465" t="s">
        <v>17542</v>
      </c>
    </row>
    <row r="9466" spans="4:4" x14ac:dyDescent="0.25">
      <c r="D9466" t="s">
        <v>17543</v>
      </c>
    </row>
    <row r="9467" spans="4:4" x14ac:dyDescent="0.25">
      <c r="D9467" t="s">
        <v>17544</v>
      </c>
    </row>
    <row r="9468" spans="4:4" x14ac:dyDescent="0.25">
      <c r="D9468" t="s">
        <v>17545</v>
      </c>
    </row>
    <row r="9469" spans="4:4" x14ac:dyDescent="0.25">
      <c r="D9469" t="s">
        <v>17546</v>
      </c>
    </row>
    <row r="9470" spans="4:4" x14ac:dyDescent="0.25">
      <c r="D9470" t="s">
        <v>17547</v>
      </c>
    </row>
    <row r="9471" spans="4:4" x14ac:dyDescent="0.25">
      <c r="D9471" t="s">
        <v>17548</v>
      </c>
    </row>
    <row r="9472" spans="4:4" x14ac:dyDescent="0.25">
      <c r="D9472" t="s">
        <v>17549</v>
      </c>
    </row>
    <row r="9473" spans="4:4" x14ac:dyDescent="0.25">
      <c r="D9473" t="s">
        <v>17550</v>
      </c>
    </row>
    <row r="9474" spans="4:4" x14ac:dyDescent="0.25">
      <c r="D9474" t="s">
        <v>17551</v>
      </c>
    </row>
    <row r="9475" spans="4:4" x14ac:dyDescent="0.25">
      <c r="D9475" t="s">
        <v>17552</v>
      </c>
    </row>
    <row r="9476" spans="4:4" x14ac:dyDescent="0.25">
      <c r="D9476" t="s">
        <v>17553</v>
      </c>
    </row>
    <row r="9477" spans="4:4" x14ac:dyDescent="0.25">
      <c r="D9477" t="s">
        <v>17554</v>
      </c>
    </row>
    <row r="9478" spans="4:4" x14ac:dyDescent="0.25">
      <c r="D9478" t="s">
        <v>17555</v>
      </c>
    </row>
    <row r="9479" spans="4:4" x14ac:dyDescent="0.25">
      <c r="D9479" t="s">
        <v>17556</v>
      </c>
    </row>
    <row r="9480" spans="4:4" x14ac:dyDescent="0.25">
      <c r="D9480" t="s">
        <v>17557</v>
      </c>
    </row>
    <row r="9481" spans="4:4" x14ac:dyDescent="0.25">
      <c r="D9481" t="s">
        <v>17558</v>
      </c>
    </row>
    <row r="9482" spans="4:4" x14ac:dyDescent="0.25">
      <c r="D9482" t="s">
        <v>17559</v>
      </c>
    </row>
    <row r="9483" spans="4:4" x14ac:dyDescent="0.25">
      <c r="D9483" t="s">
        <v>17560</v>
      </c>
    </row>
    <row r="9484" spans="4:4" x14ac:dyDescent="0.25">
      <c r="D9484" t="s">
        <v>17561</v>
      </c>
    </row>
    <row r="9485" spans="4:4" x14ac:dyDescent="0.25">
      <c r="D9485" t="s">
        <v>17562</v>
      </c>
    </row>
    <row r="9486" spans="4:4" x14ac:dyDescent="0.25">
      <c r="D9486" t="s">
        <v>17563</v>
      </c>
    </row>
    <row r="9487" spans="4:4" x14ac:dyDescent="0.25">
      <c r="D9487" t="s">
        <v>17564</v>
      </c>
    </row>
    <row r="9488" spans="4:4" x14ac:dyDescent="0.25">
      <c r="D9488" t="s">
        <v>17565</v>
      </c>
    </row>
    <row r="9489" spans="4:4" x14ac:dyDescent="0.25">
      <c r="D9489" t="s">
        <v>17566</v>
      </c>
    </row>
    <row r="9490" spans="4:4" x14ac:dyDescent="0.25">
      <c r="D9490" t="s">
        <v>17567</v>
      </c>
    </row>
    <row r="9491" spans="4:4" x14ac:dyDescent="0.25">
      <c r="D9491" t="s">
        <v>17568</v>
      </c>
    </row>
    <row r="9492" spans="4:4" x14ac:dyDescent="0.25">
      <c r="D9492" t="s">
        <v>17569</v>
      </c>
    </row>
    <row r="9493" spans="4:4" x14ac:dyDescent="0.25">
      <c r="D9493" t="s">
        <v>17570</v>
      </c>
    </row>
    <row r="9494" spans="4:4" x14ac:dyDescent="0.25">
      <c r="D9494" t="s">
        <v>17571</v>
      </c>
    </row>
    <row r="9495" spans="4:4" x14ac:dyDescent="0.25">
      <c r="D9495" t="s">
        <v>17572</v>
      </c>
    </row>
    <row r="9496" spans="4:4" x14ac:dyDescent="0.25">
      <c r="D9496" t="s">
        <v>17573</v>
      </c>
    </row>
    <row r="9497" spans="4:4" x14ac:dyDescent="0.25">
      <c r="D9497" t="s">
        <v>17574</v>
      </c>
    </row>
    <row r="9498" spans="4:4" x14ac:dyDescent="0.25">
      <c r="D9498" t="s">
        <v>17575</v>
      </c>
    </row>
    <row r="9499" spans="4:4" x14ac:dyDescent="0.25">
      <c r="D9499" t="s">
        <v>17576</v>
      </c>
    </row>
    <row r="9500" spans="4:4" x14ac:dyDescent="0.25">
      <c r="D9500" t="s">
        <v>17577</v>
      </c>
    </row>
    <row r="9501" spans="4:4" x14ac:dyDescent="0.25">
      <c r="D9501" t="s">
        <v>17578</v>
      </c>
    </row>
    <row r="9502" spans="4:4" x14ac:dyDescent="0.25">
      <c r="D9502" t="s">
        <v>17579</v>
      </c>
    </row>
    <row r="9503" spans="4:4" x14ac:dyDescent="0.25">
      <c r="D9503" t="s">
        <v>17580</v>
      </c>
    </row>
    <row r="9504" spans="4:4" x14ac:dyDescent="0.25">
      <c r="D9504" t="s">
        <v>17581</v>
      </c>
    </row>
    <row r="9505" spans="4:4" x14ac:dyDescent="0.25">
      <c r="D9505" t="s">
        <v>17582</v>
      </c>
    </row>
    <row r="9506" spans="4:4" x14ac:dyDescent="0.25">
      <c r="D9506" t="s">
        <v>17583</v>
      </c>
    </row>
    <row r="9507" spans="4:4" x14ac:dyDescent="0.25">
      <c r="D9507" t="s">
        <v>17584</v>
      </c>
    </row>
    <row r="9508" spans="4:4" x14ac:dyDescent="0.25">
      <c r="D9508" t="s">
        <v>17585</v>
      </c>
    </row>
    <row r="9509" spans="4:4" x14ac:dyDescent="0.25">
      <c r="D9509" t="s">
        <v>17586</v>
      </c>
    </row>
    <row r="9510" spans="4:4" x14ac:dyDescent="0.25">
      <c r="D9510" t="s">
        <v>17587</v>
      </c>
    </row>
    <row r="9511" spans="4:4" x14ac:dyDescent="0.25">
      <c r="D9511" t="s">
        <v>17588</v>
      </c>
    </row>
    <row r="9512" spans="4:4" x14ac:dyDescent="0.25">
      <c r="D9512" t="s">
        <v>17589</v>
      </c>
    </row>
    <row r="9513" spans="4:4" x14ac:dyDescent="0.25">
      <c r="D9513" t="s">
        <v>17590</v>
      </c>
    </row>
    <row r="9514" spans="4:4" x14ac:dyDescent="0.25">
      <c r="D9514" t="s">
        <v>17591</v>
      </c>
    </row>
    <row r="9515" spans="4:4" x14ac:dyDescent="0.25">
      <c r="D9515" t="s">
        <v>17592</v>
      </c>
    </row>
    <row r="9516" spans="4:4" x14ac:dyDescent="0.25">
      <c r="D9516" t="s">
        <v>17593</v>
      </c>
    </row>
    <row r="9517" spans="4:4" x14ac:dyDescent="0.25">
      <c r="D9517" t="s">
        <v>17594</v>
      </c>
    </row>
    <row r="9518" spans="4:4" x14ac:dyDescent="0.25">
      <c r="D9518" t="s">
        <v>17595</v>
      </c>
    </row>
    <row r="9519" spans="4:4" x14ac:dyDescent="0.25">
      <c r="D9519" t="s">
        <v>17596</v>
      </c>
    </row>
    <row r="9520" spans="4:4" x14ac:dyDescent="0.25">
      <c r="D9520" t="s">
        <v>17597</v>
      </c>
    </row>
    <row r="9521" spans="4:4" x14ac:dyDescent="0.25">
      <c r="D9521" t="s">
        <v>17598</v>
      </c>
    </row>
    <row r="9522" spans="4:4" x14ac:dyDescent="0.25">
      <c r="D9522" t="s">
        <v>17599</v>
      </c>
    </row>
    <row r="9523" spans="4:4" x14ac:dyDescent="0.25">
      <c r="D9523" t="s">
        <v>17600</v>
      </c>
    </row>
    <row r="9524" spans="4:4" x14ac:dyDescent="0.25">
      <c r="D9524" t="s">
        <v>17601</v>
      </c>
    </row>
    <row r="9525" spans="4:4" x14ac:dyDescent="0.25">
      <c r="D9525" t="s">
        <v>17602</v>
      </c>
    </row>
    <row r="9526" spans="4:4" x14ac:dyDescent="0.25">
      <c r="D9526" t="s">
        <v>17603</v>
      </c>
    </row>
    <row r="9527" spans="4:4" x14ac:dyDescent="0.25">
      <c r="D9527" t="s">
        <v>17604</v>
      </c>
    </row>
    <row r="9528" spans="4:4" x14ac:dyDescent="0.25">
      <c r="D9528" t="s">
        <v>17605</v>
      </c>
    </row>
    <row r="9529" spans="4:4" x14ac:dyDescent="0.25">
      <c r="D9529" t="s">
        <v>17606</v>
      </c>
    </row>
    <row r="9530" spans="4:4" x14ac:dyDescent="0.25">
      <c r="D9530" t="s">
        <v>17607</v>
      </c>
    </row>
    <row r="9531" spans="4:4" x14ac:dyDescent="0.25">
      <c r="D9531" t="s">
        <v>17608</v>
      </c>
    </row>
    <row r="9532" spans="4:4" x14ac:dyDescent="0.25">
      <c r="D9532" t="s">
        <v>17609</v>
      </c>
    </row>
    <row r="9533" spans="4:4" x14ac:dyDescent="0.25">
      <c r="D9533" t="s">
        <v>17610</v>
      </c>
    </row>
    <row r="9534" spans="4:4" x14ac:dyDescent="0.25">
      <c r="D9534" t="s">
        <v>17611</v>
      </c>
    </row>
    <row r="9535" spans="4:4" x14ac:dyDescent="0.25">
      <c r="D9535" t="s">
        <v>17612</v>
      </c>
    </row>
    <row r="9536" spans="4:4" x14ac:dyDescent="0.25">
      <c r="D9536" t="s">
        <v>17613</v>
      </c>
    </row>
    <row r="9537" spans="4:4" x14ac:dyDescent="0.25">
      <c r="D9537" t="s">
        <v>17614</v>
      </c>
    </row>
    <row r="9538" spans="4:4" x14ac:dyDescent="0.25">
      <c r="D9538" t="s">
        <v>17615</v>
      </c>
    </row>
    <row r="9539" spans="4:4" x14ac:dyDescent="0.25">
      <c r="D9539" t="s">
        <v>17616</v>
      </c>
    </row>
    <row r="9540" spans="4:4" x14ac:dyDescent="0.25">
      <c r="D9540" t="s">
        <v>17617</v>
      </c>
    </row>
    <row r="9541" spans="4:4" x14ac:dyDescent="0.25">
      <c r="D9541" t="s">
        <v>17618</v>
      </c>
    </row>
    <row r="9542" spans="4:4" x14ac:dyDescent="0.25">
      <c r="D9542" t="s">
        <v>17619</v>
      </c>
    </row>
    <row r="9543" spans="4:4" x14ac:dyDescent="0.25">
      <c r="D9543" t="s">
        <v>17620</v>
      </c>
    </row>
    <row r="9544" spans="4:4" x14ac:dyDescent="0.25">
      <c r="D9544" t="s">
        <v>17621</v>
      </c>
    </row>
    <row r="9545" spans="4:4" x14ac:dyDescent="0.25">
      <c r="D9545" t="s">
        <v>17622</v>
      </c>
    </row>
    <row r="9546" spans="4:4" x14ac:dyDescent="0.25">
      <c r="D9546" t="s">
        <v>17623</v>
      </c>
    </row>
    <row r="9547" spans="4:4" x14ac:dyDescent="0.25">
      <c r="D9547" t="s">
        <v>17624</v>
      </c>
    </row>
    <row r="9548" spans="4:4" x14ac:dyDescent="0.25">
      <c r="D9548" t="s">
        <v>17625</v>
      </c>
    </row>
    <row r="9549" spans="4:4" x14ac:dyDescent="0.25">
      <c r="D9549" t="s">
        <v>17626</v>
      </c>
    </row>
    <row r="9550" spans="4:4" x14ac:dyDescent="0.25">
      <c r="D9550" t="s">
        <v>17627</v>
      </c>
    </row>
    <row r="9551" spans="4:4" x14ac:dyDescent="0.25">
      <c r="D9551" t="s">
        <v>17628</v>
      </c>
    </row>
    <row r="9552" spans="4:4" x14ac:dyDescent="0.25">
      <c r="D9552" t="s">
        <v>17629</v>
      </c>
    </row>
    <row r="9553" spans="4:4" x14ac:dyDescent="0.25">
      <c r="D9553" t="s">
        <v>17630</v>
      </c>
    </row>
    <row r="9554" spans="4:4" x14ac:dyDescent="0.25">
      <c r="D9554" t="s">
        <v>17631</v>
      </c>
    </row>
    <row r="9555" spans="4:4" x14ac:dyDescent="0.25">
      <c r="D9555" t="s">
        <v>17632</v>
      </c>
    </row>
    <row r="9556" spans="4:4" x14ac:dyDescent="0.25">
      <c r="D9556" t="s">
        <v>17633</v>
      </c>
    </row>
    <row r="9557" spans="4:4" x14ac:dyDescent="0.25">
      <c r="D9557" t="s">
        <v>17634</v>
      </c>
    </row>
    <row r="9558" spans="4:4" x14ac:dyDescent="0.25">
      <c r="D9558" t="s">
        <v>17635</v>
      </c>
    </row>
    <row r="9559" spans="4:4" x14ac:dyDescent="0.25">
      <c r="D9559" t="s">
        <v>17636</v>
      </c>
    </row>
    <row r="9560" spans="4:4" x14ac:dyDescent="0.25">
      <c r="D9560" t="s">
        <v>17637</v>
      </c>
    </row>
    <row r="9561" spans="4:4" x14ac:dyDescent="0.25">
      <c r="D9561" t="s">
        <v>17638</v>
      </c>
    </row>
    <row r="9562" spans="4:4" x14ac:dyDescent="0.25">
      <c r="D9562" t="s">
        <v>17639</v>
      </c>
    </row>
    <row r="9563" spans="4:4" x14ac:dyDescent="0.25">
      <c r="D9563" t="s">
        <v>17640</v>
      </c>
    </row>
    <row r="9564" spans="4:4" x14ac:dyDescent="0.25">
      <c r="D9564" t="s">
        <v>17641</v>
      </c>
    </row>
    <row r="9565" spans="4:4" x14ac:dyDescent="0.25">
      <c r="D9565" t="s">
        <v>17642</v>
      </c>
    </row>
    <row r="9566" spans="4:4" x14ac:dyDescent="0.25">
      <c r="D9566" t="s">
        <v>17643</v>
      </c>
    </row>
    <row r="9567" spans="4:4" x14ac:dyDescent="0.25">
      <c r="D9567" t="s">
        <v>17644</v>
      </c>
    </row>
    <row r="9568" spans="4:4" x14ac:dyDescent="0.25">
      <c r="D9568" t="s">
        <v>17645</v>
      </c>
    </row>
    <row r="9569" spans="4:4" x14ac:dyDescent="0.25">
      <c r="D9569" t="s">
        <v>17646</v>
      </c>
    </row>
    <row r="9570" spans="4:4" x14ac:dyDescent="0.25">
      <c r="D9570" t="s">
        <v>17647</v>
      </c>
    </row>
    <row r="9571" spans="4:4" x14ac:dyDescent="0.25">
      <c r="D9571" t="s">
        <v>17648</v>
      </c>
    </row>
    <row r="9572" spans="4:4" x14ac:dyDescent="0.25">
      <c r="D9572" t="s">
        <v>17649</v>
      </c>
    </row>
    <row r="9573" spans="4:4" x14ac:dyDescent="0.25">
      <c r="D9573" t="s">
        <v>17650</v>
      </c>
    </row>
    <row r="9574" spans="4:4" x14ac:dyDescent="0.25">
      <c r="D9574" t="s">
        <v>17651</v>
      </c>
    </row>
    <row r="9575" spans="4:4" x14ac:dyDescent="0.25">
      <c r="D9575" t="s">
        <v>17652</v>
      </c>
    </row>
    <row r="9576" spans="4:4" x14ac:dyDescent="0.25">
      <c r="D9576" t="s">
        <v>17653</v>
      </c>
    </row>
    <row r="9577" spans="4:4" x14ac:dyDescent="0.25">
      <c r="D9577" t="s">
        <v>17654</v>
      </c>
    </row>
    <row r="9578" spans="4:4" x14ac:dyDescent="0.25">
      <c r="D9578" t="s">
        <v>17655</v>
      </c>
    </row>
    <row r="9579" spans="4:4" x14ac:dyDescent="0.25">
      <c r="D9579" t="s">
        <v>17656</v>
      </c>
    </row>
    <row r="9580" spans="4:4" x14ac:dyDescent="0.25">
      <c r="D9580" t="s">
        <v>17657</v>
      </c>
    </row>
    <row r="9581" spans="4:4" x14ac:dyDescent="0.25">
      <c r="D9581" t="s">
        <v>17658</v>
      </c>
    </row>
    <row r="9582" spans="4:4" x14ac:dyDescent="0.25">
      <c r="D9582" t="s">
        <v>17659</v>
      </c>
    </row>
    <row r="9583" spans="4:4" x14ac:dyDescent="0.25">
      <c r="D9583" t="s">
        <v>17660</v>
      </c>
    </row>
    <row r="9584" spans="4:4" x14ac:dyDescent="0.25">
      <c r="D9584" t="s">
        <v>17661</v>
      </c>
    </row>
    <row r="9585" spans="4:4" x14ac:dyDescent="0.25">
      <c r="D9585" t="s">
        <v>17662</v>
      </c>
    </row>
    <row r="9586" spans="4:4" x14ac:dyDescent="0.25">
      <c r="D9586" t="s">
        <v>17663</v>
      </c>
    </row>
    <row r="9587" spans="4:4" x14ac:dyDescent="0.25">
      <c r="D9587" t="s">
        <v>17664</v>
      </c>
    </row>
    <row r="9588" spans="4:4" x14ac:dyDescent="0.25">
      <c r="D9588" t="s">
        <v>17665</v>
      </c>
    </row>
    <row r="9589" spans="4:4" x14ac:dyDescent="0.25">
      <c r="D9589" t="s">
        <v>17666</v>
      </c>
    </row>
    <row r="9590" spans="4:4" x14ac:dyDescent="0.25">
      <c r="D9590" t="s">
        <v>17667</v>
      </c>
    </row>
    <row r="9591" spans="4:4" x14ac:dyDescent="0.25">
      <c r="D9591" t="s">
        <v>17668</v>
      </c>
    </row>
    <row r="9592" spans="4:4" x14ac:dyDescent="0.25">
      <c r="D9592" t="s">
        <v>17669</v>
      </c>
    </row>
    <row r="9593" spans="4:4" x14ac:dyDescent="0.25">
      <c r="D9593" t="s">
        <v>17670</v>
      </c>
    </row>
    <row r="9594" spans="4:4" x14ac:dyDescent="0.25">
      <c r="D9594" t="s">
        <v>17671</v>
      </c>
    </row>
    <row r="9595" spans="4:4" x14ac:dyDescent="0.25">
      <c r="D9595" t="s">
        <v>17672</v>
      </c>
    </row>
    <row r="9596" spans="4:4" x14ac:dyDescent="0.25">
      <c r="D9596" t="s">
        <v>17673</v>
      </c>
    </row>
    <row r="9597" spans="4:4" x14ac:dyDescent="0.25">
      <c r="D9597" t="s">
        <v>17674</v>
      </c>
    </row>
    <row r="9598" spans="4:4" x14ac:dyDescent="0.25">
      <c r="D9598" t="s">
        <v>17675</v>
      </c>
    </row>
    <row r="9599" spans="4:4" x14ac:dyDescent="0.25">
      <c r="D9599" t="s">
        <v>17676</v>
      </c>
    </row>
    <row r="9600" spans="4:4" x14ac:dyDescent="0.25">
      <c r="D9600" t="s">
        <v>17677</v>
      </c>
    </row>
    <row r="9601" spans="4:4" x14ac:dyDescent="0.25">
      <c r="D9601" t="s">
        <v>17678</v>
      </c>
    </row>
    <row r="9602" spans="4:4" x14ac:dyDescent="0.25">
      <c r="D9602" t="s">
        <v>17679</v>
      </c>
    </row>
    <row r="9603" spans="4:4" x14ac:dyDescent="0.25">
      <c r="D9603" t="s">
        <v>17680</v>
      </c>
    </row>
    <row r="9604" spans="4:4" x14ac:dyDescent="0.25">
      <c r="D9604" t="s">
        <v>17681</v>
      </c>
    </row>
    <row r="9605" spans="4:4" x14ac:dyDescent="0.25">
      <c r="D9605" t="s">
        <v>17682</v>
      </c>
    </row>
    <row r="9606" spans="4:4" x14ac:dyDescent="0.25">
      <c r="D9606" t="s">
        <v>17683</v>
      </c>
    </row>
    <row r="9607" spans="4:4" x14ac:dyDescent="0.25">
      <c r="D9607" t="s">
        <v>17684</v>
      </c>
    </row>
    <row r="9608" spans="4:4" x14ac:dyDescent="0.25">
      <c r="D9608" t="s">
        <v>17685</v>
      </c>
    </row>
    <row r="9609" spans="4:4" x14ac:dyDescent="0.25">
      <c r="D9609" t="s">
        <v>17686</v>
      </c>
    </row>
    <row r="9610" spans="4:4" x14ac:dyDescent="0.25">
      <c r="D9610" t="s">
        <v>17687</v>
      </c>
    </row>
    <row r="9611" spans="4:4" x14ac:dyDescent="0.25">
      <c r="D9611" t="s">
        <v>17688</v>
      </c>
    </row>
    <row r="9612" spans="4:4" x14ac:dyDescent="0.25">
      <c r="D9612" t="s">
        <v>17689</v>
      </c>
    </row>
    <row r="9613" spans="4:4" x14ac:dyDescent="0.25">
      <c r="D9613" t="s">
        <v>17690</v>
      </c>
    </row>
    <row r="9614" spans="4:4" x14ac:dyDescent="0.25">
      <c r="D9614" t="s">
        <v>17691</v>
      </c>
    </row>
    <row r="9615" spans="4:4" x14ac:dyDescent="0.25">
      <c r="D9615" t="s">
        <v>17692</v>
      </c>
    </row>
    <row r="9616" spans="4:4" x14ac:dyDescent="0.25">
      <c r="D9616" t="s">
        <v>17693</v>
      </c>
    </row>
    <row r="9617" spans="4:4" x14ac:dyDescent="0.25">
      <c r="D9617" t="s">
        <v>17694</v>
      </c>
    </row>
    <row r="9618" spans="4:4" x14ac:dyDescent="0.25">
      <c r="D9618" t="s">
        <v>17695</v>
      </c>
    </row>
    <row r="9619" spans="4:4" x14ac:dyDescent="0.25">
      <c r="D9619" t="s">
        <v>17696</v>
      </c>
    </row>
    <row r="9620" spans="4:4" x14ac:dyDescent="0.25">
      <c r="D9620" t="s">
        <v>17697</v>
      </c>
    </row>
    <row r="9621" spans="4:4" x14ac:dyDescent="0.25">
      <c r="D9621" t="s">
        <v>17698</v>
      </c>
    </row>
    <row r="9622" spans="4:4" x14ac:dyDescent="0.25">
      <c r="D9622" t="s">
        <v>17699</v>
      </c>
    </row>
    <row r="9623" spans="4:4" x14ac:dyDescent="0.25">
      <c r="D9623" t="s">
        <v>17700</v>
      </c>
    </row>
    <row r="9624" spans="4:4" x14ac:dyDescent="0.25">
      <c r="D9624" t="s">
        <v>17701</v>
      </c>
    </row>
    <row r="9625" spans="4:4" x14ac:dyDescent="0.25">
      <c r="D9625" t="s">
        <v>17702</v>
      </c>
    </row>
    <row r="9626" spans="4:4" x14ac:dyDescent="0.25">
      <c r="D9626" t="s">
        <v>17703</v>
      </c>
    </row>
    <row r="9627" spans="4:4" x14ac:dyDescent="0.25">
      <c r="D9627" t="s">
        <v>17704</v>
      </c>
    </row>
    <row r="9628" spans="4:4" x14ac:dyDescent="0.25">
      <c r="D9628" t="s">
        <v>17705</v>
      </c>
    </row>
    <row r="9629" spans="4:4" x14ac:dyDescent="0.25">
      <c r="D9629" t="s">
        <v>17706</v>
      </c>
    </row>
    <row r="9630" spans="4:4" x14ac:dyDescent="0.25">
      <c r="D9630" t="s">
        <v>17707</v>
      </c>
    </row>
    <row r="9631" spans="4:4" x14ac:dyDescent="0.25">
      <c r="D9631" t="s">
        <v>17708</v>
      </c>
    </row>
    <row r="9632" spans="4:4" x14ac:dyDescent="0.25">
      <c r="D9632" t="s">
        <v>17709</v>
      </c>
    </row>
    <row r="9633" spans="4:4" x14ac:dyDescent="0.25">
      <c r="D9633" t="s">
        <v>17710</v>
      </c>
    </row>
    <row r="9634" spans="4:4" x14ac:dyDescent="0.25">
      <c r="D9634" t="s">
        <v>17711</v>
      </c>
    </row>
    <row r="9635" spans="4:4" x14ac:dyDescent="0.25">
      <c r="D9635" t="s">
        <v>17712</v>
      </c>
    </row>
    <row r="9636" spans="4:4" x14ac:dyDescent="0.25">
      <c r="D9636" t="s">
        <v>17713</v>
      </c>
    </row>
    <row r="9637" spans="4:4" x14ac:dyDescent="0.25">
      <c r="D9637" t="s">
        <v>17714</v>
      </c>
    </row>
    <row r="9638" spans="4:4" x14ac:dyDescent="0.25">
      <c r="D9638" t="s">
        <v>17715</v>
      </c>
    </row>
    <row r="9639" spans="4:4" x14ac:dyDescent="0.25">
      <c r="D9639" t="s">
        <v>17716</v>
      </c>
    </row>
    <row r="9640" spans="4:4" x14ac:dyDescent="0.25">
      <c r="D9640" t="s">
        <v>17717</v>
      </c>
    </row>
    <row r="9641" spans="4:4" x14ac:dyDescent="0.25">
      <c r="D9641" t="s">
        <v>17718</v>
      </c>
    </row>
    <row r="9642" spans="4:4" x14ac:dyDescent="0.25">
      <c r="D9642" t="s">
        <v>17719</v>
      </c>
    </row>
    <row r="9643" spans="4:4" x14ac:dyDescent="0.25">
      <c r="D9643" t="s">
        <v>17720</v>
      </c>
    </row>
    <row r="9644" spans="4:4" x14ac:dyDescent="0.25">
      <c r="D9644" t="s">
        <v>17721</v>
      </c>
    </row>
    <row r="9645" spans="4:4" x14ac:dyDescent="0.25">
      <c r="D9645" t="s">
        <v>17722</v>
      </c>
    </row>
    <row r="9646" spans="4:4" x14ac:dyDescent="0.25">
      <c r="D9646" t="s">
        <v>17723</v>
      </c>
    </row>
    <row r="9647" spans="4:4" x14ac:dyDescent="0.25">
      <c r="D9647" t="s">
        <v>17724</v>
      </c>
    </row>
    <row r="9648" spans="4:4" x14ac:dyDescent="0.25">
      <c r="D9648" t="s">
        <v>17725</v>
      </c>
    </row>
    <row r="9649" spans="4:4" x14ac:dyDescent="0.25">
      <c r="D9649" t="s">
        <v>17726</v>
      </c>
    </row>
    <row r="9650" spans="4:4" x14ac:dyDescent="0.25">
      <c r="D9650" t="s">
        <v>17727</v>
      </c>
    </row>
    <row r="9651" spans="4:4" x14ac:dyDescent="0.25">
      <c r="D9651" t="s">
        <v>17728</v>
      </c>
    </row>
    <row r="9652" spans="4:4" x14ac:dyDescent="0.25">
      <c r="D9652" t="s">
        <v>17729</v>
      </c>
    </row>
    <row r="9653" spans="4:4" x14ac:dyDescent="0.25">
      <c r="D9653" t="s">
        <v>17730</v>
      </c>
    </row>
    <row r="9654" spans="4:4" x14ac:dyDescent="0.25">
      <c r="D9654" t="s">
        <v>17731</v>
      </c>
    </row>
    <row r="9655" spans="4:4" x14ac:dyDescent="0.25">
      <c r="D9655" t="s">
        <v>17732</v>
      </c>
    </row>
    <row r="9656" spans="4:4" x14ac:dyDescent="0.25">
      <c r="D9656" t="s">
        <v>17733</v>
      </c>
    </row>
    <row r="9657" spans="4:4" x14ac:dyDescent="0.25">
      <c r="D9657" t="s">
        <v>17734</v>
      </c>
    </row>
    <row r="9658" spans="4:4" x14ac:dyDescent="0.25">
      <c r="D9658" t="s">
        <v>17735</v>
      </c>
    </row>
    <row r="9659" spans="4:4" x14ac:dyDescent="0.25">
      <c r="D9659" t="s">
        <v>17736</v>
      </c>
    </row>
    <row r="9660" spans="4:4" x14ac:dyDescent="0.25">
      <c r="D9660" t="s">
        <v>17737</v>
      </c>
    </row>
    <row r="9661" spans="4:4" x14ac:dyDescent="0.25">
      <c r="D9661" t="s">
        <v>17738</v>
      </c>
    </row>
    <row r="9662" spans="4:4" x14ac:dyDescent="0.25">
      <c r="D9662" t="s">
        <v>17739</v>
      </c>
    </row>
    <row r="9663" spans="4:4" x14ac:dyDescent="0.25">
      <c r="D9663" t="s">
        <v>17740</v>
      </c>
    </row>
    <row r="9664" spans="4:4" x14ac:dyDescent="0.25">
      <c r="D9664" t="s">
        <v>17741</v>
      </c>
    </row>
    <row r="9665" spans="4:4" x14ac:dyDescent="0.25">
      <c r="D9665" t="s">
        <v>17742</v>
      </c>
    </row>
    <row r="9666" spans="4:4" x14ac:dyDescent="0.25">
      <c r="D9666" t="s">
        <v>17743</v>
      </c>
    </row>
    <row r="9667" spans="4:4" x14ac:dyDescent="0.25">
      <c r="D9667" t="s">
        <v>17744</v>
      </c>
    </row>
    <row r="9668" spans="4:4" x14ac:dyDescent="0.25">
      <c r="D9668" t="s">
        <v>17745</v>
      </c>
    </row>
    <row r="9669" spans="4:4" x14ac:dyDescent="0.25">
      <c r="D9669" t="s">
        <v>17746</v>
      </c>
    </row>
    <row r="9670" spans="4:4" x14ac:dyDescent="0.25">
      <c r="D9670" t="s">
        <v>17747</v>
      </c>
    </row>
    <row r="9671" spans="4:4" x14ac:dyDescent="0.25">
      <c r="D9671" t="s">
        <v>17748</v>
      </c>
    </row>
    <row r="9672" spans="4:4" x14ac:dyDescent="0.25">
      <c r="D9672" t="s">
        <v>17749</v>
      </c>
    </row>
    <row r="9673" spans="4:4" x14ac:dyDescent="0.25">
      <c r="D9673" t="s">
        <v>17750</v>
      </c>
    </row>
    <row r="9674" spans="4:4" x14ac:dyDescent="0.25">
      <c r="D9674" t="s">
        <v>17751</v>
      </c>
    </row>
    <row r="9675" spans="4:4" x14ac:dyDescent="0.25">
      <c r="D9675" t="s">
        <v>17752</v>
      </c>
    </row>
    <row r="9676" spans="4:4" x14ac:dyDescent="0.25">
      <c r="D9676" t="s">
        <v>17753</v>
      </c>
    </row>
    <row r="9677" spans="4:4" x14ac:dyDescent="0.25">
      <c r="D9677" t="s">
        <v>17754</v>
      </c>
    </row>
    <row r="9678" spans="4:4" x14ac:dyDescent="0.25">
      <c r="D9678" t="s">
        <v>17755</v>
      </c>
    </row>
    <row r="9679" spans="4:4" x14ac:dyDescent="0.25">
      <c r="D9679" t="s">
        <v>17756</v>
      </c>
    </row>
    <row r="9680" spans="4:4" x14ac:dyDescent="0.25">
      <c r="D9680" t="s">
        <v>17757</v>
      </c>
    </row>
    <row r="9681" spans="4:4" x14ac:dyDescent="0.25">
      <c r="D9681" t="s">
        <v>17758</v>
      </c>
    </row>
    <row r="9682" spans="4:4" x14ac:dyDescent="0.25">
      <c r="D9682" t="s">
        <v>17759</v>
      </c>
    </row>
    <row r="9683" spans="4:4" x14ac:dyDescent="0.25">
      <c r="D9683" t="s">
        <v>17760</v>
      </c>
    </row>
    <row r="9684" spans="4:4" x14ac:dyDescent="0.25">
      <c r="D9684" t="s">
        <v>17761</v>
      </c>
    </row>
    <row r="9685" spans="4:4" x14ac:dyDescent="0.25">
      <c r="D9685" t="s">
        <v>17762</v>
      </c>
    </row>
    <row r="9686" spans="4:4" x14ac:dyDescent="0.25">
      <c r="D9686" t="s">
        <v>17763</v>
      </c>
    </row>
    <row r="9687" spans="4:4" x14ac:dyDescent="0.25">
      <c r="D9687" t="s">
        <v>17764</v>
      </c>
    </row>
    <row r="9688" spans="4:4" x14ac:dyDescent="0.25">
      <c r="D9688" t="s">
        <v>17765</v>
      </c>
    </row>
    <row r="9689" spans="4:4" x14ac:dyDescent="0.25">
      <c r="D9689" t="s">
        <v>17766</v>
      </c>
    </row>
    <row r="9690" spans="4:4" x14ac:dyDescent="0.25">
      <c r="D9690" t="s">
        <v>17767</v>
      </c>
    </row>
    <row r="9691" spans="4:4" x14ac:dyDescent="0.25">
      <c r="D9691" t="s">
        <v>17768</v>
      </c>
    </row>
    <row r="9692" spans="4:4" x14ac:dyDescent="0.25">
      <c r="D9692" t="s">
        <v>17769</v>
      </c>
    </row>
    <row r="9693" spans="4:4" x14ac:dyDescent="0.25">
      <c r="D9693" t="s">
        <v>17770</v>
      </c>
    </row>
    <row r="9694" spans="4:4" x14ac:dyDescent="0.25">
      <c r="D9694" t="s">
        <v>17771</v>
      </c>
    </row>
    <row r="9695" spans="4:4" x14ac:dyDescent="0.25">
      <c r="D9695" t="s">
        <v>17772</v>
      </c>
    </row>
    <row r="9696" spans="4:4" x14ac:dyDescent="0.25">
      <c r="D9696" t="s">
        <v>17773</v>
      </c>
    </row>
    <row r="9697" spans="4:4" x14ac:dyDescent="0.25">
      <c r="D9697" t="s">
        <v>17774</v>
      </c>
    </row>
    <row r="9698" spans="4:4" x14ac:dyDescent="0.25">
      <c r="D9698" t="s">
        <v>17775</v>
      </c>
    </row>
    <row r="9699" spans="4:4" x14ac:dyDescent="0.25">
      <c r="D9699" t="s">
        <v>17776</v>
      </c>
    </row>
    <row r="9700" spans="4:4" x14ac:dyDescent="0.25">
      <c r="D9700" t="s">
        <v>17777</v>
      </c>
    </row>
    <row r="9701" spans="4:4" x14ac:dyDescent="0.25">
      <c r="D9701" t="s">
        <v>17778</v>
      </c>
    </row>
    <row r="9702" spans="4:4" x14ac:dyDescent="0.25">
      <c r="D9702" t="s">
        <v>17779</v>
      </c>
    </row>
    <row r="9703" spans="4:4" x14ac:dyDescent="0.25">
      <c r="D9703" t="s">
        <v>17780</v>
      </c>
    </row>
    <row r="9704" spans="4:4" x14ac:dyDescent="0.25">
      <c r="D9704" t="s">
        <v>17781</v>
      </c>
    </row>
    <row r="9705" spans="4:4" x14ac:dyDescent="0.25">
      <c r="D9705" t="s">
        <v>17782</v>
      </c>
    </row>
    <row r="9706" spans="4:4" x14ac:dyDescent="0.25">
      <c r="D9706" t="s">
        <v>17783</v>
      </c>
    </row>
    <row r="9707" spans="4:4" x14ac:dyDescent="0.25">
      <c r="D9707" t="s">
        <v>17784</v>
      </c>
    </row>
    <row r="9708" spans="4:4" x14ac:dyDescent="0.25">
      <c r="D9708" t="s">
        <v>17785</v>
      </c>
    </row>
    <row r="9709" spans="4:4" x14ac:dyDescent="0.25">
      <c r="D9709" t="s">
        <v>17786</v>
      </c>
    </row>
    <row r="9710" spans="4:4" x14ac:dyDescent="0.25">
      <c r="D9710" t="s">
        <v>17787</v>
      </c>
    </row>
    <row r="9711" spans="4:4" x14ac:dyDescent="0.25">
      <c r="D9711" t="s">
        <v>17788</v>
      </c>
    </row>
    <row r="9712" spans="4:4" x14ac:dyDescent="0.25">
      <c r="D9712" t="s">
        <v>17789</v>
      </c>
    </row>
    <row r="9713" spans="4:4" x14ac:dyDescent="0.25">
      <c r="D9713" t="s">
        <v>17790</v>
      </c>
    </row>
    <row r="9714" spans="4:4" x14ac:dyDescent="0.25">
      <c r="D9714" t="s">
        <v>17791</v>
      </c>
    </row>
    <row r="9715" spans="4:4" x14ac:dyDescent="0.25">
      <c r="D9715" t="s">
        <v>17792</v>
      </c>
    </row>
    <row r="9716" spans="4:4" x14ac:dyDescent="0.25">
      <c r="D9716" t="s">
        <v>17793</v>
      </c>
    </row>
    <row r="9717" spans="4:4" x14ac:dyDescent="0.25">
      <c r="D9717" t="s">
        <v>17794</v>
      </c>
    </row>
    <row r="9718" spans="4:4" x14ac:dyDescent="0.25">
      <c r="D9718" t="s">
        <v>17795</v>
      </c>
    </row>
    <row r="9719" spans="4:4" x14ac:dyDescent="0.25">
      <c r="D9719" t="s">
        <v>17796</v>
      </c>
    </row>
    <row r="9720" spans="4:4" x14ac:dyDescent="0.25">
      <c r="D9720" t="s">
        <v>17797</v>
      </c>
    </row>
    <row r="9721" spans="4:4" x14ac:dyDescent="0.25">
      <c r="D9721" t="s">
        <v>17798</v>
      </c>
    </row>
    <row r="9722" spans="4:4" x14ac:dyDescent="0.25">
      <c r="D9722" t="s">
        <v>17799</v>
      </c>
    </row>
    <row r="9723" spans="4:4" x14ac:dyDescent="0.25">
      <c r="D9723" t="s">
        <v>17800</v>
      </c>
    </row>
    <row r="9724" spans="4:4" x14ac:dyDescent="0.25">
      <c r="D9724" t="s">
        <v>17801</v>
      </c>
    </row>
    <row r="9725" spans="4:4" x14ac:dyDescent="0.25">
      <c r="D9725" t="s">
        <v>17802</v>
      </c>
    </row>
    <row r="9726" spans="4:4" x14ac:dyDescent="0.25">
      <c r="D9726" t="s">
        <v>17803</v>
      </c>
    </row>
    <row r="9727" spans="4:4" x14ac:dyDescent="0.25">
      <c r="D9727" t="s">
        <v>17804</v>
      </c>
    </row>
    <row r="9728" spans="4:4" x14ac:dyDescent="0.25">
      <c r="D9728" t="s">
        <v>17805</v>
      </c>
    </row>
    <row r="9729" spans="4:4" x14ac:dyDescent="0.25">
      <c r="D9729" t="s">
        <v>17806</v>
      </c>
    </row>
    <row r="9730" spans="4:4" x14ac:dyDescent="0.25">
      <c r="D9730" t="s">
        <v>17807</v>
      </c>
    </row>
    <row r="9731" spans="4:4" x14ac:dyDescent="0.25">
      <c r="D9731" t="s">
        <v>17808</v>
      </c>
    </row>
    <row r="9732" spans="4:4" x14ac:dyDescent="0.25">
      <c r="D9732" t="s">
        <v>17809</v>
      </c>
    </row>
    <row r="9733" spans="4:4" x14ac:dyDescent="0.25">
      <c r="D9733" t="s">
        <v>17810</v>
      </c>
    </row>
    <row r="9734" spans="4:4" x14ac:dyDescent="0.25">
      <c r="D9734" t="s">
        <v>17811</v>
      </c>
    </row>
    <row r="9735" spans="4:4" x14ac:dyDescent="0.25">
      <c r="D9735" t="s">
        <v>17812</v>
      </c>
    </row>
    <row r="9736" spans="4:4" x14ac:dyDescent="0.25">
      <c r="D9736" t="s">
        <v>17813</v>
      </c>
    </row>
    <row r="9737" spans="4:4" x14ac:dyDescent="0.25">
      <c r="D9737" t="s">
        <v>17814</v>
      </c>
    </row>
    <row r="9738" spans="4:4" x14ac:dyDescent="0.25">
      <c r="D9738" t="s">
        <v>17815</v>
      </c>
    </row>
    <row r="9739" spans="4:4" x14ac:dyDescent="0.25">
      <c r="D9739" t="s">
        <v>17816</v>
      </c>
    </row>
    <row r="9740" spans="4:4" x14ac:dyDescent="0.25">
      <c r="D9740" t="s">
        <v>17817</v>
      </c>
    </row>
    <row r="9741" spans="4:4" x14ac:dyDescent="0.25">
      <c r="D9741" t="s">
        <v>17818</v>
      </c>
    </row>
    <row r="9742" spans="4:4" x14ac:dyDescent="0.25">
      <c r="D9742" t="s">
        <v>17819</v>
      </c>
    </row>
    <row r="9743" spans="4:4" x14ac:dyDescent="0.25">
      <c r="D9743" t="s">
        <v>17820</v>
      </c>
    </row>
    <row r="9744" spans="4:4" x14ac:dyDescent="0.25">
      <c r="D9744" t="s">
        <v>17821</v>
      </c>
    </row>
    <row r="9745" spans="4:4" x14ac:dyDescent="0.25">
      <c r="D9745" t="s">
        <v>17822</v>
      </c>
    </row>
    <row r="9746" spans="4:4" x14ac:dyDescent="0.25">
      <c r="D9746" t="s">
        <v>17823</v>
      </c>
    </row>
    <row r="9747" spans="4:4" x14ac:dyDescent="0.25">
      <c r="D9747" t="s">
        <v>17824</v>
      </c>
    </row>
    <row r="9748" spans="4:4" x14ac:dyDescent="0.25">
      <c r="D9748" t="s">
        <v>17825</v>
      </c>
    </row>
    <row r="9749" spans="4:4" x14ac:dyDescent="0.25">
      <c r="D9749" t="s">
        <v>17826</v>
      </c>
    </row>
    <row r="9750" spans="4:4" x14ac:dyDescent="0.25">
      <c r="D9750" t="s">
        <v>17827</v>
      </c>
    </row>
    <row r="9751" spans="4:4" x14ac:dyDescent="0.25">
      <c r="D9751" t="s">
        <v>17828</v>
      </c>
    </row>
    <row r="9752" spans="4:4" x14ac:dyDescent="0.25">
      <c r="D9752" t="s">
        <v>17829</v>
      </c>
    </row>
    <row r="9753" spans="4:4" x14ac:dyDescent="0.25">
      <c r="D9753" t="s">
        <v>17830</v>
      </c>
    </row>
    <row r="9754" spans="4:4" x14ac:dyDescent="0.25">
      <c r="D9754" t="s">
        <v>17831</v>
      </c>
    </row>
    <row r="9755" spans="4:4" x14ac:dyDescent="0.25">
      <c r="D9755" t="s">
        <v>17832</v>
      </c>
    </row>
    <row r="9756" spans="4:4" x14ac:dyDescent="0.25">
      <c r="D9756" t="s">
        <v>17833</v>
      </c>
    </row>
    <row r="9757" spans="4:4" x14ac:dyDescent="0.25">
      <c r="D9757" t="s">
        <v>17834</v>
      </c>
    </row>
    <row r="9758" spans="4:4" x14ac:dyDescent="0.25">
      <c r="D9758" t="s">
        <v>17835</v>
      </c>
    </row>
    <row r="9759" spans="4:4" x14ac:dyDescent="0.25">
      <c r="D9759" t="s">
        <v>17836</v>
      </c>
    </row>
    <row r="9760" spans="4:4" x14ac:dyDescent="0.25">
      <c r="D9760" t="s">
        <v>17837</v>
      </c>
    </row>
    <row r="9761" spans="4:4" x14ac:dyDescent="0.25">
      <c r="D9761" t="s">
        <v>17838</v>
      </c>
    </row>
    <row r="9762" spans="4:4" x14ac:dyDescent="0.25">
      <c r="D9762" t="s">
        <v>17839</v>
      </c>
    </row>
    <row r="9763" spans="4:4" x14ac:dyDescent="0.25">
      <c r="D9763" t="s">
        <v>17840</v>
      </c>
    </row>
    <row r="9764" spans="4:4" x14ac:dyDescent="0.25">
      <c r="D9764" t="s">
        <v>17841</v>
      </c>
    </row>
    <row r="9765" spans="4:4" x14ac:dyDescent="0.25">
      <c r="D9765" t="s">
        <v>17842</v>
      </c>
    </row>
    <row r="9766" spans="4:4" x14ac:dyDescent="0.25">
      <c r="D9766" t="s">
        <v>17843</v>
      </c>
    </row>
    <row r="9767" spans="4:4" x14ac:dyDescent="0.25">
      <c r="D9767" t="s">
        <v>17844</v>
      </c>
    </row>
    <row r="9768" spans="4:4" x14ac:dyDescent="0.25">
      <c r="D9768" t="s">
        <v>17845</v>
      </c>
    </row>
    <row r="9769" spans="4:4" x14ac:dyDescent="0.25">
      <c r="D9769" t="s">
        <v>17846</v>
      </c>
    </row>
    <row r="9770" spans="4:4" x14ac:dyDescent="0.25">
      <c r="D9770" t="s">
        <v>17847</v>
      </c>
    </row>
    <row r="9771" spans="4:4" x14ac:dyDescent="0.25">
      <c r="D9771" t="s">
        <v>17848</v>
      </c>
    </row>
    <row r="9772" spans="4:4" x14ac:dyDescent="0.25">
      <c r="D9772" t="s">
        <v>17849</v>
      </c>
    </row>
    <row r="9773" spans="4:4" x14ac:dyDescent="0.25">
      <c r="D9773" t="s">
        <v>17850</v>
      </c>
    </row>
    <row r="9774" spans="4:4" x14ac:dyDescent="0.25">
      <c r="D9774" t="s">
        <v>17851</v>
      </c>
    </row>
    <row r="9775" spans="4:4" x14ac:dyDescent="0.25">
      <c r="D9775" t="s">
        <v>17852</v>
      </c>
    </row>
    <row r="9776" spans="4:4" x14ac:dyDescent="0.25">
      <c r="D9776" t="s">
        <v>17853</v>
      </c>
    </row>
    <row r="9777" spans="4:4" x14ac:dyDescent="0.25">
      <c r="D9777" t="s">
        <v>17854</v>
      </c>
    </row>
    <row r="9778" spans="4:4" x14ac:dyDescent="0.25">
      <c r="D9778" t="s">
        <v>17855</v>
      </c>
    </row>
    <row r="9779" spans="4:4" x14ac:dyDescent="0.25">
      <c r="D9779" t="s">
        <v>17856</v>
      </c>
    </row>
    <row r="9780" spans="4:4" x14ac:dyDescent="0.25">
      <c r="D9780" t="s">
        <v>17857</v>
      </c>
    </row>
    <row r="9781" spans="4:4" x14ac:dyDescent="0.25">
      <c r="D9781" t="s">
        <v>17858</v>
      </c>
    </row>
    <row r="9782" spans="4:4" x14ac:dyDescent="0.25">
      <c r="D9782" t="s">
        <v>17859</v>
      </c>
    </row>
    <row r="9783" spans="4:4" x14ac:dyDescent="0.25">
      <c r="D9783" t="s">
        <v>17860</v>
      </c>
    </row>
    <row r="9784" spans="4:4" x14ac:dyDescent="0.25">
      <c r="D9784" t="s">
        <v>17861</v>
      </c>
    </row>
    <row r="9785" spans="4:4" x14ac:dyDescent="0.25">
      <c r="D9785" t="s">
        <v>17862</v>
      </c>
    </row>
    <row r="9786" spans="4:4" x14ac:dyDescent="0.25">
      <c r="D9786" t="s">
        <v>17863</v>
      </c>
    </row>
    <row r="9787" spans="4:4" x14ac:dyDescent="0.25">
      <c r="D9787" t="s">
        <v>17864</v>
      </c>
    </row>
    <row r="9788" spans="4:4" x14ac:dyDescent="0.25">
      <c r="D9788" t="s">
        <v>17865</v>
      </c>
    </row>
    <row r="9789" spans="4:4" x14ac:dyDescent="0.25">
      <c r="D9789" t="s">
        <v>17866</v>
      </c>
    </row>
    <row r="9790" spans="4:4" x14ac:dyDescent="0.25">
      <c r="D9790" t="s">
        <v>17867</v>
      </c>
    </row>
    <row r="9791" spans="4:4" x14ac:dyDescent="0.25">
      <c r="D9791" t="s">
        <v>17868</v>
      </c>
    </row>
    <row r="9792" spans="4:4" x14ac:dyDescent="0.25">
      <c r="D9792" t="s">
        <v>17869</v>
      </c>
    </row>
    <row r="9793" spans="4:4" x14ac:dyDescent="0.25">
      <c r="D9793" t="s">
        <v>17870</v>
      </c>
    </row>
    <row r="9794" spans="4:4" x14ac:dyDescent="0.25">
      <c r="D9794" t="s">
        <v>17871</v>
      </c>
    </row>
    <row r="9795" spans="4:4" x14ac:dyDescent="0.25">
      <c r="D9795" t="s">
        <v>17872</v>
      </c>
    </row>
    <row r="9796" spans="4:4" x14ac:dyDescent="0.25">
      <c r="D9796" t="s">
        <v>17873</v>
      </c>
    </row>
    <row r="9797" spans="4:4" x14ac:dyDescent="0.25">
      <c r="D9797" t="s">
        <v>17874</v>
      </c>
    </row>
    <row r="9798" spans="4:4" x14ac:dyDescent="0.25">
      <c r="D9798" t="s">
        <v>17875</v>
      </c>
    </row>
    <row r="9799" spans="4:4" x14ac:dyDescent="0.25">
      <c r="D9799" t="s">
        <v>17876</v>
      </c>
    </row>
    <row r="9800" spans="4:4" x14ac:dyDescent="0.25">
      <c r="D9800" t="s">
        <v>17877</v>
      </c>
    </row>
    <row r="9801" spans="4:4" x14ac:dyDescent="0.25">
      <c r="D9801" t="s">
        <v>17878</v>
      </c>
    </row>
    <row r="9802" spans="4:4" x14ac:dyDescent="0.25">
      <c r="D9802" t="s">
        <v>17879</v>
      </c>
    </row>
    <row r="9803" spans="4:4" x14ac:dyDescent="0.25">
      <c r="D9803" t="s">
        <v>17880</v>
      </c>
    </row>
    <row r="9804" spans="4:4" x14ac:dyDescent="0.25">
      <c r="D9804" t="s">
        <v>17881</v>
      </c>
    </row>
    <row r="9805" spans="4:4" x14ac:dyDescent="0.25">
      <c r="D9805" t="s">
        <v>17882</v>
      </c>
    </row>
    <row r="9806" spans="4:4" x14ac:dyDescent="0.25">
      <c r="D9806" t="s">
        <v>17883</v>
      </c>
    </row>
    <row r="9807" spans="4:4" x14ac:dyDescent="0.25">
      <c r="D9807" t="s">
        <v>17884</v>
      </c>
    </row>
    <row r="9808" spans="4:4" x14ac:dyDescent="0.25">
      <c r="D9808" t="s">
        <v>17885</v>
      </c>
    </row>
    <row r="9809" spans="4:4" x14ac:dyDescent="0.25">
      <c r="D9809" t="s">
        <v>17886</v>
      </c>
    </row>
    <row r="9810" spans="4:4" x14ac:dyDescent="0.25">
      <c r="D9810" t="s">
        <v>17887</v>
      </c>
    </row>
    <row r="9811" spans="4:4" x14ac:dyDescent="0.25">
      <c r="D9811" t="s">
        <v>17888</v>
      </c>
    </row>
    <row r="9812" spans="4:4" x14ac:dyDescent="0.25">
      <c r="D9812" t="s">
        <v>17889</v>
      </c>
    </row>
    <row r="9813" spans="4:4" x14ac:dyDescent="0.25">
      <c r="D9813" t="s">
        <v>17890</v>
      </c>
    </row>
    <row r="9814" spans="4:4" x14ac:dyDescent="0.25">
      <c r="D9814" t="s">
        <v>17891</v>
      </c>
    </row>
    <row r="9815" spans="4:4" x14ac:dyDescent="0.25">
      <c r="D9815" t="s">
        <v>17892</v>
      </c>
    </row>
    <row r="9816" spans="4:4" x14ac:dyDescent="0.25">
      <c r="D9816" t="s">
        <v>17893</v>
      </c>
    </row>
    <row r="9817" spans="4:4" x14ac:dyDescent="0.25">
      <c r="D9817" t="s">
        <v>17894</v>
      </c>
    </row>
    <row r="9818" spans="4:4" x14ac:dyDescent="0.25">
      <c r="D9818" t="s">
        <v>17895</v>
      </c>
    </row>
    <row r="9819" spans="4:4" x14ac:dyDescent="0.25">
      <c r="D9819" t="s">
        <v>17896</v>
      </c>
    </row>
    <row r="9820" spans="4:4" x14ac:dyDescent="0.25">
      <c r="D9820" t="s">
        <v>17897</v>
      </c>
    </row>
    <row r="9821" spans="4:4" x14ac:dyDescent="0.25">
      <c r="D9821" t="s">
        <v>17898</v>
      </c>
    </row>
    <row r="9822" spans="4:4" x14ac:dyDescent="0.25">
      <c r="D9822" t="s">
        <v>17899</v>
      </c>
    </row>
    <row r="9823" spans="4:4" x14ac:dyDescent="0.25">
      <c r="D9823" t="s">
        <v>17900</v>
      </c>
    </row>
    <row r="9824" spans="4:4" x14ac:dyDescent="0.25">
      <c r="D9824" t="s">
        <v>17901</v>
      </c>
    </row>
    <row r="9825" spans="4:4" x14ac:dyDescent="0.25">
      <c r="D9825" t="s">
        <v>17902</v>
      </c>
    </row>
    <row r="9826" spans="4:4" x14ac:dyDescent="0.25">
      <c r="D9826" t="s">
        <v>17903</v>
      </c>
    </row>
    <row r="9827" spans="4:4" x14ac:dyDescent="0.25">
      <c r="D9827" t="s">
        <v>17904</v>
      </c>
    </row>
    <row r="9828" spans="4:4" x14ac:dyDescent="0.25">
      <c r="D9828" t="s">
        <v>17905</v>
      </c>
    </row>
    <row r="9829" spans="4:4" x14ac:dyDescent="0.25">
      <c r="D9829" t="s">
        <v>17906</v>
      </c>
    </row>
    <row r="9830" spans="4:4" x14ac:dyDescent="0.25">
      <c r="D9830" t="s">
        <v>17907</v>
      </c>
    </row>
    <row r="9831" spans="4:4" x14ac:dyDescent="0.25">
      <c r="D9831" t="s">
        <v>17908</v>
      </c>
    </row>
    <row r="9832" spans="4:4" x14ac:dyDescent="0.25">
      <c r="D9832" t="s">
        <v>17909</v>
      </c>
    </row>
    <row r="9833" spans="4:4" x14ac:dyDescent="0.25">
      <c r="D9833" t="s">
        <v>17910</v>
      </c>
    </row>
    <row r="9834" spans="4:4" x14ac:dyDescent="0.25">
      <c r="D9834" t="s">
        <v>17911</v>
      </c>
    </row>
    <row r="9835" spans="4:4" x14ac:dyDescent="0.25">
      <c r="D9835" t="s">
        <v>17912</v>
      </c>
    </row>
    <row r="9836" spans="4:4" x14ac:dyDescent="0.25">
      <c r="D9836" t="s">
        <v>17913</v>
      </c>
    </row>
    <row r="9837" spans="4:4" x14ac:dyDescent="0.25">
      <c r="D9837" t="s">
        <v>17914</v>
      </c>
    </row>
    <row r="9838" spans="4:4" x14ac:dyDescent="0.25">
      <c r="D9838" t="s">
        <v>17915</v>
      </c>
    </row>
    <row r="9839" spans="4:4" x14ac:dyDescent="0.25">
      <c r="D9839" t="s">
        <v>17916</v>
      </c>
    </row>
    <row r="9840" spans="4:4" x14ac:dyDescent="0.25">
      <c r="D9840" t="s">
        <v>17917</v>
      </c>
    </row>
    <row r="9841" spans="4:4" x14ac:dyDescent="0.25">
      <c r="D9841" t="s">
        <v>17918</v>
      </c>
    </row>
    <row r="9842" spans="4:4" x14ac:dyDescent="0.25">
      <c r="D9842" t="s">
        <v>17919</v>
      </c>
    </row>
    <row r="9843" spans="4:4" x14ac:dyDescent="0.25">
      <c r="D9843" t="s">
        <v>17920</v>
      </c>
    </row>
    <row r="9844" spans="4:4" x14ac:dyDescent="0.25">
      <c r="D9844" t="s">
        <v>17921</v>
      </c>
    </row>
    <row r="9845" spans="4:4" x14ac:dyDescent="0.25">
      <c r="D9845" t="s">
        <v>17922</v>
      </c>
    </row>
    <row r="9846" spans="4:4" x14ac:dyDescent="0.25">
      <c r="D9846" t="s">
        <v>17923</v>
      </c>
    </row>
    <row r="9847" spans="4:4" x14ac:dyDescent="0.25">
      <c r="D9847" t="s">
        <v>17924</v>
      </c>
    </row>
    <row r="9848" spans="4:4" x14ac:dyDescent="0.25">
      <c r="D9848" t="s">
        <v>17925</v>
      </c>
    </row>
    <row r="9849" spans="4:4" x14ac:dyDescent="0.25">
      <c r="D9849" t="s">
        <v>17926</v>
      </c>
    </row>
    <row r="9850" spans="4:4" x14ac:dyDescent="0.25">
      <c r="D9850" t="s">
        <v>17927</v>
      </c>
    </row>
    <row r="9851" spans="4:4" x14ac:dyDescent="0.25">
      <c r="D9851" t="s">
        <v>17928</v>
      </c>
    </row>
    <row r="9852" spans="4:4" x14ac:dyDescent="0.25">
      <c r="D9852" t="s">
        <v>17929</v>
      </c>
    </row>
    <row r="9853" spans="4:4" x14ac:dyDescent="0.25">
      <c r="D9853" t="s">
        <v>17930</v>
      </c>
    </row>
    <row r="9854" spans="4:4" x14ac:dyDescent="0.25">
      <c r="D9854" t="s">
        <v>17931</v>
      </c>
    </row>
    <row r="9855" spans="4:4" x14ac:dyDescent="0.25">
      <c r="D9855" t="s">
        <v>17932</v>
      </c>
    </row>
    <row r="9856" spans="4:4" x14ac:dyDescent="0.25">
      <c r="D9856" t="s">
        <v>17933</v>
      </c>
    </row>
    <row r="9857" spans="4:4" x14ac:dyDescent="0.25">
      <c r="D9857" t="s">
        <v>17934</v>
      </c>
    </row>
    <row r="9858" spans="4:4" x14ac:dyDescent="0.25">
      <c r="D9858" t="s">
        <v>17935</v>
      </c>
    </row>
    <row r="9859" spans="4:4" x14ac:dyDescent="0.25">
      <c r="D9859" t="s">
        <v>17936</v>
      </c>
    </row>
    <row r="9860" spans="4:4" x14ac:dyDescent="0.25">
      <c r="D9860" t="s">
        <v>17937</v>
      </c>
    </row>
    <row r="9861" spans="4:4" x14ac:dyDescent="0.25">
      <c r="D9861" t="s">
        <v>17938</v>
      </c>
    </row>
    <row r="9862" spans="4:4" x14ac:dyDescent="0.25">
      <c r="D9862" t="s">
        <v>17939</v>
      </c>
    </row>
    <row r="9863" spans="4:4" x14ac:dyDescent="0.25">
      <c r="D9863" t="s">
        <v>17940</v>
      </c>
    </row>
    <row r="9864" spans="4:4" x14ac:dyDescent="0.25">
      <c r="D9864" t="s">
        <v>17941</v>
      </c>
    </row>
    <row r="9865" spans="4:4" x14ac:dyDescent="0.25">
      <c r="D9865" t="s">
        <v>17942</v>
      </c>
    </row>
    <row r="9866" spans="4:4" x14ac:dyDescent="0.25">
      <c r="D9866" t="s">
        <v>17943</v>
      </c>
    </row>
    <row r="9867" spans="4:4" x14ac:dyDescent="0.25">
      <c r="D9867" t="s">
        <v>17944</v>
      </c>
    </row>
    <row r="9868" spans="4:4" x14ac:dyDescent="0.25">
      <c r="D9868" t="s">
        <v>17945</v>
      </c>
    </row>
    <row r="9869" spans="4:4" x14ac:dyDescent="0.25">
      <c r="D9869" t="s">
        <v>17946</v>
      </c>
    </row>
    <row r="9870" spans="4:4" x14ac:dyDescent="0.25">
      <c r="D9870" t="s">
        <v>17947</v>
      </c>
    </row>
    <row r="9871" spans="4:4" x14ac:dyDescent="0.25">
      <c r="D9871" t="s">
        <v>17948</v>
      </c>
    </row>
    <row r="9872" spans="4:4" x14ac:dyDescent="0.25">
      <c r="D9872" t="s">
        <v>17949</v>
      </c>
    </row>
    <row r="9873" spans="4:4" x14ac:dyDescent="0.25">
      <c r="D9873" t="s">
        <v>17950</v>
      </c>
    </row>
    <row r="9874" spans="4:4" x14ac:dyDescent="0.25">
      <c r="D9874" t="s">
        <v>17951</v>
      </c>
    </row>
    <row r="9875" spans="4:4" x14ac:dyDescent="0.25">
      <c r="D9875" t="s">
        <v>17952</v>
      </c>
    </row>
    <row r="9876" spans="4:4" x14ac:dyDescent="0.25">
      <c r="D9876" t="s">
        <v>17953</v>
      </c>
    </row>
    <row r="9877" spans="4:4" x14ac:dyDescent="0.25">
      <c r="D9877" t="s">
        <v>17954</v>
      </c>
    </row>
    <row r="9878" spans="4:4" x14ac:dyDescent="0.25">
      <c r="D9878" t="s">
        <v>17955</v>
      </c>
    </row>
    <row r="9879" spans="4:4" x14ac:dyDescent="0.25">
      <c r="D9879" t="s">
        <v>17956</v>
      </c>
    </row>
    <row r="9880" spans="4:4" x14ac:dyDescent="0.25">
      <c r="D9880" t="s">
        <v>17957</v>
      </c>
    </row>
    <row r="9881" spans="4:4" x14ac:dyDescent="0.25">
      <c r="D9881" t="s">
        <v>17958</v>
      </c>
    </row>
    <row r="9882" spans="4:4" x14ac:dyDescent="0.25">
      <c r="D9882" t="s">
        <v>17959</v>
      </c>
    </row>
    <row r="9883" spans="4:4" x14ac:dyDescent="0.25">
      <c r="D9883" t="s">
        <v>17960</v>
      </c>
    </row>
    <row r="9884" spans="4:4" x14ac:dyDescent="0.25">
      <c r="D9884" t="s">
        <v>17961</v>
      </c>
    </row>
    <row r="9885" spans="4:4" x14ac:dyDescent="0.25">
      <c r="D9885" t="s">
        <v>17962</v>
      </c>
    </row>
    <row r="9886" spans="4:4" x14ac:dyDescent="0.25">
      <c r="D9886" t="s">
        <v>17963</v>
      </c>
    </row>
    <row r="9887" spans="4:4" x14ac:dyDescent="0.25">
      <c r="D9887" t="s">
        <v>17964</v>
      </c>
    </row>
    <row r="9888" spans="4:4" x14ac:dyDescent="0.25">
      <c r="D9888" t="s">
        <v>17965</v>
      </c>
    </row>
    <row r="9889" spans="4:4" x14ac:dyDescent="0.25">
      <c r="D9889" t="s">
        <v>17966</v>
      </c>
    </row>
    <row r="9890" spans="4:4" x14ac:dyDescent="0.25">
      <c r="D9890" t="s">
        <v>17967</v>
      </c>
    </row>
    <row r="9891" spans="4:4" x14ac:dyDescent="0.25">
      <c r="D9891" t="s">
        <v>17968</v>
      </c>
    </row>
    <row r="9892" spans="4:4" x14ac:dyDescent="0.25">
      <c r="D9892" t="s">
        <v>17969</v>
      </c>
    </row>
    <row r="9893" spans="4:4" x14ac:dyDescent="0.25">
      <c r="D9893" t="s">
        <v>17970</v>
      </c>
    </row>
    <row r="9894" spans="4:4" x14ac:dyDescent="0.25">
      <c r="D9894" t="s">
        <v>17971</v>
      </c>
    </row>
    <row r="9895" spans="4:4" x14ac:dyDescent="0.25">
      <c r="D9895" t="s">
        <v>17972</v>
      </c>
    </row>
    <row r="9896" spans="4:4" x14ac:dyDescent="0.25">
      <c r="D9896" t="s">
        <v>17973</v>
      </c>
    </row>
    <row r="9897" spans="4:4" x14ac:dyDescent="0.25">
      <c r="D9897" t="s">
        <v>17974</v>
      </c>
    </row>
    <row r="9898" spans="4:4" x14ac:dyDescent="0.25">
      <c r="D9898" t="s">
        <v>17975</v>
      </c>
    </row>
    <row r="9899" spans="4:4" x14ac:dyDescent="0.25">
      <c r="D9899" t="s">
        <v>17976</v>
      </c>
    </row>
    <row r="9900" spans="4:4" x14ac:dyDescent="0.25">
      <c r="D9900" t="s">
        <v>17977</v>
      </c>
    </row>
    <row r="9901" spans="4:4" x14ac:dyDescent="0.25">
      <c r="D9901" t="s">
        <v>17978</v>
      </c>
    </row>
    <row r="9902" spans="4:4" x14ac:dyDescent="0.25">
      <c r="D9902" t="s">
        <v>17979</v>
      </c>
    </row>
    <row r="9903" spans="4:4" x14ac:dyDescent="0.25">
      <c r="D9903" t="s">
        <v>17980</v>
      </c>
    </row>
    <row r="9904" spans="4:4" x14ac:dyDescent="0.25">
      <c r="D9904" t="s">
        <v>17981</v>
      </c>
    </row>
    <row r="9905" spans="4:4" x14ac:dyDescent="0.25">
      <c r="D9905" t="s">
        <v>17982</v>
      </c>
    </row>
    <row r="9906" spans="4:4" x14ac:dyDescent="0.25">
      <c r="D9906" t="s">
        <v>17983</v>
      </c>
    </row>
    <row r="9907" spans="4:4" x14ac:dyDescent="0.25">
      <c r="D9907" t="s">
        <v>17984</v>
      </c>
    </row>
    <row r="9908" spans="4:4" x14ac:dyDescent="0.25">
      <c r="D9908" t="s">
        <v>17985</v>
      </c>
    </row>
    <row r="9909" spans="4:4" x14ac:dyDescent="0.25">
      <c r="D9909" t="s">
        <v>17986</v>
      </c>
    </row>
    <row r="9910" spans="4:4" x14ac:dyDescent="0.25">
      <c r="D9910" t="s">
        <v>17987</v>
      </c>
    </row>
    <row r="9911" spans="4:4" x14ac:dyDescent="0.25">
      <c r="D9911" t="s">
        <v>17988</v>
      </c>
    </row>
    <row r="9912" spans="4:4" x14ac:dyDescent="0.25">
      <c r="D9912" t="s">
        <v>17989</v>
      </c>
    </row>
    <row r="9913" spans="4:4" x14ac:dyDescent="0.25">
      <c r="D9913" t="s">
        <v>17990</v>
      </c>
    </row>
    <row r="9914" spans="4:4" x14ac:dyDescent="0.25">
      <c r="D9914" t="s">
        <v>17991</v>
      </c>
    </row>
    <row r="9915" spans="4:4" x14ac:dyDescent="0.25">
      <c r="D9915" t="s">
        <v>17992</v>
      </c>
    </row>
    <row r="9916" spans="4:4" x14ac:dyDescent="0.25">
      <c r="D9916" t="s">
        <v>17993</v>
      </c>
    </row>
    <row r="9917" spans="4:4" x14ac:dyDescent="0.25">
      <c r="D9917" t="s">
        <v>17994</v>
      </c>
    </row>
    <row r="9918" spans="4:4" x14ac:dyDescent="0.25">
      <c r="D9918" t="s">
        <v>17995</v>
      </c>
    </row>
    <row r="9919" spans="4:4" x14ac:dyDescent="0.25">
      <c r="D9919" t="s">
        <v>17996</v>
      </c>
    </row>
    <row r="9920" spans="4:4" x14ac:dyDescent="0.25">
      <c r="D9920" t="s">
        <v>17997</v>
      </c>
    </row>
    <row r="9921" spans="4:4" x14ac:dyDescent="0.25">
      <c r="D9921" t="s">
        <v>17998</v>
      </c>
    </row>
    <row r="9922" spans="4:4" x14ac:dyDescent="0.25">
      <c r="D9922" t="s">
        <v>17999</v>
      </c>
    </row>
    <row r="9923" spans="4:4" x14ac:dyDescent="0.25">
      <c r="D9923" t="s">
        <v>18000</v>
      </c>
    </row>
    <row r="9924" spans="4:4" x14ac:dyDescent="0.25">
      <c r="D9924" t="s">
        <v>18001</v>
      </c>
    </row>
    <row r="9925" spans="4:4" x14ac:dyDescent="0.25">
      <c r="D9925" t="s">
        <v>18002</v>
      </c>
    </row>
    <row r="9926" spans="4:4" x14ac:dyDescent="0.25">
      <c r="D9926" t="s">
        <v>18003</v>
      </c>
    </row>
    <row r="9927" spans="4:4" x14ac:dyDescent="0.25">
      <c r="D9927" t="s">
        <v>18004</v>
      </c>
    </row>
    <row r="9928" spans="4:4" x14ac:dyDescent="0.25">
      <c r="D9928" t="s">
        <v>18005</v>
      </c>
    </row>
    <row r="9929" spans="4:4" x14ac:dyDescent="0.25">
      <c r="D9929" t="s">
        <v>18006</v>
      </c>
    </row>
    <row r="9930" spans="4:4" x14ac:dyDescent="0.25">
      <c r="D9930" t="s">
        <v>18007</v>
      </c>
    </row>
    <row r="9931" spans="4:4" x14ac:dyDescent="0.25">
      <c r="D9931" t="s">
        <v>18008</v>
      </c>
    </row>
    <row r="9932" spans="4:4" x14ac:dyDescent="0.25">
      <c r="D9932" t="s">
        <v>18009</v>
      </c>
    </row>
    <row r="9933" spans="4:4" x14ac:dyDescent="0.25">
      <c r="D9933" t="s">
        <v>18010</v>
      </c>
    </row>
    <row r="9934" spans="4:4" x14ac:dyDescent="0.25">
      <c r="D9934" t="s">
        <v>18011</v>
      </c>
    </row>
    <row r="9935" spans="4:4" x14ac:dyDescent="0.25">
      <c r="D9935" t="s">
        <v>18012</v>
      </c>
    </row>
    <row r="9936" spans="4:4" x14ac:dyDescent="0.25">
      <c r="D9936" t="s">
        <v>18013</v>
      </c>
    </row>
    <row r="9937" spans="4:4" x14ac:dyDescent="0.25">
      <c r="D9937" t="s">
        <v>18014</v>
      </c>
    </row>
    <row r="9938" spans="4:4" x14ac:dyDescent="0.25">
      <c r="D9938" t="s">
        <v>18015</v>
      </c>
    </row>
    <row r="9939" spans="4:4" x14ac:dyDescent="0.25">
      <c r="D9939" t="s">
        <v>18016</v>
      </c>
    </row>
    <row r="9940" spans="4:4" x14ac:dyDescent="0.25">
      <c r="D9940" t="s">
        <v>18017</v>
      </c>
    </row>
    <row r="9941" spans="4:4" x14ac:dyDescent="0.25">
      <c r="D9941" t="s">
        <v>18018</v>
      </c>
    </row>
    <row r="9942" spans="4:4" x14ac:dyDescent="0.25">
      <c r="D9942" t="s">
        <v>18019</v>
      </c>
    </row>
    <row r="9943" spans="4:4" x14ac:dyDescent="0.25">
      <c r="D9943" t="s">
        <v>18020</v>
      </c>
    </row>
    <row r="9944" spans="4:4" x14ac:dyDescent="0.25">
      <c r="D9944" t="s">
        <v>18021</v>
      </c>
    </row>
    <row r="9945" spans="4:4" x14ac:dyDescent="0.25">
      <c r="D9945" t="s">
        <v>18022</v>
      </c>
    </row>
    <row r="9946" spans="4:4" x14ac:dyDescent="0.25">
      <c r="D9946" t="s">
        <v>18023</v>
      </c>
    </row>
    <row r="9947" spans="4:4" x14ac:dyDescent="0.25">
      <c r="D9947" t="s">
        <v>18024</v>
      </c>
    </row>
    <row r="9948" spans="4:4" x14ac:dyDescent="0.25">
      <c r="D9948" t="s">
        <v>18025</v>
      </c>
    </row>
    <row r="9949" spans="4:4" x14ac:dyDescent="0.25">
      <c r="D9949" t="s">
        <v>18026</v>
      </c>
    </row>
    <row r="9950" spans="4:4" x14ac:dyDescent="0.25">
      <c r="D9950" t="s">
        <v>18027</v>
      </c>
    </row>
    <row r="9951" spans="4:4" x14ac:dyDescent="0.25">
      <c r="D9951" t="s">
        <v>18028</v>
      </c>
    </row>
    <row r="9952" spans="4:4" x14ac:dyDescent="0.25">
      <c r="D9952" t="s">
        <v>18029</v>
      </c>
    </row>
    <row r="9953" spans="4:4" x14ac:dyDescent="0.25">
      <c r="D9953" t="s">
        <v>18030</v>
      </c>
    </row>
    <row r="9954" spans="4:4" x14ac:dyDescent="0.25">
      <c r="D9954" t="s">
        <v>18031</v>
      </c>
    </row>
    <row r="9955" spans="4:4" x14ac:dyDescent="0.25">
      <c r="D9955" t="s">
        <v>18032</v>
      </c>
    </row>
    <row r="9956" spans="4:4" x14ac:dyDescent="0.25">
      <c r="D9956" t="s">
        <v>18033</v>
      </c>
    </row>
    <row r="9957" spans="4:4" x14ac:dyDescent="0.25">
      <c r="D9957" t="s">
        <v>18034</v>
      </c>
    </row>
    <row r="9958" spans="4:4" x14ac:dyDescent="0.25">
      <c r="D9958" t="s">
        <v>18035</v>
      </c>
    </row>
    <row r="9959" spans="4:4" x14ac:dyDescent="0.25">
      <c r="D9959" t="s">
        <v>18036</v>
      </c>
    </row>
    <row r="9960" spans="4:4" x14ac:dyDescent="0.25">
      <c r="D9960" t="s">
        <v>18037</v>
      </c>
    </row>
    <row r="9961" spans="4:4" x14ac:dyDescent="0.25">
      <c r="D9961" t="s">
        <v>18038</v>
      </c>
    </row>
    <row r="9962" spans="4:4" x14ac:dyDescent="0.25">
      <c r="D9962" t="s">
        <v>18039</v>
      </c>
    </row>
    <row r="9963" spans="4:4" x14ac:dyDescent="0.25">
      <c r="D9963" t="s">
        <v>18040</v>
      </c>
    </row>
    <row r="9964" spans="4:4" x14ac:dyDescent="0.25">
      <c r="D9964" t="s">
        <v>18041</v>
      </c>
    </row>
    <row r="9965" spans="4:4" x14ac:dyDescent="0.25">
      <c r="D9965" t="s">
        <v>18042</v>
      </c>
    </row>
    <row r="9966" spans="4:4" x14ac:dyDescent="0.25">
      <c r="D9966" t="s">
        <v>18043</v>
      </c>
    </row>
    <row r="9967" spans="4:4" x14ac:dyDescent="0.25">
      <c r="D9967" t="s">
        <v>18044</v>
      </c>
    </row>
    <row r="9968" spans="4:4" x14ac:dyDescent="0.25">
      <c r="D9968" t="s">
        <v>18045</v>
      </c>
    </row>
    <row r="9969" spans="4:4" x14ac:dyDescent="0.25">
      <c r="D9969" t="s">
        <v>18046</v>
      </c>
    </row>
    <row r="9970" spans="4:4" x14ac:dyDescent="0.25">
      <c r="D9970" t="s">
        <v>18047</v>
      </c>
    </row>
    <row r="9971" spans="4:4" x14ac:dyDescent="0.25">
      <c r="D9971" t="s">
        <v>18048</v>
      </c>
    </row>
    <row r="9972" spans="4:4" x14ac:dyDescent="0.25">
      <c r="D9972" t="s">
        <v>18049</v>
      </c>
    </row>
    <row r="9973" spans="4:4" x14ac:dyDescent="0.25">
      <c r="D9973" t="s">
        <v>18050</v>
      </c>
    </row>
    <row r="9974" spans="4:4" x14ac:dyDescent="0.25">
      <c r="D9974" t="s">
        <v>18051</v>
      </c>
    </row>
    <row r="9975" spans="4:4" x14ac:dyDescent="0.25">
      <c r="D9975" t="s">
        <v>18052</v>
      </c>
    </row>
    <row r="9976" spans="4:4" x14ac:dyDescent="0.25">
      <c r="D9976" t="s">
        <v>18053</v>
      </c>
    </row>
    <row r="9977" spans="4:4" x14ac:dyDescent="0.25">
      <c r="D9977" t="s">
        <v>18054</v>
      </c>
    </row>
    <row r="9978" spans="4:4" x14ac:dyDescent="0.25">
      <c r="D9978" t="s">
        <v>18055</v>
      </c>
    </row>
    <row r="9979" spans="4:4" x14ac:dyDescent="0.25">
      <c r="D9979" t="s">
        <v>18056</v>
      </c>
    </row>
    <row r="9980" spans="4:4" x14ac:dyDescent="0.25">
      <c r="D9980" t="s">
        <v>18057</v>
      </c>
    </row>
    <row r="9981" spans="4:4" x14ac:dyDescent="0.25">
      <c r="D9981" t="s">
        <v>18058</v>
      </c>
    </row>
    <row r="9982" spans="4:4" x14ac:dyDescent="0.25">
      <c r="D9982" t="s">
        <v>18059</v>
      </c>
    </row>
    <row r="9983" spans="4:4" x14ac:dyDescent="0.25">
      <c r="D9983" t="s">
        <v>18060</v>
      </c>
    </row>
    <row r="9984" spans="4:4" x14ac:dyDescent="0.25">
      <c r="D9984" t="s">
        <v>18061</v>
      </c>
    </row>
    <row r="9985" spans="4:4" x14ac:dyDescent="0.25">
      <c r="D9985" t="s">
        <v>18062</v>
      </c>
    </row>
    <row r="9986" spans="4:4" x14ac:dyDescent="0.25">
      <c r="D9986" t="s">
        <v>18063</v>
      </c>
    </row>
    <row r="9987" spans="4:4" x14ac:dyDescent="0.25">
      <c r="D9987" t="s">
        <v>18064</v>
      </c>
    </row>
    <row r="9988" spans="4:4" x14ac:dyDescent="0.25">
      <c r="D9988" t="s">
        <v>18065</v>
      </c>
    </row>
    <row r="9989" spans="4:4" x14ac:dyDescent="0.25">
      <c r="D9989" t="s">
        <v>18066</v>
      </c>
    </row>
    <row r="9990" spans="4:4" x14ac:dyDescent="0.25">
      <c r="D9990" t="s">
        <v>18067</v>
      </c>
    </row>
    <row r="9991" spans="4:4" x14ac:dyDescent="0.25">
      <c r="D9991" t="s">
        <v>18068</v>
      </c>
    </row>
    <row r="9992" spans="4:4" x14ac:dyDescent="0.25">
      <c r="D9992" t="s">
        <v>18069</v>
      </c>
    </row>
    <row r="9993" spans="4:4" x14ac:dyDescent="0.25">
      <c r="D9993" t="s">
        <v>18070</v>
      </c>
    </row>
    <row r="9994" spans="4:4" x14ac:dyDescent="0.25">
      <c r="D9994" t="s">
        <v>18071</v>
      </c>
    </row>
    <row r="9995" spans="4:4" x14ac:dyDescent="0.25">
      <c r="D9995" t="s">
        <v>18072</v>
      </c>
    </row>
    <row r="9996" spans="4:4" x14ac:dyDescent="0.25">
      <c r="D9996" t="s">
        <v>18073</v>
      </c>
    </row>
    <row r="9997" spans="4:4" x14ac:dyDescent="0.25">
      <c r="D9997" t="s">
        <v>18074</v>
      </c>
    </row>
    <row r="9998" spans="4:4" x14ac:dyDescent="0.25">
      <c r="D9998" t="s">
        <v>18075</v>
      </c>
    </row>
    <row r="9999" spans="4:4" x14ac:dyDescent="0.25">
      <c r="D9999" t="s">
        <v>18076</v>
      </c>
    </row>
    <row r="10000" spans="4:4" x14ac:dyDescent="0.25">
      <c r="D10000" t="s">
        <v>18077</v>
      </c>
    </row>
    <row r="10001" spans="4:4" x14ac:dyDescent="0.25">
      <c r="D10001" t="s">
        <v>18078</v>
      </c>
    </row>
    <row r="10002" spans="4:4" x14ac:dyDescent="0.25">
      <c r="D10002" t="s">
        <v>18079</v>
      </c>
    </row>
    <row r="10003" spans="4:4" x14ac:dyDescent="0.25">
      <c r="D10003" t="s">
        <v>18080</v>
      </c>
    </row>
    <row r="10004" spans="4:4" x14ac:dyDescent="0.25">
      <c r="D10004" t="s">
        <v>18081</v>
      </c>
    </row>
    <row r="10005" spans="4:4" x14ac:dyDescent="0.25">
      <c r="D10005" t="s">
        <v>18082</v>
      </c>
    </row>
    <row r="10006" spans="4:4" x14ac:dyDescent="0.25">
      <c r="D10006" t="s">
        <v>18083</v>
      </c>
    </row>
    <row r="10007" spans="4:4" x14ac:dyDescent="0.25">
      <c r="D10007" t="s">
        <v>18084</v>
      </c>
    </row>
    <row r="10008" spans="4:4" x14ac:dyDescent="0.25">
      <c r="D10008" t="s">
        <v>18085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7</vt:i4>
      </vt:variant>
    </vt:vector>
  </HeadingPairs>
  <TitlesOfParts>
    <vt:vector size="15" baseType="lpstr">
      <vt:lpstr>Liste des reportings</vt:lpstr>
      <vt:lpstr>A - 2000.03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JSON_MetadataQuery</vt:lpstr>
      <vt:lpstr>tReporting52428894___RF_Save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2021-03-22T16:35:42Z</dcterms:modified>
</cp:coreProperties>
</file>