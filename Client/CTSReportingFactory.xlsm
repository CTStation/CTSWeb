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erre\Documents\GitHub\CTSWeb\Client\"/>
    </mc:Choice>
  </mc:AlternateContent>
  <xr:revisionPtr revIDLastSave="0" documentId="13_ncr:1_{CE70757C-9D88-4FF8-83EE-39AD1AD9B57F}" xr6:coauthVersionLast="46" xr6:coauthVersionMax="46" xr10:uidLastSave="{00000000-0000-0000-0000-000000000000}"/>
  <bookViews>
    <workbookView xWindow="-28920" yWindow="-4815" windowWidth="29040" windowHeight="17640" tabRatio="723" xr2:uid="{00000000-000D-0000-FFFF-FFFF00000000}"/>
  </bookViews>
  <sheets>
    <sheet name="Reporting List" sheetId="6" r:id="rId1"/>
    <sheet name="A - 2000.12" sheetId="15" r:id="rId2"/>
    <sheet name="CACHE" sheetId="10" r:id="rId3"/>
    <sheet name="Planning" sheetId="4" r:id="rId4"/>
    <sheet name="History" sheetId="7" r:id="rId5"/>
    <sheet name="I18N" sheetId="2" r:id="rId6"/>
    <sheet name="JSON" sheetId="8" r:id="rId7"/>
    <sheet name="JSON (2)" sheetId="13" r:id="rId8"/>
  </sheets>
  <functionGroups builtInGroupCount="19"/>
  <definedNames>
    <definedName name="_xlnm._FilterDatabase" localSheetId="3" hidden="1">Planning!$A$17:$J$64</definedName>
    <definedName name="_xlnm._FilterDatabase" localSheetId="0" hidden="1">'Reporting List'!$C$10:$E$14</definedName>
    <definedName name="cell_JSON_Param" localSheetId="7">'JSON (2)'!$I$1</definedName>
    <definedName name="cell_JSON_Param">JSON!$I$1</definedName>
    <definedName name="cellLanguage">I18N!$J$1</definedName>
    <definedName name="lCategory">Planning!$B$3:$B$5</definedName>
    <definedName name="lCategoryVersion">Planning!$B$9</definedName>
    <definedName name="lFolders">Planning!$B$12:$B$13</definedName>
    <definedName name="tReporting52428888___RF_Save">'A - 2000.12'!$B$2</definedName>
    <definedName name="tReportings____ROWS_">'Reporting List'!$H$14:$I$41</definedName>
    <definedName name="tReportings___RF_Refresh">'Reporting List'!$D$10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1" i="6" l="1"/>
  <c r="CF3" i="15"/>
  <c r="J66" i="4"/>
  <c r="CE4" i="15"/>
  <c r="CA4" i="15"/>
  <c r="BW4" i="15"/>
  <c r="BS4" i="15"/>
  <c r="BO4" i="15"/>
  <c r="BK4" i="15"/>
  <c r="BG4" i="15"/>
  <c r="BC4" i="15"/>
  <c r="AY4" i="15"/>
  <c r="AU4" i="15"/>
  <c r="AQ4" i="15"/>
  <c r="AM4" i="15"/>
  <c r="AI4" i="15"/>
  <c r="AE4" i="15"/>
  <c r="AA4" i="15"/>
  <c r="W4" i="15"/>
  <c r="S4" i="15"/>
  <c r="O4" i="15"/>
  <c r="K4" i="15"/>
  <c r="G4" i="15"/>
  <c r="C4" i="15"/>
  <c r="BX4" i="15"/>
  <c r="BP4" i="15"/>
  <c r="BD4" i="15"/>
  <c r="AN4" i="15"/>
  <c r="X4" i="15"/>
  <c r="L4" i="15"/>
  <c r="CD4" i="15"/>
  <c r="BZ4" i="15"/>
  <c r="BV4" i="15"/>
  <c r="BR4" i="15"/>
  <c r="BN4" i="15"/>
  <c r="BJ4" i="15"/>
  <c r="BF4" i="15"/>
  <c r="BB4" i="15"/>
  <c r="AX4" i="15"/>
  <c r="AT4" i="15"/>
  <c r="AP4" i="15"/>
  <c r="AL4" i="15"/>
  <c r="AH4" i="15"/>
  <c r="AD4" i="15"/>
  <c r="Z4" i="15"/>
  <c r="V4" i="15"/>
  <c r="R4" i="15"/>
  <c r="N4" i="15"/>
  <c r="J4" i="15"/>
  <c r="F4" i="15"/>
  <c r="B4" i="15"/>
  <c r="CB4" i="15"/>
  <c r="BL4" i="15"/>
  <c r="AZ4" i="15"/>
  <c r="AR4" i="15"/>
  <c r="AF4" i="15"/>
  <c r="T4" i="15"/>
  <c r="H4" i="15"/>
  <c r="CC4" i="15"/>
  <c r="BY4" i="15"/>
  <c r="BU4" i="15"/>
  <c r="BQ4" i="15"/>
  <c r="BM4" i="15"/>
  <c r="BI4" i="15"/>
  <c r="BE4" i="15"/>
  <c r="BA4" i="15"/>
  <c r="AW4" i="15"/>
  <c r="AS4" i="15"/>
  <c r="AO4" i="15"/>
  <c r="AK4" i="15"/>
  <c r="AG4" i="15"/>
  <c r="AC4" i="15"/>
  <c r="Y4" i="15"/>
  <c r="U4" i="15"/>
  <c r="Q4" i="15"/>
  <c r="M4" i="15"/>
  <c r="I4" i="15"/>
  <c r="E4" i="15"/>
  <c r="B2" i="15"/>
  <c r="CF4" i="15"/>
  <c r="BT4" i="15"/>
  <c r="BH4" i="15"/>
  <c r="AV4" i="15"/>
  <c r="AJ4" i="15"/>
  <c r="AB4" i="15"/>
  <c r="P4" i="15"/>
  <c r="D4" i="15"/>
  <c r="I41" i="6"/>
  <c r="I39" i="6"/>
  <c r="I37" i="6"/>
  <c r="I35" i="6"/>
  <c r="I33" i="6"/>
  <c r="I31" i="6"/>
  <c r="I29" i="6"/>
  <c r="I27" i="6"/>
  <c r="I25" i="6"/>
  <c r="I23" i="6"/>
  <c r="I21" i="6"/>
  <c r="I19" i="6"/>
  <c r="I17" i="6"/>
  <c r="I15" i="6"/>
  <c r="I16" i="6"/>
  <c r="H38" i="6"/>
  <c r="H34" i="6"/>
  <c r="H28" i="6"/>
  <c r="H22" i="6"/>
  <c r="H41" i="6"/>
  <c r="H39" i="6"/>
  <c r="H37" i="6"/>
  <c r="H35" i="6"/>
  <c r="H33" i="6"/>
  <c r="H31" i="6"/>
  <c r="H29" i="6"/>
  <c r="H27" i="6"/>
  <c r="H25" i="6"/>
  <c r="H23" i="6"/>
  <c r="H21" i="6"/>
  <c r="H19" i="6"/>
  <c r="H17" i="6"/>
  <c r="H15" i="6"/>
  <c r="I18" i="6"/>
  <c r="H40" i="6"/>
  <c r="H32" i="6"/>
  <c r="H26" i="6"/>
  <c r="H20" i="6"/>
  <c r="H16" i="6"/>
  <c r="I40" i="6"/>
  <c r="I38" i="6"/>
  <c r="I36" i="6"/>
  <c r="I34" i="6"/>
  <c r="I32" i="6"/>
  <c r="I30" i="6"/>
  <c r="I28" i="6"/>
  <c r="I26" i="6"/>
  <c r="I24" i="6"/>
  <c r="I22" i="6"/>
  <c r="I20" i="6"/>
  <c r="H36" i="6"/>
  <c r="H30" i="6"/>
  <c r="H24" i="6"/>
  <c r="H18" i="6"/>
  <c r="I14" i="6"/>
  <c r="H14" i="6"/>
  <c r="F12" i="6"/>
  <c r="E12" i="6"/>
  <c r="D12" i="6"/>
  <c r="C12" i="6"/>
  <c r="D10" i="6"/>
  <c r="I66" i="4" l="1"/>
  <c r="H66" i="4"/>
  <c r="F66" i="4" l="1"/>
  <c r="G66" i="4"/>
  <c r="D66" i="4"/>
  <c r="C66" i="4"/>
  <c r="I4" i="6" a="1"/>
  <c r="B66" i="4" l="1"/>
  <c r="I4" i="6"/>
  <c r="G10" i="2"/>
  <c r="H10" i="2" l="1"/>
  <c r="G17" i="2" l="1"/>
  <c r="H17" i="2"/>
  <c r="B4" i="6" a="1"/>
  <c r="B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<sst xmlns="http://schemas.openxmlformats.org/spreadsheetml/2006/main" count="1290" uniqueCount="676">
  <si>
    <t>ID</t>
  </si>
  <si>
    <t>Param1</t>
  </si>
  <si>
    <t>Param2</t>
  </si>
  <si>
    <t>Param3</t>
  </si>
  <si>
    <t>Param4</t>
  </si>
  <si>
    <t>Param5</t>
  </si>
  <si>
    <t>Start time</t>
  </si>
  <si>
    <t>Source</t>
  </si>
  <si>
    <t>Message</t>
  </si>
  <si>
    <t>Start</t>
  </si>
  <si>
    <t>LOG_End</t>
  </si>
  <si>
    <t>en_US</t>
  </si>
  <si>
    <t>fr_FR</t>
  </si>
  <si>
    <t>Français</t>
  </si>
  <si>
    <t>Anglais</t>
  </si>
  <si>
    <t>French</t>
  </si>
  <si>
    <t>English</t>
  </si>
  <si>
    <t>Début</t>
  </si>
  <si>
    <t>Heure de début</t>
  </si>
  <si>
    <t>Reporting</t>
  </si>
  <si>
    <t>Category</t>
  </si>
  <si>
    <t>A</t>
  </si>
  <si>
    <t>C</t>
  </si>
  <si>
    <t>B</t>
  </si>
  <si>
    <t>Actual</t>
  </si>
  <si>
    <t>F</t>
  </si>
  <si>
    <t>Forecast</t>
  </si>
  <si>
    <t>Budget</t>
  </si>
  <si>
    <t>Category version</t>
  </si>
  <si>
    <t>Current</t>
  </si>
  <si>
    <t>Folders</t>
  </si>
  <si>
    <t>P-A</t>
  </si>
  <si>
    <t>Set of controls</t>
  </si>
  <si>
    <t>Restrictions</t>
  </si>
  <si>
    <t>Operation</t>
  </si>
  <si>
    <t>List of entities</t>
  </si>
  <si>
    <t>P-JV</t>
  </si>
  <si>
    <t>Todo</t>
  </si>
  <si>
    <t>Date picker</t>
  </si>
  <si>
    <t>Text entry</t>
  </si>
  <si>
    <t>Reporting period picker</t>
  </si>
  <si>
    <t>Level of control</t>
  </si>
  <si>
    <t>List of flows</t>
  </si>
  <si>
    <t>List of periods</t>
  </si>
  <si>
    <t>Site</t>
  </si>
  <si>
    <t>Currency</t>
  </si>
  <si>
    <t>Impasse sur le workflow</t>
  </si>
  <si>
    <t>Phase</t>
  </si>
  <si>
    <t>Exercice</t>
  </si>
  <si>
    <t>LOG_StartTime</t>
  </si>
  <si>
    <t>LOG_Source</t>
  </si>
  <si>
    <t>LOG_Message</t>
  </si>
  <si>
    <t>LOG_Start</t>
  </si>
  <si>
    <t>I18N_Version</t>
  </si>
  <si>
    <t>Created</t>
  </si>
  <si>
    <t>Date de création</t>
  </si>
  <si>
    <t>https://www.flaticon.com/</t>
  </si>
  <si>
    <t>I18N_CellValLanguage</t>
  </si>
  <si>
    <t>Language</t>
  </si>
  <si>
    <t>Langue</t>
  </si>
  <si>
    <t>I18N_CellValTip</t>
  </si>
  <si>
    <t>Choisir une langue</t>
  </si>
  <si>
    <t>Choose a language</t>
  </si>
  <si>
    <t/>
  </si>
  <si>
    <t>Tarik</t>
  </si>
  <si>
    <t>Liste des reportings</t>
  </si>
  <si>
    <t>Pierre</t>
  </si>
  <si>
    <t>Category (généralisé à toutes les dimensions)</t>
  </si>
  <si>
    <t>Category version (dépend de la catégory)</t>
  </si>
  <si>
    <t>Duplication</t>
  </si>
  <si>
    <t>JSON</t>
  </si>
  <si>
    <t>Gestion des erreurs</t>
  </si>
  <si>
    <t>Packaging et tests</t>
  </si>
  <si>
    <t>RF_Phase</t>
  </si>
  <si>
    <t>RF_CreationDate</t>
  </si>
  <si>
    <t>RF_Title</t>
  </si>
  <si>
    <t>CTS Reporting Factory</t>
  </si>
  <si>
    <t>Génération des reportings</t>
  </si>
  <si>
    <t>RF_Duplicate</t>
  </si>
  <si>
    <t>Modify</t>
  </si>
  <si>
    <t>Duplicate</t>
  </si>
  <si>
    <t>Modifier</t>
  </si>
  <si>
    <t>Dupliquer</t>
  </si>
  <si>
    <t>RF_Modify</t>
  </si>
  <si>
    <t>TODO</t>
  </si>
  <si>
    <t>Fonction de traduction des dates, avec formats par defaut pour long et court et nom des jours</t>
  </si>
  <si>
    <t>Tri des tableaux</t>
  </si>
  <si>
    <t>RF_Refresh</t>
  </si>
  <si>
    <t>Refresh list</t>
  </si>
  <si>
    <t>Mettre à jour la liste</t>
  </si>
  <si>
    <t>Query</t>
  </si>
  <si>
    <t>Title</t>
  </si>
  <si>
    <t>Hidden</t>
  </si>
  <si>
    <t>RF_ID</t>
  </si>
  <si>
    <t>Yes</t>
  </si>
  <si>
    <t>CreationDate</t>
  </si>
  <si>
    <t>No</t>
  </si>
  <si>
    <t>JSON Column</t>
  </si>
  <si>
    <t>Int</t>
  </si>
  <si>
    <t>Date</t>
  </si>
  <si>
    <t>JSON Type</t>
  </si>
  <si>
    <t>String</t>
  </si>
  <si>
    <t>UpdatePeriod</t>
  </si>
  <si>
    <t>RF_UpdatePeriod</t>
  </si>
  <si>
    <t>Update Period</t>
  </si>
  <si>
    <t>RF_FrameworkVersion</t>
  </si>
  <si>
    <t>Header</t>
  </si>
  <si>
    <t>Version de référentiel</t>
  </si>
  <si>
    <t>Position</t>
  </si>
  <si>
    <t>Row</t>
  </si>
  <si>
    <t>I18N</t>
  </si>
  <si>
    <t>Command</t>
  </si>
  <si>
    <t>Table</t>
  </si>
  <si>
    <t>tReportings</t>
  </si>
  <si>
    <t>Leave at least one empty line between one query and the next</t>
  </si>
  <si>
    <t>Reporting List</t>
  </si>
  <si>
    <t>Params</t>
  </si>
  <si>
    <t>The MIT License (MIT)</t>
  </si>
  <si>
    <t>Copyright (c) 2016 Tim Hall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</si>
  <si>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</si>
  <si>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</si>
  <si>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</si>
  <si>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</si>
  <si>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</si>
  <si>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</si>
  <si>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</si>
  <si>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</si>
  <si>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</si>
  <si>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</si>
  <si>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</si>
  <si>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</si>
  <si>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</si>
  <si>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</si>
  <si>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</si>
  <si>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RF_Save</t>
  </si>
  <si>
    <t>Required</t>
  </si>
  <si>
    <t>JSON Row Array</t>
  </si>
  <si>
    <t>Data</t>
  </si>
  <si>
    <t>x</t>
  </si>
  <si>
    <t>Credits</t>
  </si>
  <si>
    <t>icons</t>
  </si>
  <si>
    <t>Actions en ligne</t>
  </si>
  <si>
    <t>Traduction des feuilles</t>
  </si>
  <si>
    <t>Cacher la barre de formules</t>
  </si>
  <si>
    <t>Fenêtre d'atente</t>
  </si>
  <si>
    <t>Traduire les erreurs</t>
  </si>
  <si>
    <t>RF_Entity</t>
  </si>
  <si>
    <t>RF_InputCurrency</t>
  </si>
  <si>
    <t>RF_CutoffDate</t>
  </si>
  <si>
    <t>Boolean</t>
  </si>
  <si>
    <t>RF_AfterPublication</t>
  </si>
  <si>
    <t>RF_AfterTransfer</t>
  </si>
  <si>
    <t>Sélection après création</t>
  </si>
  <si>
    <t>Passage d'argument dans les commandes</t>
  </si>
  <si>
    <t>Format</t>
  </si>
  <si>
    <t>Editor</t>
  </si>
  <si>
    <t>LongDate</t>
  </si>
  <si>
    <t>I18N_Months</t>
  </si>
  <si>
    <t>Jan. Feb. Mar. Apr. May June July Aug. Sep. Oct. Nov. Dec. January February March April May June July August September October November December</t>
  </si>
  <si>
    <t>jan. fév. mars ajr. mai juin juil. août sep. oct. nov. déc. janvier février mars avril mai june juillet août septembre octobre novembre décembre</t>
  </si>
  <si>
    <t>I18N_Days</t>
  </si>
  <si>
    <t>Sun Mon Tue Wed Thu Fri Sat Sunday Monday Tuesday Wednesday Thursday Friday Saturday</t>
  </si>
  <si>
    <t>I18N_YesNo</t>
  </si>
  <si>
    <t>Yes No</t>
  </si>
  <si>
    <t>Oui Non</t>
  </si>
  <si>
    <t>01</t>
  </si>
  <si>
    <t>10 12 15</t>
  </si>
  <si>
    <t>I18N_DateFormats</t>
  </si>
  <si>
    <t>Dim Lun Mar Mer Jeu Ven Sam Dimanche Lundi Mardi Mercredi Jeudi Vendredi Samedi</t>
  </si>
  <si>
    <t>mm/dd/yy|ddd mmm dd, yyyy|dddd mmmm dd, yyyy</t>
  </si>
  <si>
    <t>dd mm yy|ddd dd mmm yyyy|dddd dd mmmm yyyy</t>
  </si>
  <si>
    <t>RF_UpdateData</t>
  </si>
  <si>
    <t>RF_UpdateDataTitle</t>
  </si>
  <si>
    <t>Connection au serveur</t>
  </si>
  <si>
    <t>Connect to server</t>
  </si>
  <si>
    <t>RF_I18N_Sheet</t>
  </si>
  <si>
    <t>Proposer de changer de server sur timeout</t>
  </si>
  <si>
    <t>{"CodeName": "RF_I18N_Sheet", "Cell": "C10"}</t>
  </si>
  <si>
    <t>{"RF_ID":"?","RF_Phase":"?","RF_UpdatePeriod":"?"}</t>
  </si>
  <si>
    <t>Données dans feuille et relecture</t>
  </si>
  <si>
    <t>RF_EarlyPublishing</t>
  </si>
  <si>
    <t>Entity</t>
  </si>
  <si>
    <t>Unité</t>
  </si>
  <si>
    <t>Devise</t>
  </si>
  <si>
    <t>Cutoff Date</t>
  </si>
  <si>
    <t>Date limite</t>
  </si>
  <si>
    <t>Early publishing</t>
  </si>
  <si>
    <t>Publication anticipée</t>
  </si>
  <si>
    <t>Integrate after publication</t>
  </si>
  <si>
    <t>Integrate after transfer</t>
  </si>
  <si>
    <t>Intégrer après publication</t>
  </si>
  <si>
    <t>Intégrer après transfert</t>
  </si>
  <si>
    <t>Sauvegarder</t>
  </si>
  <si>
    <t>/Data/Phase</t>
  </si>
  <si>
    <t>/Data/UpdatePeriod</t>
  </si>
  <si>
    <t>/Data/FrameworkVersion</t>
  </si>
  <si>
    <t>yyyy-mm-dd hh:mm</t>
  </si>
  <si>
    <t>#Group</t>
  </si>
  <si>
    <t>Level</t>
  </si>
  <si>
    <t>RF_Entity2</t>
  </si>
  <si>
    <t>RF_Operation</t>
  </si>
  <si>
    <t>RF_Reporting</t>
  </si>
  <si>
    <t>Code</t>
  </si>
  <si>
    <t>Name</t>
  </si>
  <si>
    <t>Exploitation</t>
  </si>
  <si>
    <t>Colonnes à cacher dans feuille</t>
  </si>
  <si>
    <t xml:space="preserve"> 1</t>
  </si>
  <si>
    <t xml:space="preserve"> 2</t>
  </si>
  <si>
    <t xml:space="preserve"> 3</t>
  </si>
  <si>
    <t xml:space="preserve"> 4</t>
  </si>
  <si>
    <t xml:space="preserve">Gérer l'erreur 408 </t>
  </si>
  <si>
    <t>Save changes</t>
  </si>
  <si>
    <t>Version 0.7</t>
  </si>
  <si>
    <t>29 07 2020</t>
  </si>
  <si>
    <t>Corrige Save Changes (manquait un n)</t>
  </si>
  <si>
    <t>Prépare les suggestions de Bruno</t>
  </si>
  <si>
    <t>Adapté au 64 bits</t>
  </si>
  <si>
    <t>Version 0.6</t>
  </si>
  <si>
    <t>27 07 2020</t>
  </si>
  <si>
    <t>Première diffusion pour revue</t>
  </si>
  <si>
    <t>Dans le dialogue de duplication, ajouter la deadline et les dates de début et de fin</t>
  </si>
  <si>
    <t>Autoriser plusieurs reprtings dans une même feuille</t>
  </si>
  <si>
    <t>Tâches de consolidation et de pré consolidation</t>
  </si>
  <si>
    <t>Définitions de consolidation</t>
  </si>
  <si>
    <t>Chargement des taux</t>
  </si>
  <si>
    <t>Web Access</t>
  </si>
  <si>
    <t>64 bits</t>
  </si>
  <si>
    <t>Première diffusion</t>
  </si>
  <si>
    <t>Version 0.8</t>
  </si>
  <si>
    <t>29 11 2020</t>
  </si>
  <si>
    <t>Séparer l'adresse du serveur du reste des requêtes</t>
  </si>
  <si>
    <t>Content</t>
  </si>
  <si>
    <t>JSON Query</t>
  </si>
  <si>
    <t>Next ID</t>
  </si>
  <si>
    <t>Gère la dupication</t>
  </si>
  <si>
    <t>Cache les données</t>
  </si>
  <si>
    <t>Gère l'ouverture de plusieurs reportings</t>
  </si>
  <si>
    <t>Direction</t>
  </si>
  <si>
    <t>Timestamp</t>
  </si>
  <si>
    <t>Voulez-vous vous connecter au serveur et mettre à jour la liste des reportings ?</t>
  </si>
  <si>
    <t>Key</t>
  </si>
  <si>
    <t>tReporting{ID}</t>
  </si>
  <si>
    <t>Le serveur ne fait pas partie de l'identifiant des données, donc des comparaisons entre serveurs exigent deux fichiers</t>
  </si>
  <si>
    <t>Traduire les forms</t>
  </si>
  <si>
    <t>Version 0.9</t>
  </si>
  <si>
    <t>Bug fix</t>
  </si>
  <si>
    <t>Supprime la référence aux contrôles SP4</t>
  </si>
  <si>
    <t>Cache le quadrillage dans les détails</t>
  </si>
  <si>
    <t>Version 0.91</t>
  </si>
  <si>
    <t>Version 0.92.1</t>
  </si>
  <si>
    <t>28 02 2021</t>
  </si>
  <si>
    <t>Full info</t>
  </si>
  <si>
    <t>aj</t>
  </si>
  <si>
    <t>FlatDesc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</si>
  <si>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</si>
  <si>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</si>
  <si>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</si>
  <si>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</si>
  <si>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</si>
  <si>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</si>
  <si>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</si>
  <si>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</si>
  <si>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</si>
  <si>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</si>
  <si>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</si>
  <si>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</si>
  <si>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</si>
  <si>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</si>
  <si>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</si>
  <si>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</si>
  <si>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</si>
  <si>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</si>
  <si>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</si>
  <si>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</si>
  <si>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</si>
  <si>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z</t>
  </si>
  <si>
    <t>aa</t>
  </si>
  <si>
    <t>ab</t>
  </si>
  <si>
    <t>ac</t>
  </si>
  <si>
    <t>ae</t>
  </si>
  <si>
    <t>af</t>
  </si>
  <si>
    <t>ag</t>
  </si>
  <si>
    <t>ah</t>
  </si>
  <si>
    <t>ak</t>
  </si>
  <si>
    <t>al</t>
  </si>
  <si>
    <t>am</t>
  </si>
  <si>
    <t>an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</si>
  <si>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</si>
  <si>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</si>
  <si>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</si>
  <si>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</si>
  <si>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</si>
  <si>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</si>
  <si>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</si>
  <si>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</si>
  <si>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</si>
  <si>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</si>
  <si>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</si>
  <si>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</si>
  <si>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</si>
  <si>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</si>
  <si>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</si>
  <si>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</si>
  <si>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</si>
  <si>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</si>
  <si>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</si>
  <si>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</si>
  <si>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</si>
  <si>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</si>
  <si>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</si>
  <si>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</si>
  <si>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</si>
  <si>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</si>
  <si>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</si>
  <si>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</si>
  <si>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</si>
  <si>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</si>
  <si>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</si>
  <si>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</si>
  <si>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</si>
  <si>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</si>
  <si>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</si>
  <si>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</si>
  <si>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</si>
  <si>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ReturnCol</t>
  </si>
  <si>
    <t>RF_RepPack</t>
  </si>
  <si>
    <t>RF_RepOp</t>
  </si>
  <si>
    <t>RF_RepOpAftPub</t>
  </si>
  <si>
    <t>RF_RepOpAftTran</t>
  </si>
  <si>
    <t>RF_RepDesc</t>
  </si>
  <si>
    <t>InputCurrency</t>
  </si>
  <si>
    <t>InputSite</t>
  </si>
  <si>
    <t>PublicationSite</t>
  </si>
  <si>
    <t>PackPackage/UseDefaultWindowsFolder</t>
  </si>
  <si>
    <t>PackPackage/WindowsFolder</t>
  </si>
  <si>
    <t>PackPackage/UseDefaultInternetFolder</t>
  </si>
  <si>
    <t>PackPackage/InternetFolder</t>
  </si>
  <si>
    <t>PackPackage/UseDefaultSetOfControls</t>
  </si>
  <si>
    <t>PackPackage/SetOfControls</t>
  </si>
  <si>
    <t>PackPackage/UseDefaultLevel</t>
  </si>
  <si>
    <t>PackPackage/LevelToReach</t>
  </si>
  <si>
    <t>PackPackage/Blocking</t>
  </si>
  <si>
    <t>PackPackage/UseDefaultLock</t>
  </si>
  <si>
    <t>PackPackage/LockOnPublication</t>
  </si>
  <si>
    <t>PackPackage/UseDefaultRuleSet</t>
  </si>
  <si>
    <t>PackPackage/RuleSet</t>
  </si>
  <si>
    <t>PackPackage/UseDefaultOpbal</t>
  </si>
  <si>
    <t>PackPackage/HasOpBal</t>
  </si>
  <si>
    <t>PackPackage/OpbPhase</t>
  </si>
  <si>
    <t>PackPackage/OpbUpdatePeriod</t>
  </si>
  <si>
    <t>PackPackage/OpbScope</t>
  </si>
  <si>
    <t>PackPackage/OpbVariant</t>
  </si>
  <si>
    <t>PackPackage/OpbConsCurrency</t>
  </si>
  <si>
    <t>PackOperation/UseDefaultPublish</t>
  </si>
  <si>
    <t>PackOperation/PackPublishingCutOffDate</t>
  </si>
  <si>
    <t>PackOperation/AllowEarlyPublishing</t>
  </si>
  <si>
    <t>PackOperation/UseDefaultAfterPub</t>
  </si>
  <si>
    <t>PackOperation/AfterPublication/Standard</t>
  </si>
  <si>
    <t>PackOperation/AfterPublication/Special</t>
  </si>
  <si>
    <t>PackOperation/AfterPublication/Advanced</t>
  </si>
  <si>
    <t>PackOperation/AfterPublication/Level</t>
  </si>
  <si>
    <t>PackOperation/UseDefaultAfterTran</t>
  </si>
  <si>
    <t>PackOperation/AfterTransfer/Standard</t>
  </si>
  <si>
    <t>PackOperation/AfterTransfer/Special</t>
  </si>
  <si>
    <t>PackOperation/AfterTransfer/Advanced</t>
  </si>
  <si>
    <t>PackOperation/AfterTransfer/Level</t>
  </si>
  <si>
    <t>RF_EntPack</t>
  </si>
  <si>
    <t>RF_EntOp</t>
  </si>
  <si>
    <t>RF_EntOpAftPub</t>
  </si>
  <si>
    <t>RF_EntOpAftTran</t>
  </si>
  <si>
    <t>Dim/Phase</t>
  </si>
  <si>
    <t>Dim/UpdPer</t>
  </si>
  <si>
    <t>Dim/FrameworkVersion</t>
  </si>
  <si>
    <t>Folder</t>
  </si>
  <si>
    <t>SetOfCtrl</t>
  </si>
  <si>
    <t>Lock</t>
  </si>
  <si>
    <t>SetOfRules</t>
  </si>
  <si>
    <t>Dim/Entity</t>
  </si>
  <si>
    <t>Dim/Currency</t>
  </si>
  <si>
    <t>Recipient</t>
  </si>
  <si>
    <t>RF_Start</t>
  </si>
  <si>
    <t>RF_End</t>
  </si>
  <si>
    <t>/Data/ReportingStartDate</t>
  </si>
  <si>
    <t>/Data/ReportingEndDate</t>
  </si>
  <si>
    <t>/Data/DefaultPackage/UseDefaultWindowsFolder</t>
  </si>
  <si>
    <t>/Data/DefaultPackage/WindowsFolder</t>
  </si>
  <si>
    <t>/Data/DefaultPackage/UseDefaultInternetFolder</t>
  </si>
  <si>
    <t>/Data/DefaultPackage/InternetFolder</t>
  </si>
  <si>
    <t>/Data/DefaultPackage/UseDefaultSetOfControls</t>
  </si>
  <si>
    <t>/Data/DefaultPackage/SetOfControls</t>
  </si>
  <si>
    <t>/Data/DefaultPackage/UseDefaultLevel</t>
  </si>
  <si>
    <t>/Data/DefaultPackage/LevelToReach</t>
  </si>
  <si>
    <t>/Data/DefaultPackage/Blocking</t>
  </si>
  <si>
    <t>/Data/DefaultPackage/UseDefaultLock</t>
  </si>
  <si>
    <t>/Data/DefaultPackage/LockOnPublication</t>
  </si>
  <si>
    <t>/Data/DefaultPackage/UseDefaultRuleSet</t>
  </si>
  <si>
    <t>/Data/DefaultPackage/RuleSet</t>
  </si>
  <si>
    <t>/Data/DefaultPackage/UseDefaultOpbal</t>
  </si>
  <si>
    <t>/Data/DefaultPackage/HasOpBal</t>
  </si>
  <si>
    <t>/Data/DefaultPackage/OpbPhase</t>
  </si>
  <si>
    <t>/Data/DefaultPackage/OpbUpdatePeriod</t>
  </si>
  <si>
    <t>/Data/DefaultPackage/OpbScope</t>
  </si>
  <si>
    <t>/Data/DefaultPackage/OpbVariant</t>
  </si>
  <si>
    <t>/Data/DefaultPackage/OpbConsCurrency</t>
  </si>
  <si>
    <t>/Data/DefaultOperation/PackPublishingCutOffDate</t>
  </si>
  <si>
    <t>/Data/DefaultOperation/AllowEarlyPublishing</t>
  </si>
  <si>
    <t>/Data/DefaultOperation/AfterPublication/Standard</t>
  </si>
  <si>
    <t>/Data/DefaultOperation/AfterPublication/Special</t>
  </si>
  <si>
    <t>/Data/DefaultOperation/AfterPublication/Advanced</t>
  </si>
  <si>
    <t>/Data/DefaultOperation/AfterPublication/Level</t>
  </si>
  <si>
    <t>/Data/DefaultOperation/AfterTransfer/Standard</t>
  </si>
  <si>
    <t>/Data/DefaultOperation/AfterTransfer/Special</t>
  </si>
  <si>
    <t>/Data/DefaultOperation/AfterTransfer/Advanced</t>
  </si>
  <si>
    <t>/Data/DefaultOperation/AfterTransfer/Level</t>
  </si>
  <si>
    <t>/Data/Descriptions</t>
  </si>
  <si>
    <t>RF_RepOpAftPubStd</t>
  </si>
  <si>
    <t>RF_RepOpAftPubSpe</t>
  </si>
  <si>
    <t>RF_RepOpAftPubAdv</t>
  </si>
  <si>
    <t>RF_RepOpAftPubLvl</t>
  </si>
  <si>
    <t>RF_RepOpAftTranStd</t>
  </si>
  <si>
    <t>RF_RepOpAftTranSpe</t>
  </si>
  <si>
    <t>RF_RepOpAftTranAdv</t>
  </si>
  <si>
    <t>RF_RepOpAftTranLvl</t>
  </si>
  <si>
    <t>RF_InputSite</t>
  </si>
  <si>
    <t>RF_PublicationSite</t>
  </si>
  <si>
    <t>RF_EntUseDefaultWindowsFolder</t>
  </si>
  <si>
    <t>RF_EntUseDefaultInternetFolder</t>
  </si>
  <si>
    <t>RF_EntUseDefaultSetOfControls</t>
  </si>
  <si>
    <t>RF_EntUseDefaultLevel</t>
  </si>
  <si>
    <t>RF_EntLevelToReach</t>
  </si>
  <si>
    <t>RF_EntBlocking</t>
  </si>
  <si>
    <t>RF_EntUseDefaultLock</t>
  </si>
  <si>
    <t>RF_EntUseDefaultRuleSet</t>
  </si>
  <si>
    <t>RF_EntUseDefaultOpbal</t>
  </si>
  <si>
    <t>RF_EntHasOpBal</t>
  </si>
  <si>
    <t>RF_EntOpbUpdatePeriod</t>
  </si>
  <si>
    <t>RF_EntOpbScope</t>
  </si>
  <si>
    <t>RF_EntOpbVariant</t>
  </si>
  <si>
    <t>RF_EntOpbConsCurrency</t>
  </si>
  <si>
    <t>RF_EntUseDefaultPublish</t>
  </si>
  <si>
    <t>RF_EntPackPublishingCutOffDate</t>
  </si>
  <si>
    <t>RF_EntAllowEarlyPublishing</t>
  </si>
  <si>
    <t>RF_EntUseDefaultAfterPub</t>
  </si>
  <si>
    <t>RF_EntUseDefaultAfterTran</t>
  </si>
  <si>
    <t>RF_EntWindowsFolder</t>
  </si>
  <si>
    <t>RF_EntSetOfControls</t>
  </si>
  <si>
    <t>RF_EntLockOnPublication</t>
  </si>
  <si>
    <t>RF_EntRuleSet</t>
  </si>
  <si>
    <t>RF_EntOpbPhase</t>
  </si>
  <si>
    <t>RF_EntAftPubStandard</t>
  </si>
  <si>
    <t>RF_EntAftPubLevel</t>
  </si>
  <si>
    <t>RF_EntAftTranStandard</t>
  </si>
  <si>
    <t>RF_EntAftTranSpecial</t>
  </si>
  <si>
    <t>RF_EntAftTranAdvanced</t>
  </si>
  <si>
    <t>RF_EntAftTranLevel</t>
  </si>
  <si>
    <t>RF_EntAftPubSpecial</t>
  </si>
  <si>
    <t>RF_EntAftPubAdvanced</t>
  </si>
  <si>
    <t>RF_EntInternetFolder</t>
  </si>
  <si>
    <t>RF_UseDefaultWindowsFolder</t>
  </si>
  <si>
    <t>RF_WindowsFolder</t>
  </si>
  <si>
    <t>RF_UseDefaultInternetFolder</t>
  </si>
  <si>
    <t>RF_InternetFolder</t>
  </si>
  <si>
    <t>RF_UseDefaultSetOfControls</t>
  </si>
  <si>
    <t>RF_SetOfControls</t>
  </si>
  <si>
    <t>RF_UseDefaultLevel</t>
  </si>
  <si>
    <t>RF_LevelToReach</t>
  </si>
  <si>
    <t>RF_Blocking</t>
  </si>
  <si>
    <t>RF_UseDefaultLock</t>
  </si>
  <si>
    <t>RF_LockOnPublication</t>
  </si>
  <si>
    <t>RF_UseDefaultRuleSet</t>
  </si>
  <si>
    <t>RF_RuleSet</t>
  </si>
  <si>
    <t>RF_UseDefaultOpbal</t>
  </si>
  <si>
    <t>RF_HasOpBal</t>
  </si>
  <si>
    <t>RF_OpbPhase</t>
  </si>
  <si>
    <t>RF_OpbUpdatePeriod</t>
  </si>
  <si>
    <t>RF_OpbScope</t>
  </si>
  <si>
    <t>RF_OpbVariant</t>
  </si>
  <si>
    <t>RF_OpbConsCurrency</t>
  </si>
  <si>
    <t>Start date</t>
  </si>
  <si>
    <t>End date</t>
  </si>
  <si>
    <t>Fin</t>
  </si>
  <si>
    <t>Package</t>
  </si>
  <si>
    <t>Liasse</t>
  </si>
  <si>
    <t>Default Windows Folder?</t>
  </si>
  <si>
    <t>Default Internet Folder?</t>
  </si>
  <si>
    <t>Default Level?</t>
  </si>
  <si>
    <t>Blocking?</t>
  </si>
  <si>
    <t>Windows folder</t>
  </si>
  <si>
    <t>Internet folder</t>
  </si>
  <si>
    <t>Cahier Windows</t>
  </si>
  <si>
    <t>Cahier Internet</t>
  </si>
  <si>
    <t>Cahier Windows: défaut?</t>
  </si>
  <si>
    <t>Cahier Internet: défaut?</t>
  </si>
  <si>
    <t>Control Set: default?</t>
  </si>
  <si>
    <t>Jeu de contrôles: défaut?</t>
  </si>
  <si>
    <t>Control Set</t>
  </si>
  <si>
    <t>Jeu de contrôles</t>
  </si>
  <si>
    <t>Niveau de contrôle: défaut?</t>
  </si>
  <si>
    <t>Control Level</t>
  </si>
  <si>
    <t>Niveau de contrôle</t>
  </si>
  <si>
    <t>Bloquant?</t>
  </si>
  <si>
    <t>Connect to  server and refresh the reporting list?</t>
  </si>
  <si>
    <t>/api/reporting/{ID}</t>
  </si>
  <si>
    <t>/api/reportings</t>
  </si>
  <si>
    <t>Lacks restriction</t>
  </si>
  <si>
    <t>Lacks BFC Dim picker</t>
  </si>
  <si>
    <t>Bug on opening balance generation</t>
  </si>
  <si>
    <t>172.31.38.85</t>
  </si>
  <si>
    <t>SAPFCSQLSERVER</t>
  </si>
  <si>
    <t>ADMIN</t>
  </si>
  <si>
    <t>fr-FR</t>
  </si>
  <si>
    <t>en-US</t>
  </si>
  <si>
    <t>https://localhost:44304</t>
  </si>
  <si>
    <t>auLDescfr_FR</t>
  </si>
  <si>
    <t>RF_DescFr</t>
  </si>
  <si>
    <t>Multilang desc</t>
  </si>
  <si>
    <t>In</t>
  </si>
  <si>
    <t>2000.12</t>
  </si>
  <si>
    <t xml:space="preserve"> 5</t>
  </si>
  <si>
    <t xml:space="preserve"> 6</t>
  </si>
  <si>
    <t xml:space="preserve"> 7</t>
  </si>
  <si>
    <t xml:space="preserve"> 8</t>
  </si>
  <si>
    <t xml:space="preserve"> 9</t>
  </si>
  <si>
    <t xml:space="preserve"> 10</t>
  </si>
  <si>
    <t xml:space="preserve"> 11</t>
  </si>
  <si>
    <t xml:space="preserve"> 12</t>
  </si>
  <si>
    <t xml:space="preserve"> 13</t>
  </si>
  <si>
    <t xml:space="preserve"> 14</t>
  </si>
  <si>
    <t xml:space="preserve"> 15</t>
  </si>
  <si>
    <t xml:space="preserve"> 16</t>
  </si>
  <si>
    <t xml:space="preserve"> 17</t>
  </si>
  <si>
    <t xml:space="preserve"> 18</t>
  </si>
  <si>
    <t xml:space="preserve"> 19</t>
  </si>
  <si>
    <t xml:space="preserve"> 20</t>
  </si>
  <si>
    <t xml:space="preserve"> 21</t>
  </si>
  <si>
    <t xml:space="preserve"> 22</t>
  </si>
  <si>
    <t xml:space="preserve"> 23</t>
  </si>
  <si>
    <t xml:space="preserve"> 24</t>
  </si>
  <si>
    <t xml:space="preserve"> 25</t>
  </si>
  <si>
    <t xml:space="preserve"> 26</t>
  </si>
  <si>
    <t xml:space="preserve"> 27</t>
  </si>
  <si>
    <t xml:space="preserve"> 28</t>
  </si>
  <si>
    <t xml:space="preserve"> 29</t>
  </si>
  <si>
    <t xml:space="preserve"> 30</t>
  </si>
  <si>
    <t xml:space="preserve"> 31</t>
  </si>
  <si>
    <t xml:space="preserve"> 32</t>
  </si>
  <si>
    <t xml:space="preserve"> 33</t>
  </si>
  <si>
    <t xml:space="preserve"> 34</t>
  </si>
  <si>
    <t xml:space="preserve"> 35</t>
  </si>
  <si>
    <t xml:space="preserve"> 36</t>
  </si>
  <si>
    <t xml:space="preserve"> 37</t>
  </si>
  <si>
    <t xml:space="preserve"> 38</t>
  </si>
  <si>
    <t xml:space="preserve"> 39</t>
  </si>
  <si>
    <t xml:space="preserve"> 40</t>
  </si>
  <si>
    <t xml:space="preserve"> 41</t>
  </si>
  <si>
    <t xml:space="preserve"> 42</t>
  </si>
  <si>
    <t xml:space="preserve"> 43</t>
  </si>
  <si>
    <t xml:space="preserve"> 44</t>
  </si>
  <si>
    <t xml:space="preserve"> 45</t>
  </si>
  <si>
    <t xml:space="preserve"> 46</t>
  </si>
  <si>
    <t xml:space="preserve"> 47</t>
  </si>
  <si>
    <t xml:space="preserve"> 48</t>
  </si>
  <si>
    <t xml:space="preserve"> 49</t>
  </si>
  <si>
    <t xml:space="preserve"> 50</t>
  </si>
  <si>
    <t xml:space="preserve"> 51</t>
  </si>
  <si>
    <t xml:space="preserve"> 52</t>
  </si>
  <si>
    <t xml:space="preserve"> 53</t>
  </si>
  <si>
    <t xml:space="preserve"> 54</t>
  </si>
  <si>
    <t xml:space="preserve"> 55</t>
  </si>
  <si>
    <t xml:space="preserve"> 56</t>
  </si>
  <si>
    <t xml:space="preserve"> 57</t>
  </si>
  <si>
    <t xml:space="preserve"> 58</t>
  </si>
  <si>
    <t xml:space="preserve"> 59</t>
  </si>
  <si>
    <t xml:space="preserve"> 60</t>
  </si>
  <si>
    <t xml:space="preserve"> 61</t>
  </si>
  <si>
    <t xml:space="preserve"> 62</t>
  </si>
  <si>
    <t xml:space="preserve"> 63</t>
  </si>
  <si>
    <t xml:space="preserve"> 64</t>
  </si>
  <si>
    <t xml:space="preserve"> 65</t>
  </si>
  <si>
    <t xml:space="preserve"> 66</t>
  </si>
  <si>
    <t xml:space="preserve"> 67</t>
  </si>
  <si>
    <t xml:space="preserve"> 68</t>
  </si>
  <si>
    <t xml:space="preserve"> 69</t>
  </si>
  <si>
    <t xml:space="preserve"> 70</t>
  </si>
  <si>
    <t xml:space="preserve"> 71</t>
  </si>
  <si>
    <t xml:space="preserve"> 72</t>
  </si>
  <si>
    <t xml:space="preserve"> 73</t>
  </si>
  <si>
    <t xml:space="preserve"> 74</t>
  </si>
  <si>
    <t xml:space="preserve"> 75</t>
  </si>
  <si>
    <t xml:space="preserve"> 76</t>
  </si>
  <si>
    <t xml:space="preserve"> 77</t>
  </si>
  <si>
    <t xml:space="preserve"> 78</t>
  </si>
  <si>
    <t xml:space="preserve"> 79</t>
  </si>
  <si>
    <t xml:space="preserve"> 80</t>
  </si>
  <si>
    <t xml:space="preserve"> 81</t>
  </si>
  <si>
    <t xml:space="preserve"> 82</t>
  </si>
  <si>
    <t xml:space="preserve"> 83</t>
  </si>
  <si>
    <t>tReporting52428888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</si>
  <si>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-01T18:28:24.67Z","UpdateAuthor":-524286,"Descriptions":[{"CultureName":"fr-FR","Texts":{"SDesc":"","LDesc":"Test"}},{"CultureName":"en-US","Texts":{"SDesc":"",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SDesc":"","LDesc":"Réel - 2001.11"}},{"CultureName":"en-US","Texts":{"SDesc":"","LDesc":"Actual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SDesc":"","LDesc":"Réel - 2001.12"}},{"CultureName":"en-US","Texts":{"SDesc":"","LDesc":"Actual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SDesc":"","LDesc":""}},{"CultureName":"en-US","Texts":{"SDesc":"",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SDesc":"","LDesc":""}},{"CultureName":"en-US","Texts":{"SDesc":"",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SDesc":"","LDesc":""}},{"CultureName":"en-US","Texts":{"SDesc":"",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SDesc":"","LDesc":""}},{"CultureName":"en-US","Texts":{"SDesc":"",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SDesc":"","LDesc":""}},{"CultureName":"en-US","Texts":{"SDesc":"",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SDesc":"","LDesc":""}},{"CultureName":"en-US","Texts":{"SDesc":"",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SDesc":"","LDesc":""}},{"CultureName":"en-US","Texts":{"SDesc":"",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SDesc":"","LDesc":""}},{"CultureName":"en-US","Texts":{"SDesc":"",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SDesc":"","LDesc":""}},{"CultureName":"en-US","Texts":{"SDesc":"",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SDesc":"","LDesc":"Réel 2002.10"}},{"CultureName":"en-US","Texts":{"SDesc":"","LDesc":"Actual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SDesc":"a","LDesc":"a"}},{"CultureName":"en-US","Texts":{"SDesc":"a",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SDesc":"","LDesc":"Réel 2002.12"}},{"CultureName":"en-US","Texts":{"SDesc":"ff","LDesc":"Actual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SDesc":"","LDesc":"Réel 2003.12"}},{"CultureName":"en-US","Texts":{"SDesc":"","LDesc":"Actual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SDesc":"","LDesc":"Réel 2004.12"}},{"CultureName":"en-US","Texts":{"SDesc":"","LDesc":"Actual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SDesc":"","LDesc":"Réel 2010.12"}},{"CultureName":"en-US","Texts":{"SDesc":"Actual 2010.12","LDesc":"Actual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SDesc":"","LDesc":"Réel 2011.03"}},{"CultureName":"en-US","Texts":{"SDesc":"","LDesc":"Actual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SDesc":"","LDesc":"Réel 2011.06"}},{"CultureName":"en-US","Texts":{"SDesc":"","LDesc":"Actual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SDesc":"","LDesc":"Réel 2011.09"}},{"CultureName":"en-US","Texts":{"SDesc":"","LDesc":"Actual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SDesc":"","LDesc":"Réel 2011.12"}},{"CultureName":"en-US","Texts":{"SDesc":"","LDesc":"Actual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SDesc":"","LDesc":"Réel 2013.01"}},{"CultureName":"en-US","Texts":{"SDesc":"","LDesc":"Actual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SDesc":"","LDesc":"Réel 2013.12"}},{"CultureName":"en-US","Texts":{"SDesc":"","LDesc":"Actual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SDesc":"","LDesc":"Réel 2014.12"}},{"CultureName":"en-US","Texts":{"SDesc":"","LDesc":"Actual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SDesc":"","LDesc":"Réel 2019.12"}},{"CultureName":"en-US","Texts":{"SDesc":"","LDesc":"Actual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SDesc":"","LDesc":"Réel 2020.12"}},{"CultureName":"en-US","Texts":{"SDesc":"","LDesc":"Actual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SDesc":"","LDesc":"Réel 2021.12"}},{"CultureName":"en-US","Texts":{"SDesc":"","LDesc":"Actual - 2021.12"}}],"ID":60,"LDesc":"Réel 2021.12","Name":"A - 2021.12"}],"Messages":null}</t>
  </si>
  <si>
    <t>tReporting79</t>
  </si>
  <si>
    <t>{"Data":{"Framework":{"Phase":"A","Version":"C","Status":5,"ControlSets":{"P-A":{"ID":8,"LDesc":"Jeu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"P-A","UseDefaultInternetFolder":true,"InternetFolder":null,"UseDefaultSetOfControls":true,"SetOfControls":"P-A","UseDefaultLevel":true,"LevelToReach":null,"Blocking":true,"UseDefaultLock":true,"LockOnPublication":2,"UseDefaultRuleSet":true,"RuleSet":null,"UseDefaultOpbal":false,"HasOpBal":false,"OpbPhase":null,"OpbUpdatePeriod":null,"OpbScope":null,"OpbVariant":null,"OpbConsCurrency":null},"DefaultRestriction":{},"DefaultOperation":{"UseDefaultPublish":false,"PackPublishingCutOffDate":"2015-09-12T12:16:14Z","AllowEarlyPublishing":true,"UseDefaultAfterPub":false,"AfterPublication":{"Standard":false,"Special":true,"Advanced":true,"Level":2},"UseDefaultAfterTran":false,"AfterTransfer":{"Standard":false,"Special":false,"Advanced":false,"Level":null}},"EntityReportings":[],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SDesc":"","LDesc":"Réel 2003.12"}},{"CultureName":"en-US","Texts":{"SDesc":"","LDesc":"Actual - 2003.12"}}],"ID":79,"LDesc":"Réel 2003.12","Name":"A - 2003.12"},"Messages":{"Messages":[],"UsedHints":{}}}</t>
  </si>
  <si>
    <t>{"Data":{"Framework":{"Phase":"A","Version":"C","Status":5,"ControlSets":{"P-A":{"ID":8,"LDesc":null,"Name":"P-A"},"P-E":{"ID":10,"LDesc":null,"Name":"P-E"}},"ControlLevels":{"1":{"Descriptions":[{"CultureName":"fr-FR","Texts":{"LDesc":"Analyse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24.67Z","UpdateAuthor":-524286,"Descriptions":[{"CultureName":"fr-FR","Texts":{"LDesc":"Test"}},{"CultureName":"en-US","Texts":{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2000.12","FrameworkVersion":"C","ReportingStartDate":"2021-02-24T10:02:00Z","ReportingEndDate":"2021-02-27T10:02:00Z","OwnerSite":100,"OwnerWorkgroup":0,"CreationDate":"2021-03-01T16:55:21Z","Author":-524286,"UpdateDate":"2021-03-01T18:28:24.67Z","UpdateAuthor":-524286,"Descriptions":[{"CultureName":"fr-FR","Texts":{"LDesc":"Test"}},{"CultureName":"en-US","Texts":{"LDesc":"Actual - 2000.12"}}],"ID":52428888,"LDesc":null,"Name":"A - 2000.12"},"Messages":{"Messages":[],"UsedHints":{}}}</t>
  </si>
  <si>
    <t>Serveur: Nettoyer le Save</t>
  </si>
  <si>
    <t>Serveur: A nouveaux</t>
  </si>
  <si>
    <t>Vider le cache en cas de changement de user/datasource</t>
  </si>
  <si>
    <t>Supprimer la copie cachée</t>
  </si>
  <si>
    <t>Afficher les libellés</t>
  </si>
  <si>
    <t>Jeton de session</t>
  </si>
  <si>
    <t>Liste des langues et erreurs dans la connexion</t>
  </si>
  <si>
    <t>Présenter les messages</t>
  </si>
  <si>
    <t>Data/EntityReportings</t>
  </si>
  <si>
    <t>S001</t>
  </si>
  <si>
    <t>EUR</t>
  </si>
  <si>
    <t>0000.TOP</t>
  </si>
  <si>
    <t>Commande Add description</t>
  </si>
  <si>
    <t>Protéger la query de liste des reportings</t>
  </si>
  <si>
    <t>Largeur des cols</t>
  </si>
  <si>
    <t>2/24/2021  11:02:00 AM</t>
  </si>
  <si>
    <t>2/27/2021  11:02:00 AM</t>
  </si>
  <si>
    <t>2/26/2021  11:02:00 AM</t>
  </si>
  <si>
    <t>1/1/2001  1:00:00 AM</t>
  </si>
  <si>
    <t>3/1/2021  5:55:21 PM</t>
  </si>
  <si>
    <t>2001.11</t>
  </si>
  <si>
    <t>2/23/2021  3:52:39 PM</t>
  </si>
  <si>
    <t>2001.12</t>
  </si>
  <si>
    <t>2/23/2021  3:13:08 PM</t>
  </si>
  <si>
    <t>2002.01</t>
  </si>
  <si>
    <t>2/18/2021  9:47:58 PM</t>
  </si>
  <si>
    <t>2002.02</t>
  </si>
  <si>
    <t>2/23/2021  3:02:13 PM</t>
  </si>
  <si>
    <t>2002.03</t>
  </si>
  <si>
    <t>2/23/2021  12:30:51 PM</t>
  </si>
  <si>
    <t>2002.04</t>
  </si>
  <si>
    <t>2/23/2021  12:15:06 PM</t>
  </si>
  <si>
    <t>2002.05</t>
  </si>
  <si>
    <t>2/23/2021  11:36:13 AM</t>
  </si>
  <si>
    <t>2002.06</t>
  </si>
  <si>
    <t>2/16/2021  7:37:46 PM</t>
  </si>
  <si>
    <t>2002.07</t>
  </si>
  <si>
    <t>2/16/2021  7:33:41 PM</t>
  </si>
  <si>
    <t>2002.08</t>
  </si>
  <si>
    <t>2/16/2021  7:23:18 PM</t>
  </si>
  <si>
    <t>2002.09</t>
  </si>
  <si>
    <t>2/16/2021  3:59:23 PM</t>
  </si>
  <si>
    <t>2002.10</t>
  </si>
  <si>
    <t>2/16/2021  3:53:29 PM</t>
  </si>
  <si>
    <t>2002.11</t>
  </si>
  <si>
    <t>2/16/2021  3:50:30 PM</t>
  </si>
  <si>
    <t>2002.12</t>
  </si>
  <si>
    <t>2/15/2021  3:11:42 PM</t>
  </si>
  <si>
    <t>2003.12</t>
  </si>
  <si>
    <t>8/28/2015  2:16:28 PM</t>
  </si>
  <si>
    <t>2004.12</t>
  </si>
  <si>
    <t>8/28/2015  2:10:05 PM</t>
  </si>
  <si>
    <t>2010.12</t>
  </si>
  <si>
    <t>5/3/2010  1:22:35 PM</t>
  </si>
  <si>
    <t>2011.03</t>
  </si>
  <si>
    <t>11/25/2010  2:09:22 PM</t>
  </si>
  <si>
    <t>2011.06</t>
  </si>
  <si>
    <t>11/29/2010  11:06:57 AM</t>
  </si>
  <si>
    <t>2011.09</t>
  </si>
  <si>
    <t>11/29/2010  11:10:44 AM</t>
  </si>
  <si>
    <t>2011.12</t>
  </si>
  <si>
    <t>5/4/2010  9:10:01 AM</t>
  </si>
  <si>
    <t>2013.01</t>
  </si>
  <si>
    <t>1/28/2021  11:06:48 AM</t>
  </si>
  <si>
    <t>2013.12</t>
  </si>
  <si>
    <t>3/29/2013  10:53:41 AM</t>
  </si>
  <si>
    <t>2014.12</t>
  </si>
  <si>
    <t>4/7/2014  11:31:33 AM</t>
  </si>
  <si>
    <t>2019.12</t>
  </si>
  <si>
    <t>9/2/2010  11:17:44 AM</t>
  </si>
  <si>
    <t>2020.12</t>
  </si>
  <si>
    <t>8/31/2010  2:52:12 PM</t>
  </si>
  <si>
    <t>2021.12</t>
  </si>
  <si>
    <t>8/31/2010  2:57:27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</si>
</sst>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\ hh:mm:ss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2" borderId="0" xfId="0" applyFont="1" applyFill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3" fillId="0" borderId="0" xfId="1" applyProtection="1">
      <protection hidden="1"/>
    </xf>
    <xf numFmtId="0" fontId="3" fillId="0" borderId="0" xfId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0" fillId="0" borderId="0" xfId="0" applyNumberFormat="1"/>
    <xf numFmtId="0" fontId="0" fillId="4" borderId="0" xfId="0" applyFill="1"/>
    <xf numFmtId="0" fontId="3" fillId="0" borderId="0" xfId="1" applyNumberFormat="1"/>
    <xf numFmtId="0" fontId="4" fillId="0" borderId="0" xfId="0" applyNumberFormat="1" applyFont="1" applyAlignment="1" applyProtection="1">
      <alignment horizontal="right"/>
      <protection hidden="1"/>
    </xf>
    <xf numFmtId="0" fontId="3" fillId="0" borderId="0" xfId="1" applyNumberFormat="1" applyAlignment="1" applyProtection="1">
      <alignment horizontal="center"/>
      <protection hidden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1" applyNumberFormat="1" applyProtection="1">
      <protection hidden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 applyProtection="1">
      <protection hidden="1"/>
    </xf>
    <xf numFmtId="0" fontId="6" fillId="3" borderId="2" xfId="0" applyNumberFormat="1" applyFont="1" applyFill="1" applyBorder="1" applyAlignment="1"/>
    <xf numFmtId="0" fontId="6" fillId="3" borderId="1" xfId="0" applyNumberFormat="1" applyFont="1" applyFill="1" applyBorder="1" applyAlignment="1"/>
    <xf numFmtId="0" fontId="6" fillId="3" borderId="3" xfId="0" applyNumberFormat="1" applyFont="1" applyFill="1" applyBorder="1" applyAlignment="1"/>
    <xf numFmtId="49" fontId="0" fillId="0" borderId="0" xfId="0" applyNumberFormat="1" applyAlignment="1"/>
    <xf numFmtId="0" fontId="4" fillId="0" borderId="0" xfId="0" applyNumberFormat="1" applyFont="1" applyAlignment="1">
      <alignment horizontal="right"/>
    </xf>
    <xf numFmtId="16" fontId="0" fillId="0" borderId="0" xfId="0" applyNumberFormat="1"/>
    <xf numFmtId="49" fontId="0" fillId="0" borderId="0" xfId="0" applyNumberFormat="1" applyAlignment="1">
      <alignment vertical="center"/>
    </xf>
    <xf numFmtId="0" fontId="7" fillId="0" borderId="4" xfId="0" applyFont="1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4" borderId="0" xfId="0" applyNumberFormat="1" applyFill="1"/>
    <xf numFmtId="0" fontId="0" fillId="0" borderId="1" xfId="0" applyFont="1" applyFill="1" applyBorder="1" applyAlignment="1">
      <alignment vertical="center"/>
    </xf>
    <xf numFmtId="0" fontId="0" fillId="0" borderId="0" xfId="0" applyFill="1"/>
    <xf numFmtId="0" fontId="0" fillId="0" borderId="0" xfId="0" applyFill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ill="1"/>
    <xf numFmtId="49" fontId="0" fillId="0" borderId="0" xfId="0" applyNumberFormat="1" applyAlignment="1">
      <alignment horizontal="center"/>
    </xf>
    <xf numFmtId="0" fontId="6" fillId="3" borderId="2" xfId="0" applyNumberFormat="1" applyFont="1" applyFill="1" applyBorder="1" applyAlignment="1">
      <alignment horizontal="center"/>
    </xf>
    <xf numFmtId="0" fontId="6" fillId="3" borderId="1" xfId="0" applyNumberFormat="1" applyFont="1" applyFill="1" applyBorder="1" applyAlignment="1">
      <alignment horizontal="center"/>
    </xf>
    <xf numFmtId="0" fontId="6" fillId="3" borderId="3" xfId="0" applyNumberFormat="1" applyFont="1" applyFill="1" applyBorder="1" applyAlignment="1">
      <alignment horizontal="center"/>
    </xf>
    <xf numFmtId="49" fontId="0" fillId="4" borderId="0" xfId="0" applyNumberFormat="1" applyFill="1"/>
    <xf numFmtId="49" fontId="0" fillId="0" borderId="0" xfId="0" applyNumberFormat="1" applyAlignment="1">
      <alignment wrapText="1"/>
    </xf>
    <xf numFmtId="4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protection locked="0"/>
    </xf>
  </cellXfs>
  <cellStyles count="2">
    <cellStyle name="Lien hypertexte" xfId="1" builtinId="8"/>
    <cellStyle name="Normal" xfId="0" builtinId="0"/>
  </cellStyles>
  <dxfs count="135">
    <dxf>
      <protection locked="0" hidden="0"/>
    </dxf>
    <dxf>
      <numFmt numFmtId="30" formatCode="@"/>
      <alignment horizontal="general" vertical="bottom" textRotation="0" wrapText="0" indent="0" justifyLastLine="0" shrinkToFit="0" readingOrder="0"/>
      <protection locked="0" hidden="0"/>
    </dxf>
    <dxf>
      <numFmt numFmtId="30" formatCode="@"/>
      <alignment horizontal="general" vertical="bottom" textRotation="0" wrapText="0" indent="0" justifyLastLine="0" shrinkToFit="0" readingOrder="0"/>
      <protection locked="0" hidden="0"/>
    </dxf>
    <dxf>
      <numFmt numFmtId="30" formatCode="@"/>
      <alignment horizontal="general" vertical="bottom" textRotation="0" wrapText="0" indent="0" justifyLastLine="0" shrinkToFit="0" readingOrder="0"/>
      <protection locked="0" hidden="0"/>
    </dxf>
    <dxf>
      <numFmt numFmtId="30" formatCode="@"/>
      <alignment horizontal="general" vertical="bottom" textRotation="0" wrapText="0" indent="0" justifyLastLine="0" shrinkToFit="0" readingOrder="0"/>
      <protection locked="0" hidden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numFmt numFmtId="30" formatCode="@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66675</xdr:colOff>
      <xdr:row>6</xdr:row>
      <xdr:rowOff>0</xdr:rowOff>
    </xdr:to>
    <xdr:sp macro="" textlink="$B$4">
      <xdr:nvSpPr>
        <xdr:cNvPr id="2" name="Title">
          <a:extLst>
            <a:ext uri="{FF2B5EF4-FFF2-40B4-BE49-F238E27FC236}">
              <a16:creationId xmlns:a16="http://schemas.microsoft.com/office/drawing/2014/main" id="{B7286C0D-64E2-4158-A33E-5D311951C2DD}"/>
            </a:ext>
          </a:extLst>
        </xdr:cNvPr>
        <xdr:cNvSpPr/>
      </xdr:nvSpPr>
      <xdr:spPr>
        <a:xfrm>
          <a:off x="190500" y="190500"/>
          <a:ext cx="10868025" cy="9525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24000" rtlCol="0" anchor="ctr" anchorCtr="0"/>
        <a:lstStyle/>
        <a:p>
          <a:pPr algn="ctr"/>
          <a:fld id="{6F9713BA-2E8C-44E3-9CBC-99BF17D05BBB}" type="TxLink">
            <a:rPr lang="en-US" sz="4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CTS Reporting Factory</a:t>
          </a:fld>
          <a:endParaRPr lang="en-US" sz="595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123824</xdr:colOff>
      <xdr:row>6</xdr:row>
      <xdr:rowOff>147638</xdr:rowOff>
    </xdr:from>
    <xdr:to>
      <xdr:col>12</xdr:col>
      <xdr:colOff>142874</xdr:colOff>
      <xdr:row>8</xdr:row>
      <xdr:rowOff>71437</xdr:rowOff>
    </xdr:to>
    <xdr:sp macro="" textlink="$I$4">
      <xdr:nvSpPr>
        <xdr:cNvPr id="9" name="Version">
          <a:extLst>
            <a:ext uri="{FF2B5EF4-FFF2-40B4-BE49-F238E27FC236}">
              <a16:creationId xmlns:a16="http://schemas.microsoft.com/office/drawing/2014/main" id="{79FCB3C3-08A0-4030-B95F-998508432596}"/>
            </a:ext>
          </a:extLst>
        </xdr:cNvPr>
        <xdr:cNvSpPr/>
      </xdr:nvSpPr>
      <xdr:spPr>
        <a:xfrm>
          <a:off x="7677149" y="1290638"/>
          <a:ext cx="2209800" cy="3047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E88C766-52B5-4516-A1A9-5E9DB4CEA806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Version 0.91 - 12/08/20</a:t>
          </a:fld>
          <a:endParaRPr lang="en-US" sz="1100"/>
        </a:p>
      </xdr:txBody>
    </xdr:sp>
    <xdr:clientData/>
  </xdr:twoCellAnchor>
  <xdr:twoCellAnchor editAs="absolute">
    <xdr:from>
      <xdr:col>11</xdr:col>
      <xdr:colOff>504824</xdr:colOff>
      <xdr:row>6</xdr:row>
      <xdr:rowOff>156037</xdr:rowOff>
    </xdr:from>
    <xdr:to>
      <xdr:col>11</xdr:col>
      <xdr:colOff>792824</xdr:colOff>
      <xdr:row>8</xdr:row>
      <xdr:rowOff>63037</xdr:rowOff>
    </xdr:to>
    <xdr:pic macro="[0]!I18N_LanguageClick">
      <xdr:nvPicPr>
        <xdr:cNvPr id="3" name="fr_FR">
          <a:extLst>
            <a:ext uri="{FF2B5EF4-FFF2-40B4-BE49-F238E27FC236}">
              <a16:creationId xmlns:a16="http://schemas.microsoft.com/office/drawing/2014/main" id="{BDB11BA6-8C86-484B-A39B-BAFAE36D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149" y="1299037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161924</xdr:colOff>
      <xdr:row>6</xdr:row>
      <xdr:rowOff>156037</xdr:rowOff>
    </xdr:from>
    <xdr:to>
      <xdr:col>11</xdr:col>
      <xdr:colOff>449924</xdr:colOff>
      <xdr:row>8</xdr:row>
      <xdr:rowOff>63037</xdr:rowOff>
    </xdr:to>
    <xdr:pic macro="[0]!I18N_LanguageClick">
      <xdr:nvPicPr>
        <xdr:cNvPr id="4" name="en_US">
          <a:extLst>
            <a:ext uri="{FF2B5EF4-FFF2-40B4-BE49-F238E27FC236}">
              <a16:creationId xmlns:a16="http://schemas.microsoft.com/office/drawing/2014/main" id="{32A3F01F-F006-45C8-9E6B-71D98BE9A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49" y="1299037"/>
          <a:ext cx="288000" cy="28800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11</xdr:row>
      <xdr:rowOff>0</xdr:rowOff>
    </xdr:from>
    <xdr:to>
      <xdr:col>4</xdr:col>
      <xdr:colOff>0</xdr:colOff>
      <xdr:row>13</xdr:row>
      <xdr:rowOff>0</xdr:rowOff>
    </xdr:to>
    <xdr:sp macro="JSON_TableHeaderClick" textlink="$D$12">
      <xdr:nvSpPr>
        <xdr:cNvPr id="5" name="tReportings_2">
          <a:extLst>
            <a:ext uri="{FF2B5EF4-FFF2-40B4-BE49-F238E27FC236}">
              <a16:creationId xmlns:a16="http://schemas.microsoft.com/office/drawing/2014/main" id="{37731F5F-1027-4D0C-A6D2-228AC328EBF4}"/>
            </a:ext>
          </a:extLst>
        </xdr:cNvPr>
        <xdr:cNvSpPr/>
      </xdr:nvSpPr>
      <xdr:spPr>
        <a:xfrm>
          <a:off x="2466975" y="2095500"/>
          <a:ext cx="1485900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0D9E49E-242D-47FB-8F68-3511FBDF959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Category</a:t>
          </a:fld>
          <a:endParaRPr lang="en-US" sz="1100"/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13</xdr:row>
      <xdr:rowOff>0</xdr:rowOff>
    </xdr:to>
    <xdr:sp macro="JSON_TableHeaderClick" textlink="$E$12">
      <xdr:nvSpPr>
        <xdr:cNvPr id="6" name="tReportings_3">
          <a:extLst>
            <a:ext uri="{FF2B5EF4-FFF2-40B4-BE49-F238E27FC236}">
              <a16:creationId xmlns:a16="http://schemas.microsoft.com/office/drawing/2014/main" id="{D86B876D-6254-4D34-ACC7-4ABB0ABD1DDA}"/>
            </a:ext>
          </a:extLst>
        </xdr:cNvPr>
        <xdr:cNvSpPr/>
      </xdr:nvSpPr>
      <xdr:spPr>
        <a:xfrm>
          <a:off x="3952875" y="2095500"/>
          <a:ext cx="1485900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D3B9FD3-C802-462D-BB0E-74E2A167040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Update Period</a:t>
          </a:fld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13</xdr:row>
      <xdr:rowOff>0</xdr:rowOff>
    </xdr:to>
    <xdr:sp macro="JSON_TableHeaderClick" textlink="$F$12">
      <xdr:nvSpPr>
        <xdr:cNvPr id="7" name="tReportings_4">
          <a:extLst>
            <a:ext uri="{FF2B5EF4-FFF2-40B4-BE49-F238E27FC236}">
              <a16:creationId xmlns:a16="http://schemas.microsoft.com/office/drawing/2014/main" id="{A24D51FC-F62D-40D6-85C7-DD1882DCB400}"/>
            </a:ext>
          </a:extLst>
        </xdr:cNvPr>
        <xdr:cNvSpPr/>
      </xdr:nvSpPr>
      <xdr:spPr>
        <a:xfrm>
          <a:off x="5438775" y="2095500"/>
          <a:ext cx="1809750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35E2CC5-8A48-4860-88F1-32889D3BDD0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Created</a:t>
          </a:fld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63500</xdr:rowOff>
    </xdr:from>
    <xdr:to>
      <xdr:col>2</xdr:col>
      <xdr:colOff>0</xdr:colOff>
      <xdr:row>5</xdr:row>
      <xdr:rowOff>0</xdr:rowOff>
    </xdr:to>
    <xdr:sp macro="JSON_TableHeaderClick" textlink="$B$4">
      <xdr:nvSpPr>
        <xdr:cNvPr id="2" name="tReporting52428888_1">
          <a:extLst>
            <a:ext uri="{FF2B5EF4-FFF2-40B4-BE49-F238E27FC236}">
              <a16:creationId xmlns:a16="http://schemas.microsoft.com/office/drawing/2014/main" id="{D0B39DF7-E67A-4184-8C57-A5F4D2C9DC25}"/>
            </a:ext>
          </a:extLst>
        </xdr:cNvPr>
        <xdr:cNvSpPr/>
      </xdr:nvSpPr>
      <xdr:spPr>
        <a:xfrm>
          <a:off x="11144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EFDB4CE7-A495-4F05-96E7-0CA8BF54B34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Reporting</a:t>
          </a:fld>
          <a:endParaRPr 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5</xdr:row>
      <xdr:rowOff>0</xdr:rowOff>
    </xdr:to>
    <xdr:sp macro="JSON_TableHeaderClick" textlink="$C$4">
      <xdr:nvSpPr>
        <xdr:cNvPr id="3" name="tReporting52428888_2">
          <a:extLst>
            <a:ext uri="{FF2B5EF4-FFF2-40B4-BE49-F238E27FC236}">
              <a16:creationId xmlns:a16="http://schemas.microsoft.com/office/drawing/2014/main" id="{4B2188C6-4899-4369-A62F-280D82A10CB6}"/>
            </a:ext>
          </a:extLst>
        </xdr:cNvPr>
        <xdr:cNvSpPr/>
      </xdr:nvSpPr>
      <xdr:spPr>
        <a:xfrm>
          <a:off x="15621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A86FD28-2525-489A-AFB0-C5081204639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Category</a:t>
          </a:fld>
          <a:endParaRPr lang="en-US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5</xdr:row>
      <xdr:rowOff>0</xdr:rowOff>
    </xdr:to>
    <xdr:sp macro="JSON_TableHeaderClick" textlink="$D$4">
      <xdr:nvSpPr>
        <xdr:cNvPr id="4" name="tReporting52428888_3">
          <a:extLst>
            <a:ext uri="{FF2B5EF4-FFF2-40B4-BE49-F238E27FC236}">
              <a16:creationId xmlns:a16="http://schemas.microsoft.com/office/drawing/2014/main" id="{6993C07A-DA47-479F-92AF-9CBEBF3DF918}"/>
            </a:ext>
          </a:extLst>
        </xdr:cNvPr>
        <xdr:cNvSpPr/>
      </xdr:nvSpPr>
      <xdr:spPr>
        <a:xfrm>
          <a:off x="26765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B96D36D-E571-444F-87CC-45CB499D65C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Update Period</a:t>
          </a:fld>
          <a:endParaRPr lang="en-US" sz="1100"/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5</xdr:row>
      <xdr:rowOff>0</xdr:rowOff>
    </xdr:to>
    <xdr:sp macro="JSON_TableHeaderClick" textlink="$E$4">
      <xdr:nvSpPr>
        <xdr:cNvPr id="5" name="tReporting52428888_4">
          <a:extLst>
            <a:ext uri="{FF2B5EF4-FFF2-40B4-BE49-F238E27FC236}">
              <a16:creationId xmlns:a16="http://schemas.microsoft.com/office/drawing/2014/main" id="{28418765-23AD-4B6C-A88B-51305474A708}"/>
            </a:ext>
          </a:extLst>
        </xdr:cNvPr>
        <xdr:cNvSpPr/>
      </xdr:nvSpPr>
      <xdr:spPr>
        <a:xfrm>
          <a:off x="37909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91B9FE9-81C4-4E5D-9DFC-11D497A3A77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Category version</a:t>
          </a:fld>
          <a:endParaRPr lang="en-US" sz="1100"/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5</xdr:row>
      <xdr:rowOff>0</xdr:rowOff>
    </xdr:to>
    <xdr:sp macro="JSON_TableHeaderClick" textlink="$F$4">
      <xdr:nvSpPr>
        <xdr:cNvPr id="6" name="tReporting52428888_5">
          <a:extLst>
            <a:ext uri="{FF2B5EF4-FFF2-40B4-BE49-F238E27FC236}">
              <a16:creationId xmlns:a16="http://schemas.microsoft.com/office/drawing/2014/main" id="{021B834D-93DC-41CF-9268-D48E5B8DE9C9}"/>
            </a:ext>
          </a:extLst>
        </xdr:cNvPr>
        <xdr:cNvSpPr/>
      </xdr:nvSpPr>
      <xdr:spPr>
        <a:xfrm>
          <a:off x="49053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5E5B509-9D1F-46FB-B6EC-3FFB5BB0ACC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Start date</a:t>
          </a:fld>
          <a:endParaRPr lang="en-US" sz="1100"/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5</xdr:row>
      <xdr:rowOff>0</xdr:rowOff>
    </xdr:to>
    <xdr:sp macro="JSON_TableHeaderClick" textlink="$G$4">
      <xdr:nvSpPr>
        <xdr:cNvPr id="7" name="tReporting52428888_6">
          <a:extLst>
            <a:ext uri="{FF2B5EF4-FFF2-40B4-BE49-F238E27FC236}">
              <a16:creationId xmlns:a16="http://schemas.microsoft.com/office/drawing/2014/main" id="{41225FEE-9A74-40A2-B838-28A921E9AA56}"/>
            </a:ext>
          </a:extLst>
        </xdr:cNvPr>
        <xdr:cNvSpPr/>
      </xdr:nvSpPr>
      <xdr:spPr>
        <a:xfrm>
          <a:off x="60198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963B129-F6A6-4E17-BDAF-254B84D9034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End date</a:t>
          </a:fld>
          <a:endParaRPr lang="en-US" sz="1100"/>
        </a:p>
      </xdr:txBody>
    </xdr:sp>
    <xdr:clientData/>
  </xdr:twoCellAnchor>
  <xdr:twoCellAnchor>
    <xdr:from>
      <xdr:col>7</xdr:col>
      <xdr:colOff>0</xdr:colOff>
      <xdr:row>2</xdr:row>
      <xdr:rowOff>63500</xdr:rowOff>
    </xdr:from>
    <xdr:to>
      <xdr:col>8</xdr:col>
      <xdr:colOff>0</xdr:colOff>
      <xdr:row>5</xdr:row>
      <xdr:rowOff>0</xdr:rowOff>
    </xdr:to>
    <xdr:sp macro="JSON_TableHeaderClick" textlink="$H$4">
      <xdr:nvSpPr>
        <xdr:cNvPr id="8" name="tReporting52428888_7">
          <a:extLst>
            <a:ext uri="{FF2B5EF4-FFF2-40B4-BE49-F238E27FC236}">
              <a16:creationId xmlns:a16="http://schemas.microsoft.com/office/drawing/2014/main" id="{E5FAB471-8F74-4514-98D5-1EF5679E82AC}"/>
            </a:ext>
          </a:extLst>
        </xdr:cNvPr>
        <xdr:cNvSpPr/>
      </xdr:nvSpPr>
      <xdr:spPr>
        <a:xfrm>
          <a:off x="7134225" y="444500"/>
          <a:ext cx="78105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64CD946-237F-48B8-863B-955342D66C3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RF_RepDesc</a:t>
          </a:fld>
          <a:endParaRPr lang="en-US" sz="1100"/>
        </a:p>
      </xdr:txBody>
    </xdr:sp>
    <xdr:clientData/>
  </xdr:twoCellAnchor>
  <xdr:twoCellAnchor>
    <xdr:from>
      <xdr:col>8</xdr:col>
      <xdr:colOff>0</xdr:colOff>
      <xdr:row>2</xdr:row>
      <xdr:rowOff>63500</xdr:rowOff>
    </xdr:from>
    <xdr:to>
      <xdr:col>9</xdr:col>
      <xdr:colOff>0</xdr:colOff>
      <xdr:row>5</xdr:row>
      <xdr:rowOff>0</xdr:rowOff>
    </xdr:to>
    <xdr:sp macro="JSON_TableHeaderClick" textlink="$I$4">
      <xdr:nvSpPr>
        <xdr:cNvPr id="9" name="tReporting52428888_8">
          <a:extLst>
            <a:ext uri="{FF2B5EF4-FFF2-40B4-BE49-F238E27FC236}">
              <a16:creationId xmlns:a16="http://schemas.microsoft.com/office/drawing/2014/main" id="{FDE60A8E-270A-41EE-A528-F39F7CC788E3}"/>
            </a:ext>
          </a:extLst>
        </xdr:cNvPr>
        <xdr:cNvSpPr/>
      </xdr:nvSpPr>
      <xdr:spPr>
        <a:xfrm>
          <a:off x="7915275" y="444500"/>
          <a:ext cx="6477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224C14A2-1349-4586-AF79-75E1D6AC45D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Package</a:t>
          </a:fld>
          <a:endParaRPr lang="en-US" sz="1100"/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10</xdr:col>
      <xdr:colOff>0</xdr:colOff>
      <xdr:row>5</xdr:row>
      <xdr:rowOff>0</xdr:rowOff>
    </xdr:to>
    <xdr:sp macro="JSON_TableHeaderClick" textlink="$J$4">
      <xdr:nvSpPr>
        <xdr:cNvPr id="10" name="tReporting52428888_9">
          <a:extLst>
            <a:ext uri="{FF2B5EF4-FFF2-40B4-BE49-F238E27FC236}">
              <a16:creationId xmlns:a16="http://schemas.microsoft.com/office/drawing/2014/main" id="{5A52FBD3-49CD-4284-9D4A-99D02669870F}"/>
            </a:ext>
          </a:extLst>
        </xdr:cNvPr>
        <xdr:cNvSpPr/>
      </xdr:nvSpPr>
      <xdr:spPr>
        <a:xfrm>
          <a:off x="85629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538F2D0-B99E-457F-9372-8731AF29B58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Default Windows Folder?</a:t>
          </a:fld>
          <a:endParaRPr lang="en-US" sz="1100"/>
        </a:p>
      </xdr:txBody>
    </xdr:sp>
    <xdr:clientData/>
  </xdr:twoCellAnchor>
  <xdr:twoCellAnchor>
    <xdr:from>
      <xdr:col>10</xdr:col>
      <xdr:colOff>0</xdr:colOff>
      <xdr:row>3</xdr:row>
      <xdr:rowOff>0</xdr:rowOff>
    </xdr:from>
    <xdr:to>
      <xdr:col>11</xdr:col>
      <xdr:colOff>0</xdr:colOff>
      <xdr:row>5</xdr:row>
      <xdr:rowOff>0</xdr:rowOff>
    </xdr:to>
    <xdr:sp macro="JSON_TableHeaderClick" textlink="$K$4">
      <xdr:nvSpPr>
        <xdr:cNvPr id="11" name="tReporting52428888_10">
          <a:extLst>
            <a:ext uri="{FF2B5EF4-FFF2-40B4-BE49-F238E27FC236}">
              <a16:creationId xmlns:a16="http://schemas.microsoft.com/office/drawing/2014/main" id="{6A1F5EAE-BD30-401B-9F24-03B1CCD6E160}"/>
            </a:ext>
          </a:extLst>
        </xdr:cNvPr>
        <xdr:cNvSpPr/>
      </xdr:nvSpPr>
      <xdr:spPr>
        <a:xfrm>
          <a:off x="96774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E7B1001-4A51-494B-8737-8F919FF6BAC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Windows folder</a:t>
          </a:fld>
          <a:endParaRPr lang="en-US" sz="1100"/>
        </a:p>
      </xdr:txBody>
    </xdr:sp>
    <xdr:clientData/>
  </xdr:twoCellAnchor>
  <xdr:twoCellAnchor>
    <xdr:from>
      <xdr:col>11</xdr:col>
      <xdr:colOff>0</xdr:colOff>
      <xdr:row>3</xdr:row>
      <xdr:rowOff>0</xdr:rowOff>
    </xdr:from>
    <xdr:to>
      <xdr:col>12</xdr:col>
      <xdr:colOff>0</xdr:colOff>
      <xdr:row>5</xdr:row>
      <xdr:rowOff>0</xdr:rowOff>
    </xdr:to>
    <xdr:sp macro="JSON_TableHeaderClick" textlink="$L$4">
      <xdr:nvSpPr>
        <xdr:cNvPr id="12" name="tReporting52428888_11">
          <a:extLst>
            <a:ext uri="{FF2B5EF4-FFF2-40B4-BE49-F238E27FC236}">
              <a16:creationId xmlns:a16="http://schemas.microsoft.com/office/drawing/2014/main" id="{E2D9F656-A78D-4197-9356-04C5DEE8D710}"/>
            </a:ext>
          </a:extLst>
        </xdr:cNvPr>
        <xdr:cNvSpPr/>
      </xdr:nvSpPr>
      <xdr:spPr>
        <a:xfrm>
          <a:off x="107918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26BA5FA-39B0-418A-88E1-F656DBE1F29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Default Internet Folder?</a:t>
          </a:fld>
          <a:endParaRPr lang="en-US" sz="1100"/>
        </a:p>
      </xdr:txBody>
    </xdr:sp>
    <xdr:clientData/>
  </xdr:twoCellAnchor>
  <xdr:twoCellAnchor>
    <xdr:from>
      <xdr:col>12</xdr:col>
      <xdr:colOff>0</xdr:colOff>
      <xdr:row>3</xdr:row>
      <xdr:rowOff>0</xdr:rowOff>
    </xdr:from>
    <xdr:to>
      <xdr:col>13</xdr:col>
      <xdr:colOff>0</xdr:colOff>
      <xdr:row>5</xdr:row>
      <xdr:rowOff>0</xdr:rowOff>
    </xdr:to>
    <xdr:sp macro="JSON_TableHeaderClick" textlink="$M$4">
      <xdr:nvSpPr>
        <xdr:cNvPr id="13" name="tReporting52428888_12">
          <a:extLst>
            <a:ext uri="{FF2B5EF4-FFF2-40B4-BE49-F238E27FC236}">
              <a16:creationId xmlns:a16="http://schemas.microsoft.com/office/drawing/2014/main" id="{82928C2C-09DC-4529-A610-EDC05A461ED1}"/>
            </a:ext>
          </a:extLst>
        </xdr:cNvPr>
        <xdr:cNvSpPr/>
      </xdr:nvSpPr>
      <xdr:spPr>
        <a:xfrm>
          <a:off x="119062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7ACA540-4CF9-44BD-8125-917BA3AB813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Internet folder</a:t>
          </a:fld>
          <a:endParaRPr lang="en-US" sz="1100"/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JSON_TableHeaderClick" textlink="$N$4">
      <xdr:nvSpPr>
        <xdr:cNvPr id="14" name="tReporting52428888_13">
          <a:extLst>
            <a:ext uri="{FF2B5EF4-FFF2-40B4-BE49-F238E27FC236}">
              <a16:creationId xmlns:a16="http://schemas.microsoft.com/office/drawing/2014/main" id="{31ECEFAF-53CB-4111-BCDD-3872435AE3B0}"/>
            </a:ext>
          </a:extLst>
        </xdr:cNvPr>
        <xdr:cNvSpPr/>
      </xdr:nvSpPr>
      <xdr:spPr>
        <a:xfrm>
          <a:off x="130206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866668A-A751-47E0-8CF5-8AE9FAEF71F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Control Set: default?</a:t>
          </a:fld>
          <a:endParaRPr lang="en-US" sz="1100"/>
        </a:p>
      </xdr:txBody>
    </xdr:sp>
    <xdr:clientData/>
  </xdr:twoCellAnchor>
  <xdr:twoCellAnchor>
    <xdr:from>
      <xdr:col>14</xdr:col>
      <xdr:colOff>0</xdr:colOff>
      <xdr:row>3</xdr:row>
      <xdr:rowOff>0</xdr:rowOff>
    </xdr:from>
    <xdr:to>
      <xdr:col>15</xdr:col>
      <xdr:colOff>0</xdr:colOff>
      <xdr:row>5</xdr:row>
      <xdr:rowOff>0</xdr:rowOff>
    </xdr:to>
    <xdr:sp macro="JSON_TableHeaderClick" textlink="$O$4">
      <xdr:nvSpPr>
        <xdr:cNvPr id="15" name="tReporting52428888_14">
          <a:extLst>
            <a:ext uri="{FF2B5EF4-FFF2-40B4-BE49-F238E27FC236}">
              <a16:creationId xmlns:a16="http://schemas.microsoft.com/office/drawing/2014/main" id="{5680FE37-01AB-4F26-AD94-F569BB52822A}"/>
            </a:ext>
          </a:extLst>
        </xdr:cNvPr>
        <xdr:cNvSpPr/>
      </xdr:nvSpPr>
      <xdr:spPr>
        <a:xfrm>
          <a:off x="141351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8CC92E3-9745-471D-B3AF-FEA804C5435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Control Set</a:t>
          </a:fld>
          <a:endParaRPr lang="en-US" sz="1100"/>
        </a:p>
      </xdr:txBody>
    </xdr:sp>
    <xdr:clientData/>
  </xdr:twoCellAnchor>
  <xdr:twoCellAnchor>
    <xdr:from>
      <xdr:col>15</xdr:col>
      <xdr:colOff>0</xdr:colOff>
      <xdr:row>3</xdr:row>
      <xdr:rowOff>0</xdr:rowOff>
    </xdr:from>
    <xdr:to>
      <xdr:col>16</xdr:col>
      <xdr:colOff>0</xdr:colOff>
      <xdr:row>5</xdr:row>
      <xdr:rowOff>0</xdr:rowOff>
    </xdr:to>
    <xdr:sp macro="JSON_TableHeaderClick" textlink="$P$4">
      <xdr:nvSpPr>
        <xdr:cNvPr id="16" name="tReporting52428888_15">
          <a:extLst>
            <a:ext uri="{FF2B5EF4-FFF2-40B4-BE49-F238E27FC236}">
              <a16:creationId xmlns:a16="http://schemas.microsoft.com/office/drawing/2014/main" id="{29444D1A-7635-465B-A1D1-88CC8DF5B747}"/>
            </a:ext>
          </a:extLst>
        </xdr:cNvPr>
        <xdr:cNvSpPr/>
      </xdr:nvSpPr>
      <xdr:spPr>
        <a:xfrm>
          <a:off x="152495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FAA8BAD-E532-4B38-8988-2B7E95913BE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Default Level?</a:t>
          </a:fld>
          <a:endParaRPr lang="en-US" sz="1100"/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17</xdr:col>
      <xdr:colOff>0</xdr:colOff>
      <xdr:row>5</xdr:row>
      <xdr:rowOff>0</xdr:rowOff>
    </xdr:to>
    <xdr:sp macro="JSON_TableHeaderClick" textlink="$Q$4">
      <xdr:nvSpPr>
        <xdr:cNvPr id="17" name="tReporting52428888_16">
          <a:extLst>
            <a:ext uri="{FF2B5EF4-FFF2-40B4-BE49-F238E27FC236}">
              <a16:creationId xmlns:a16="http://schemas.microsoft.com/office/drawing/2014/main" id="{0837E942-186C-4C24-A429-6733459F46C7}"/>
            </a:ext>
          </a:extLst>
        </xdr:cNvPr>
        <xdr:cNvSpPr/>
      </xdr:nvSpPr>
      <xdr:spPr>
        <a:xfrm>
          <a:off x="163639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6E43CBC-9353-4AC4-A5B9-9B1F438C06F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Control Level</a:t>
          </a:fld>
          <a:endParaRPr lang="en-US" sz="1100"/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JSON_TableHeaderClick" textlink="$R$4">
      <xdr:nvSpPr>
        <xdr:cNvPr id="18" name="tReporting52428888_17">
          <a:extLst>
            <a:ext uri="{FF2B5EF4-FFF2-40B4-BE49-F238E27FC236}">
              <a16:creationId xmlns:a16="http://schemas.microsoft.com/office/drawing/2014/main" id="{1E54099B-9B64-4874-A69E-2795011B93BB}"/>
            </a:ext>
          </a:extLst>
        </xdr:cNvPr>
        <xdr:cNvSpPr/>
      </xdr:nvSpPr>
      <xdr:spPr>
        <a:xfrm>
          <a:off x="174783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A5128C9-D696-401E-A012-FDA76407D4A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Blocking?</a:t>
          </a:fld>
          <a:endParaRPr lang="en-US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JSON_TableHeaderClick" textlink="$S$4">
      <xdr:nvSpPr>
        <xdr:cNvPr id="19" name="tReporting52428888_18">
          <a:extLst>
            <a:ext uri="{FF2B5EF4-FFF2-40B4-BE49-F238E27FC236}">
              <a16:creationId xmlns:a16="http://schemas.microsoft.com/office/drawing/2014/main" id="{E6D39246-B534-4907-8930-96DC8D3B941A}"/>
            </a:ext>
          </a:extLst>
        </xdr:cNvPr>
        <xdr:cNvSpPr/>
      </xdr:nvSpPr>
      <xdr:spPr>
        <a:xfrm>
          <a:off x="185928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E765784-A521-44EF-AE0D-26F477B02FF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RF_UseDefaultLock</a:t>
          </a:fld>
          <a:endParaRPr lang="en-US" sz="1100"/>
        </a:p>
      </xdr:txBody>
    </xdr:sp>
    <xdr:clientData/>
  </xdr:twoCellAnchor>
  <xdr:twoCellAnchor>
    <xdr:from>
      <xdr:col>19</xdr:col>
      <xdr:colOff>0</xdr:colOff>
      <xdr:row>3</xdr:row>
      <xdr:rowOff>0</xdr:rowOff>
    </xdr:from>
    <xdr:to>
      <xdr:col>20</xdr:col>
      <xdr:colOff>0</xdr:colOff>
      <xdr:row>5</xdr:row>
      <xdr:rowOff>0</xdr:rowOff>
    </xdr:to>
    <xdr:sp macro="JSON_TableHeaderClick" textlink="$T$4">
      <xdr:nvSpPr>
        <xdr:cNvPr id="20" name="tReporting52428888_19">
          <a:extLst>
            <a:ext uri="{FF2B5EF4-FFF2-40B4-BE49-F238E27FC236}">
              <a16:creationId xmlns:a16="http://schemas.microsoft.com/office/drawing/2014/main" id="{FDDC2D3E-91A7-4707-922C-F6638DA92295}"/>
            </a:ext>
          </a:extLst>
        </xdr:cNvPr>
        <xdr:cNvSpPr/>
      </xdr:nvSpPr>
      <xdr:spPr>
        <a:xfrm>
          <a:off x="197072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A9810E4-8047-4006-AE32-88A6F04F64F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RF_LockOnPublication</a:t>
          </a:fld>
          <a:endParaRPr lang="en-US" sz="1100"/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JSON_TableHeaderClick" textlink="$U$4">
      <xdr:nvSpPr>
        <xdr:cNvPr id="21" name="tReporting52428888_20">
          <a:extLst>
            <a:ext uri="{FF2B5EF4-FFF2-40B4-BE49-F238E27FC236}">
              <a16:creationId xmlns:a16="http://schemas.microsoft.com/office/drawing/2014/main" id="{CB958E78-AC57-4878-A5DC-DBA6266DD897}"/>
            </a:ext>
          </a:extLst>
        </xdr:cNvPr>
        <xdr:cNvSpPr/>
      </xdr:nvSpPr>
      <xdr:spPr>
        <a:xfrm>
          <a:off x="208216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B04D06C-7E13-4A11-A736-E890901D18A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RF_UseDefaultRuleSet</a:t>
          </a:fld>
          <a:endParaRPr lang="en-US" sz="1100"/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0</xdr:rowOff>
    </xdr:to>
    <xdr:sp macro="JSON_TableHeaderClick" textlink="$V$4">
      <xdr:nvSpPr>
        <xdr:cNvPr id="22" name="tReporting52428888_21">
          <a:extLst>
            <a:ext uri="{FF2B5EF4-FFF2-40B4-BE49-F238E27FC236}">
              <a16:creationId xmlns:a16="http://schemas.microsoft.com/office/drawing/2014/main" id="{5E33E457-5209-4983-B2CF-5A1FB769D8DF}"/>
            </a:ext>
          </a:extLst>
        </xdr:cNvPr>
        <xdr:cNvSpPr/>
      </xdr:nvSpPr>
      <xdr:spPr>
        <a:xfrm>
          <a:off x="219360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E97598E-344E-4097-8F10-878D61E80E6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RF_RuleSet</a:t>
          </a:fld>
          <a:endParaRPr lang="en-US" sz="1100"/>
        </a:p>
      </xdr:txBody>
    </xdr:sp>
    <xdr:clientData/>
  </xdr:twoCellAnchor>
  <xdr:twoCellAnchor>
    <xdr:from>
      <xdr:col>22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JSON_TableHeaderClick" textlink="$W$4">
      <xdr:nvSpPr>
        <xdr:cNvPr id="23" name="tReporting52428888_22">
          <a:extLst>
            <a:ext uri="{FF2B5EF4-FFF2-40B4-BE49-F238E27FC236}">
              <a16:creationId xmlns:a16="http://schemas.microsoft.com/office/drawing/2014/main" id="{25A352D6-B1C2-412E-81C4-44721D7BFEAD}"/>
            </a:ext>
          </a:extLst>
        </xdr:cNvPr>
        <xdr:cNvSpPr/>
      </xdr:nvSpPr>
      <xdr:spPr>
        <a:xfrm>
          <a:off x="230505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5C301BA-53DC-4209-B1EC-C3DB88FE18E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RF_UseDefaultOpbal</a:t>
          </a:fld>
          <a:endParaRPr lang="en-US" sz="1100"/>
        </a:p>
      </xdr:txBody>
    </xdr:sp>
    <xdr:clientData/>
  </xdr:twoCellAnchor>
  <xdr:twoCellAnchor>
    <xdr:from>
      <xdr:col>23</xdr:col>
      <xdr:colOff>0</xdr:colOff>
      <xdr:row>3</xdr:row>
      <xdr:rowOff>0</xdr:rowOff>
    </xdr:from>
    <xdr:to>
      <xdr:col>24</xdr:col>
      <xdr:colOff>0</xdr:colOff>
      <xdr:row>5</xdr:row>
      <xdr:rowOff>0</xdr:rowOff>
    </xdr:to>
    <xdr:sp macro="JSON_TableHeaderClick" textlink="$X$4">
      <xdr:nvSpPr>
        <xdr:cNvPr id="24" name="tReporting52428888_23">
          <a:extLst>
            <a:ext uri="{FF2B5EF4-FFF2-40B4-BE49-F238E27FC236}">
              <a16:creationId xmlns:a16="http://schemas.microsoft.com/office/drawing/2014/main" id="{AE660EFC-6DB1-45FE-AAB0-DDA134C78D4B}"/>
            </a:ext>
          </a:extLst>
        </xdr:cNvPr>
        <xdr:cNvSpPr/>
      </xdr:nvSpPr>
      <xdr:spPr>
        <a:xfrm>
          <a:off x="241649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E9D1388-3870-4437-8C24-A44B01D44B0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RF_HasOpBal</a:t>
          </a:fld>
          <a:endParaRPr lang="en-US" sz="1100"/>
        </a:p>
      </xdr:txBody>
    </xdr:sp>
    <xdr:clientData/>
  </xdr:twoCellAnchor>
  <xdr:twoCellAnchor>
    <xdr:from>
      <xdr:col>24</xdr:col>
      <xdr:colOff>0</xdr:colOff>
      <xdr:row>3</xdr:row>
      <xdr:rowOff>0</xdr:rowOff>
    </xdr:from>
    <xdr:to>
      <xdr:col>25</xdr:col>
      <xdr:colOff>0</xdr:colOff>
      <xdr:row>5</xdr:row>
      <xdr:rowOff>0</xdr:rowOff>
    </xdr:to>
    <xdr:sp macro="JSON_TableHeaderClick" textlink="$Y$4">
      <xdr:nvSpPr>
        <xdr:cNvPr id="25" name="tReporting52428888_24">
          <a:extLst>
            <a:ext uri="{FF2B5EF4-FFF2-40B4-BE49-F238E27FC236}">
              <a16:creationId xmlns:a16="http://schemas.microsoft.com/office/drawing/2014/main" id="{B5D05751-8A1E-42E0-9ED8-CC39879AE2DD}"/>
            </a:ext>
          </a:extLst>
        </xdr:cNvPr>
        <xdr:cNvSpPr/>
      </xdr:nvSpPr>
      <xdr:spPr>
        <a:xfrm>
          <a:off x="252793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B74A53A-9312-4CF1-B1CF-2240DAB239D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RF_OpbPhase</a:t>
          </a:fld>
          <a:endParaRPr lang="en-US" sz="1100"/>
        </a:p>
      </xdr:txBody>
    </xdr:sp>
    <xdr:clientData/>
  </xdr:twoCellAnchor>
  <xdr:twoCellAnchor>
    <xdr:from>
      <xdr:col>25</xdr:col>
      <xdr:colOff>0</xdr:colOff>
      <xdr:row>3</xdr:row>
      <xdr:rowOff>0</xdr:rowOff>
    </xdr:from>
    <xdr:to>
      <xdr:col>26</xdr:col>
      <xdr:colOff>0</xdr:colOff>
      <xdr:row>5</xdr:row>
      <xdr:rowOff>0</xdr:rowOff>
    </xdr:to>
    <xdr:sp macro="JSON_TableHeaderClick" textlink="$Z$4">
      <xdr:nvSpPr>
        <xdr:cNvPr id="26" name="tReporting52428888_25">
          <a:extLst>
            <a:ext uri="{FF2B5EF4-FFF2-40B4-BE49-F238E27FC236}">
              <a16:creationId xmlns:a16="http://schemas.microsoft.com/office/drawing/2014/main" id="{DA5F702C-615A-458D-9B7E-D446F8D311AC}"/>
            </a:ext>
          </a:extLst>
        </xdr:cNvPr>
        <xdr:cNvSpPr/>
      </xdr:nvSpPr>
      <xdr:spPr>
        <a:xfrm>
          <a:off x="263937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743BBE5-BE72-40A0-9BE1-D3AD761AFF3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RF_OpbUpdatePeriod</a:t>
          </a:fld>
          <a:endParaRPr lang="en-US" sz="1100"/>
        </a:p>
      </xdr:txBody>
    </xdr:sp>
    <xdr:clientData/>
  </xdr:twoCellAnchor>
  <xdr:twoCellAnchor>
    <xdr:from>
      <xdr:col>26</xdr:col>
      <xdr:colOff>0</xdr:colOff>
      <xdr:row>3</xdr:row>
      <xdr:rowOff>0</xdr:rowOff>
    </xdr:from>
    <xdr:to>
      <xdr:col>27</xdr:col>
      <xdr:colOff>0</xdr:colOff>
      <xdr:row>5</xdr:row>
      <xdr:rowOff>0</xdr:rowOff>
    </xdr:to>
    <xdr:sp macro="JSON_TableHeaderClick" textlink="$AA$4">
      <xdr:nvSpPr>
        <xdr:cNvPr id="27" name="tReporting52428888_26">
          <a:extLst>
            <a:ext uri="{FF2B5EF4-FFF2-40B4-BE49-F238E27FC236}">
              <a16:creationId xmlns:a16="http://schemas.microsoft.com/office/drawing/2014/main" id="{C30313C1-7326-452C-AAEE-BC8486489FD1}"/>
            </a:ext>
          </a:extLst>
        </xdr:cNvPr>
        <xdr:cNvSpPr/>
      </xdr:nvSpPr>
      <xdr:spPr>
        <a:xfrm>
          <a:off x="275082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D7C0CC9-E941-40AC-AB4C-EAE1295D420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RF_OpbScope</a:t>
          </a:fld>
          <a:endParaRPr lang="en-US" sz="1100"/>
        </a:p>
      </xdr:txBody>
    </xdr:sp>
    <xdr:clientData/>
  </xdr:twoCellAnchor>
  <xdr:twoCellAnchor>
    <xdr:from>
      <xdr:col>27</xdr:col>
      <xdr:colOff>0</xdr:colOff>
      <xdr:row>3</xdr:row>
      <xdr:rowOff>0</xdr:rowOff>
    </xdr:from>
    <xdr:to>
      <xdr:col>28</xdr:col>
      <xdr:colOff>0</xdr:colOff>
      <xdr:row>5</xdr:row>
      <xdr:rowOff>0</xdr:rowOff>
    </xdr:to>
    <xdr:sp macro="JSON_TableHeaderClick" textlink="$AB$4">
      <xdr:nvSpPr>
        <xdr:cNvPr id="28" name="tReporting52428888_27">
          <a:extLst>
            <a:ext uri="{FF2B5EF4-FFF2-40B4-BE49-F238E27FC236}">
              <a16:creationId xmlns:a16="http://schemas.microsoft.com/office/drawing/2014/main" id="{D2B225EE-96E4-4D28-B5C0-776BB636F97D}"/>
            </a:ext>
          </a:extLst>
        </xdr:cNvPr>
        <xdr:cNvSpPr/>
      </xdr:nvSpPr>
      <xdr:spPr>
        <a:xfrm>
          <a:off x="286226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42F7D0B-2611-40B4-8332-903B7F3F840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RF_OpbVariant</a:t>
          </a:fld>
          <a:endParaRPr lang="en-US" sz="1100"/>
        </a:p>
      </xdr:txBody>
    </xdr:sp>
    <xdr:clientData/>
  </xdr:twoCellAnchor>
  <xdr:twoCellAnchor>
    <xdr:from>
      <xdr:col>28</xdr:col>
      <xdr:colOff>0</xdr:colOff>
      <xdr:row>3</xdr:row>
      <xdr:rowOff>0</xdr:rowOff>
    </xdr:from>
    <xdr:to>
      <xdr:col>29</xdr:col>
      <xdr:colOff>0</xdr:colOff>
      <xdr:row>5</xdr:row>
      <xdr:rowOff>0</xdr:rowOff>
    </xdr:to>
    <xdr:sp macro="JSON_TableHeaderClick" textlink="$AC$4">
      <xdr:nvSpPr>
        <xdr:cNvPr id="29" name="tReporting52428888_28">
          <a:extLst>
            <a:ext uri="{FF2B5EF4-FFF2-40B4-BE49-F238E27FC236}">
              <a16:creationId xmlns:a16="http://schemas.microsoft.com/office/drawing/2014/main" id="{7D5133C8-BEBD-46A7-8061-D798A6EE1936}"/>
            </a:ext>
          </a:extLst>
        </xdr:cNvPr>
        <xdr:cNvSpPr/>
      </xdr:nvSpPr>
      <xdr:spPr>
        <a:xfrm>
          <a:off x="297370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E0B1EE4-6724-461C-98AB-088F4F40945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RF_OpbConsCurrency</a:t>
          </a:fld>
          <a:endParaRPr lang="en-US" sz="1100"/>
        </a:p>
      </xdr:txBody>
    </xdr:sp>
    <xdr:clientData/>
  </xdr:twoCellAnchor>
  <xdr:twoCellAnchor>
    <xdr:from>
      <xdr:col>29</xdr:col>
      <xdr:colOff>0</xdr:colOff>
      <xdr:row>2</xdr:row>
      <xdr:rowOff>63500</xdr:rowOff>
    </xdr:from>
    <xdr:to>
      <xdr:col>30</xdr:col>
      <xdr:colOff>0</xdr:colOff>
      <xdr:row>5</xdr:row>
      <xdr:rowOff>0</xdr:rowOff>
    </xdr:to>
    <xdr:sp macro="JSON_TableHeaderClick" textlink="$AD$4">
      <xdr:nvSpPr>
        <xdr:cNvPr id="30" name="tReporting52428888_29">
          <a:extLst>
            <a:ext uri="{FF2B5EF4-FFF2-40B4-BE49-F238E27FC236}">
              <a16:creationId xmlns:a16="http://schemas.microsoft.com/office/drawing/2014/main" id="{74A715F7-09A4-41B1-A17F-A6A3869EFE5C}"/>
            </a:ext>
          </a:extLst>
        </xdr:cNvPr>
        <xdr:cNvSpPr/>
      </xdr:nvSpPr>
      <xdr:spPr>
        <a:xfrm>
          <a:off x="308514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20CF8AA3-02CB-4FA4-AB7E-1F6728CA2F2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RF_RepOp</a:t>
          </a:fld>
          <a:endParaRPr lang="en-US" sz="1100"/>
        </a:p>
      </xdr:txBody>
    </xdr:sp>
    <xdr:clientData/>
  </xdr:twoCellAnchor>
  <xdr:twoCellAnchor>
    <xdr:from>
      <xdr:col>30</xdr:col>
      <xdr:colOff>0</xdr:colOff>
      <xdr:row>3</xdr:row>
      <xdr:rowOff>0</xdr:rowOff>
    </xdr:from>
    <xdr:to>
      <xdr:col>31</xdr:col>
      <xdr:colOff>0</xdr:colOff>
      <xdr:row>5</xdr:row>
      <xdr:rowOff>0</xdr:rowOff>
    </xdr:to>
    <xdr:sp macro="JSON_TableHeaderClick" textlink="$AE$4">
      <xdr:nvSpPr>
        <xdr:cNvPr id="31" name="tReporting52428888_30">
          <a:extLst>
            <a:ext uri="{FF2B5EF4-FFF2-40B4-BE49-F238E27FC236}">
              <a16:creationId xmlns:a16="http://schemas.microsoft.com/office/drawing/2014/main" id="{2B168BA9-CB39-4999-96E3-B54036575B32}"/>
            </a:ext>
          </a:extLst>
        </xdr:cNvPr>
        <xdr:cNvSpPr/>
      </xdr:nvSpPr>
      <xdr:spPr>
        <a:xfrm>
          <a:off x="319659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C606406-A882-4AA8-929C-BF971AAC919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Cutoff Date</a:t>
          </a:fld>
          <a:endParaRPr lang="en-US" sz="1100"/>
        </a:p>
      </xdr:txBody>
    </xdr:sp>
    <xdr:clientData/>
  </xdr:twoCellAnchor>
  <xdr:twoCellAnchor>
    <xdr:from>
      <xdr:col>31</xdr:col>
      <xdr:colOff>0</xdr:colOff>
      <xdr:row>3</xdr:row>
      <xdr:rowOff>0</xdr:rowOff>
    </xdr:from>
    <xdr:to>
      <xdr:col>32</xdr:col>
      <xdr:colOff>0</xdr:colOff>
      <xdr:row>5</xdr:row>
      <xdr:rowOff>0</xdr:rowOff>
    </xdr:to>
    <xdr:sp macro="JSON_TableHeaderClick" textlink="$AF$4">
      <xdr:nvSpPr>
        <xdr:cNvPr id="494" name="tReporting52428888_31">
          <a:extLst>
            <a:ext uri="{FF2B5EF4-FFF2-40B4-BE49-F238E27FC236}">
              <a16:creationId xmlns:a16="http://schemas.microsoft.com/office/drawing/2014/main" id="{C1E9EA9B-D6E0-44D4-B68D-4976D2A0296C}"/>
            </a:ext>
          </a:extLst>
        </xdr:cNvPr>
        <xdr:cNvSpPr/>
      </xdr:nvSpPr>
      <xdr:spPr>
        <a:xfrm>
          <a:off x="330803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B62B5E1-98DA-4C71-BE37-F958B11EE55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Early publishing</a:t>
          </a:fld>
          <a:endParaRPr lang="en-US" sz="1100"/>
        </a:p>
      </xdr:txBody>
    </xdr:sp>
    <xdr:clientData/>
  </xdr:twoCellAnchor>
  <xdr:twoCellAnchor>
    <xdr:from>
      <xdr:col>32</xdr:col>
      <xdr:colOff>0</xdr:colOff>
      <xdr:row>2</xdr:row>
      <xdr:rowOff>63500</xdr:rowOff>
    </xdr:from>
    <xdr:to>
      <xdr:col>33</xdr:col>
      <xdr:colOff>0</xdr:colOff>
      <xdr:row>5</xdr:row>
      <xdr:rowOff>0</xdr:rowOff>
    </xdr:to>
    <xdr:sp macro="JSON_TableHeaderClick" textlink="$AG$4">
      <xdr:nvSpPr>
        <xdr:cNvPr id="495" name="tReporting52428888_32">
          <a:extLst>
            <a:ext uri="{FF2B5EF4-FFF2-40B4-BE49-F238E27FC236}">
              <a16:creationId xmlns:a16="http://schemas.microsoft.com/office/drawing/2014/main" id="{F2F80229-30DD-4900-9180-72C2C62BF060}"/>
            </a:ext>
          </a:extLst>
        </xdr:cNvPr>
        <xdr:cNvSpPr/>
      </xdr:nvSpPr>
      <xdr:spPr>
        <a:xfrm>
          <a:off x="341947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CDF18DF0-9AB0-42D8-BA7C-F556EE759B0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RF_RepOpAftPub</a:t>
          </a:fld>
          <a:endParaRPr lang="en-US" sz="1100"/>
        </a:p>
      </xdr:txBody>
    </xdr:sp>
    <xdr:clientData/>
  </xdr:twoCellAnchor>
  <xdr:twoCellAnchor>
    <xdr:from>
      <xdr:col>33</xdr:col>
      <xdr:colOff>0</xdr:colOff>
      <xdr:row>3</xdr:row>
      <xdr:rowOff>0</xdr:rowOff>
    </xdr:from>
    <xdr:to>
      <xdr:col>34</xdr:col>
      <xdr:colOff>0</xdr:colOff>
      <xdr:row>5</xdr:row>
      <xdr:rowOff>0</xdr:rowOff>
    </xdr:to>
    <xdr:sp macro="JSON_TableHeaderClick" textlink="$AH$4">
      <xdr:nvSpPr>
        <xdr:cNvPr id="496" name="tReporting52428888_33">
          <a:extLst>
            <a:ext uri="{FF2B5EF4-FFF2-40B4-BE49-F238E27FC236}">
              <a16:creationId xmlns:a16="http://schemas.microsoft.com/office/drawing/2014/main" id="{1298F1FB-FFC5-4203-B3E5-E5BF48810FCE}"/>
            </a:ext>
          </a:extLst>
        </xdr:cNvPr>
        <xdr:cNvSpPr/>
      </xdr:nvSpPr>
      <xdr:spPr>
        <a:xfrm>
          <a:off x="353091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ECE0D1D-D840-4D01-B758-1792AB4F92F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RF_RepOpAftPubStd</a:t>
          </a:fld>
          <a:endParaRPr lang="en-US" sz="1100"/>
        </a:p>
      </xdr:txBody>
    </xdr:sp>
    <xdr:clientData/>
  </xdr:twoCellAnchor>
  <xdr:twoCellAnchor>
    <xdr:from>
      <xdr:col>34</xdr:col>
      <xdr:colOff>0</xdr:colOff>
      <xdr:row>3</xdr:row>
      <xdr:rowOff>0</xdr:rowOff>
    </xdr:from>
    <xdr:to>
      <xdr:col>35</xdr:col>
      <xdr:colOff>0</xdr:colOff>
      <xdr:row>5</xdr:row>
      <xdr:rowOff>0</xdr:rowOff>
    </xdr:to>
    <xdr:sp macro="JSON_TableHeaderClick" textlink="$AI$4">
      <xdr:nvSpPr>
        <xdr:cNvPr id="497" name="tReporting52428888_34">
          <a:extLst>
            <a:ext uri="{FF2B5EF4-FFF2-40B4-BE49-F238E27FC236}">
              <a16:creationId xmlns:a16="http://schemas.microsoft.com/office/drawing/2014/main" id="{A539B7A5-E07E-4FA4-9AB2-054F7BDB6E6B}"/>
            </a:ext>
          </a:extLst>
        </xdr:cNvPr>
        <xdr:cNvSpPr/>
      </xdr:nvSpPr>
      <xdr:spPr>
        <a:xfrm>
          <a:off x="364236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31DF922-7579-4565-80F8-DD0A2F71A27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RF_RepOpAftPubSpe</a:t>
          </a:fld>
          <a:endParaRPr lang="en-US" sz="1100"/>
        </a:p>
      </xdr:txBody>
    </xdr:sp>
    <xdr:clientData/>
  </xdr:twoCellAnchor>
  <xdr:twoCellAnchor>
    <xdr:from>
      <xdr:col>35</xdr:col>
      <xdr:colOff>0</xdr:colOff>
      <xdr:row>3</xdr:row>
      <xdr:rowOff>0</xdr:rowOff>
    </xdr:from>
    <xdr:to>
      <xdr:col>36</xdr:col>
      <xdr:colOff>0</xdr:colOff>
      <xdr:row>5</xdr:row>
      <xdr:rowOff>0</xdr:rowOff>
    </xdr:to>
    <xdr:sp macro="JSON_TableHeaderClick" textlink="$AJ$4">
      <xdr:nvSpPr>
        <xdr:cNvPr id="498" name="tReporting52428888_35">
          <a:extLst>
            <a:ext uri="{FF2B5EF4-FFF2-40B4-BE49-F238E27FC236}">
              <a16:creationId xmlns:a16="http://schemas.microsoft.com/office/drawing/2014/main" id="{DF298080-1C99-4A02-8404-17EF981A8491}"/>
            </a:ext>
          </a:extLst>
        </xdr:cNvPr>
        <xdr:cNvSpPr/>
      </xdr:nvSpPr>
      <xdr:spPr>
        <a:xfrm>
          <a:off x="375380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0BAF09E-C596-430C-8CD1-ACE4C34E549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RF_RepOpAftPubAdv</a:t>
          </a:fld>
          <a:endParaRPr lang="en-US" sz="1100"/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JSON_TableHeaderClick" textlink="$AK$4">
      <xdr:nvSpPr>
        <xdr:cNvPr id="499" name="tReporting52428888_36">
          <a:extLst>
            <a:ext uri="{FF2B5EF4-FFF2-40B4-BE49-F238E27FC236}">
              <a16:creationId xmlns:a16="http://schemas.microsoft.com/office/drawing/2014/main" id="{87CDA900-6BAA-4179-A256-D0C63ACD46DA}"/>
            </a:ext>
          </a:extLst>
        </xdr:cNvPr>
        <xdr:cNvSpPr/>
      </xdr:nvSpPr>
      <xdr:spPr>
        <a:xfrm>
          <a:off x="386524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4A5CFA4-6B4E-4787-9CAE-DA043AC4CC8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RF_RepOpAftPubLvl</a:t>
          </a:fld>
          <a:endParaRPr lang="en-US" sz="1100"/>
        </a:p>
      </xdr:txBody>
    </xdr:sp>
    <xdr:clientData/>
  </xdr:twoCellAnchor>
  <xdr:twoCellAnchor>
    <xdr:from>
      <xdr:col>37</xdr:col>
      <xdr:colOff>0</xdr:colOff>
      <xdr:row>2</xdr:row>
      <xdr:rowOff>63500</xdr:rowOff>
    </xdr:from>
    <xdr:to>
      <xdr:col>38</xdr:col>
      <xdr:colOff>0</xdr:colOff>
      <xdr:row>5</xdr:row>
      <xdr:rowOff>0</xdr:rowOff>
    </xdr:to>
    <xdr:sp macro="JSON_TableHeaderClick" textlink="$AL$4">
      <xdr:nvSpPr>
        <xdr:cNvPr id="500" name="tReporting52428888_37">
          <a:extLst>
            <a:ext uri="{FF2B5EF4-FFF2-40B4-BE49-F238E27FC236}">
              <a16:creationId xmlns:a16="http://schemas.microsoft.com/office/drawing/2014/main" id="{224439B3-FC38-401A-B5B5-2B0FC6B10980}"/>
            </a:ext>
          </a:extLst>
        </xdr:cNvPr>
        <xdr:cNvSpPr/>
      </xdr:nvSpPr>
      <xdr:spPr>
        <a:xfrm>
          <a:off x="397668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AC451814-5D97-4D4B-B389-90355426C1A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RF_RepOpAftTran</a:t>
          </a:fld>
          <a:endParaRPr lang="en-US" sz="1100"/>
        </a:p>
      </xdr:txBody>
    </xdr:sp>
    <xdr:clientData/>
  </xdr:twoCellAnchor>
  <xdr:twoCellAnchor>
    <xdr:from>
      <xdr:col>38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JSON_TableHeaderClick" textlink="$AM$4">
      <xdr:nvSpPr>
        <xdr:cNvPr id="501" name="tReporting52428888_38">
          <a:extLst>
            <a:ext uri="{FF2B5EF4-FFF2-40B4-BE49-F238E27FC236}">
              <a16:creationId xmlns:a16="http://schemas.microsoft.com/office/drawing/2014/main" id="{9AA24241-8C20-4D7D-8703-75F50DB6591A}"/>
            </a:ext>
          </a:extLst>
        </xdr:cNvPr>
        <xdr:cNvSpPr/>
      </xdr:nvSpPr>
      <xdr:spPr>
        <a:xfrm>
          <a:off x="408813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77997C9-F6FC-4BB8-B991-D5BB91F039C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RF_RepOpAftTranStd</a:t>
          </a:fld>
          <a:endParaRPr lang="en-US" sz="1100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40</xdr:col>
      <xdr:colOff>0</xdr:colOff>
      <xdr:row>5</xdr:row>
      <xdr:rowOff>0</xdr:rowOff>
    </xdr:to>
    <xdr:sp macro="JSON_TableHeaderClick" textlink="$AN$4">
      <xdr:nvSpPr>
        <xdr:cNvPr id="502" name="tReporting52428888_39">
          <a:extLst>
            <a:ext uri="{FF2B5EF4-FFF2-40B4-BE49-F238E27FC236}">
              <a16:creationId xmlns:a16="http://schemas.microsoft.com/office/drawing/2014/main" id="{12068FF7-CB1E-4605-AC11-596A771C8F33}"/>
            </a:ext>
          </a:extLst>
        </xdr:cNvPr>
        <xdr:cNvSpPr/>
      </xdr:nvSpPr>
      <xdr:spPr>
        <a:xfrm>
          <a:off x="419957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EEBC0D2-2819-4A8A-9D28-F59EDD20317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RF_RepOpAftTranSpe</a:t>
          </a:fld>
          <a:endParaRPr lang="en-US" sz="1100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41</xdr:col>
      <xdr:colOff>0</xdr:colOff>
      <xdr:row>5</xdr:row>
      <xdr:rowOff>0</xdr:rowOff>
    </xdr:to>
    <xdr:sp macro="JSON_TableHeaderClick" textlink="$AO$4">
      <xdr:nvSpPr>
        <xdr:cNvPr id="503" name="tReporting52428888_40">
          <a:extLst>
            <a:ext uri="{FF2B5EF4-FFF2-40B4-BE49-F238E27FC236}">
              <a16:creationId xmlns:a16="http://schemas.microsoft.com/office/drawing/2014/main" id="{26D45630-E3CE-4240-8A55-FB0AF581F3A5}"/>
            </a:ext>
          </a:extLst>
        </xdr:cNvPr>
        <xdr:cNvSpPr/>
      </xdr:nvSpPr>
      <xdr:spPr>
        <a:xfrm>
          <a:off x="431101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CF777AD-4C28-40FD-8046-1E52D47FEF7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RF_RepOpAftTranAdv</a:t>
          </a:fld>
          <a:endParaRPr lang="en-US" sz="1100"/>
        </a:p>
      </xdr:txBody>
    </xdr:sp>
    <xdr:clientData/>
  </xdr:twoCellAnchor>
  <xdr:twoCellAnchor>
    <xdr:from>
      <xdr:col>41</xdr:col>
      <xdr:colOff>0</xdr:colOff>
      <xdr:row>3</xdr:row>
      <xdr:rowOff>0</xdr:rowOff>
    </xdr:from>
    <xdr:to>
      <xdr:col>42</xdr:col>
      <xdr:colOff>0</xdr:colOff>
      <xdr:row>5</xdr:row>
      <xdr:rowOff>0</xdr:rowOff>
    </xdr:to>
    <xdr:sp macro="JSON_TableHeaderClick" textlink="$AP$4">
      <xdr:nvSpPr>
        <xdr:cNvPr id="504" name="tReporting52428888_41">
          <a:extLst>
            <a:ext uri="{FF2B5EF4-FFF2-40B4-BE49-F238E27FC236}">
              <a16:creationId xmlns:a16="http://schemas.microsoft.com/office/drawing/2014/main" id="{7BB79FD5-4277-467C-ACC2-D69B845201E9}"/>
            </a:ext>
          </a:extLst>
        </xdr:cNvPr>
        <xdr:cNvSpPr/>
      </xdr:nvSpPr>
      <xdr:spPr>
        <a:xfrm>
          <a:off x="442245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666C75C-C36E-49ED-AAA9-436AAB1FFA1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RF_RepOpAftTranLvl</a:t>
          </a:fld>
          <a:endParaRPr lang="en-US" sz="1100"/>
        </a:p>
      </xdr:txBody>
    </xdr:sp>
    <xdr:clientData/>
  </xdr:twoCellAnchor>
  <xdr:twoCellAnchor>
    <xdr:from>
      <xdr:col>42</xdr:col>
      <xdr:colOff>0</xdr:colOff>
      <xdr:row>2</xdr:row>
      <xdr:rowOff>63500</xdr:rowOff>
    </xdr:from>
    <xdr:to>
      <xdr:col>43</xdr:col>
      <xdr:colOff>0</xdr:colOff>
      <xdr:row>5</xdr:row>
      <xdr:rowOff>0</xdr:rowOff>
    </xdr:to>
    <xdr:sp macro="JSON_TableHeaderClick" textlink="$AQ$4">
      <xdr:nvSpPr>
        <xdr:cNvPr id="505" name="tReporting52428888_42">
          <a:extLst>
            <a:ext uri="{FF2B5EF4-FFF2-40B4-BE49-F238E27FC236}">
              <a16:creationId xmlns:a16="http://schemas.microsoft.com/office/drawing/2014/main" id="{00964636-B33F-48B1-A47D-305F9FCB0233}"/>
            </a:ext>
          </a:extLst>
        </xdr:cNvPr>
        <xdr:cNvSpPr/>
      </xdr:nvSpPr>
      <xdr:spPr>
        <a:xfrm>
          <a:off x="4533900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951D027-2C43-4FFD-9B99-F96CF6ECF38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Entity</a:t>
          </a:fld>
          <a:endParaRPr lang="en-US" sz="1100"/>
        </a:p>
      </xdr:txBody>
    </xdr:sp>
    <xdr:clientData/>
  </xdr:twoCellAnchor>
  <xdr:twoCellAnchor>
    <xdr:from>
      <xdr:col>43</xdr:col>
      <xdr:colOff>0</xdr:colOff>
      <xdr:row>3</xdr:row>
      <xdr:rowOff>0</xdr:rowOff>
    </xdr:from>
    <xdr:to>
      <xdr:col>44</xdr:col>
      <xdr:colOff>0</xdr:colOff>
      <xdr:row>5</xdr:row>
      <xdr:rowOff>0</xdr:rowOff>
    </xdr:to>
    <xdr:sp macro="JSON_TableHeaderClick" textlink="$AR$4">
      <xdr:nvSpPr>
        <xdr:cNvPr id="506" name="tReporting52428888_43">
          <a:extLst>
            <a:ext uri="{FF2B5EF4-FFF2-40B4-BE49-F238E27FC236}">
              <a16:creationId xmlns:a16="http://schemas.microsoft.com/office/drawing/2014/main" id="{D396BB41-92D9-4EBD-8BAC-BFFA9933454B}"/>
            </a:ext>
          </a:extLst>
        </xdr:cNvPr>
        <xdr:cNvSpPr/>
      </xdr:nvSpPr>
      <xdr:spPr>
        <a:xfrm>
          <a:off x="457866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3EB8199-79E6-4303-806F-094E6FB449A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Name</a:t>
          </a:fld>
          <a:endParaRPr lang="en-US" sz="1100"/>
        </a:p>
      </xdr:txBody>
    </xdr:sp>
    <xdr:clientData/>
  </xdr:twoCellAnchor>
  <xdr:twoCellAnchor>
    <xdr:from>
      <xdr:col>44</xdr:col>
      <xdr:colOff>0</xdr:colOff>
      <xdr:row>3</xdr:row>
      <xdr:rowOff>0</xdr:rowOff>
    </xdr:from>
    <xdr:to>
      <xdr:col>45</xdr:col>
      <xdr:colOff>0</xdr:colOff>
      <xdr:row>5</xdr:row>
      <xdr:rowOff>0</xdr:rowOff>
    </xdr:to>
    <xdr:sp macro="JSON_TableHeaderClick" textlink="$AS$4">
      <xdr:nvSpPr>
        <xdr:cNvPr id="507" name="tReporting52428888_44">
          <a:extLst>
            <a:ext uri="{FF2B5EF4-FFF2-40B4-BE49-F238E27FC236}">
              <a16:creationId xmlns:a16="http://schemas.microsoft.com/office/drawing/2014/main" id="{380F8C3A-E0ED-4B42-A65A-76B374F1FC72}"/>
            </a:ext>
          </a:extLst>
        </xdr:cNvPr>
        <xdr:cNvSpPr/>
      </xdr:nvSpPr>
      <xdr:spPr>
        <a:xfrm>
          <a:off x="469011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9EF4F6B-0872-4B1D-AEFD-FCFAAD8BA2C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Currency</a:t>
          </a:fld>
          <a:endParaRPr lang="en-US" sz="1100"/>
        </a:p>
      </xdr:txBody>
    </xdr:sp>
    <xdr:clientData/>
  </xdr:twoCellAnchor>
  <xdr:twoCellAnchor>
    <xdr:from>
      <xdr:col>45</xdr:col>
      <xdr:colOff>0</xdr:colOff>
      <xdr:row>3</xdr:row>
      <xdr:rowOff>0</xdr:rowOff>
    </xdr:from>
    <xdr:to>
      <xdr:col>46</xdr:col>
      <xdr:colOff>0</xdr:colOff>
      <xdr:row>5</xdr:row>
      <xdr:rowOff>0</xdr:rowOff>
    </xdr:to>
    <xdr:sp macro="JSON_TableHeaderClick" textlink="$AT$4">
      <xdr:nvSpPr>
        <xdr:cNvPr id="508" name="tReporting52428888_45">
          <a:extLst>
            <a:ext uri="{FF2B5EF4-FFF2-40B4-BE49-F238E27FC236}">
              <a16:creationId xmlns:a16="http://schemas.microsoft.com/office/drawing/2014/main" id="{9CA2F1E3-378F-4FB6-B9E8-3B7B2F867DBF}"/>
            </a:ext>
          </a:extLst>
        </xdr:cNvPr>
        <xdr:cNvSpPr/>
      </xdr:nvSpPr>
      <xdr:spPr>
        <a:xfrm>
          <a:off x="480155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18B1B33-F317-4664-B7A8-A33831749F2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RF_InputSite</a:t>
          </a:fld>
          <a:endParaRPr lang="en-US" sz="1100"/>
        </a:p>
      </xdr:txBody>
    </xdr:sp>
    <xdr:clientData/>
  </xdr:twoCellAnchor>
  <xdr:twoCellAnchor>
    <xdr:from>
      <xdr:col>46</xdr:col>
      <xdr:colOff>0</xdr:colOff>
      <xdr:row>3</xdr:row>
      <xdr:rowOff>0</xdr:rowOff>
    </xdr:from>
    <xdr:to>
      <xdr:col>47</xdr:col>
      <xdr:colOff>0</xdr:colOff>
      <xdr:row>5</xdr:row>
      <xdr:rowOff>0</xdr:rowOff>
    </xdr:to>
    <xdr:sp macro="JSON_TableHeaderClick" textlink="$AU$4">
      <xdr:nvSpPr>
        <xdr:cNvPr id="509" name="tReporting52428888_46">
          <a:extLst>
            <a:ext uri="{FF2B5EF4-FFF2-40B4-BE49-F238E27FC236}">
              <a16:creationId xmlns:a16="http://schemas.microsoft.com/office/drawing/2014/main" id="{DB38A3F7-57A4-4311-B231-3DAE6C208A63}"/>
            </a:ext>
          </a:extLst>
        </xdr:cNvPr>
        <xdr:cNvSpPr/>
      </xdr:nvSpPr>
      <xdr:spPr>
        <a:xfrm>
          <a:off x="491299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2DF1516-E370-471C-90DB-9E031C89E2B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RF_PublicationSite</a:t>
          </a:fld>
          <a:endParaRPr lang="en-US" sz="1100"/>
        </a:p>
      </xdr:txBody>
    </xdr:sp>
    <xdr:clientData/>
  </xdr:twoCellAnchor>
  <xdr:twoCellAnchor>
    <xdr:from>
      <xdr:col>47</xdr:col>
      <xdr:colOff>0</xdr:colOff>
      <xdr:row>2</xdr:row>
      <xdr:rowOff>63500</xdr:rowOff>
    </xdr:from>
    <xdr:to>
      <xdr:col>48</xdr:col>
      <xdr:colOff>0</xdr:colOff>
      <xdr:row>5</xdr:row>
      <xdr:rowOff>0</xdr:rowOff>
    </xdr:to>
    <xdr:sp macro="JSON_TableHeaderClick" textlink="$AV$4">
      <xdr:nvSpPr>
        <xdr:cNvPr id="510" name="tReporting52428888_47">
          <a:extLst>
            <a:ext uri="{FF2B5EF4-FFF2-40B4-BE49-F238E27FC236}">
              <a16:creationId xmlns:a16="http://schemas.microsoft.com/office/drawing/2014/main" id="{C865653B-9531-4EAB-9614-115EF4624AB2}"/>
            </a:ext>
          </a:extLst>
        </xdr:cNvPr>
        <xdr:cNvSpPr/>
      </xdr:nvSpPr>
      <xdr:spPr>
        <a:xfrm>
          <a:off x="502443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9D9A1A06-FAF7-4759-9CA1-440B6678B74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RF_EntPack</a:t>
          </a:fld>
          <a:endParaRPr lang="en-US" sz="1100"/>
        </a:p>
      </xdr:txBody>
    </xdr:sp>
    <xdr:clientData/>
  </xdr:twoCellAnchor>
  <xdr:twoCellAnchor>
    <xdr:from>
      <xdr:col>48</xdr:col>
      <xdr:colOff>0</xdr:colOff>
      <xdr:row>3</xdr:row>
      <xdr:rowOff>0</xdr:rowOff>
    </xdr:from>
    <xdr:to>
      <xdr:col>49</xdr:col>
      <xdr:colOff>0</xdr:colOff>
      <xdr:row>5</xdr:row>
      <xdr:rowOff>0</xdr:rowOff>
    </xdr:to>
    <xdr:sp macro="JSON_TableHeaderClick" textlink="$AW$4">
      <xdr:nvSpPr>
        <xdr:cNvPr id="511" name="tReporting52428888_48">
          <a:extLst>
            <a:ext uri="{FF2B5EF4-FFF2-40B4-BE49-F238E27FC236}">
              <a16:creationId xmlns:a16="http://schemas.microsoft.com/office/drawing/2014/main" id="{090AAC0A-5532-4277-B73E-A4CB26BB3278}"/>
            </a:ext>
          </a:extLst>
        </xdr:cNvPr>
        <xdr:cNvSpPr/>
      </xdr:nvSpPr>
      <xdr:spPr>
        <a:xfrm>
          <a:off x="513588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5E62651-15D7-454A-8ADB-1CF516589B8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RF_EntUseDefaultWindowsFolder</a:t>
          </a:fld>
          <a:endParaRPr lang="en-US" sz="1100"/>
        </a:p>
      </xdr:txBody>
    </xdr:sp>
    <xdr:clientData/>
  </xdr:twoCellAnchor>
  <xdr:twoCellAnchor>
    <xdr:from>
      <xdr:col>49</xdr:col>
      <xdr:colOff>0</xdr:colOff>
      <xdr:row>3</xdr:row>
      <xdr:rowOff>0</xdr:rowOff>
    </xdr:from>
    <xdr:to>
      <xdr:col>50</xdr:col>
      <xdr:colOff>0</xdr:colOff>
      <xdr:row>5</xdr:row>
      <xdr:rowOff>0</xdr:rowOff>
    </xdr:to>
    <xdr:sp macro="JSON_TableHeaderClick" textlink="$AX$4">
      <xdr:nvSpPr>
        <xdr:cNvPr id="384" name="tReporting52428888_49">
          <a:extLst>
            <a:ext uri="{FF2B5EF4-FFF2-40B4-BE49-F238E27FC236}">
              <a16:creationId xmlns:a16="http://schemas.microsoft.com/office/drawing/2014/main" id="{DD210BF5-C795-455B-8738-3839617B8F5D}"/>
            </a:ext>
          </a:extLst>
        </xdr:cNvPr>
        <xdr:cNvSpPr/>
      </xdr:nvSpPr>
      <xdr:spPr>
        <a:xfrm>
          <a:off x="524732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4CDFA70-A920-43B7-8E13-FB0C1C8CCD1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RF_EntWindowsFolder</a:t>
          </a:fld>
          <a:endParaRPr lang="en-US" sz="1100"/>
        </a:p>
      </xdr:txBody>
    </xdr:sp>
    <xdr:clientData/>
  </xdr:twoCellAnchor>
  <xdr:twoCellAnchor>
    <xdr:from>
      <xdr:col>50</xdr:col>
      <xdr:colOff>0</xdr:colOff>
      <xdr:row>3</xdr:row>
      <xdr:rowOff>0</xdr:rowOff>
    </xdr:from>
    <xdr:to>
      <xdr:col>51</xdr:col>
      <xdr:colOff>0</xdr:colOff>
      <xdr:row>5</xdr:row>
      <xdr:rowOff>0</xdr:rowOff>
    </xdr:to>
    <xdr:sp macro="JSON_TableHeaderClick" textlink="$AY$4">
      <xdr:nvSpPr>
        <xdr:cNvPr id="385" name="tReporting52428888_50">
          <a:extLst>
            <a:ext uri="{FF2B5EF4-FFF2-40B4-BE49-F238E27FC236}">
              <a16:creationId xmlns:a16="http://schemas.microsoft.com/office/drawing/2014/main" id="{4DF0D243-1CDC-4396-8919-250F3595EF90}"/>
            </a:ext>
          </a:extLst>
        </xdr:cNvPr>
        <xdr:cNvSpPr/>
      </xdr:nvSpPr>
      <xdr:spPr>
        <a:xfrm>
          <a:off x="535876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AF3CC48-EB36-4661-95C6-7D8D72DA97F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RF_EntUseDefaultInternetFolder</a:t>
          </a:fld>
          <a:endParaRPr lang="en-US" sz="1100"/>
        </a:p>
      </xdr:txBody>
    </xdr:sp>
    <xdr:clientData/>
  </xdr:twoCellAnchor>
  <xdr:twoCellAnchor>
    <xdr:from>
      <xdr:col>51</xdr:col>
      <xdr:colOff>0</xdr:colOff>
      <xdr:row>3</xdr:row>
      <xdr:rowOff>0</xdr:rowOff>
    </xdr:from>
    <xdr:to>
      <xdr:col>52</xdr:col>
      <xdr:colOff>0</xdr:colOff>
      <xdr:row>5</xdr:row>
      <xdr:rowOff>0</xdr:rowOff>
    </xdr:to>
    <xdr:sp macro="JSON_TableHeaderClick" textlink="$AZ$4">
      <xdr:nvSpPr>
        <xdr:cNvPr id="386" name="tReporting52428888_51">
          <a:extLst>
            <a:ext uri="{FF2B5EF4-FFF2-40B4-BE49-F238E27FC236}">
              <a16:creationId xmlns:a16="http://schemas.microsoft.com/office/drawing/2014/main" id="{F2E421A1-9FE1-45D5-8901-D3FC3F3FEBB3}"/>
            </a:ext>
          </a:extLst>
        </xdr:cNvPr>
        <xdr:cNvSpPr/>
      </xdr:nvSpPr>
      <xdr:spPr>
        <a:xfrm>
          <a:off x="547020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C07E2FA-8678-4AC9-9E0F-81B1206D1C9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RF_EntInternetFolder</a:t>
          </a:fld>
          <a:endParaRPr lang="en-US" sz="1100"/>
        </a:p>
      </xdr:txBody>
    </xdr:sp>
    <xdr:clientData/>
  </xdr:twoCellAnchor>
  <xdr:twoCellAnchor>
    <xdr:from>
      <xdr:col>52</xdr:col>
      <xdr:colOff>0</xdr:colOff>
      <xdr:row>3</xdr:row>
      <xdr:rowOff>0</xdr:rowOff>
    </xdr:from>
    <xdr:to>
      <xdr:col>53</xdr:col>
      <xdr:colOff>0</xdr:colOff>
      <xdr:row>5</xdr:row>
      <xdr:rowOff>0</xdr:rowOff>
    </xdr:to>
    <xdr:sp macro="JSON_TableHeaderClick" textlink="$BA$4">
      <xdr:nvSpPr>
        <xdr:cNvPr id="387" name="tReporting52428888_52">
          <a:extLst>
            <a:ext uri="{FF2B5EF4-FFF2-40B4-BE49-F238E27FC236}">
              <a16:creationId xmlns:a16="http://schemas.microsoft.com/office/drawing/2014/main" id="{4AF9B206-8AA0-4637-9B31-0C439C4FFB1F}"/>
            </a:ext>
          </a:extLst>
        </xdr:cNvPr>
        <xdr:cNvSpPr/>
      </xdr:nvSpPr>
      <xdr:spPr>
        <a:xfrm>
          <a:off x="558165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AF55927-9D6F-40EE-943D-F6DE6231170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RF_EntUseDefaultSetOfControls</a:t>
          </a:fld>
          <a:endParaRPr lang="en-US" sz="1100"/>
        </a:p>
      </xdr:txBody>
    </xdr:sp>
    <xdr:clientData/>
  </xdr:twoCellAnchor>
  <xdr:twoCellAnchor>
    <xdr:from>
      <xdr:col>53</xdr:col>
      <xdr:colOff>0</xdr:colOff>
      <xdr:row>3</xdr:row>
      <xdr:rowOff>0</xdr:rowOff>
    </xdr:from>
    <xdr:to>
      <xdr:col>54</xdr:col>
      <xdr:colOff>0</xdr:colOff>
      <xdr:row>5</xdr:row>
      <xdr:rowOff>0</xdr:rowOff>
    </xdr:to>
    <xdr:sp macro="JSON_TableHeaderClick" textlink="$BB$4">
      <xdr:nvSpPr>
        <xdr:cNvPr id="388" name="tReporting52428888_53">
          <a:extLst>
            <a:ext uri="{FF2B5EF4-FFF2-40B4-BE49-F238E27FC236}">
              <a16:creationId xmlns:a16="http://schemas.microsoft.com/office/drawing/2014/main" id="{C2FA3F8F-1826-45E8-9063-9F461334D34E}"/>
            </a:ext>
          </a:extLst>
        </xdr:cNvPr>
        <xdr:cNvSpPr/>
      </xdr:nvSpPr>
      <xdr:spPr>
        <a:xfrm>
          <a:off x="569309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BA50312-CABD-42E6-B2FB-3F63AB6F792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RF_EntSetOfControls</a:t>
          </a:fld>
          <a:endParaRPr lang="en-US" sz="1100"/>
        </a:p>
      </xdr:txBody>
    </xdr:sp>
    <xdr:clientData/>
  </xdr:twoCellAnchor>
  <xdr:twoCellAnchor>
    <xdr:from>
      <xdr:col>54</xdr:col>
      <xdr:colOff>0</xdr:colOff>
      <xdr:row>3</xdr:row>
      <xdr:rowOff>0</xdr:rowOff>
    </xdr:from>
    <xdr:to>
      <xdr:col>55</xdr:col>
      <xdr:colOff>0</xdr:colOff>
      <xdr:row>5</xdr:row>
      <xdr:rowOff>0</xdr:rowOff>
    </xdr:to>
    <xdr:sp macro="JSON_TableHeaderClick" textlink="$BC$4">
      <xdr:nvSpPr>
        <xdr:cNvPr id="389" name="tReporting52428888_54">
          <a:extLst>
            <a:ext uri="{FF2B5EF4-FFF2-40B4-BE49-F238E27FC236}">
              <a16:creationId xmlns:a16="http://schemas.microsoft.com/office/drawing/2014/main" id="{AC93FD70-BA6A-4624-BBC7-097AFEFB95EF}"/>
            </a:ext>
          </a:extLst>
        </xdr:cNvPr>
        <xdr:cNvSpPr/>
      </xdr:nvSpPr>
      <xdr:spPr>
        <a:xfrm>
          <a:off x="580453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71BB628-87E5-4EA5-94F8-2FBEF46672E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RF_EntUseDefaultLevel</a:t>
          </a:fld>
          <a:endParaRPr lang="en-US" sz="1100"/>
        </a:p>
      </xdr:txBody>
    </xdr:sp>
    <xdr:clientData/>
  </xdr:twoCellAnchor>
  <xdr:twoCellAnchor>
    <xdr:from>
      <xdr:col>55</xdr:col>
      <xdr:colOff>0</xdr:colOff>
      <xdr:row>3</xdr:row>
      <xdr:rowOff>0</xdr:rowOff>
    </xdr:from>
    <xdr:to>
      <xdr:col>56</xdr:col>
      <xdr:colOff>0</xdr:colOff>
      <xdr:row>5</xdr:row>
      <xdr:rowOff>0</xdr:rowOff>
    </xdr:to>
    <xdr:sp macro="JSON_TableHeaderClick" textlink="$BD$4">
      <xdr:nvSpPr>
        <xdr:cNvPr id="390" name="tReporting52428888_55">
          <a:extLst>
            <a:ext uri="{FF2B5EF4-FFF2-40B4-BE49-F238E27FC236}">
              <a16:creationId xmlns:a16="http://schemas.microsoft.com/office/drawing/2014/main" id="{BB7FAF0A-D4BA-42C8-B8E5-EDACBEEF3AF7}"/>
            </a:ext>
          </a:extLst>
        </xdr:cNvPr>
        <xdr:cNvSpPr/>
      </xdr:nvSpPr>
      <xdr:spPr>
        <a:xfrm>
          <a:off x="591597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D7F5360-FF64-473C-99AE-A88B88DCE18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RF_EntLevelToReach</a:t>
          </a:fld>
          <a:endParaRPr lang="en-US" sz="1100"/>
        </a:p>
      </xdr:txBody>
    </xdr:sp>
    <xdr:clientData/>
  </xdr:twoCellAnchor>
  <xdr:twoCellAnchor>
    <xdr:from>
      <xdr:col>56</xdr:col>
      <xdr:colOff>0</xdr:colOff>
      <xdr:row>3</xdr:row>
      <xdr:rowOff>0</xdr:rowOff>
    </xdr:from>
    <xdr:to>
      <xdr:col>57</xdr:col>
      <xdr:colOff>0</xdr:colOff>
      <xdr:row>5</xdr:row>
      <xdr:rowOff>0</xdr:rowOff>
    </xdr:to>
    <xdr:sp macro="JSON_TableHeaderClick" textlink="$BE$4">
      <xdr:nvSpPr>
        <xdr:cNvPr id="391" name="tReporting52428888_56">
          <a:extLst>
            <a:ext uri="{FF2B5EF4-FFF2-40B4-BE49-F238E27FC236}">
              <a16:creationId xmlns:a16="http://schemas.microsoft.com/office/drawing/2014/main" id="{91E793F6-9D7A-4CA7-8F13-248BE5B015B9}"/>
            </a:ext>
          </a:extLst>
        </xdr:cNvPr>
        <xdr:cNvSpPr/>
      </xdr:nvSpPr>
      <xdr:spPr>
        <a:xfrm>
          <a:off x="602742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1738B1D-4FFF-438F-8696-894C86A1C09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RF_EntBlocking</a:t>
          </a:fld>
          <a:endParaRPr lang="en-US" sz="1100"/>
        </a:p>
      </xdr:txBody>
    </xdr:sp>
    <xdr:clientData/>
  </xdr:twoCellAnchor>
  <xdr:twoCellAnchor>
    <xdr:from>
      <xdr:col>57</xdr:col>
      <xdr:colOff>0</xdr:colOff>
      <xdr:row>3</xdr:row>
      <xdr:rowOff>0</xdr:rowOff>
    </xdr:from>
    <xdr:to>
      <xdr:col>58</xdr:col>
      <xdr:colOff>0</xdr:colOff>
      <xdr:row>5</xdr:row>
      <xdr:rowOff>0</xdr:rowOff>
    </xdr:to>
    <xdr:sp macro="JSON_TableHeaderClick" textlink="$BF$4">
      <xdr:nvSpPr>
        <xdr:cNvPr id="392" name="tReporting52428888_57">
          <a:extLst>
            <a:ext uri="{FF2B5EF4-FFF2-40B4-BE49-F238E27FC236}">
              <a16:creationId xmlns:a16="http://schemas.microsoft.com/office/drawing/2014/main" id="{13C1AC57-7823-4625-A28E-E6ED15630989}"/>
            </a:ext>
          </a:extLst>
        </xdr:cNvPr>
        <xdr:cNvSpPr/>
      </xdr:nvSpPr>
      <xdr:spPr>
        <a:xfrm>
          <a:off x="613886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B8EE0EA-659D-4265-916E-C53414DCE20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RF_EntUseDefaultLock</a:t>
          </a:fld>
          <a:endParaRPr lang="en-US" sz="1100"/>
        </a:p>
      </xdr:txBody>
    </xdr:sp>
    <xdr:clientData/>
  </xdr:twoCellAnchor>
  <xdr:twoCellAnchor>
    <xdr:from>
      <xdr:col>58</xdr:col>
      <xdr:colOff>0</xdr:colOff>
      <xdr:row>3</xdr:row>
      <xdr:rowOff>0</xdr:rowOff>
    </xdr:from>
    <xdr:to>
      <xdr:col>59</xdr:col>
      <xdr:colOff>0</xdr:colOff>
      <xdr:row>5</xdr:row>
      <xdr:rowOff>0</xdr:rowOff>
    </xdr:to>
    <xdr:sp macro="JSON_TableHeaderClick" textlink="$BG$4">
      <xdr:nvSpPr>
        <xdr:cNvPr id="393" name="tReporting52428888_58">
          <a:extLst>
            <a:ext uri="{FF2B5EF4-FFF2-40B4-BE49-F238E27FC236}">
              <a16:creationId xmlns:a16="http://schemas.microsoft.com/office/drawing/2014/main" id="{8BFAF59F-E25C-4146-9269-DA45741F2640}"/>
            </a:ext>
          </a:extLst>
        </xdr:cNvPr>
        <xdr:cNvSpPr/>
      </xdr:nvSpPr>
      <xdr:spPr>
        <a:xfrm>
          <a:off x="625030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B4B5882-D149-40A4-BB9A-C7EFCE80FEF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RF_EntLockOnPublication</a:t>
          </a:fld>
          <a:endParaRPr lang="en-US" sz="1100"/>
        </a:p>
      </xdr:txBody>
    </xdr:sp>
    <xdr:clientData/>
  </xdr:twoCellAnchor>
  <xdr:twoCellAnchor>
    <xdr:from>
      <xdr:col>59</xdr:col>
      <xdr:colOff>0</xdr:colOff>
      <xdr:row>3</xdr:row>
      <xdr:rowOff>0</xdr:rowOff>
    </xdr:from>
    <xdr:to>
      <xdr:col>60</xdr:col>
      <xdr:colOff>0</xdr:colOff>
      <xdr:row>5</xdr:row>
      <xdr:rowOff>0</xdr:rowOff>
    </xdr:to>
    <xdr:sp macro="JSON_TableHeaderClick" textlink="$BH$4">
      <xdr:nvSpPr>
        <xdr:cNvPr id="394" name="tReporting52428888_59">
          <a:extLst>
            <a:ext uri="{FF2B5EF4-FFF2-40B4-BE49-F238E27FC236}">
              <a16:creationId xmlns:a16="http://schemas.microsoft.com/office/drawing/2014/main" id="{39CB34E9-BA52-4AC1-BCBD-28101FAB0361}"/>
            </a:ext>
          </a:extLst>
        </xdr:cNvPr>
        <xdr:cNvSpPr/>
      </xdr:nvSpPr>
      <xdr:spPr>
        <a:xfrm>
          <a:off x="636174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C89CF9C-6786-4290-A3C3-321985E5450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RF_EntUseDefaultRuleSet</a:t>
          </a:fld>
          <a:endParaRPr lang="en-US" sz="1100"/>
        </a:p>
      </xdr:txBody>
    </xdr:sp>
    <xdr:clientData/>
  </xdr:twoCellAnchor>
  <xdr:twoCellAnchor>
    <xdr:from>
      <xdr:col>60</xdr:col>
      <xdr:colOff>0</xdr:colOff>
      <xdr:row>3</xdr:row>
      <xdr:rowOff>0</xdr:rowOff>
    </xdr:from>
    <xdr:to>
      <xdr:col>61</xdr:col>
      <xdr:colOff>0</xdr:colOff>
      <xdr:row>5</xdr:row>
      <xdr:rowOff>0</xdr:rowOff>
    </xdr:to>
    <xdr:sp macro="JSON_TableHeaderClick" textlink="$BI$4">
      <xdr:nvSpPr>
        <xdr:cNvPr id="395" name="tReporting52428888_60">
          <a:extLst>
            <a:ext uri="{FF2B5EF4-FFF2-40B4-BE49-F238E27FC236}">
              <a16:creationId xmlns:a16="http://schemas.microsoft.com/office/drawing/2014/main" id="{397431A1-62AA-4A5D-9716-8AD034F6D24C}"/>
            </a:ext>
          </a:extLst>
        </xdr:cNvPr>
        <xdr:cNvSpPr/>
      </xdr:nvSpPr>
      <xdr:spPr>
        <a:xfrm>
          <a:off x="647319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B8A5BC4-8BA2-42A7-8FC9-482E489B795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RF_EntRuleSet</a:t>
          </a:fld>
          <a:endParaRPr lang="en-US" sz="1100"/>
        </a:p>
      </xdr:txBody>
    </xdr:sp>
    <xdr:clientData/>
  </xdr:twoCellAnchor>
  <xdr:twoCellAnchor>
    <xdr:from>
      <xdr:col>61</xdr:col>
      <xdr:colOff>0</xdr:colOff>
      <xdr:row>3</xdr:row>
      <xdr:rowOff>0</xdr:rowOff>
    </xdr:from>
    <xdr:to>
      <xdr:col>62</xdr:col>
      <xdr:colOff>0</xdr:colOff>
      <xdr:row>5</xdr:row>
      <xdr:rowOff>0</xdr:rowOff>
    </xdr:to>
    <xdr:sp macro="JSON_TableHeaderClick" textlink="$BJ$4">
      <xdr:nvSpPr>
        <xdr:cNvPr id="396" name="tReporting52428888_61">
          <a:extLst>
            <a:ext uri="{FF2B5EF4-FFF2-40B4-BE49-F238E27FC236}">
              <a16:creationId xmlns:a16="http://schemas.microsoft.com/office/drawing/2014/main" id="{86B7AAB9-EC75-423E-88E4-6EC4DCBED334}"/>
            </a:ext>
          </a:extLst>
        </xdr:cNvPr>
        <xdr:cNvSpPr/>
      </xdr:nvSpPr>
      <xdr:spPr>
        <a:xfrm>
          <a:off x="658463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E8CD8C7-13C5-4BBC-8DAA-3B10E6062D2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RF_EntUseDefaultOpbal</a:t>
          </a:fld>
          <a:endParaRPr lang="en-US" sz="1100"/>
        </a:p>
      </xdr:txBody>
    </xdr:sp>
    <xdr:clientData/>
  </xdr:twoCellAnchor>
  <xdr:twoCellAnchor>
    <xdr:from>
      <xdr:col>62</xdr:col>
      <xdr:colOff>0</xdr:colOff>
      <xdr:row>3</xdr:row>
      <xdr:rowOff>0</xdr:rowOff>
    </xdr:from>
    <xdr:to>
      <xdr:col>63</xdr:col>
      <xdr:colOff>0</xdr:colOff>
      <xdr:row>5</xdr:row>
      <xdr:rowOff>0</xdr:rowOff>
    </xdr:to>
    <xdr:sp macro="JSON_TableHeaderClick" textlink="$BK$4">
      <xdr:nvSpPr>
        <xdr:cNvPr id="397" name="tReporting52428888_62">
          <a:extLst>
            <a:ext uri="{FF2B5EF4-FFF2-40B4-BE49-F238E27FC236}">
              <a16:creationId xmlns:a16="http://schemas.microsoft.com/office/drawing/2014/main" id="{1FDC636E-A1EA-49A8-BD99-0713E8CC58EA}"/>
            </a:ext>
          </a:extLst>
        </xdr:cNvPr>
        <xdr:cNvSpPr/>
      </xdr:nvSpPr>
      <xdr:spPr>
        <a:xfrm>
          <a:off x="669607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2D57EE0-E74E-4BAA-A210-59FB83D9F23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RF_EntHasOpBal</a:t>
          </a:fld>
          <a:endParaRPr lang="en-US" sz="1100"/>
        </a:p>
      </xdr:txBody>
    </xdr:sp>
    <xdr:clientData/>
  </xdr:twoCellAnchor>
  <xdr:twoCellAnchor>
    <xdr:from>
      <xdr:col>63</xdr:col>
      <xdr:colOff>0</xdr:colOff>
      <xdr:row>3</xdr:row>
      <xdr:rowOff>0</xdr:rowOff>
    </xdr:from>
    <xdr:to>
      <xdr:col>64</xdr:col>
      <xdr:colOff>0</xdr:colOff>
      <xdr:row>5</xdr:row>
      <xdr:rowOff>0</xdr:rowOff>
    </xdr:to>
    <xdr:sp macro="JSON_TableHeaderClick" textlink="$BL$4">
      <xdr:nvSpPr>
        <xdr:cNvPr id="398" name="tReporting52428888_63">
          <a:extLst>
            <a:ext uri="{FF2B5EF4-FFF2-40B4-BE49-F238E27FC236}">
              <a16:creationId xmlns:a16="http://schemas.microsoft.com/office/drawing/2014/main" id="{810F0A68-B9F1-459D-A5FF-75A932F57ECE}"/>
            </a:ext>
          </a:extLst>
        </xdr:cNvPr>
        <xdr:cNvSpPr/>
      </xdr:nvSpPr>
      <xdr:spPr>
        <a:xfrm>
          <a:off x="680751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93A8552-CE92-485A-A32D-1D6F8E927DC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RF_EntOpbPhase</a:t>
          </a:fld>
          <a:endParaRPr lang="en-US" sz="1100"/>
        </a:p>
      </xdr:txBody>
    </xdr:sp>
    <xdr:clientData/>
  </xdr:twoCellAnchor>
  <xdr:twoCellAnchor>
    <xdr:from>
      <xdr:col>64</xdr:col>
      <xdr:colOff>0</xdr:colOff>
      <xdr:row>3</xdr:row>
      <xdr:rowOff>0</xdr:rowOff>
    </xdr:from>
    <xdr:to>
      <xdr:col>65</xdr:col>
      <xdr:colOff>0</xdr:colOff>
      <xdr:row>5</xdr:row>
      <xdr:rowOff>0</xdr:rowOff>
    </xdr:to>
    <xdr:sp macro="JSON_TableHeaderClick" textlink="$BM$4">
      <xdr:nvSpPr>
        <xdr:cNvPr id="399" name="tReporting52428888_64">
          <a:extLst>
            <a:ext uri="{FF2B5EF4-FFF2-40B4-BE49-F238E27FC236}">
              <a16:creationId xmlns:a16="http://schemas.microsoft.com/office/drawing/2014/main" id="{401949DD-FFB3-4A47-AD37-514473DDAD32}"/>
            </a:ext>
          </a:extLst>
        </xdr:cNvPr>
        <xdr:cNvSpPr/>
      </xdr:nvSpPr>
      <xdr:spPr>
        <a:xfrm>
          <a:off x="691896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6CA39FA-83E6-4D1A-93A6-F6B1E094634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RF_EntOpbUpdatePeriod</a:t>
          </a:fld>
          <a:endParaRPr lang="en-US" sz="1100"/>
        </a:p>
      </xdr:txBody>
    </xdr:sp>
    <xdr:clientData/>
  </xdr:twoCellAnchor>
  <xdr:twoCellAnchor>
    <xdr:from>
      <xdr:col>65</xdr:col>
      <xdr:colOff>0</xdr:colOff>
      <xdr:row>3</xdr:row>
      <xdr:rowOff>0</xdr:rowOff>
    </xdr:from>
    <xdr:to>
      <xdr:col>66</xdr:col>
      <xdr:colOff>0</xdr:colOff>
      <xdr:row>5</xdr:row>
      <xdr:rowOff>0</xdr:rowOff>
    </xdr:to>
    <xdr:sp macro="JSON_TableHeaderClick" textlink="$BN$4">
      <xdr:nvSpPr>
        <xdr:cNvPr id="400" name="tReporting52428888_65">
          <a:extLst>
            <a:ext uri="{FF2B5EF4-FFF2-40B4-BE49-F238E27FC236}">
              <a16:creationId xmlns:a16="http://schemas.microsoft.com/office/drawing/2014/main" id="{C3FC349B-6F43-46A7-9D11-19BECF50F45D}"/>
            </a:ext>
          </a:extLst>
        </xdr:cNvPr>
        <xdr:cNvSpPr/>
      </xdr:nvSpPr>
      <xdr:spPr>
        <a:xfrm>
          <a:off x="703040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6E5B7B6-6823-4019-9CC9-945422A063D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RF_EntOpbScope</a:t>
          </a:fld>
          <a:endParaRPr lang="en-US" sz="1100"/>
        </a:p>
      </xdr:txBody>
    </xdr:sp>
    <xdr:clientData/>
  </xdr:twoCellAnchor>
  <xdr:twoCellAnchor>
    <xdr:from>
      <xdr:col>66</xdr:col>
      <xdr:colOff>0</xdr:colOff>
      <xdr:row>3</xdr:row>
      <xdr:rowOff>0</xdr:rowOff>
    </xdr:from>
    <xdr:to>
      <xdr:col>67</xdr:col>
      <xdr:colOff>0</xdr:colOff>
      <xdr:row>5</xdr:row>
      <xdr:rowOff>0</xdr:rowOff>
    </xdr:to>
    <xdr:sp macro="JSON_TableHeaderClick" textlink="$BO$4">
      <xdr:nvSpPr>
        <xdr:cNvPr id="401" name="tReporting52428888_66">
          <a:extLst>
            <a:ext uri="{FF2B5EF4-FFF2-40B4-BE49-F238E27FC236}">
              <a16:creationId xmlns:a16="http://schemas.microsoft.com/office/drawing/2014/main" id="{D7CD0B86-D202-44CA-AC8F-ED8EB9C0F53B}"/>
            </a:ext>
          </a:extLst>
        </xdr:cNvPr>
        <xdr:cNvSpPr/>
      </xdr:nvSpPr>
      <xdr:spPr>
        <a:xfrm>
          <a:off x="714184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60F6B77-02E2-489A-AA0F-FFE2EA36A26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RF_EntOpbVariant</a:t>
          </a:fld>
          <a:endParaRPr lang="en-US" sz="1100"/>
        </a:p>
      </xdr:txBody>
    </xdr:sp>
    <xdr:clientData/>
  </xdr:twoCellAnchor>
  <xdr:twoCellAnchor>
    <xdr:from>
      <xdr:col>67</xdr:col>
      <xdr:colOff>0</xdr:colOff>
      <xdr:row>3</xdr:row>
      <xdr:rowOff>0</xdr:rowOff>
    </xdr:from>
    <xdr:to>
      <xdr:col>68</xdr:col>
      <xdr:colOff>0</xdr:colOff>
      <xdr:row>5</xdr:row>
      <xdr:rowOff>0</xdr:rowOff>
    </xdr:to>
    <xdr:sp macro="JSON_TableHeaderClick" textlink="$BP$4">
      <xdr:nvSpPr>
        <xdr:cNvPr id="402" name="tReporting52428888_67">
          <a:extLst>
            <a:ext uri="{FF2B5EF4-FFF2-40B4-BE49-F238E27FC236}">
              <a16:creationId xmlns:a16="http://schemas.microsoft.com/office/drawing/2014/main" id="{CC570EA2-20C9-4D02-A6BE-D8884E275722}"/>
            </a:ext>
          </a:extLst>
        </xdr:cNvPr>
        <xdr:cNvSpPr/>
      </xdr:nvSpPr>
      <xdr:spPr>
        <a:xfrm>
          <a:off x="725328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994B129-3621-40A4-A4E8-B6043D06230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RF_EntOpbConsCurrency</a:t>
          </a:fld>
          <a:endParaRPr lang="en-US" sz="1100"/>
        </a:p>
      </xdr:txBody>
    </xdr:sp>
    <xdr:clientData/>
  </xdr:twoCellAnchor>
  <xdr:twoCellAnchor>
    <xdr:from>
      <xdr:col>68</xdr:col>
      <xdr:colOff>0</xdr:colOff>
      <xdr:row>2</xdr:row>
      <xdr:rowOff>63500</xdr:rowOff>
    </xdr:from>
    <xdr:to>
      <xdr:col>69</xdr:col>
      <xdr:colOff>0</xdr:colOff>
      <xdr:row>5</xdr:row>
      <xdr:rowOff>0</xdr:rowOff>
    </xdr:to>
    <xdr:sp macro="JSON_TableHeaderClick" textlink="$BQ$4">
      <xdr:nvSpPr>
        <xdr:cNvPr id="403" name="tReporting52428888_68">
          <a:extLst>
            <a:ext uri="{FF2B5EF4-FFF2-40B4-BE49-F238E27FC236}">
              <a16:creationId xmlns:a16="http://schemas.microsoft.com/office/drawing/2014/main" id="{C6F954F9-8F3A-4B60-9447-F79B0B0B232F}"/>
            </a:ext>
          </a:extLst>
        </xdr:cNvPr>
        <xdr:cNvSpPr/>
      </xdr:nvSpPr>
      <xdr:spPr>
        <a:xfrm>
          <a:off x="736473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DB270EB2-8CA5-4F85-B405-6C83734F200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RF_EntOp</a:t>
          </a:fld>
          <a:endParaRPr lang="en-US" sz="1100"/>
        </a:p>
      </xdr:txBody>
    </xdr:sp>
    <xdr:clientData/>
  </xdr:twoCellAnchor>
  <xdr:twoCellAnchor>
    <xdr:from>
      <xdr:col>69</xdr:col>
      <xdr:colOff>0</xdr:colOff>
      <xdr:row>3</xdr:row>
      <xdr:rowOff>0</xdr:rowOff>
    </xdr:from>
    <xdr:to>
      <xdr:col>70</xdr:col>
      <xdr:colOff>0</xdr:colOff>
      <xdr:row>5</xdr:row>
      <xdr:rowOff>0</xdr:rowOff>
    </xdr:to>
    <xdr:sp macro="JSON_TableHeaderClick" textlink="$BR$4">
      <xdr:nvSpPr>
        <xdr:cNvPr id="404" name="tReporting52428888_69">
          <a:extLst>
            <a:ext uri="{FF2B5EF4-FFF2-40B4-BE49-F238E27FC236}">
              <a16:creationId xmlns:a16="http://schemas.microsoft.com/office/drawing/2014/main" id="{5AA8D439-7497-4821-9CDB-CE22DE346364}"/>
            </a:ext>
          </a:extLst>
        </xdr:cNvPr>
        <xdr:cNvSpPr/>
      </xdr:nvSpPr>
      <xdr:spPr>
        <a:xfrm>
          <a:off x="747617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EBD2078-51A1-4715-B8BC-834C524AEAB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RF_EntUseDefaultPublish</a:t>
          </a:fld>
          <a:endParaRPr lang="en-US" sz="1100"/>
        </a:p>
      </xdr:txBody>
    </xdr:sp>
    <xdr:clientData/>
  </xdr:twoCellAnchor>
  <xdr:twoCellAnchor>
    <xdr:from>
      <xdr:col>70</xdr:col>
      <xdr:colOff>0</xdr:colOff>
      <xdr:row>3</xdr:row>
      <xdr:rowOff>0</xdr:rowOff>
    </xdr:from>
    <xdr:to>
      <xdr:col>71</xdr:col>
      <xdr:colOff>0</xdr:colOff>
      <xdr:row>5</xdr:row>
      <xdr:rowOff>0</xdr:rowOff>
    </xdr:to>
    <xdr:sp macro="JSON_TableHeaderClick" textlink="$BS$4">
      <xdr:nvSpPr>
        <xdr:cNvPr id="405" name="tReporting52428888_70">
          <a:extLst>
            <a:ext uri="{FF2B5EF4-FFF2-40B4-BE49-F238E27FC236}">
              <a16:creationId xmlns:a16="http://schemas.microsoft.com/office/drawing/2014/main" id="{77652BB1-4AB4-46B6-9181-6DECC2A574F2}"/>
            </a:ext>
          </a:extLst>
        </xdr:cNvPr>
        <xdr:cNvSpPr/>
      </xdr:nvSpPr>
      <xdr:spPr>
        <a:xfrm>
          <a:off x="758761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4CF284D-ED47-4A97-8BC2-1BB9969C7F6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RF_EntPackPublishingCutOffDate</a:t>
          </a:fld>
          <a:endParaRPr lang="en-US" sz="1100"/>
        </a:p>
      </xdr:txBody>
    </xdr:sp>
    <xdr:clientData/>
  </xdr:twoCellAnchor>
  <xdr:twoCellAnchor>
    <xdr:from>
      <xdr:col>71</xdr:col>
      <xdr:colOff>0</xdr:colOff>
      <xdr:row>3</xdr:row>
      <xdr:rowOff>0</xdr:rowOff>
    </xdr:from>
    <xdr:to>
      <xdr:col>72</xdr:col>
      <xdr:colOff>0</xdr:colOff>
      <xdr:row>5</xdr:row>
      <xdr:rowOff>0</xdr:rowOff>
    </xdr:to>
    <xdr:sp macro="JSON_TableHeaderClick" textlink="$BT$4">
      <xdr:nvSpPr>
        <xdr:cNvPr id="406" name="tReporting52428888_71">
          <a:extLst>
            <a:ext uri="{FF2B5EF4-FFF2-40B4-BE49-F238E27FC236}">
              <a16:creationId xmlns:a16="http://schemas.microsoft.com/office/drawing/2014/main" id="{699BD693-EF54-4CC4-9367-E4A53222E2DE}"/>
            </a:ext>
          </a:extLst>
        </xdr:cNvPr>
        <xdr:cNvSpPr/>
      </xdr:nvSpPr>
      <xdr:spPr>
        <a:xfrm>
          <a:off x="769905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544C901-850E-4772-98B8-9DABC731A62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RF_EntAllowEarlyPublishing</a:t>
          </a:fld>
          <a:endParaRPr lang="en-US" sz="1100"/>
        </a:p>
      </xdr:txBody>
    </xdr:sp>
    <xdr:clientData/>
  </xdr:twoCellAnchor>
  <xdr:twoCellAnchor>
    <xdr:from>
      <xdr:col>72</xdr:col>
      <xdr:colOff>0</xdr:colOff>
      <xdr:row>2</xdr:row>
      <xdr:rowOff>63500</xdr:rowOff>
    </xdr:from>
    <xdr:to>
      <xdr:col>73</xdr:col>
      <xdr:colOff>0</xdr:colOff>
      <xdr:row>5</xdr:row>
      <xdr:rowOff>0</xdr:rowOff>
    </xdr:to>
    <xdr:sp macro="JSON_TableHeaderClick" textlink="$BU$4">
      <xdr:nvSpPr>
        <xdr:cNvPr id="407" name="tReporting52428888_72">
          <a:extLst>
            <a:ext uri="{FF2B5EF4-FFF2-40B4-BE49-F238E27FC236}">
              <a16:creationId xmlns:a16="http://schemas.microsoft.com/office/drawing/2014/main" id="{34C37CB6-534B-40B2-BFF1-D9CC4EEF25D5}"/>
            </a:ext>
          </a:extLst>
        </xdr:cNvPr>
        <xdr:cNvSpPr/>
      </xdr:nvSpPr>
      <xdr:spPr>
        <a:xfrm>
          <a:off x="781050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B7A7579E-C77E-46D6-B255-8DC4AC1E2C0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RF_EntOpAftPub</a:t>
          </a:fld>
          <a:endParaRPr lang="en-US" sz="1100"/>
        </a:p>
      </xdr:txBody>
    </xdr:sp>
    <xdr:clientData/>
  </xdr:twoCellAnchor>
  <xdr:twoCellAnchor>
    <xdr:from>
      <xdr:col>73</xdr:col>
      <xdr:colOff>0</xdr:colOff>
      <xdr:row>3</xdr:row>
      <xdr:rowOff>0</xdr:rowOff>
    </xdr:from>
    <xdr:to>
      <xdr:col>74</xdr:col>
      <xdr:colOff>0</xdr:colOff>
      <xdr:row>5</xdr:row>
      <xdr:rowOff>0</xdr:rowOff>
    </xdr:to>
    <xdr:sp macro="JSON_TableHeaderClick" textlink="$BV$4">
      <xdr:nvSpPr>
        <xdr:cNvPr id="408" name="tReporting52428888_73">
          <a:extLst>
            <a:ext uri="{FF2B5EF4-FFF2-40B4-BE49-F238E27FC236}">
              <a16:creationId xmlns:a16="http://schemas.microsoft.com/office/drawing/2014/main" id="{EC0A144C-2BC6-4CCB-BD72-6222F3B0D6E7}"/>
            </a:ext>
          </a:extLst>
        </xdr:cNvPr>
        <xdr:cNvSpPr/>
      </xdr:nvSpPr>
      <xdr:spPr>
        <a:xfrm>
          <a:off x="792194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C0054CF-DD5E-4EA7-8366-84724336D8F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RF_EntUseDefaultAfterPub</a:t>
          </a:fld>
          <a:endParaRPr lang="en-US" sz="1100"/>
        </a:p>
      </xdr:txBody>
    </xdr:sp>
    <xdr:clientData/>
  </xdr:twoCellAnchor>
  <xdr:twoCellAnchor>
    <xdr:from>
      <xdr:col>74</xdr:col>
      <xdr:colOff>0</xdr:colOff>
      <xdr:row>3</xdr:row>
      <xdr:rowOff>0</xdr:rowOff>
    </xdr:from>
    <xdr:to>
      <xdr:col>75</xdr:col>
      <xdr:colOff>0</xdr:colOff>
      <xdr:row>5</xdr:row>
      <xdr:rowOff>0</xdr:rowOff>
    </xdr:to>
    <xdr:sp macro="JSON_TableHeaderClick" textlink="$BW$4">
      <xdr:nvSpPr>
        <xdr:cNvPr id="409" name="tReporting52428888_74">
          <a:extLst>
            <a:ext uri="{FF2B5EF4-FFF2-40B4-BE49-F238E27FC236}">
              <a16:creationId xmlns:a16="http://schemas.microsoft.com/office/drawing/2014/main" id="{45573D09-2DA3-4B72-8E30-547C12177C25}"/>
            </a:ext>
          </a:extLst>
        </xdr:cNvPr>
        <xdr:cNvSpPr/>
      </xdr:nvSpPr>
      <xdr:spPr>
        <a:xfrm>
          <a:off x="803338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19CB280-7115-4821-92B9-D12E63617EF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RF_EntAftPubStandard</a:t>
          </a:fld>
          <a:endParaRPr lang="en-US" sz="1100"/>
        </a:p>
      </xdr:txBody>
    </xdr:sp>
    <xdr:clientData/>
  </xdr:twoCellAnchor>
  <xdr:twoCellAnchor>
    <xdr:from>
      <xdr:col>75</xdr:col>
      <xdr:colOff>0</xdr:colOff>
      <xdr:row>3</xdr:row>
      <xdr:rowOff>0</xdr:rowOff>
    </xdr:from>
    <xdr:to>
      <xdr:col>76</xdr:col>
      <xdr:colOff>0</xdr:colOff>
      <xdr:row>5</xdr:row>
      <xdr:rowOff>0</xdr:rowOff>
    </xdr:to>
    <xdr:sp macro="JSON_TableHeaderClick" textlink="$BX$4">
      <xdr:nvSpPr>
        <xdr:cNvPr id="410" name="tReporting52428888_75">
          <a:extLst>
            <a:ext uri="{FF2B5EF4-FFF2-40B4-BE49-F238E27FC236}">
              <a16:creationId xmlns:a16="http://schemas.microsoft.com/office/drawing/2014/main" id="{F7356F52-66E6-4470-852F-D1727D44BDF6}"/>
            </a:ext>
          </a:extLst>
        </xdr:cNvPr>
        <xdr:cNvSpPr/>
      </xdr:nvSpPr>
      <xdr:spPr>
        <a:xfrm>
          <a:off x="814482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1D1BBBD-1E4B-4DA0-9BEB-CDDB162589E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RF_EntAftPubSpecial</a:t>
          </a:fld>
          <a:endParaRPr lang="en-US" sz="1100"/>
        </a:p>
      </xdr:txBody>
    </xdr:sp>
    <xdr:clientData/>
  </xdr:twoCellAnchor>
  <xdr:twoCellAnchor>
    <xdr:from>
      <xdr:col>76</xdr:col>
      <xdr:colOff>0</xdr:colOff>
      <xdr:row>3</xdr:row>
      <xdr:rowOff>0</xdr:rowOff>
    </xdr:from>
    <xdr:to>
      <xdr:col>77</xdr:col>
      <xdr:colOff>0</xdr:colOff>
      <xdr:row>5</xdr:row>
      <xdr:rowOff>0</xdr:rowOff>
    </xdr:to>
    <xdr:sp macro="JSON_TableHeaderClick" textlink="$BY$4">
      <xdr:nvSpPr>
        <xdr:cNvPr id="512" name="tReporting52428888_76">
          <a:extLst>
            <a:ext uri="{FF2B5EF4-FFF2-40B4-BE49-F238E27FC236}">
              <a16:creationId xmlns:a16="http://schemas.microsoft.com/office/drawing/2014/main" id="{44ACD0DC-65F7-45B0-83A7-CDDBFCC50B33}"/>
            </a:ext>
          </a:extLst>
        </xdr:cNvPr>
        <xdr:cNvSpPr/>
      </xdr:nvSpPr>
      <xdr:spPr>
        <a:xfrm>
          <a:off x="825627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68F5FE3-2438-4EFE-84DF-CE7A1D61CC7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RF_EntAftPubAdvanced</a:t>
          </a:fld>
          <a:endParaRPr lang="en-US" sz="1100"/>
        </a:p>
      </xdr:txBody>
    </xdr:sp>
    <xdr:clientData/>
  </xdr:twoCellAnchor>
  <xdr:twoCellAnchor>
    <xdr:from>
      <xdr:col>77</xdr:col>
      <xdr:colOff>0</xdr:colOff>
      <xdr:row>3</xdr:row>
      <xdr:rowOff>0</xdr:rowOff>
    </xdr:from>
    <xdr:to>
      <xdr:col>78</xdr:col>
      <xdr:colOff>0</xdr:colOff>
      <xdr:row>5</xdr:row>
      <xdr:rowOff>0</xdr:rowOff>
    </xdr:to>
    <xdr:sp macro="JSON_TableHeaderClick" textlink="$BZ$4">
      <xdr:nvSpPr>
        <xdr:cNvPr id="513" name="tReporting52428888_77">
          <a:extLst>
            <a:ext uri="{FF2B5EF4-FFF2-40B4-BE49-F238E27FC236}">
              <a16:creationId xmlns:a16="http://schemas.microsoft.com/office/drawing/2014/main" id="{ACD7A489-DCC7-4FB3-9AC7-8456C4D78C04}"/>
            </a:ext>
          </a:extLst>
        </xdr:cNvPr>
        <xdr:cNvSpPr/>
      </xdr:nvSpPr>
      <xdr:spPr>
        <a:xfrm>
          <a:off x="836771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5C07DE0-3207-4F53-8A40-26632B1EF98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RF_EntAftPubLevel</a:t>
          </a:fld>
          <a:endParaRPr lang="en-US" sz="1100"/>
        </a:p>
      </xdr:txBody>
    </xdr:sp>
    <xdr:clientData/>
  </xdr:twoCellAnchor>
  <xdr:twoCellAnchor>
    <xdr:from>
      <xdr:col>78</xdr:col>
      <xdr:colOff>0</xdr:colOff>
      <xdr:row>2</xdr:row>
      <xdr:rowOff>63500</xdr:rowOff>
    </xdr:from>
    <xdr:to>
      <xdr:col>79</xdr:col>
      <xdr:colOff>0</xdr:colOff>
      <xdr:row>5</xdr:row>
      <xdr:rowOff>0</xdr:rowOff>
    </xdr:to>
    <xdr:sp macro="JSON_TableHeaderClick" textlink="$CA$4">
      <xdr:nvSpPr>
        <xdr:cNvPr id="514" name="tReporting52428888_78">
          <a:extLst>
            <a:ext uri="{FF2B5EF4-FFF2-40B4-BE49-F238E27FC236}">
              <a16:creationId xmlns:a16="http://schemas.microsoft.com/office/drawing/2014/main" id="{A5D5DB60-DC28-4451-9336-044EFC81B13F}"/>
            </a:ext>
          </a:extLst>
        </xdr:cNvPr>
        <xdr:cNvSpPr/>
      </xdr:nvSpPr>
      <xdr:spPr>
        <a:xfrm>
          <a:off x="847915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1F0A4474-3E7E-4E29-BBFE-66973362718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RF_EntOpAftTran</a:t>
          </a:fld>
          <a:endParaRPr lang="en-US" sz="1100"/>
        </a:p>
      </xdr:txBody>
    </xdr:sp>
    <xdr:clientData/>
  </xdr:twoCellAnchor>
  <xdr:twoCellAnchor>
    <xdr:from>
      <xdr:col>79</xdr:col>
      <xdr:colOff>0</xdr:colOff>
      <xdr:row>3</xdr:row>
      <xdr:rowOff>0</xdr:rowOff>
    </xdr:from>
    <xdr:to>
      <xdr:col>80</xdr:col>
      <xdr:colOff>0</xdr:colOff>
      <xdr:row>5</xdr:row>
      <xdr:rowOff>0</xdr:rowOff>
    </xdr:to>
    <xdr:sp macro="JSON_TableHeaderClick" textlink="$CB$4">
      <xdr:nvSpPr>
        <xdr:cNvPr id="515" name="tReporting52428888_79">
          <a:extLst>
            <a:ext uri="{FF2B5EF4-FFF2-40B4-BE49-F238E27FC236}">
              <a16:creationId xmlns:a16="http://schemas.microsoft.com/office/drawing/2014/main" id="{183EFB05-CFE4-4BF3-A833-61BF02626869}"/>
            </a:ext>
          </a:extLst>
        </xdr:cNvPr>
        <xdr:cNvSpPr/>
      </xdr:nvSpPr>
      <xdr:spPr>
        <a:xfrm>
          <a:off x="859059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DE4637D-4F23-4080-BCDA-43BA0439EBA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RF_EntUseDefaultAfterTran</a:t>
          </a:fld>
          <a:endParaRPr lang="en-US" sz="1100"/>
        </a:p>
      </xdr:txBody>
    </xdr:sp>
    <xdr:clientData/>
  </xdr:twoCellAnchor>
  <xdr:twoCellAnchor>
    <xdr:from>
      <xdr:col>80</xdr:col>
      <xdr:colOff>0</xdr:colOff>
      <xdr:row>3</xdr:row>
      <xdr:rowOff>0</xdr:rowOff>
    </xdr:from>
    <xdr:to>
      <xdr:col>81</xdr:col>
      <xdr:colOff>0</xdr:colOff>
      <xdr:row>5</xdr:row>
      <xdr:rowOff>0</xdr:rowOff>
    </xdr:to>
    <xdr:sp macro="JSON_TableHeaderClick" textlink="$CC$4">
      <xdr:nvSpPr>
        <xdr:cNvPr id="516" name="tReporting52428888_80">
          <a:extLst>
            <a:ext uri="{FF2B5EF4-FFF2-40B4-BE49-F238E27FC236}">
              <a16:creationId xmlns:a16="http://schemas.microsoft.com/office/drawing/2014/main" id="{815B6810-4DAA-4591-A5D1-6BFFFA5A53B9}"/>
            </a:ext>
          </a:extLst>
        </xdr:cNvPr>
        <xdr:cNvSpPr/>
      </xdr:nvSpPr>
      <xdr:spPr>
        <a:xfrm>
          <a:off x="870204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7C4FCCC-F7E9-42D1-91EA-7C9E3866DAC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RF_EntAftTranStandard</a:t>
          </a:fld>
          <a:endParaRPr lang="en-US" sz="1100"/>
        </a:p>
      </xdr:txBody>
    </xdr:sp>
    <xdr:clientData/>
  </xdr:twoCellAnchor>
  <xdr:twoCellAnchor>
    <xdr:from>
      <xdr:col>81</xdr:col>
      <xdr:colOff>0</xdr:colOff>
      <xdr:row>3</xdr:row>
      <xdr:rowOff>0</xdr:rowOff>
    </xdr:from>
    <xdr:to>
      <xdr:col>82</xdr:col>
      <xdr:colOff>0</xdr:colOff>
      <xdr:row>5</xdr:row>
      <xdr:rowOff>0</xdr:rowOff>
    </xdr:to>
    <xdr:sp macro="JSON_TableHeaderClick" textlink="$CD$4">
      <xdr:nvSpPr>
        <xdr:cNvPr id="517" name="tReporting52428888_81">
          <a:extLst>
            <a:ext uri="{FF2B5EF4-FFF2-40B4-BE49-F238E27FC236}">
              <a16:creationId xmlns:a16="http://schemas.microsoft.com/office/drawing/2014/main" id="{7BADACED-BE9F-4637-98D9-F14895882F7C}"/>
            </a:ext>
          </a:extLst>
        </xdr:cNvPr>
        <xdr:cNvSpPr/>
      </xdr:nvSpPr>
      <xdr:spPr>
        <a:xfrm>
          <a:off x="881348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AAB2FBD-A407-431F-A361-03932FA7EF8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RF_EntAftTranSpecial</a:t>
          </a:fld>
          <a:endParaRPr lang="en-US" sz="1100"/>
        </a:p>
      </xdr:txBody>
    </xdr:sp>
    <xdr:clientData/>
  </xdr:twoCellAnchor>
  <xdr:twoCellAnchor>
    <xdr:from>
      <xdr:col>82</xdr:col>
      <xdr:colOff>0</xdr:colOff>
      <xdr:row>3</xdr:row>
      <xdr:rowOff>0</xdr:rowOff>
    </xdr:from>
    <xdr:to>
      <xdr:col>83</xdr:col>
      <xdr:colOff>0</xdr:colOff>
      <xdr:row>5</xdr:row>
      <xdr:rowOff>0</xdr:rowOff>
    </xdr:to>
    <xdr:sp macro="JSON_TableHeaderClick" textlink="$CE$4">
      <xdr:nvSpPr>
        <xdr:cNvPr id="518" name="tReporting52428888_82">
          <a:extLst>
            <a:ext uri="{FF2B5EF4-FFF2-40B4-BE49-F238E27FC236}">
              <a16:creationId xmlns:a16="http://schemas.microsoft.com/office/drawing/2014/main" id="{DD4F2E38-815D-4386-B50E-D75E94E9FC00}"/>
            </a:ext>
          </a:extLst>
        </xdr:cNvPr>
        <xdr:cNvSpPr/>
      </xdr:nvSpPr>
      <xdr:spPr>
        <a:xfrm>
          <a:off x="892492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AF84E64-DF51-4E78-BAE6-C5D2E3BD541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RF_EntAftTranAdvanced</a:t>
          </a:fld>
          <a:endParaRPr lang="en-US" sz="1100"/>
        </a:p>
      </xdr:txBody>
    </xdr:sp>
    <xdr:clientData/>
  </xdr:twoCellAnchor>
  <xdr:twoCellAnchor>
    <xdr:from>
      <xdr:col>83</xdr:col>
      <xdr:colOff>0</xdr:colOff>
      <xdr:row>3</xdr:row>
      <xdr:rowOff>0</xdr:rowOff>
    </xdr:from>
    <xdr:to>
      <xdr:col>84</xdr:col>
      <xdr:colOff>0</xdr:colOff>
      <xdr:row>5</xdr:row>
      <xdr:rowOff>0</xdr:rowOff>
    </xdr:to>
    <xdr:sp macro="JSON_TableHeaderClick" textlink="$CF$4">
      <xdr:nvSpPr>
        <xdr:cNvPr id="519" name="tReporting52428888_83">
          <a:extLst>
            <a:ext uri="{FF2B5EF4-FFF2-40B4-BE49-F238E27FC236}">
              <a16:creationId xmlns:a16="http://schemas.microsoft.com/office/drawing/2014/main" id="{7D7384E9-5285-4D14-83A2-41ABD11EEA35}"/>
            </a:ext>
          </a:extLst>
        </xdr:cNvPr>
        <xdr:cNvSpPr/>
      </xdr:nvSpPr>
      <xdr:spPr>
        <a:xfrm>
          <a:off x="903636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4E8A4C3-ADDD-488D-94DC-8E1D317968C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RF_EntAftTranLevel</a:t>
          </a:fld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FB8884-06C4-4FB6-AC77-28AD41F7721F}" name="tReportings" displayName="tReportings" ref="C13:F41" totalsRowShown="0" headerRowDxfId="5" dataDxfId="0">
  <autoFilter ref="C13:F41" xr:uid="{C8C0E6CC-4A8B-4FF2-9964-BEAB0CBD1E20}"/>
  <tableColumns count="4">
    <tableColumn id="1" xr3:uid="{599C83FA-C8FE-4932-9F32-5890DBCAE06E}" name=" 1" dataDxfId="4"/>
    <tableColumn id="2" xr3:uid="{E4472E0E-BE39-4F1B-9A41-A868887881AF}" name=" 2" dataDxfId="3"/>
    <tableColumn id="3" xr3:uid="{F5DCB2AF-84D0-494B-96DC-7A9522B35BF3}" name=" 3" dataDxfId="2"/>
    <tableColumn id="4" xr3:uid="{0343AC3A-6AA2-4B55-AC82-98AF1B02CAEA}" name=" 4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DF42900-3CFA-47B5-AC47-633415BDBBF4}" name="tReporting52428888" displayName="tReporting52428888" ref="B5:CF6" totalsRowShown="0" headerRowDxfId="134" dataDxfId="133" tableBorderDxfId="132">
  <autoFilter ref="B5:CF6" xr:uid="{26B1BB5B-A574-443D-B7FC-96442F08EB04}"/>
  <tableColumns count="83">
    <tableColumn id="1" xr3:uid="{FF3E6F15-FA60-4847-9723-1598778FB88A}" name=" 1" dataDxfId="131"/>
    <tableColumn id="2" xr3:uid="{AA0C2892-A390-42FF-B206-F62753ED7CD7}" name=" 2" dataDxfId="130"/>
    <tableColumn id="3" xr3:uid="{B238F64F-5C7A-4062-A4FA-1893A5D191C2}" name=" 3" dataDxfId="129"/>
    <tableColumn id="4" xr3:uid="{10BC3543-2B76-4409-86C7-648CC71B97A9}" name=" 4" dataDxfId="128"/>
    <tableColumn id="5" xr3:uid="{5F4EC675-3F00-442E-A8CE-891D98641048}" name=" 5" dataDxfId="127"/>
    <tableColumn id="6" xr3:uid="{7AD2E931-7376-4D7D-A946-47131860BB27}" name=" 6" dataDxfId="126"/>
    <tableColumn id="7" xr3:uid="{CC2BE447-2C77-47E4-BBC3-424B69FD2DC3}" name=" 7" dataDxfId="125"/>
    <tableColumn id="8" xr3:uid="{F38AC678-085D-4271-B996-ECF6C7DFC780}" name=" 8" dataDxfId="124"/>
    <tableColumn id="9" xr3:uid="{1623F0B5-3A9E-4B26-A35A-AFD806A17ADB}" name=" 9" dataDxfId="123"/>
    <tableColumn id="10" xr3:uid="{2E2227FC-5CDF-4DCC-B503-36FA005D1E3D}" name=" 10" dataDxfId="122"/>
    <tableColumn id="11" xr3:uid="{104A7014-4D6E-429D-95A6-FBDDC19802D6}" name=" 11" dataDxfId="121"/>
    <tableColumn id="12" xr3:uid="{8D8BF26D-51A7-424F-AFDD-DE8547BA559C}" name=" 12" dataDxfId="120"/>
    <tableColumn id="13" xr3:uid="{89590373-4215-4F60-9023-0FCEDD385215}" name=" 13" dataDxfId="119"/>
    <tableColumn id="14" xr3:uid="{1FA180EF-862E-4FD7-B4D2-2C11CC5DFAB1}" name=" 14" dataDxfId="118"/>
    <tableColumn id="15" xr3:uid="{A023A8B0-4D58-4CA9-B289-7E3A6CA4B494}" name=" 15" dataDxfId="117"/>
    <tableColumn id="16" xr3:uid="{D2D3156A-8D89-4FF9-8CA2-09E6CE24B702}" name=" 16" dataDxfId="116"/>
    <tableColumn id="17" xr3:uid="{33339CC4-1C4B-4555-BF72-DB1787E4FA69}" name=" 17" dataDxfId="115"/>
    <tableColumn id="18" xr3:uid="{5B398C4C-3581-4E7E-94B2-14A5AFA26AB2}" name=" 18" dataDxfId="114"/>
    <tableColumn id="19" xr3:uid="{4E6DD55F-236E-4DC2-AE5D-C67E4D7DDD38}" name=" 19" dataDxfId="113"/>
    <tableColumn id="20" xr3:uid="{89F69F9E-6188-41C2-B0EE-E22222DAA56B}" name=" 20" dataDxfId="112"/>
    <tableColumn id="21" xr3:uid="{EDF0A9A0-4209-4360-8227-9BA1B77106B2}" name=" 21" dataDxfId="111"/>
    <tableColumn id="22" xr3:uid="{2E9AADB4-ABE3-4B28-9947-48E07006E2D8}" name=" 22" dataDxfId="110"/>
    <tableColumn id="23" xr3:uid="{EB3BA480-67F8-4B8A-8C4F-6C2AF322ED24}" name=" 23" dataDxfId="109"/>
    <tableColumn id="24" xr3:uid="{AEABE174-8AE7-4F26-A8DC-9AE0B4FCB424}" name=" 24" dataDxfId="108"/>
    <tableColumn id="25" xr3:uid="{D55550D0-1535-4EA9-AEA2-E6516E084999}" name=" 25" dataDxfId="107"/>
    <tableColumn id="26" xr3:uid="{9A6A4803-A7AE-41B2-8801-5A8F353FD2B9}" name=" 26" dataDxfId="106"/>
    <tableColumn id="27" xr3:uid="{1AEBF2CA-BEF5-45BF-AD65-04CD85C14527}" name=" 27" dataDxfId="105"/>
    <tableColumn id="28" xr3:uid="{616F4564-029C-48C0-B286-CE1A5EF5C954}" name=" 28" dataDxfId="104"/>
    <tableColumn id="29" xr3:uid="{F6FB9690-CC51-4630-8EF2-537E3C287A97}" name=" 29" dataDxfId="103"/>
    <tableColumn id="30" xr3:uid="{86D38FBD-C1DF-46F6-8EC0-67E12A3FA819}" name=" 30" dataDxfId="102"/>
    <tableColumn id="31" xr3:uid="{C5880120-540F-45CB-9F0B-52D545C94C51}" name=" 31" dataDxfId="101"/>
    <tableColumn id="32" xr3:uid="{41863321-C969-4106-8C49-229528D14EB0}" name=" 32" dataDxfId="100"/>
    <tableColumn id="33" xr3:uid="{ED3E2F92-BAD7-4357-8057-A65EF3B3050E}" name=" 33" dataDxfId="99"/>
    <tableColumn id="34" xr3:uid="{5C90673C-4A1E-49BE-B0AC-109641BFDEBD}" name=" 34" dataDxfId="98"/>
    <tableColumn id="35" xr3:uid="{46F00D11-6F15-44A4-BA33-9FFD7153BE03}" name=" 35" dataDxfId="97"/>
    <tableColumn id="36" xr3:uid="{E3767890-B86D-4957-8A76-B677DA04A4E8}" name=" 36" dataDxfId="96"/>
    <tableColumn id="37" xr3:uid="{3DB9ABCE-6AC8-47CE-A9E5-CB725AAABB51}" name=" 37" dataDxfId="95"/>
    <tableColumn id="38" xr3:uid="{6FF9C612-B142-4B71-B2D4-048A1AC40EB9}" name=" 38" dataDxfId="94"/>
    <tableColumn id="39" xr3:uid="{C1967D12-FF31-4779-B9BF-60E20D33DFC1}" name=" 39" dataDxfId="93"/>
    <tableColumn id="40" xr3:uid="{2E8BEB9B-B5BD-47DA-B53B-8A2B43A678FE}" name=" 40" dataDxfId="92"/>
    <tableColumn id="41" xr3:uid="{30504FA6-CF4B-4DD1-8064-DABD3A1D2228}" name=" 41" dataDxfId="91"/>
    <tableColumn id="42" xr3:uid="{46C6DEF1-1C67-4AA5-B29A-160EFB42D8C6}" name=" 42" dataDxfId="90"/>
    <tableColumn id="43" xr3:uid="{5B285B72-9BDD-40BB-ACB2-B7A7533CDEFA}" name=" 43" dataDxfId="89"/>
    <tableColumn id="44" xr3:uid="{74853606-82D2-4F45-9F6E-3A24A880530B}" name=" 44" dataDxfId="88"/>
    <tableColumn id="45" xr3:uid="{0B4182A4-DBE4-4B5B-B9F9-A7D1653A5C64}" name=" 45" dataDxfId="87"/>
    <tableColumn id="46" xr3:uid="{CD0E4832-714A-421E-80CC-18E703308CD0}" name=" 46" dataDxfId="86"/>
    <tableColumn id="47" xr3:uid="{91F2E7C0-A298-47E6-B3A6-1F4600D03B90}" name=" 47" dataDxfId="85"/>
    <tableColumn id="48" xr3:uid="{56A0D6AE-532E-4EC3-9582-4B54A389E9DD}" name=" 48" dataDxfId="84"/>
    <tableColumn id="49" xr3:uid="{49D3DE43-585B-4A4C-832B-11C183911D23}" name=" 49" dataDxfId="83"/>
    <tableColumn id="50" xr3:uid="{F271EFCB-04D7-4664-A934-85416A089727}" name=" 50" dataDxfId="82"/>
    <tableColumn id="51" xr3:uid="{44B421DB-1421-424C-8ACB-91155CF470CC}" name=" 51" dataDxfId="81"/>
    <tableColumn id="52" xr3:uid="{6D3CAB98-6668-495E-9C53-D077F351364A}" name=" 52" dataDxfId="80"/>
    <tableColumn id="53" xr3:uid="{2233C799-2517-4C4D-9810-C2E42266B8B6}" name=" 53" dataDxfId="79"/>
    <tableColumn id="54" xr3:uid="{CEB9BAFF-65AE-45F1-B58B-C617FB35D2D0}" name=" 54" dataDxfId="78"/>
    <tableColumn id="55" xr3:uid="{ED09B05B-9E2C-4AEE-9F64-D218F568618E}" name=" 55" dataDxfId="77"/>
    <tableColumn id="56" xr3:uid="{35632185-53AB-496C-AFC3-054156B51BBF}" name=" 56" dataDxfId="76"/>
    <tableColumn id="57" xr3:uid="{F8F957CB-2890-43EB-A8F6-31DFB10F6C70}" name=" 57" dataDxfId="75"/>
    <tableColumn id="58" xr3:uid="{95C88DF6-4A34-4A65-82D1-F83CEBACFB55}" name=" 58" dataDxfId="74"/>
    <tableColumn id="59" xr3:uid="{E9DDD12E-B2B3-438E-BEAA-940A0A276AF8}" name=" 59" dataDxfId="73"/>
    <tableColumn id="60" xr3:uid="{F3A88689-17DE-490A-82E4-700DB50AFCDB}" name=" 60" dataDxfId="72"/>
    <tableColumn id="61" xr3:uid="{55645B94-CF0C-4B6B-9120-0AF137AF3154}" name=" 61" dataDxfId="71"/>
    <tableColumn id="62" xr3:uid="{768271F6-CD22-4594-801F-5E4854532D13}" name=" 62" dataDxfId="70"/>
    <tableColumn id="63" xr3:uid="{C2D003C7-4545-4835-8F28-045B84682120}" name=" 63" dataDxfId="69"/>
    <tableColumn id="64" xr3:uid="{72DE9E34-BE08-40ED-B2DA-A4D2B54947DD}" name=" 64" dataDxfId="68"/>
    <tableColumn id="65" xr3:uid="{7442EF74-0901-46AE-BC72-54429D401C02}" name=" 65" dataDxfId="67"/>
    <tableColumn id="66" xr3:uid="{378E077A-29B0-4E1C-B1AF-CE3FE6AB40BB}" name=" 66" dataDxfId="66"/>
    <tableColumn id="67" xr3:uid="{9F01A038-C8AC-4FD6-A371-2866DD88046E}" name=" 67" dataDxfId="65"/>
    <tableColumn id="68" xr3:uid="{D9636E19-9798-41C1-A005-16F24D14F355}" name=" 68" dataDxfId="64"/>
    <tableColumn id="69" xr3:uid="{B5A92C0F-785B-46E6-A4E9-601777861320}" name=" 69" dataDxfId="63"/>
    <tableColumn id="70" xr3:uid="{1C0D22BD-3270-4991-B0B3-3EA4B77ACF0B}" name=" 70" dataDxfId="62"/>
    <tableColumn id="71" xr3:uid="{CBBA951B-BF68-4770-A710-372B2D09A7D2}" name=" 71" dataDxfId="61"/>
    <tableColumn id="72" xr3:uid="{648DCCB4-6ACC-421D-9031-CBB36C36CF87}" name=" 72" dataDxfId="60"/>
    <tableColumn id="73" xr3:uid="{1A17BC2D-BA23-4AE5-B473-F5FB2AC11128}" name=" 73" dataDxfId="59"/>
    <tableColumn id="74" xr3:uid="{BEFF4A52-F6AB-4125-82D4-EAA09CD08203}" name=" 74" dataDxfId="58"/>
    <tableColumn id="75" xr3:uid="{15C56013-1E30-48A3-87A4-AAF8D8E0E824}" name=" 75" dataDxfId="57"/>
    <tableColumn id="76" xr3:uid="{776E0B35-4C30-4E78-BDD2-E53A51B1E88A}" name=" 76" dataDxfId="56"/>
    <tableColumn id="77" xr3:uid="{06DF3973-F41D-4D9C-9823-7B834561333B}" name=" 77" dataDxfId="55"/>
    <tableColumn id="78" xr3:uid="{8BD46B81-F4E3-4C33-8889-C95046A4E56F}" name=" 78" dataDxfId="54"/>
    <tableColumn id="79" xr3:uid="{18054DBA-4626-4B01-B62F-E736BD1BF21E}" name=" 79" dataDxfId="53"/>
    <tableColumn id="80" xr3:uid="{1C47FFFC-AAEC-42C3-B3FF-D4D28A0702E7}" name=" 80" dataDxfId="52"/>
    <tableColumn id="81" xr3:uid="{CD78B7A4-11C7-4160-9913-DDD18AF3C3A3}" name=" 81" dataDxfId="51"/>
    <tableColumn id="82" xr3:uid="{29B656E7-C33A-4BAE-952A-E28407876A78}" name=" 82" dataDxfId="50"/>
    <tableColumn id="83" xr3:uid="{1CD6E316-3072-40B5-B479-7D9286D9D918}" name=" 83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7F5DB-134F-4B73-89E2-70E1DD563C03}" name="tI18N" displayName="tI18N" ref="A3:H114" totalsRowShown="0" dataDxfId="6">
  <autoFilter ref="A3:H114" xr:uid="{20495ABC-A0D8-40BE-8188-61D0FEE75739}"/>
  <tableColumns count="8">
    <tableColumn id="1" xr3:uid="{73903A16-45BE-4CB3-B71C-3468798E69E6}" name="ID" dataDxfId="14"/>
    <tableColumn id="3" xr3:uid="{02ADB156-C3E9-44A8-BC1B-FB2018DC836B}" name="Param1" dataDxfId="13"/>
    <tableColumn id="4" xr3:uid="{CF8C7CB6-4B86-4085-ACCC-19CBFD4C59FE}" name="Param2" dataDxfId="12"/>
    <tableColumn id="5" xr3:uid="{1227E0CB-DF13-4AEB-9B7C-A5B66DBC0C3F}" name="Param3" dataDxfId="11"/>
    <tableColumn id="6" xr3:uid="{2E60890B-30E9-4D21-92C9-7B06D14BAF00}" name="Param4" dataDxfId="10"/>
    <tableColumn id="7" xr3:uid="{03AC2232-F9FA-428A-BCAB-A8039123FBB5}" name="Param5" dataDxfId="9"/>
    <tableColumn id="9" xr3:uid="{5D6B89C0-1432-4927-AC0D-CC962FDD7705}" name="en_US" dataDxfId="8"/>
    <tableColumn id="8" xr3:uid="{8F5786B6-467E-46BD-A85E-B24EA01C31DC}" name="fr_FR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AF48E-7774-4B4C-A458-0353297BFF2A}" name="tJSON" displayName="tJSON" ref="B3:Q91" totalsRowShown="0" dataDxfId="48">
  <autoFilter ref="B3:Q91" xr:uid="{D9E8808B-D9E1-4272-8694-E8D5F2C45F29}"/>
  <tableColumns count="16">
    <tableColumn id="1" xr3:uid="{3A646773-BE89-4522-98D7-B786E44BE0DC}" name="Query" dataDxfId="47"/>
    <tableColumn id="9" xr3:uid="{C4EB6F9D-3EAD-42F0-84FF-9BBD170B0DE5}" name="Table" dataDxfId="46"/>
    <tableColumn id="8" xr3:uid="{70E4004F-52ED-4A60-A759-27AFE028F894}" name="I18N" dataDxfId="45"/>
    <tableColumn id="13" xr3:uid="{A78438C4-24D6-4E6E-A29B-E72CABDED5AB}" name="JSON Row Array" dataDxfId="44"/>
    <tableColumn id="2" xr3:uid="{DFC5B263-91CC-4653-8ADC-74A0368CD202}" name="JSON Column" dataDxfId="43"/>
    <tableColumn id="3" xr3:uid="{D5540814-CF2F-4ACB-B92D-22093C535E0C}" name="JSON Type" dataDxfId="42"/>
    <tableColumn id="11" xr3:uid="{EDC8EA7C-C33C-4E55-9909-B09F730AE94B}" name="Required" dataDxfId="41"/>
    <tableColumn id="4" xr3:uid="{8D0A36EB-752B-47BA-B4F5-009678ACFDD0}" name="Title" dataDxfId="40"/>
    <tableColumn id="12" xr3:uid="{B7222461-457D-4B90-9925-68BAF8D1E421}" name="Editor" dataDxfId="39"/>
    <tableColumn id="14" xr3:uid="{C8DD975C-C222-4560-AD83-9B3E4EF275CD}" name="Format" dataDxfId="38"/>
    <tableColumn id="15" xr3:uid="{30CC9560-5D67-406A-B687-D2883B19A560}" name="Level" dataDxfId="37"/>
    <tableColumn id="5" xr3:uid="{3613A1E0-361B-4D77-AB85-A190D3D733FC}" name="Hidden" dataDxfId="36"/>
    <tableColumn id="6" xr3:uid="{4FC768DF-246E-41E4-8A37-38EE7A822849}" name="Command" dataDxfId="35"/>
    <tableColumn id="10" xr3:uid="{08F0F3AA-70C9-46BE-9E8F-F9089FF43A15}" name="Params" dataDxfId="34"/>
    <tableColumn id="7" xr3:uid="{C3148FB9-B4AC-439B-977D-F7DC6FE2F875}" name="Position" dataDxfId="33"/>
    <tableColumn id="17" xr3:uid="{AAA7A96E-0AF3-43EB-9CAA-11C66E543F5D}" name="ReturnCol" dataDxfId="3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B71501-A343-4D2E-A1D3-AC7530771EC1}" name="tJSON6" displayName="tJSON6" ref="B3:Q4" insertRow="1" totalsRowShown="0" dataDxfId="31">
  <autoFilter ref="B3:Q4" xr:uid="{D9E8808B-D9E1-4272-8694-E8D5F2C45F29}"/>
  <tableColumns count="16">
    <tableColumn id="1" xr3:uid="{848A5172-BE10-4671-A96C-19CB95280C30}" name="Query" dataDxfId="30"/>
    <tableColumn id="9" xr3:uid="{D4503C74-5BC6-42E3-9059-14AE6DF0435F}" name="Table" dataDxfId="29"/>
    <tableColumn id="8" xr3:uid="{6B1E570F-3015-4379-A06B-47DE792E9FF7}" name="I18N" dataDxfId="28"/>
    <tableColumn id="13" xr3:uid="{1F3DA983-C15A-44A1-9F86-08FE41BABCC4}" name="JSON Row Array" dataDxfId="27"/>
    <tableColumn id="2" xr3:uid="{2146287D-FA7C-4DC4-A184-861C99FB53FA}" name="JSON Column" dataDxfId="26"/>
    <tableColumn id="3" xr3:uid="{41F1B5AB-7B7D-4E20-9599-A4A18E607AC2}" name="JSON Type" dataDxfId="25"/>
    <tableColumn id="11" xr3:uid="{6B6D5F65-9066-427A-9E8E-83BC24FDA24E}" name="Required" dataDxfId="24"/>
    <tableColumn id="4" xr3:uid="{5632F87F-624C-41CA-9F02-FC8191282D24}" name="Title" dataDxfId="23"/>
    <tableColumn id="12" xr3:uid="{42F4ED45-AB09-422F-A7F0-D0219F6C21FB}" name="Editor" dataDxfId="22"/>
    <tableColumn id="14" xr3:uid="{2AA5569E-51E1-495E-B26C-0E3F01504CAF}" name="Format" dataDxfId="21"/>
    <tableColumn id="15" xr3:uid="{9FF31EFB-98A5-441C-AEEE-A8D70F766993}" name="Level" dataDxfId="20"/>
    <tableColumn id="5" xr3:uid="{AAEEF1F0-17A9-4995-BF9B-AB4346088E71}" name="Hidden" dataDxfId="19"/>
    <tableColumn id="6" xr3:uid="{7BDF45C7-3CB9-461B-82E3-465AF4328F16}" name="Command" dataDxfId="18"/>
    <tableColumn id="10" xr3:uid="{CC86848F-2654-487A-90EA-707ECEAFF905}" name="Params" dataDxfId="17"/>
    <tableColumn id="7" xr3:uid="{EB4FA941-2795-46FC-8CA9-7D002B610299}" name="Position" dataDxfId="16"/>
    <tableColumn id="17" xr3:uid="{CA1F3260-0D6C-4F7F-B7AE-4DFA8A856532}" name="ReturnCol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hyperlink" Target="http://20.188.62.95/reportingmanager/api/reporting" TargetMode="External"/><Relationship Id="rId1" Type="http://schemas.openxmlformats.org/officeDocument/2006/relationships/hyperlink" Target="http://20.188.62.95/reportingmanager/api/reporting/%7bID%7d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1812-B0DA-4338-9FC4-A2A2F04E9A5D}">
  <sheetPr codeName="RF_I18N_Sheet"/>
  <dimension ref="B3:L47"/>
  <sheetViews>
    <sheetView showGridLines="0" tabSelected="1" zoomScaleNormal="100" workbookViewId="0">
      <selection activeCell="C3" sqref="C3"/>
    </sheetView>
  </sheetViews>
  <sheetFormatPr baseColWidth="10" defaultRowHeight="15" outlineLevelCol="1" x14ac:dyDescent="0.25"/>
  <cols>
    <col min="1" max="1" width="2.85546875" style="4" customWidth="1"/>
    <col min="2" max="2" width="7.85546875" style="4" customWidth="1"/>
    <col min="3" max="3" width="26.28515625" style="4" hidden="1" customWidth="1" outlineLevel="1"/>
    <col min="4" max="4" width="22.28515625" style="4" customWidth="1" collapsed="1"/>
    <col min="5" max="5" width="22.28515625" style="4" customWidth="1"/>
    <col min="6" max="6" width="27.140625" style="4" bestFit="1" customWidth="1"/>
    <col min="7" max="7" width="4" style="4" customWidth="1"/>
    <col min="8" max="8" width="14.28515625" style="4" customWidth="1"/>
    <col min="9" max="10" width="12.28515625" style="4" customWidth="1"/>
    <col min="11" max="11" width="6.7109375" style="4" customWidth="1"/>
    <col min="12" max="12" width="32.85546875" style="4" customWidth="1"/>
    <col min="13" max="16384" width="11.42578125" style="4"/>
  </cols>
  <sheetData>
    <row r="3" spans="2:12" x14ac:dyDescent="0.25">
      <c r="D3" s="17"/>
    </row>
    <row r="4" spans="2:12" x14ac:dyDescent="0.25">
      <c r="B4" s="4" t="str" cm="1">
        <f t="array" ref="B4">I18N_T(cellLanguage, "RF_Title")</f>
        <v>CTS Reporting Factory</v>
      </c>
      <c r="F4" s="12"/>
      <c r="I4" s="5" t="str" cm="1">
        <f t="array" ref="I4">I18N_Version(cellLanguage)</f>
        <v>Version 0.91 - 12/08/20</v>
      </c>
    </row>
    <row r="5" spans="2:12" x14ac:dyDescent="0.25">
      <c r="C5" s="20"/>
      <c r="D5" s="21"/>
      <c r="E5" s="22"/>
      <c r="F5" s="23"/>
    </row>
    <row r="6" spans="2:12" x14ac:dyDescent="0.25">
      <c r="C6" s="24"/>
      <c r="D6" s="24"/>
      <c r="E6" s="24"/>
      <c r="F6" s="24"/>
    </row>
    <row r="7" spans="2:12" x14ac:dyDescent="0.25">
      <c r="C7"/>
      <c r="D7"/>
      <c r="E7"/>
      <c r="F7"/>
    </row>
    <row r="10" spans="2:12" x14ac:dyDescent="0.25">
      <c r="C10"/>
      <c r="D10" s="11" t="str">
        <f>I18N_T(cellLanguage, "RF_Refresh")</f>
        <v>Refresh list</v>
      </c>
      <c r="E10"/>
      <c r="F10"/>
      <c r="G10"/>
      <c r="I10" s="7"/>
      <c r="J10" s="7"/>
      <c r="L10" s="6"/>
    </row>
    <row r="11" spans="2:12" x14ac:dyDescent="0.25">
      <c r="C11"/>
      <c r="D11"/>
      <c r="E11"/>
      <c r="F11" s="25">
        <f>SUBTOTAL(103, $D$14:$D$41)</f>
        <v>28</v>
      </c>
      <c r="G11"/>
      <c r="H11" s="17"/>
      <c r="I11" s="13"/>
      <c r="J11" s="13"/>
    </row>
    <row r="12" spans="2:12" hidden="1" x14ac:dyDescent="0.25">
      <c r="C12" s="9" t="str">
        <f>I18N_T(cellLanguage, "RF_ID")</f>
        <v>ID</v>
      </c>
      <c r="D12" s="22" t="str">
        <f>I18N_T(cellLanguage, "RF_Phase")</f>
        <v>Category</v>
      </c>
      <c r="E12" s="22" t="str">
        <f>I18N_T(cellLanguage, "RF_UpdatePeriod")</f>
        <v>Update Period</v>
      </c>
      <c r="F12" s="23" t="str">
        <f>I18N_T(cellLanguage, "RF_CreationDate")</f>
        <v>Created</v>
      </c>
      <c r="G12"/>
      <c r="H12" s="17"/>
      <c r="I12" s="13"/>
      <c r="J12" s="13"/>
    </row>
    <row r="13" spans="2:12" ht="15" customHeight="1" x14ac:dyDescent="0.25">
      <c r="C13" s="24" t="s">
        <v>206</v>
      </c>
      <c r="D13" s="24" t="s">
        <v>207</v>
      </c>
      <c r="E13" s="24" t="s">
        <v>208</v>
      </c>
      <c r="F13" s="24" t="s">
        <v>209</v>
      </c>
      <c r="H13" s="17"/>
      <c r="I13" s="13"/>
      <c r="J13" s="13"/>
    </row>
    <row r="14" spans="2:12" x14ac:dyDescent="0.25">
      <c r="C14" s="45">
        <v>52428888</v>
      </c>
      <c r="D14" s="45" t="s">
        <v>21</v>
      </c>
      <c r="E14" s="45" t="s">
        <v>517</v>
      </c>
      <c r="F14" s="45" t="s">
        <v>621</v>
      </c>
      <c r="H14" s="11" t="str">
        <f>I18N_T(cellLanguage, "RF_Modify")</f>
        <v>Modify</v>
      </c>
      <c r="I14" s="11" t="str">
        <f>I18N_T(cellLanguage, "RF_Duplicate")</f>
        <v>Duplicate</v>
      </c>
      <c r="J14" s="13"/>
      <c r="L14" s="8"/>
    </row>
    <row r="15" spans="2:12" x14ac:dyDescent="0.25">
      <c r="C15" s="45">
        <v>52428859</v>
      </c>
      <c r="D15" s="45" t="s">
        <v>21</v>
      </c>
      <c r="E15" s="45" t="s">
        <v>622</v>
      </c>
      <c r="F15" s="45" t="s">
        <v>623</v>
      </c>
      <c r="H15" s="11" t="str">
        <f>I18N_T(cellLanguage, "RF_Modify")</f>
        <v>Modify</v>
      </c>
      <c r="I15" s="11" t="str">
        <f>I18N_T(cellLanguage, "RF_Duplicate")</f>
        <v>Duplicate</v>
      </c>
      <c r="J15" s="13"/>
    </row>
    <row r="16" spans="2:12" x14ac:dyDescent="0.25">
      <c r="C16" s="45">
        <v>52428858</v>
      </c>
      <c r="D16" s="45" t="s">
        <v>21</v>
      </c>
      <c r="E16" s="45" t="s">
        <v>624</v>
      </c>
      <c r="F16" s="45" t="s">
        <v>625</v>
      </c>
      <c r="H16" s="11" t="str">
        <f>I18N_T(cellLanguage, "RF_Modify")</f>
        <v>Modify</v>
      </c>
      <c r="I16" s="11" t="str">
        <f>I18N_T(cellLanguage, "RF_Duplicate")</f>
        <v>Duplicate</v>
      </c>
      <c r="J16" s="13"/>
    </row>
    <row r="17" spans="3:10" x14ac:dyDescent="0.25">
      <c r="C17" s="45">
        <v>52428847</v>
      </c>
      <c r="D17" s="45" t="s">
        <v>21</v>
      </c>
      <c r="E17" s="45" t="s">
        <v>626</v>
      </c>
      <c r="F17" s="45" t="s">
        <v>627</v>
      </c>
      <c r="H17" s="11" t="str">
        <f>I18N_T(cellLanguage, "RF_Modify")</f>
        <v>Modify</v>
      </c>
      <c r="I17" s="11" t="str">
        <f>I18N_T(cellLanguage, "RF_Duplicate")</f>
        <v>Duplicate</v>
      </c>
      <c r="J17" s="13"/>
    </row>
    <row r="18" spans="3:10" x14ac:dyDescent="0.25">
      <c r="C18" s="45">
        <v>52428855</v>
      </c>
      <c r="D18" s="45" t="s">
        <v>21</v>
      </c>
      <c r="E18" s="45" t="s">
        <v>628</v>
      </c>
      <c r="F18" s="45" t="s">
        <v>629</v>
      </c>
      <c r="H18" s="11" t="str">
        <f>I18N_T(cellLanguage, "RF_Modify")</f>
        <v>Modify</v>
      </c>
      <c r="I18" s="11" t="str">
        <f>I18N_T(cellLanguage, "RF_Duplicate")</f>
        <v>Duplicate</v>
      </c>
      <c r="J18" s="13"/>
    </row>
    <row r="19" spans="3:10" x14ac:dyDescent="0.25">
      <c r="C19" s="45">
        <v>52428853</v>
      </c>
      <c r="D19" s="45" t="s">
        <v>21</v>
      </c>
      <c r="E19" s="45" t="s">
        <v>630</v>
      </c>
      <c r="F19" s="45" t="s">
        <v>631</v>
      </c>
      <c r="H19" s="11" t="str">
        <f>I18N_T(cellLanguage, "RF_Modify")</f>
        <v>Modify</v>
      </c>
      <c r="I19" s="11" t="str">
        <f>I18N_T(cellLanguage, "RF_Duplicate")</f>
        <v>Duplicate</v>
      </c>
      <c r="J19" s="13"/>
    </row>
    <row r="20" spans="3:10" x14ac:dyDescent="0.25">
      <c r="C20" s="45">
        <v>52428851</v>
      </c>
      <c r="D20" s="45" t="s">
        <v>21</v>
      </c>
      <c r="E20" s="45" t="s">
        <v>632</v>
      </c>
      <c r="F20" s="45" t="s">
        <v>633</v>
      </c>
      <c r="H20" s="11" t="str">
        <f>I18N_T(cellLanguage, "RF_Modify")</f>
        <v>Modify</v>
      </c>
      <c r="I20" s="11" t="str">
        <f>I18N_T(cellLanguage, "RF_Duplicate")</f>
        <v>Duplicate</v>
      </c>
      <c r="J20" s="13"/>
    </row>
    <row r="21" spans="3:10" x14ac:dyDescent="0.25">
      <c r="C21" s="45">
        <v>52428848</v>
      </c>
      <c r="D21" s="45" t="s">
        <v>21</v>
      </c>
      <c r="E21" s="45" t="s">
        <v>634</v>
      </c>
      <c r="F21" s="45" t="s">
        <v>635</v>
      </c>
      <c r="H21" s="11" t="str">
        <f>I18N_T(cellLanguage, "RF_Modify")</f>
        <v>Modify</v>
      </c>
      <c r="I21" s="11" t="str">
        <f>I18N_T(cellLanguage, "RF_Duplicate")</f>
        <v>Duplicate</v>
      </c>
      <c r="J21" s="13"/>
    </row>
    <row r="22" spans="3:10" x14ac:dyDescent="0.25">
      <c r="C22" s="45">
        <v>52428841</v>
      </c>
      <c r="D22" s="45" t="s">
        <v>21</v>
      </c>
      <c r="E22" s="45" t="s">
        <v>636</v>
      </c>
      <c r="F22" s="45" t="s">
        <v>637</v>
      </c>
      <c r="H22" s="11" t="str">
        <f>I18N_T(cellLanguage, "RF_Modify")</f>
        <v>Modify</v>
      </c>
      <c r="I22" s="11" t="str">
        <f>I18N_T(cellLanguage, "RF_Duplicate")</f>
        <v>Duplicate</v>
      </c>
      <c r="J22" s="13"/>
    </row>
    <row r="23" spans="3:10" x14ac:dyDescent="0.25">
      <c r="C23" s="45">
        <v>52428840</v>
      </c>
      <c r="D23" s="45" t="s">
        <v>21</v>
      </c>
      <c r="E23" s="45" t="s">
        <v>638</v>
      </c>
      <c r="F23" s="45" t="s">
        <v>639</v>
      </c>
      <c r="H23" s="11" t="str">
        <f>I18N_T(cellLanguage, "RF_Modify")</f>
        <v>Modify</v>
      </c>
      <c r="I23" s="11" t="str">
        <f>I18N_T(cellLanguage, "RF_Duplicate")</f>
        <v>Duplicate</v>
      </c>
      <c r="J23" s="13"/>
    </row>
    <row r="24" spans="3:10" x14ac:dyDescent="0.25">
      <c r="C24" s="45">
        <v>52428838</v>
      </c>
      <c r="D24" s="45" t="s">
        <v>21</v>
      </c>
      <c r="E24" s="45" t="s">
        <v>640</v>
      </c>
      <c r="F24" s="45" t="s">
        <v>641</v>
      </c>
      <c r="H24" s="11" t="str">
        <f>I18N_T(cellLanguage, "RF_Modify")</f>
        <v>Modify</v>
      </c>
      <c r="I24" s="11" t="str">
        <f>I18N_T(cellLanguage, "RF_Duplicate")</f>
        <v>Duplicate</v>
      </c>
      <c r="J24" s="13"/>
    </row>
    <row r="25" spans="3:10" x14ac:dyDescent="0.25">
      <c r="C25" s="45">
        <v>52428832</v>
      </c>
      <c r="D25" s="45" t="s">
        <v>21</v>
      </c>
      <c r="E25" s="45" t="s">
        <v>642</v>
      </c>
      <c r="F25" s="45" t="s">
        <v>643</v>
      </c>
      <c r="H25" s="11" t="str">
        <f>I18N_T(cellLanguage, "RF_Modify")</f>
        <v>Modify</v>
      </c>
      <c r="I25" s="11" t="str">
        <f>I18N_T(cellLanguage, "RF_Duplicate")</f>
        <v>Duplicate</v>
      </c>
      <c r="J25" s="13"/>
    </row>
    <row r="26" spans="3:10" x14ac:dyDescent="0.25">
      <c r="C26" s="45">
        <v>52428830</v>
      </c>
      <c r="D26" s="45" t="s">
        <v>21</v>
      </c>
      <c r="E26" s="45" t="s">
        <v>644</v>
      </c>
      <c r="F26" s="45" t="s">
        <v>645</v>
      </c>
      <c r="H26" s="11" t="str">
        <f>I18N_T(cellLanguage, "RF_Modify")</f>
        <v>Modify</v>
      </c>
      <c r="I26" s="11" t="str">
        <f>I18N_T(cellLanguage, "RF_Duplicate")</f>
        <v>Duplicate</v>
      </c>
      <c r="J26" s="13"/>
    </row>
    <row r="27" spans="3:10" x14ac:dyDescent="0.25">
      <c r="C27" s="45">
        <v>52428829</v>
      </c>
      <c r="D27" s="45" t="s">
        <v>21</v>
      </c>
      <c r="E27" s="45" t="s">
        <v>646</v>
      </c>
      <c r="F27" s="45" t="s">
        <v>647</v>
      </c>
      <c r="H27" s="11" t="str">
        <f>I18N_T(cellLanguage, "RF_Modify")</f>
        <v>Modify</v>
      </c>
      <c r="I27" s="11" t="str">
        <f>I18N_T(cellLanguage, "RF_Duplicate")</f>
        <v>Duplicate</v>
      </c>
      <c r="J27" s="13"/>
    </row>
    <row r="28" spans="3:10" x14ac:dyDescent="0.25">
      <c r="C28" s="45">
        <v>52428827</v>
      </c>
      <c r="D28" s="45" t="s">
        <v>21</v>
      </c>
      <c r="E28" s="45" t="s">
        <v>648</v>
      </c>
      <c r="F28" s="45" t="s">
        <v>649</v>
      </c>
      <c r="H28" s="11" t="str">
        <f>I18N_T(cellLanguage, "RF_Modify")</f>
        <v>Modify</v>
      </c>
      <c r="I28" s="11" t="str">
        <f>I18N_T(cellLanguage, "RF_Duplicate")</f>
        <v>Duplicate</v>
      </c>
      <c r="J28" s="13"/>
    </row>
    <row r="29" spans="3:10" x14ac:dyDescent="0.25">
      <c r="C29" s="45">
        <v>79</v>
      </c>
      <c r="D29" s="45" t="s">
        <v>21</v>
      </c>
      <c r="E29" s="45" t="s">
        <v>650</v>
      </c>
      <c r="F29" s="45" t="s">
        <v>651</v>
      </c>
      <c r="H29" s="11" t="str">
        <f>I18N_T(cellLanguage, "RF_Modify")</f>
        <v>Modify</v>
      </c>
      <c r="I29" s="11" t="str">
        <f>I18N_T(cellLanguage, "RF_Duplicate")</f>
        <v>Duplicate</v>
      </c>
      <c r="J29" s="13"/>
    </row>
    <row r="30" spans="3:10" x14ac:dyDescent="0.25">
      <c r="C30" s="45">
        <v>77</v>
      </c>
      <c r="D30" s="45" t="s">
        <v>21</v>
      </c>
      <c r="E30" s="45" t="s">
        <v>652</v>
      </c>
      <c r="F30" s="45" t="s">
        <v>653</v>
      </c>
      <c r="H30" s="11" t="str">
        <f>I18N_T(cellLanguage, "RF_Modify")</f>
        <v>Modify</v>
      </c>
      <c r="I30" s="11" t="str">
        <f>I18N_T(cellLanguage, "RF_Duplicate")</f>
        <v>Duplicate</v>
      </c>
      <c r="J30" s="13"/>
    </row>
    <row r="31" spans="3:10" x14ac:dyDescent="0.25">
      <c r="C31" s="45">
        <v>55</v>
      </c>
      <c r="D31" s="45" t="s">
        <v>21</v>
      </c>
      <c r="E31" s="45" t="s">
        <v>654</v>
      </c>
      <c r="F31" s="45" t="s">
        <v>655</v>
      </c>
      <c r="H31" s="11" t="str">
        <f>I18N_T(cellLanguage, "RF_Modify")</f>
        <v>Modify</v>
      </c>
      <c r="I31" s="11" t="str">
        <f>I18N_T(cellLanguage, "RF_Duplicate")</f>
        <v>Duplicate</v>
      </c>
      <c r="J31" s="13"/>
    </row>
    <row r="32" spans="3:10" x14ac:dyDescent="0.25">
      <c r="C32" s="45">
        <v>67</v>
      </c>
      <c r="D32" s="45" t="s">
        <v>21</v>
      </c>
      <c r="E32" s="45" t="s">
        <v>656</v>
      </c>
      <c r="F32" s="45" t="s">
        <v>657</v>
      </c>
      <c r="H32" s="11" t="str">
        <f>I18N_T(cellLanguage, "RF_Modify")</f>
        <v>Modify</v>
      </c>
      <c r="I32" s="11" t="str">
        <f>I18N_T(cellLanguage, "RF_Duplicate")</f>
        <v>Duplicate</v>
      </c>
      <c r="J32" s="13"/>
    </row>
    <row r="33" spans="3:10" x14ac:dyDescent="0.25">
      <c r="C33" s="45">
        <v>68</v>
      </c>
      <c r="D33" s="45" t="s">
        <v>21</v>
      </c>
      <c r="E33" s="45" t="s">
        <v>658</v>
      </c>
      <c r="F33" s="45" t="s">
        <v>659</v>
      </c>
      <c r="H33" s="11" t="str">
        <f>I18N_T(cellLanguage, "RF_Modify")</f>
        <v>Modify</v>
      </c>
      <c r="I33" s="11" t="str">
        <f>I18N_T(cellLanguage, "RF_Duplicate")</f>
        <v>Duplicate</v>
      </c>
      <c r="J33" s="13"/>
    </row>
    <row r="34" spans="3:10" x14ac:dyDescent="0.25">
      <c r="C34" s="45">
        <v>69</v>
      </c>
      <c r="D34" s="45" t="s">
        <v>21</v>
      </c>
      <c r="E34" s="45" t="s">
        <v>660</v>
      </c>
      <c r="F34" s="45" t="s">
        <v>661</v>
      </c>
      <c r="H34" s="11" t="str">
        <f>I18N_T(cellLanguage, "RF_Modify")</f>
        <v>Modify</v>
      </c>
      <c r="I34" s="11" t="str">
        <f>I18N_T(cellLanguage, "RF_Duplicate")</f>
        <v>Duplicate</v>
      </c>
      <c r="J34" s="13"/>
    </row>
    <row r="35" spans="3:10" x14ac:dyDescent="0.25">
      <c r="C35" s="45">
        <v>56</v>
      </c>
      <c r="D35" s="45" t="s">
        <v>21</v>
      </c>
      <c r="E35" s="45" t="s">
        <v>662</v>
      </c>
      <c r="F35" s="45" t="s">
        <v>663</v>
      </c>
      <c r="H35" s="11" t="str">
        <f>I18N_T(cellLanguage, "RF_Modify")</f>
        <v>Modify</v>
      </c>
      <c r="I35" s="11" t="str">
        <f>I18N_T(cellLanguage, "RF_Duplicate")</f>
        <v>Duplicate</v>
      </c>
      <c r="J35" s="13"/>
    </row>
    <row r="36" spans="3:10" x14ac:dyDescent="0.25">
      <c r="C36" s="45">
        <v>52428802</v>
      </c>
      <c r="D36" s="45" t="s">
        <v>21</v>
      </c>
      <c r="E36" s="45" t="s">
        <v>664</v>
      </c>
      <c r="F36" s="45" t="s">
        <v>665</v>
      </c>
      <c r="H36" s="11" t="str">
        <f>I18N_T(cellLanguage, "RF_Modify")</f>
        <v>Modify</v>
      </c>
      <c r="I36" s="11" t="str">
        <f>I18N_T(cellLanguage, "RF_Duplicate")</f>
        <v>Duplicate</v>
      </c>
      <c r="J36" s="13"/>
    </row>
    <row r="37" spans="3:10" x14ac:dyDescent="0.25">
      <c r="C37" s="45">
        <v>71</v>
      </c>
      <c r="D37" s="45" t="s">
        <v>21</v>
      </c>
      <c r="E37" s="45" t="s">
        <v>666</v>
      </c>
      <c r="F37" s="45" t="s">
        <v>667</v>
      </c>
      <c r="H37" s="11" t="str">
        <f>I18N_T(cellLanguage, "RF_Modify")</f>
        <v>Modify</v>
      </c>
      <c r="I37" s="11" t="str">
        <f>I18N_T(cellLanguage, "RF_Duplicate")</f>
        <v>Duplicate</v>
      </c>
      <c r="J37" s="13"/>
    </row>
    <row r="38" spans="3:10" x14ac:dyDescent="0.25">
      <c r="C38" s="45">
        <v>73</v>
      </c>
      <c r="D38" s="45" t="s">
        <v>21</v>
      </c>
      <c r="E38" s="45" t="s">
        <v>668</v>
      </c>
      <c r="F38" s="45" t="s">
        <v>669</v>
      </c>
      <c r="H38" s="11" t="str">
        <f>I18N_T(cellLanguage, "RF_Modify")</f>
        <v>Modify</v>
      </c>
      <c r="I38" s="11" t="str">
        <f>I18N_T(cellLanguage, "RF_Duplicate")</f>
        <v>Duplicate</v>
      </c>
      <c r="J38" s="13"/>
    </row>
    <row r="39" spans="3:10" x14ac:dyDescent="0.25">
      <c r="C39" s="45">
        <v>61</v>
      </c>
      <c r="D39" s="45" t="s">
        <v>21</v>
      </c>
      <c r="E39" s="45" t="s">
        <v>670</v>
      </c>
      <c r="F39" s="45" t="s">
        <v>671</v>
      </c>
      <c r="H39" s="11" t="str">
        <f>I18N_T(cellLanguage, "RF_Modify")</f>
        <v>Modify</v>
      </c>
      <c r="I39" s="11" t="str">
        <f>I18N_T(cellLanguage, "RF_Duplicate")</f>
        <v>Duplicate</v>
      </c>
      <c r="J39" s="13"/>
    </row>
    <row r="40" spans="3:10" x14ac:dyDescent="0.25">
      <c r="C40" s="45">
        <v>59</v>
      </c>
      <c r="D40" s="45" t="s">
        <v>21</v>
      </c>
      <c r="E40" s="45" t="s">
        <v>672</v>
      </c>
      <c r="F40" s="45" t="s">
        <v>673</v>
      </c>
      <c r="H40" s="11" t="str">
        <f>I18N_T(cellLanguage, "RF_Modify")</f>
        <v>Modify</v>
      </c>
      <c r="I40" s="11" t="str">
        <f>I18N_T(cellLanguage, "RF_Duplicate")</f>
        <v>Duplicate</v>
      </c>
      <c r="J40" s="13"/>
    </row>
    <row r="41" spans="3:10" x14ac:dyDescent="0.25">
      <c r="C41" s="45">
        <v>60</v>
      </c>
      <c r="D41" s="45" t="s">
        <v>21</v>
      </c>
      <c r="E41" s="45" t="s">
        <v>674</v>
      </c>
      <c r="F41" s="45" t="s">
        <v>675</v>
      </c>
      <c r="H41" s="11" t="str">
        <f>I18N_T(cellLanguage, "RF_Modify")</f>
        <v>Modify</v>
      </c>
      <c r="I41" s="11" t="str">
        <f>I18N_T(cellLanguage, "RF_Duplicate")</f>
        <v>Duplicate</v>
      </c>
      <c r="J41" s="13"/>
    </row>
    <row r="42" spans="3:10" x14ac:dyDescent="0.25">
      <c r="C42"/>
      <c r="D42"/>
      <c r="E42"/>
      <c r="F42"/>
      <c r="H42"/>
      <c r="I42"/>
      <c r="J42" s="13"/>
    </row>
    <row r="43" spans="3:10" x14ac:dyDescent="0.25">
      <c r="C43"/>
      <c r="D43"/>
      <c r="E43"/>
      <c r="F43"/>
      <c r="H43"/>
      <c r="I43"/>
      <c r="J43" s="13"/>
    </row>
    <row r="44" spans="3:10" x14ac:dyDescent="0.25">
      <c r="C44"/>
      <c r="D44"/>
      <c r="E44"/>
      <c r="F44"/>
      <c r="H44"/>
      <c r="I44"/>
      <c r="J44" s="13"/>
    </row>
    <row r="45" spans="3:10" x14ac:dyDescent="0.25">
      <c r="C45"/>
      <c r="D45"/>
      <c r="E45"/>
      <c r="F45"/>
      <c r="H45"/>
      <c r="I45"/>
      <c r="J45" s="13"/>
    </row>
    <row r="46" spans="3:10" x14ac:dyDescent="0.25">
      <c r="C46"/>
      <c r="D46"/>
      <c r="E46"/>
      <c r="F46"/>
      <c r="H46"/>
      <c r="I46"/>
      <c r="J46" s="13"/>
    </row>
    <row r="47" spans="3:10" x14ac:dyDescent="0.25">
      <c r="C47"/>
      <c r="D47"/>
      <c r="E47"/>
      <c r="F47"/>
      <c r="H47"/>
      <c r="I47"/>
      <c r="J47" s="13"/>
    </row>
  </sheetData>
  <sheetProtection sheet="1" objects="1" scenarios="1" formatCells="0" formatColumns="0" formatRows="0" insertRows="0" sort="0" autoFilter="0"/>
  <hyperlinks>
    <hyperlink ref="D10" location="C3" tooltip=" " display="C3" xr:uid="{9789DF2B-92C7-4F32-8372-C4251E68A692}"/>
    <hyperlink ref="H14" location="C3" tooltip=" " display="C3" xr:uid="{E37AB26A-C9CD-4069-AE4D-CDB328C54CF3}"/>
    <hyperlink ref="I14" location="C3" tooltip=" " display="C3" xr:uid="{F0D2ECF1-51D4-4DDC-9CE9-0698D3DF1645}"/>
    <hyperlink ref="H15" location="C3" tooltip=" " display="C3" xr:uid="{2AC06A38-ED61-4A8B-80BD-CC31DEA54DC7}"/>
    <hyperlink ref="H16" location="C3" tooltip=" " display="C3" xr:uid="{12235B75-B375-4AE8-B9C3-D0B3D3753A62}"/>
    <hyperlink ref="H17" location="C3" tooltip=" " display="C3" xr:uid="{950AF790-E768-4839-B67C-1FE907BA6045}"/>
    <hyperlink ref="H18" location="C3" tooltip=" " display="C3" xr:uid="{2868474A-9261-4461-8CCD-AC3E292AFA4B}"/>
    <hyperlink ref="H19" location="C3" tooltip=" " display="C3" xr:uid="{4A04FB37-5C3E-4377-8AE4-114CA4B7BE06}"/>
    <hyperlink ref="H20" location="C3" tooltip=" " display="C3" xr:uid="{7097159B-AC54-477A-A9F4-A321D297FA9F}"/>
    <hyperlink ref="H21" location="C3" tooltip=" " display="C3" xr:uid="{AD27707D-0C6A-41B0-84B1-02116A90E4C8}"/>
    <hyperlink ref="H22" location="C3" tooltip=" " display="C3" xr:uid="{9B1AB889-EA94-4C35-A3B6-3EB0CA5134DF}"/>
    <hyperlink ref="H23" location="C3" tooltip=" " display="C3" xr:uid="{72472579-75ED-4A28-A750-E8F987AEB3EA}"/>
    <hyperlink ref="H24" location="C3" tooltip=" " display="C3" xr:uid="{BC7CFCFB-E18F-4932-AD8F-CC08897696DC}"/>
    <hyperlink ref="H25" location="C3" tooltip=" " display="C3" xr:uid="{17FCF10C-957E-4ECD-B8BF-3F5ED182DF81}"/>
    <hyperlink ref="H26" location="C3" tooltip=" " display="C3" xr:uid="{15A8B12A-4D73-440B-8724-7FB0E9897C35}"/>
    <hyperlink ref="H27" location="C3" tooltip=" " display="C3" xr:uid="{FCD9F9A5-0BBC-4C21-AA30-A73EABB7A380}"/>
    <hyperlink ref="H28" location="C3" tooltip=" " display="C3" xr:uid="{18A8CA8C-2141-4011-A892-36D22B48DA81}"/>
    <hyperlink ref="H29" location="C3" tooltip=" " display="C3" xr:uid="{FC03A761-4E48-466A-94F1-005842F1C67C}"/>
    <hyperlink ref="H30" location="C3" tooltip=" " display="C3" xr:uid="{3080825A-EEEE-4F00-ADAF-69D75D685782}"/>
    <hyperlink ref="H31" location="C3" tooltip=" " display="C3" xr:uid="{BCE8353F-C6E8-4FB4-AF6F-0712BDB7BF75}"/>
    <hyperlink ref="H32" location="C3" tooltip=" " display="C3" xr:uid="{CAA00257-5DAC-41EA-87D4-C445E6A8EBF9}"/>
    <hyperlink ref="H33" location="C3" tooltip=" " display="C3" xr:uid="{08DF597A-CB60-4535-BF0F-B223BFF016CB}"/>
    <hyperlink ref="H34" location="C3" tooltip=" " display="C3" xr:uid="{B32F31D1-6598-4F55-A0E7-360B669B5963}"/>
    <hyperlink ref="H35" location="C3" tooltip=" " display="C3" xr:uid="{56CD9350-F98B-4A65-967F-94ED02439AE0}"/>
    <hyperlink ref="H36" location="C3" tooltip=" " display="C3" xr:uid="{672A7072-648D-4440-897E-468910C37CBC}"/>
    <hyperlink ref="H37" location="C3" tooltip=" " display="C3" xr:uid="{B44A7254-1774-4307-8D5E-A77C1886AB54}"/>
    <hyperlink ref="H38" location="C3" tooltip=" " display="C3" xr:uid="{B64798FA-F9D0-435D-8B8C-781686EC53F4}"/>
    <hyperlink ref="H39" location="C3" tooltip=" " display="C3" xr:uid="{9EDB7880-5874-48EE-A5F1-2286ABC0159E}"/>
    <hyperlink ref="H40" location="C3" tooltip=" " display="C3" xr:uid="{A3AA69D7-9280-4A1B-BDA2-D903288D832C}"/>
    <hyperlink ref="H41" location="C3" tooltip=" " display="C3" xr:uid="{5EEF6C20-1428-4EA1-A513-BAE6D19F4B8F}"/>
    <hyperlink ref="I15" location="C3" tooltip=" " display="C3" xr:uid="{C6C25CDC-4549-4A20-97A2-148A5FCACABE}"/>
    <hyperlink ref="I16" location="C3" tooltip=" " display="C3" xr:uid="{DD7C1C84-912E-4FF7-B732-8CF27F77315A}"/>
    <hyperlink ref="I17" location="C3" tooltip=" " display="C3" xr:uid="{06BA6BF7-2ECC-4398-890D-83E66E57CCB6}"/>
    <hyperlink ref="I18" location="C3" tooltip=" " display="C3" xr:uid="{AD63DCC9-74E3-488E-B1EA-4A7DAD61183E}"/>
    <hyperlink ref="I19" location="C3" tooltip=" " display="C3" xr:uid="{19CEC41F-3627-4B22-8412-28CD5730A078}"/>
    <hyperlink ref="I20" location="C3" tooltip=" " display="C3" xr:uid="{30761166-CFA9-4FF7-A03A-8143B9B9D929}"/>
    <hyperlink ref="I21" location="C3" tooltip=" " display="C3" xr:uid="{BA59ECE4-42B3-429F-BFD5-A288E4DF50BA}"/>
    <hyperlink ref="I22" location="C3" tooltip=" " display="C3" xr:uid="{F5F1D122-7CD9-4F62-AD38-8C978FA47B1D}"/>
    <hyperlink ref="I23" location="C3" tooltip=" " display="C3" xr:uid="{10C8EF53-F01F-44CF-92E0-7747938AB71D}"/>
    <hyperlink ref="I24" location="C3" tooltip=" " display="C3" xr:uid="{2ED52E26-8801-41F5-948A-952D47ADB7B6}"/>
    <hyperlink ref="I25" location="C3" tooltip=" " display="C3" xr:uid="{03A55E59-100B-4E28-B5B0-FEF35FA41550}"/>
    <hyperlink ref="I26" location="C3" tooltip=" " display="C3" xr:uid="{FA7A192F-A275-4FC7-B238-C52155627F9B}"/>
    <hyperlink ref="I27" location="C3" tooltip=" " display="C3" xr:uid="{901185BE-9C23-4F1E-BE99-93F30E403F05}"/>
    <hyperlink ref="I28" location="C3" tooltip=" " display="C3" xr:uid="{53C8EF16-FA4B-4753-B6E6-25B186334F89}"/>
    <hyperlink ref="I29" location="C3" tooltip=" " display="C3" xr:uid="{EE0EF270-7344-4386-9B85-F05BA96A5B70}"/>
    <hyperlink ref="I30" location="C3" tooltip=" " display="C3" xr:uid="{E7FD9C4F-DD4E-492D-867D-981677116557}"/>
    <hyperlink ref="I31" location="C3" tooltip=" " display="C3" xr:uid="{3A3E9C35-4074-42BB-BFBB-9FDA03E4FF4A}"/>
    <hyperlink ref="I32" location="C3" tooltip=" " display="C3" xr:uid="{03857446-D200-421B-B29C-5C4653379AF7}"/>
    <hyperlink ref="I33" location="C3" tooltip=" " display="C3" xr:uid="{54991AF2-E095-4B94-BFE7-0AFAEC970FF8}"/>
    <hyperlink ref="I34" location="C3" tooltip=" " display="C3" xr:uid="{86B136AD-6DBC-4E7F-A14B-6A6A7AC49DBB}"/>
    <hyperlink ref="I35" location="C3" tooltip=" " display="C3" xr:uid="{A65F7349-FA8D-40BC-A954-3AF6BC8AAC87}"/>
    <hyperlink ref="I36" location="C3" tooltip=" " display="C3" xr:uid="{06E0228C-60B3-4265-A4EE-964CC405FCD3}"/>
    <hyperlink ref="I37" location="C3" tooltip=" " display="C3" xr:uid="{0131B1A6-F4FB-4D93-B0B1-B848EE05E96D}"/>
    <hyperlink ref="I38" location="C3" tooltip=" " display="C3" xr:uid="{FF5C85F9-E4E2-403A-9241-EB993BBA9890}"/>
    <hyperlink ref="I39" location="C3" tooltip=" " display="C3" xr:uid="{7DF25A3F-BEDD-480E-8A0A-D9B4C466810C}"/>
    <hyperlink ref="I40" location="C3" tooltip=" " display="C3" xr:uid="{7E354DA0-08E0-424D-8873-9561A45294D2}"/>
    <hyperlink ref="I41" location="C3" tooltip=" " display="C3" xr:uid="{E4F92C36-8656-45EC-A97B-6CA3592D3D83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E9367-2B92-4236-85BD-999E040CA7C0}">
  <sheetPr codeName="Feuil1">
    <outlinePr summaryRight="0"/>
  </sheetPr>
  <dimension ref="B2:CF6"/>
  <sheetViews>
    <sheetView showGridLines="0" workbookViewId="0">
      <selection activeCell="C3" sqref="C3"/>
    </sheetView>
  </sheetViews>
  <sheetFormatPr baseColWidth="10" defaultColWidth="16.7109375" defaultRowHeight="15" outlineLevelCol="3" x14ac:dyDescent="0.25"/>
  <cols>
    <col min="1" max="1" width="16.7109375" style="18"/>
    <col min="2" max="2" width="6.7109375" style="18" customWidth="1"/>
    <col min="3" max="5" width="16.7109375" style="18" outlineLevel="3"/>
    <col min="6" max="7" width="21.42578125" style="18" bestFit="1" customWidth="1" outlineLevel="3"/>
    <col min="8" max="8" width="11.7109375" style="18" bestFit="1" customWidth="1" outlineLevel="1"/>
    <col min="9" max="9" width="9.7109375" style="18" bestFit="1" customWidth="1" outlineLevel="1"/>
    <col min="10" max="29" width="16.7109375" style="18" customWidth="1" outlineLevel="3"/>
    <col min="30" max="30" width="16.7109375" style="18" outlineLevel="1"/>
    <col min="31" max="32" width="16.7109375" style="18" customWidth="1" outlineLevel="3"/>
    <col min="33" max="33" width="16.7109375" style="18" customWidth="1" outlineLevel="2"/>
    <col min="34" max="37" width="16.7109375" style="18" customWidth="1" outlineLevel="3"/>
    <col min="38" max="38" width="16.7109375" style="18" customWidth="1" outlineLevel="2"/>
    <col min="39" max="42" width="16.7109375" style="18" customWidth="1" outlineLevel="3"/>
    <col min="43" max="43" width="6.7109375" style="18" customWidth="1"/>
    <col min="44" max="47" width="16.7109375" style="18" outlineLevel="3"/>
    <col min="48" max="48" width="16.7109375" style="18" outlineLevel="1"/>
    <col min="49" max="68" width="16.7109375" style="18" outlineLevel="3"/>
    <col min="69" max="69" width="16.7109375" style="18" outlineLevel="1"/>
    <col min="70" max="72" width="16.7109375" style="18" outlineLevel="3"/>
    <col min="73" max="73" width="16.7109375" style="18" outlineLevel="2"/>
    <col min="74" max="78" width="16.7109375" style="18" outlineLevel="3"/>
    <col min="79" max="79" width="16.7109375" style="18" outlineLevel="2"/>
    <col min="80" max="84" width="16.7109375" style="18" outlineLevel="3"/>
    <col min="85" max="16384" width="16.7109375" style="18"/>
  </cols>
  <sheetData>
    <row r="2" spans="2:84" x14ac:dyDescent="0.25">
      <c r="B2" s="11" t="str">
        <f>I18N_T(cellLanguage, "RF_Save")</f>
        <v>Save changes</v>
      </c>
    </row>
    <row r="3" spans="2:84" x14ac:dyDescent="0.25">
      <c r="CF3" s="25">
        <f>SUBTOTAL(103, $C$6)</f>
        <v>1</v>
      </c>
    </row>
    <row r="4" spans="2:84" ht="19.5" customHeight="1" x14ac:dyDescent="0.25">
      <c r="B4" s="39" t="str">
        <f>I18N_T(cellLanguage, "RF_Reporting")</f>
        <v>Reporting</v>
      </c>
      <c r="C4" s="40" t="str">
        <f>I18N_T(cellLanguage, "RF_Phase")</f>
        <v>Category</v>
      </c>
      <c r="D4" s="40" t="str">
        <f>I18N_T(cellLanguage, "RF_UpdatePeriod")</f>
        <v>Update Period</v>
      </c>
      <c r="E4" s="40" t="str">
        <f>I18N_T(cellLanguage, "RF_FrameworkVersion")</f>
        <v>Category version</v>
      </c>
      <c r="F4" s="40" t="str">
        <f>I18N_T(cellLanguage, "RF_Start")</f>
        <v>Start date</v>
      </c>
      <c r="G4" s="40" t="str">
        <f>I18N_T(cellLanguage, "RF_End")</f>
        <v>End date</v>
      </c>
      <c r="H4" s="40" t="str">
        <f>I18N_T(cellLanguage, "RF_RepDesc")</f>
        <v>RF_RepDesc</v>
      </c>
      <c r="I4" s="40" t="str">
        <f>I18N_T(cellLanguage, "RF_RepPack")</f>
        <v>Package</v>
      </c>
      <c r="J4" s="40" t="str">
        <f>I18N_T(cellLanguage, "RF_UseDefaultWindowsFolder")</f>
        <v>Default Windows Folder?</v>
      </c>
      <c r="K4" s="40" t="str">
        <f>I18N_T(cellLanguage, "RF_WindowsFolder")</f>
        <v>Windows folder</v>
      </c>
      <c r="L4" s="40" t="str">
        <f>I18N_T(cellLanguage, "RF_UseDefaultInternetFolder")</f>
        <v>Default Internet Folder?</v>
      </c>
      <c r="M4" s="40" t="str">
        <f>I18N_T(cellLanguage, "RF_InternetFolder")</f>
        <v>Internet folder</v>
      </c>
      <c r="N4" s="40" t="str">
        <f>I18N_T(cellLanguage, "RF_UseDefaultSetOfControls")</f>
        <v>Control Set: default?</v>
      </c>
      <c r="O4" s="40" t="str">
        <f>I18N_T(cellLanguage, "RF_SetOfControls")</f>
        <v>Control Set</v>
      </c>
      <c r="P4" s="40" t="str">
        <f>I18N_T(cellLanguage, "RF_UseDefaultLevel")</f>
        <v>Default Level?</v>
      </c>
      <c r="Q4" s="40" t="str">
        <f>I18N_T(cellLanguage, "RF_LevelToReach")</f>
        <v>Control Level</v>
      </c>
      <c r="R4" s="40" t="str">
        <f>I18N_T(cellLanguage, "RF_Blocking")</f>
        <v>Blocking?</v>
      </c>
      <c r="S4" s="40" t="str">
        <f>I18N_T(cellLanguage, "RF_UseDefaultLock")</f>
        <v>RF_UseDefaultLock</v>
      </c>
      <c r="T4" s="40" t="str">
        <f>I18N_T(cellLanguage, "RF_LockOnPublication")</f>
        <v>RF_LockOnPublication</v>
      </c>
      <c r="U4" s="40" t="str">
        <f>I18N_T(cellLanguage, "RF_UseDefaultRuleSet")</f>
        <v>RF_UseDefaultRuleSet</v>
      </c>
      <c r="V4" s="40" t="str">
        <f>I18N_T(cellLanguage, "RF_RuleSet")</f>
        <v>RF_RuleSet</v>
      </c>
      <c r="W4" s="40" t="str">
        <f>I18N_T(cellLanguage, "RF_UseDefaultOpbal")</f>
        <v>RF_UseDefaultOpbal</v>
      </c>
      <c r="X4" s="40" t="str">
        <f>I18N_T(cellLanguage, "RF_HasOpBal")</f>
        <v>RF_HasOpBal</v>
      </c>
      <c r="Y4" s="40" t="str">
        <f>I18N_T(cellLanguage, "RF_OpbPhase")</f>
        <v>RF_OpbPhase</v>
      </c>
      <c r="Z4" s="40" t="str">
        <f>I18N_T(cellLanguage, "RF_OpbUpdatePeriod")</f>
        <v>RF_OpbUpdatePeriod</v>
      </c>
      <c r="AA4" s="40" t="str">
        <f>I18N_T(cellLanguage, "RF_OpbScope")</f>
        <v>RF_OpbScope</v>
      </c>
      <c r="AB4" s="40" t="str">
        <f>I18N_T(cellLanguage, "RF_OpbVariant")</f>
        <v>RF_OpbVariant</v>
      </c>
      <c r="AC4" s="40" t="str">
        <f>I18N_T(cellLanguage, "RF_OpbConsCurrency")</f>
        <v>RF_OpbConsCurrency</v>
      </c>
      <c r="AD4" s="40" t="str">
        <f>I18N_T(cellLanguage, "RF_RepOp")</f>
        <v>RF_RepOp</v>
      </c>
      <c r="AE4" s="40" t="str">
        <f>I18N_T(cellLanguage, "RF_CutoffDate")</f>
        <v>Cutoff Date</v>
      </c>
      <c r="AF4" s="40" t="str">
        <f>I18N_T(cellLanguage, "RF_EarlyPublishing")</f>
        <v>Early publishing</v>
      </c>
      <c r="AG4" s="40" t="str">
        <f>I18N_T(cellLanguage, "RF_RepOpAftPub")</f>
        <v>RF_RepOpAftPub</v>
      </c>
      <c r="AH4" s="40" t="str">
        <f>I18N_T(cellLanguage, "RF_RepOpAftPubStd")</f>
        <v>RF_RepOpAftPubStd</v>
      </c>
      <c r="AI4" s="40" t="str">
        <f>I18N_T(cellLanguage, "RF_RepOpAftPubSpe")</f>
        <v>RF_RepOpAftPubSpe</v>
      </c>
      <c r="AJ4" s="40" t="str">
        <f>I18N_T(cellLanguage, "RF_RepOpAftPubAdv")</f>
        <v>RF_RepOpAftPubAdv</v>
      </c>
      <c r="AK4" s="40" t="str">
        <f>I18N_T(cellLanguage, "RF_RepOpAftPubLvl")</f>
        <v>RF_RepOpAftPubLvl</v>
      </c>
      <c r="AL4" s="40" t="str">
        <f>I18N_T(cellLanguage, "RF_RepOpAftTran")</f>
        <v>RF_RepOpAftTran</v>
      </c>
      <c r="AM4" s="40" t="str">
        <f>I18N_T(cellLanguage, "RF_RepOpAftTranStd")</f>
        <v>RF_RepOpAftTranStd</v>
      </c>
      <c r="AN4" s="40" t="str">
        <f>I18N_T(cellLanguage, "RF_RepOpAftTranSpe")</f>
        <v>RF_RepOpAftTranSpe</v>
      </c>
      <c r="AO4" s="40" t="str">
        <f>I18N_T(cellLanguage, "RF_RepOpAftTranAdv")</f>
        <v>RF_RepOpAftTranAdv</v>
      </c>
      <c r="AP4" s="40" t="str">
        <f>I18N_T(cellLanguage, "RF_RepOpAftTranLvl")</f>
        <v>RF_RepOpAftTranLvl</v>
      </c>
      <c r="AQ4" s="40" t="str">
        <f>I18N_T(cellLanguage, "RF_Entity")</f>
        <v>Entity</v>
      </c>
      <c r="AR4" s="40" t="str">
        <f>I18N_T(cellLanguage, "RF_Entity2")</f>
        <v>Name</v>
      </c>
      <c r="AS4" s="40" t="str">
        <f>I18N_T(cellLanguage, "RF_InputCurrency")</f>
        <v>Currency</v>
      </c>
      <c r="AT4" s="40" t="str">
        <f>I18N_T(cellLanguage, "RF_InputSite")</f>
        <v>RF_InputSite</v>
      </c>
      <c r="AU4" s="40" t="str">
        <f>I18N_T(cellLanguage, "RF_PublicationSite")</f>
        <v>RF_PublicationSite</v>
      </c>
      <c r="AV4" s="40" t="str">
        <f>I18N_T(cellLanguage, "RF_EntPack")</f>
        <v>RF_EntPack</v>
      </c>
      <c r="AW4" s="40" t="str">
        <f>I18N_T(cellLanguage, "RF_EntUseDefaultWindowsFolder")</f>
        <v>RF_EntUseDefaultWindowsFolder</v>
      </c>
      <c r="AX4" s="40" t="str">
        <f>I18N_T(cellLanguage, "RF_EntWindowsFolder")</f>
        <v>RF_EntWindowsFolder</v>
      </c>
      <c r="AY4" s="40" t="str">
        <f>I18N_T(cellLanguage, "RF_EntUseDefaultInternetFolder")</f>
        <v>RF_EntUseDefaultInternetFolder</v>
      </c>
      <c r="AZ4" s="40" t="str">
        <f>I18N_T(cellLanguage, "RF_EntInternetFolder")</f>
        <v>RF_EntInternetFolder</v>
      </c>
      <c r="BA4" s="40" t="str">
        <f>I18N_T(cellLanguage, "RF_EntUseDefaultSetOfControls")</f>
        <v>RF_EntUseDefaultSetOfControls</v>
      </c>
      <c r="BB4" s="40" t="str">
        <f>I18N_T(cellLanguage, "RF_EntSetOfControls")</f>
        <v>RF_EntSetOfControls</v>
      </c>
      <c r="BC4" s="40" t="str">
        <f>I18N_T(cellLanguage, "RF_EntUseDefaultLevel")</f>
        <v>RF_EntUseDefaultLevel</v>
      </c>
      <c r="BD4" s="40" t="str">
        <f>I18N_T(cellLanguage, "RF_EntLevelToReach")</f>
        <v>RF_EntLevelToReach</v>
      </c>
      <c r="BE4" s="40" t="str">
        <f>I18N_T(cellLanguage, "RF_EntBlocking")</f>
        <v>RF_EntBlocking</v>
      </c>
      <c r="BF4" s="40" t="str">
        <f>I18N_T(cellLanguage, "RF_EntUseDefaultLock")</f>
        <v>RF_EntUseDefaultLock</v>
      </c>
      <c r="BG4" s="40" t="str">
        <f>I18N_T(cellLanguage, "RF_EntLockOnPublication")</f>
        <v>RF_EntLockOnPublication</v>
      </c>
      <c r="BH4" s="40" t="str">
        <f>I18N_T(cellLanguage, "RF_EntUseDefaultRuleSet")</f>
        <v>RF_EntUseDefaultRuleSet</v>
      </c>
      <c r="BI4" s="40" t="str">
        <f>I18N_T(cellLanguage, "RF_EntRuleSet")</f>
        <v>RF_EntRuleSet</v>
      </c>
      <c r="BJ4" s="40" t="str">
        <f>I18N_T(cellLanguage, "RF_EntUseDefaultOpbal")</f>
        <v>RF_EntUseDefaultOpbal</v>
      </c>
      <c r="BK4" s="40" t="str">
        <f>I18N_T(cellLanguage, "RF_EntHasOpBal")</f>
        <v>RF_EntHasOpBal</v>
      </c>
      <c r="BL4" s="40" t="str">
        <f>I18N_T(cellLanguage, "RF_EntOpbPhase")</f>
        <v>RF_EntOpbPhase</v>
      </c>
      <c r="BM4" s="40" t="str">
        <f>I18N_T(cellLanguage, "RF_EntOpbUpdatePeriod")</f>
        <v>RF_EntOpbUpdatePeriod</v>
      </c>
      <c r="BN4" s="40" t="str">
        <f>I18N_T(cellLanguage, "RF_EntOpbScope")</f>
        <v>RF_EntOpbScope</v>
      </c>
      <c r="BO4" s="40" t="str">
        <f>I18N_T(cellLanguage, "RF_EntOpbVariant")</f>
        <v>RF_EntOpbVariant</v>
      </c>
      <c r="BP4" s="40" t="str">
        <f>I18N_T(cellLanguage, "RF_EntOpbConsCurrency")</f>
        <v>RF_EntOpbConsCurrency</v>
      </c>
      <c r="BQ4" s="40" t="str">
        <f>I18N_T(cellLanguage, "RF_EntOp")</f>
        <v>RF_EntOp</v>
      </c>
      <c r="BR4" s="40" t="str">
        <f>I18N_T(cellLanguage, "RF_EntUseDefaultPublish")</f>
        <v>RF_EntUseDefaultPublish</v>
      </c>
      <c r="BS4" s="40" t="str">
        <f>I18N_T(cellLanguage, "RF_EntPackPublishingCutOffDate")</f>
        <v>RF_EntPackPublishingCutOffDate</v>
      </c>
      <c r="BT4" s="40" t="str">
        <f>I18N_T(cellLanguage, "RF_EntAllowEarlyPublishing")</f>
        <v>RF_EntAllowEarlyPublishing</v>
      </c>
      <c r="BU4" s="40" t="str">
        <f>I18N_T(cellLanguage, "RF_EntOpAftPub")</f>
        <v>RF_EntOpAftPub</v>
      </c>
      <c r="BV4" s="40" t="str">
        <f>I18N_T(cellLanguage, "RF_EntUseDefaultAfterPub")</f>
        <v>RF_EntUseDefaultAfterPub</v>
      </c>
      <c r="BW4" s="40" t="str">
        <f>I18N_T(cellLanguage, "RF_EntAftPubStandard")</f>
        <v>RF_EntAftPubStandard</v>
      </c>
      <c r="BX4" s="40" t="str">
        <f>I18N_T(cellLanguage, "RF_EntAftPubSpecial")</f>
        <v>RF_EntAftPubSpecial</v>
      </c>
      <c r="BY4" s="40" t="str">
        <f>I18N_T(cellLanguage, "RF_EntAftPubAdvanced")</f>
        <v>RF_EntAftPubAdvanced</v>
      </c>
      <c r="BZ4" s="40" t="str">
        <f>I18N_T(cellLanguage, "RF_EntAftPubLevel")</f>
        <v>RF_EntAftPubLevel</v>
      </c>
      <c r="CA4" s="40" t="str">
        <f>I18N_T(cellLanguage, "RF_EntOpAftTran")</f>
        <v>RF_EntOpAftTran</v>
      </c>
      <c r="CB4" s="40" t="str">
        <f>I18N_T(cellLanguage, "RF_EntUseDefaultAfterTran")</f>
        <v>RF_EntUseDefaultAfterTran</v>
      </c>
      <c r="CC4" s="40" t="str">
        <f>I18N_T(cellLanguage, "RF_EntAftTranStandard")</f>
        <v>RF_EntAftTranStandard</v>
      </c>
      <c r="CD4" s="40" t="str">
        <f>I18N_T(cellLanguage, "RF_EntAftTranSpecial")</f>
        <v>RF_EntAftTranSpecial</v>
      </c>
      <c r="CE4" s="40" t="str">
        <f>I18N_T(cellLanguage, "RF_EntAftTranAdvanced")</f>
        <v>RF_EntAftTranAdvanced</v>
      </c>
      <c r="CF4" s="41" t="str">
        <f>I18N_T(cellLanguage, "RF_EntAftTranLevel")</f>
        <v>RF_EntAftTranLevel</v>
      </c>
    </row>
    <row r="5" spans="2:84" ht="66" customHeight="1" x14ac:dyDescent="0.25">
      <c r="B5" s="38" t="s">
        <v>206</v>
      </c>
      <c r="C5" s="38" t="s">
        <v>207</v>
      </c>
      <c r="D5" s="38" t="s">
        <v>208</v>
      </c>
      <c r="E5" s="38" t="s">
        <v>209</v>
      </c>
      <c r="F5" s="38" t="s">
        <v>518</v>
      </c>
      <c r="G5" s="38" t="s">
        <v>519</v>
      </c>
      <c r="H5" s="38" t="s">
        <v>520</v>
      </c>
      <c r="I5" s="38" t="s">
        <v>521</v>
      </c>
      <c r="J5" s="38" t="s">
        <v>522</v>
      </c>
      <c r="K5" s="38" t="s">
        <v>523</v>
      </c>
      <c r="L5" s="38" t="s">
        <v>524</v>
      </c>
      <c r="M5" s="38" t="s">
        <v>525</v>
      </c>
      <c r="N5" s="38" t="s">
        <v>526</v>
      </c>
      <c r="O5" s="38" t="s">
        <v>527</v>
      </c>
      <c r="P5" s="38" t="s">
        <v>528</v>
      </c>
      <c r="Q5" s="38" t="s">
        <v>529</v>
      </c>
      <c r="R5" s="38" t="s">
        <v>530</v>
      </c>
      <c r="S5" s="38" t="s">
        <v>531</v>
      </c>
      <c r="T5" s="38" t="s">
        <v>532</v>
      </c>
      <c r="U5" s="38" t="s">
        <v>533</v>
      </c>
      <c r="V5" s="38" t="s">
        <v>534</v>
      </c>
      <c r="W5" s="38" t="s">
        <v>535</v>
      </c>
      <c r="X5" s="38" t="s">
        <v>536</v>
      </c>
      <c r="Y5" s="38" t="s">
        <v>537</v>
      </c>
      <c r="Z5" s="38" t="s">
        <v>538</v>
      </c>
      <c r="AA5" s="38" t="s">
        <v>539</v>
      </c>
      <c r="AB5" s="38" t="s">
        <v>540</v>
      </c>
      <c r="AC5" s="38" t="s">
        <v>541</v>
      </c>
      <c r="AD5" s="38" t="s">
        <v>542</v>
      </c>
      <c r="AE5" s="38" t="s">
        <v>543</v>
      </c>
      <c r="AF5" s="38" t="s">
        <v>544</v>
      </c>
      <c r="AG5" s="38" t="s">
        <v>545</v>
      </c>
      <c r="AH5" s="38" t="s">
        <v>546</v>
      </c>
      <c r="AI5" s="38" t="s">
        <v>547</v>
      </c>
      <c r="AJ5" s="38" t="s">
        <v>548</v>
      </c>
      <c r="AK5" s="38" t="s">
        <v>549</v>
      </c>
      <c r="AL5" s="38" t="s">
        <v>550</v>
      </c>
      <c r="AM5" s="38" t="s">
        <v>551</v>
      </c>
      <c r="AN5" s="38" t="s">
        <v>552</v>
      </c>
      <c r="AO5" s="38" t="s">
        <v>553</v>
      </c>
      <c r="AP5" s="38" t="s">
        <v>554</v>
      </c>
      <c r="AQ5" s="38" t="s">
        <v>555</v>
      </c>
      <c r="AR5" s="38" t="s">
        <v>556</v>
      </c>
      <c r="AS5" s="38" t="s">
        <v>557</v>
      </c>
      <c r="AT5" s="38" t="s">
        <v>558</v>
      </c>
      <c r="AU5" s="38" t="s">
        <v>559</v>
      </c>
      <c r="AV5" s="38" t="s">
        <v>560</v>
      </c>
      <c r="AW5" s="38" t="s">
        <v>561</v>
      </c>
      <c r="AX5" s="38" t="s">
        <v>562</v>
      </c>
      <c r="AY5" s="38" t="s">
        <v>563</v>
      </c>
      <c r="AZ5" s="38" t="s">
        <v>564</v>
      </c>
      <c r="BA5" s="38" t="s">
        <v>565</v>
      </c>
      <c r="BB5" s="38" t="s">
        <v>566</v>
      </c>
      <c r="BC5" s="38" t="s">
        <v>567</v>
      </c>
      <c r="BD5" s="38" t="s">
        <v>568</v>
      </c>
      <c r="BE5" s="38" t="s">
        <v>569</v>
      </c>
      <c r="BF5" s="38" t="s">
        <v>570</v>
      </c>
      <c r="BG5" s="38" t="s">
        <v>571</v>
      </c>
      <c r="BH5" s="38" t="s">
        <v>572</v>
      </c>
      <c r="BI5" s="38" t="s">
        <v>573</v>
      </c>
      <c r="BJ5" s="38" t="s">
        <v>574</v>
      </c>
      <c r="BK5" s="38" t="s">
        <v>575</v>
      </c>
      <c r="BL5" s="38" t="s">
        <v>576</v>
      </c>
      <c r="BM5" s="38" t="s">
        <v>577</v>
      </c>
      <c r="BN5" s="38" t="s">
        <v>578</v>
      </c>
      <c r="BO5" s="38" t="s">
        <v>579</v>
      </c>
      <c r="BP5" s="38" t="s">
        <v>580</v>
      </c>
      <c r="BQ5" s="38" t="s">
        <v>581</v>
      </c>
      <c r="BR5" s="38" t="s">
        <v>582</v>
      </c>
      <c r="BS5" s="38" t="s">
        <v>583</v>
      </c>
      <c r="BT5" s="38" t="s">
        <v>584</v>
      </c>
      <c r="BU5" s="38" t="s">
        <v>585</v>
      </c>
      <c r="BV5" s="38" t="s">
        <v>586</v>
      </c>
      <c r="BW5" s="38" t="s">
        <v>587</v>
      </c>
      <c r="BX5" s="38" t="s">
        <v>588</v>
      </c>
      <c r="BY5" s="38" t="s">
        <v>589</v>
      </c>
      <c r="BZ5" s="38" t="s">
        <v>590</v>
      </c>
      <c r="CA5" s="38" t="s">
        <v>591</v>
      </c>
      <c r="CB5" s="38" t="s">
        <v>592</v>
      </c>
      <c r="CC5" s="38" t="s">
        <v>593</v>
      </c>
      <c r="CD5" s="38" t="s">
        <v>594</v>
      </c>
      <c r="CE5" s="38" t="s">
        <v>595</v>
      </c>
      <c r="CF5" s="38" t="s">
        <v>596</v>
      </c>
    </row>
    <row r="6" spans="2:84" x14ac:dyDescent="0.25">
      <c r="B6" s="44"/>
      <c r="C6" s="44" t="s">
        <v>21</v>
      </c>
      <c r="D6" s="44" t="s">
        <v>517</v>
      </c>
      <c r="E6" s="44" t="s">
        <v>22</v>
      </c>
      <c r="F6" s="44" t="s">
        <v>617</v>
      </c>
      <c r="G6" s="44" t="s">
        <v>618</v>
      </c>
      <c r="H6" s="44"/>
      <c r="I6" s="44"/>
      <c r="J6" s="44" t="b">
        <v>1</v>
      </c>
      <c r="K6" s="44"/>
      <c r="L6" s="44" t="b">
        <v>1</v>
      </c>
      <c r="M6" s="44"/>
      <c r="N6" s="44" t="b">
        <v>1</v>
      </c>
      <c r="O6" s="44"/>
      <c r="P6" s="44" t="b">
        <v>1</v>
      </c>
      <c r="Q6" s="44"/>
      <c r="R6" s="44" t="b">
        <v>0</v>
      </c>
      <c r="S6" s="44" t="b">
        <v>1</v>
      </c>
      <c r="T6" s="44">
        <v>0</v>
      </c>
      <c r="U6" s="44" t="b">
        <v>1</v>
      </c>
      <c r="V6" s="44"/>
      <c r="W6" s="44" t="b">
        <v>1</v>
      </c>
      <c r="X6" s="44" t="b">
        <v>0</v>
      </c>
      <c r="Y6" s="44"/>
      <c r="Z6" s="44"/>
      <c r="AA6" s="44"/>
      <c r="AB6" s="44"/>
      <c r="AC6" s="44"/>
      <c r="AD6" s="44"/>
      <c r="AE6" s="44" t="s">
        <v>619</v>
      </c>
      <c r="AF6" s="44" t="b">
        <v>1</v>
      </c>
      <c r="AG6" s="44"/>
      <c r="AH6" s="44" t="b">
        <v>1</v>
      </c>
      <c r="AI6" s="44" t="b">
        <v>1</v>
      </c>
      <c r="AJ6" s="44" t="b">
        <v>1</v>
      </c>
      <c r="AK6" s="44">
        <v>2</v>
      </c>
      <c r="AL6" s="44"/>
      <c r="AM6" s="44" t="b">
        <v>0</v>
      </c>
      <c r="AN6" s="44" t="b">
        <v>1</v>
      </c>
      <c r="AO6" s="44" t="b">
        <v>0</v>
      </c>
      <c r="AP6" s="44"/>
      <c r="AQ6" s="44"/>
      <c r="AR6" s="44" t="s">
        <v>611</v>
      </c>
      <c r="AS6" s="44" t="s">
        <v>612</v>
      </c>
      <c r="AT6" s="44" t="s">
        <v>613</v>
      </c>
      <c r="AU6" s="44" t="s">
        <v>613</v>
      </c>
      <c r="AV6" s="44"/>
      <c r="AW6" s="44" t="b">
        <v>1</v>
      </c>
      <c r="AX6" s="44"/>
      <c r="AY6" s="44" t="b">
        <v>1</v>
      </c>
      <c r="AZ6" s="44"/>
      <c r="BA6" s="44" t="b">
        <v>1</v>
      </c>
      <c r="BB6" s="44"/>
      <c r="BC6" s="44" t="b">
        <v>1</v>
      </c>
      <c r="BD6" s="44"/>
      <c r="BE6" s="44" t="b">
        <v>0</v>
      </c>
      <c r="BF6" s="44" t="b">
        <v>1</v>
      </c>
      <c r="BG6" s="44">
        <v>0</v>
      </c>
      <c r="BH6" s="44" t="b">
        <v>1</v>
      </c>
      <c r="BI6" s="44"/>
      <c r="BJ6" s="44" t="b">
        <v>1</v>
      </c>
      <c r="BK6" s="44" t="b">
        <v>0</v>
      </c>
      <c r="BL6" s="44"/>
      <c r="BM6" s="44"/>
      <c r="BN6" s="44"/>
      <c r="BO6" s="44"/>
      <c r="BP6" s="44"/>
      <c r="BQ6" s="44"/>
      <c r="BR6" s="44" t="b">
        <v>1</v>
      </c>
      <c r="BS6" s="44" t="s">
        <v>620</v>
      </c>
      <c r="BT6" s="44" t="b">
        <v>0</v>
      </c>
      <c r="BU6" s="44"/>
      <c r="BV6" s="44" t="b">
        <v>1</v>
      </c>
      <c r="BW6" s="44" t="b">
        <v>0</v>
      </c>
      <c r="BX6" s="44" t="b">
        <v>0</v>
      </c>
      <c r="BY6" s="44" t="b">
        <v>0</v>
      </c>
      <c r="BZ6" s="44"/>
      <c r="CA6" s="44"/>
      <c r="CB6" s="44" t="b">
        <v>1</v>
      </c>
      <c r="CC6" s="44" t="b">
        <v>0</v>
      </c>
      <c r="CD6" s="44" t="b">
        <v>0</v>
      </c>
      <c r="CE6" s="44" t="b">
        <v>0</v>
      </c>
      <c r="CF6" s="44"/>
    </row>
  </sheetData>
  <sheetProtection sheet="1" objects="1" scenarios="1" formatCells="0" formatColumns="0" formatRows="0" insertRows="0" sort="0" autoFilter="0"/>
  <hyperlinks>
    <hyperlink ref="B2" location="C3" tooltip=" " display="C3" xr:uid="{536857F8-414E-4665-9DA8-62B86FA00DB9}"/>
  </hyperlink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FD37-1A81-48CB-B23A-0FEEF1F711B1}">
  <sheetPr codeName="D_Cache"/>
  <dimension ref="A1:K7"/>
  <sheetViews>
    <sheetView workbookViewId="0">
      <selection activeCell="M13" sqref="M13"/>
    </sheetView>
  </sheetViews>
  <sheetFormatPr baseColWidth="10" defaultRowHeight="15" x14ac:dyDescent="0.25"/>
  <cols>
    <col min="1" max="1" width="18" style="2" bestFit="1" customWidth="1"/>
    <col min="2" max="2" width="18.5703125" style="2" bestFit="1" customWidth="1"/>
    <col min="3" max="3" width="9.140625" style="2" bestFit="1" customWidth="1"/>
    <col min="4" max="4" width="24.42578125" style="31" customWidth="1"/>
    <col min="5" max="5" width="5.85546875" style="2" customWidth="1"/>
    <col min="6" max="6" width="11.7109375" style="2" bestFit="1" customWidth="1"/>
    <col min="7" max="7" width="16.5703125" style="2" bestFit="1" customWidth="1"/>
    <col min="8" max="8" width="7.28515625" style="2" bestFit="1" customWidth="1"/>
    <col min="9" max="9" width="5.28515625" style="2" bestFit="1" customWidth="1"/>
    <col min="10" max="10" width="6.28515625" style="2" bestFit="1" customWidth="1"/>
    <col min="11" max="11" width="21.7109375" style="2" bestFit="1" customWidth="1"/>
    <col min="12" max="16384" width="11.42578125" style="2"/>
  </cols>
  <sheetData>
    <row r="1" spans="1:11" x14ac:dyDescent="0.25">
      <c r="B1" s="2" t="s">
        <v>233</v>
      </c>
      <c r="C1" s="32">
        <v>1</v>
      </c>
      <c r="F1" s="42" t="s">
        <v>507</v>
      </c>
      <c r="G1" s="42" t="s">
        <v>508</v>
      </c>
      <c r="H1" s="42" t="s">
        <v>509</v>
      </c>
      <c r="I1" s="42" t="s">
        <v>510</v>
      </c>
      <c r="J1" s="42" t="s">
        <v>511</v>
      </c>
      <c r="K1" s="42" t="s">
        <v>512</v>
      </c>
    </row>
    <row r="3" spans="1:11" x14ac:dyDescent="0.25">
      <c r="A3" s="2" t="s">
        <v>232</v>
      </c>
      <c r="B3" s="2" t="s">
        <v>240</v>
      </c>
      <c r="C3" s="2" t="s">
        <v>237</v>
      </c>
      <c r="D3" s="31" t="s">
        <v>238</v>
      </c>
      <c r="E3" s="2" t="s">
        <v>231</v>
      </c>
    </row>
    <row r="4" spans="1:11" x14ac:dyDescent="0.25">
      <c r="A4" s="2" t="s">
        <v>503</v>
      </c>
      <c r="B4" s="2" t="s">
        <v>113</v>
      </c>
      <c r="C4" s="2" t="s">
        <v>516</v>
      </c>
      <c r="D4" s="31">
        <v>44256.943935185183</v>
      </c>
      <c r="E4" s="2" t="s">
        <v>598</v>
      </c>
    </row>
    <row r="5" spans="1:11" x14ac:dyDescent="0.25">
      <c r="A5" s="2" t="s">
        <v>503</v>
      </c>
      <c r="B5" s="2" t="s">
        <v>113</v>
      </c>
      <c r="C5" s="2" t="s">
        <v>516</v>
      </c>
      <c r="D5" s="31">
        <v>44256.948796296296</v>
      </c>
      <c r="E5" s="2" t="s">
        <v>598</v>
      </c>
    </row>
    <row r="6" spans="1:11" x14ac:dyDescent="0.25">
      <c r="A6" s="2" t="s">
        <v>502</v>
      </c>
      <c r="B6" s="2" t="s">
        <v>599</v>
      </c>
      <c r="C6" s="2" t="s">
        <v>516</v>
      </c>
      <c r="D6" s="31">
        <v>44256.952337962961</v>
      </c>
      <c r="E6" s="2" t="s">
        <v>600</v>
      </c>
    </row>
    <row r="7" spans="1:11" x14ac:dyDescent="0.25">
      <c r="A7" s="2" t="s">
        <v>502</v>
      </c>
      <c r="B7" s="2" t="s">
        <v>597</v>
      </c>
      <c r="C7" s="2" t="s">
        <v>516</v>
      </c>
      <c r="D7" s="31">
        <v>44256.960173611114</v>
      </c>
      <c r="E7" s="2" t="s">
        <v>601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FDC2-088B-41C0-89BA-6E02F9E4F0F2}">
  <sheetPr codeName="Feuil4" filterMode="1"/>
  <dimension ref="A3:J69"/>
  <sheetViews>
    <sheetView topLeftCell="A36" zoomScaleNormal="100" workbookViewId="0">
      <selection activeCell="J55" sqref="J55"/>
    </sheetView>
  </sheetViews>
  <sheetFormatPr baseColWidth="10" defaultRowHeight="15" x14ac:dyDescent="0.25"/>
  <cols>
    <col min="1" max="1" width="15.85546875" bestFit="1" customWidth="1"/>
    <col min="2" max="2" width="39.140625" bestFit="1" customWidth="1"/>
    <col min="6" max="6" width="11.42578125" style="18"/>
  </cols>
  <sheetData>
    <row r="3" spans="1:3" x14ac:dyDescent="0.25">
      <c r="A3" t="s">
        <v>20</v>
      </c>
      <c r="B3" t="s">
        <v>21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23</v>
      </c>
      <c r="C5" t="s">
        <v>27</v>
      </c>
    </row>
    <row r="9" spans="1:3" x14ac:dyDescent="0.25">
      <c r="A9" t="s">
        <v>28</v>
      </c>
      <c r="B9" t="s">
        <v>22</v>
      </c>
      <c r="C9" t="s">
        <v>29</v>
      </c>
    </row>
    <row r="12" spans="1:3" x14ac:dyDescent="0.25">
      <c r="A12" t="s">
        <v>30</v>
      </c>
      <c r="B12" t="s">
        <v>31</v>
      </c>
    </row>
    <row r="13" spans="1:3" x14ac:dyDescent="0.25">
      <c r="B13" t="s">
        <v>36</v>
      </c>
    </row>
    <row r="17" spans="1:10" x14ac:dyDescent="0.25">
      <c r="A17" t="s">
        <v>37</v>
      </c>
      <c r="C17" t="s">
        <v>64</v>
      </c>
      <c r="D17" t="s">
        <v>66</v>
      </c>
      <c r="F17" s="19">
        <v>44019</v>
      </c>
      <c r="G17" s="26">
        <v>44033</v>
      </c>
      <c r="H17" s="26">
        <v>44039</v>
      </c>
      <c r="I17" s="26">
        <v>44171</v>
      </c>
      <c r="J17" s="26">
        <v>44255</v>
      </c>
    </row>
    <row r="18" spans="1:10" hidden="1" x14ac:dyDescent="0.25">
      <c r="B18" t="s">
        <v>70</v>
      </c>
      <c r="D18">
        <v>1</v>
      </c>
      <c r="F18" s="18" t="s">
        <v>138</v>
      </c>
      <c r="G18" t="s">
        <v>138</v>
      </c>
      <c r="H18" t="s">
        <v>138</v>
      </c>
      <c r="I18" t="s">
        <v>138</v>
      </c>
      <c r="J18" t="s">
        <v>138</v>
      </c>
    </row>
    <row r="19" spans="1:10" hidden="1" x14ac:dyDescent="0.25">
      <c r="B19" t="s">
        <v>65</v>
      </c>
      <c r="C19">
        <v>0.25</v>
      </c>
      <c r="D19">
        <v>0.25</v>
      </c>
      <c r="F19" s="18" t="s">
        <v>138</v>
      </c>
      <c r="G19" t="s">
        <v>138</v>
      </c>
      <c r="H19" t="s">
        <v>138</v>
      </c>
      <c r="I19" t="s">
        <v>138</v>
      </c>
      <c r="J19" t="s">
        <v>138</v>
      </c>
    </row>
    <row r="20" spans="1:10" hidden="1" x14ac:dyDescent="0.25">
      <c r="B20" t="s">
        <v>85</v>
      </c>
      <c r="D20">
        <v>0.25</v>
      </c>
      <c r="G20" t="s">
        <v>138</v>
      </c>
      <c r="H20" t="s">
        <v>138</v>
      </c>
      <c r="I20" t="s">
        <v>138</v>
      </c>
      <c r="J20" t="s">
        <v>138</v>
      </c>
    </row>
    <row r="21" spans="1:10" hidden="1" x14ac:dyDescent="0.25">
      <c r="B21" t="s">
        <v>152</v>
      </c>
      <c r="G21" t="s">
        <v>138</v>
      </c>
      <c r="H21" t="s">
        <v>138</v>
      </c>
      <c r="I21" t="s">
        <v>138</v>
      </c>
      <c r="J21" t="s">
        <v>138</v>
      </c>
    </row>
    <row r="22" spans="1:10" hidden="1" x14ac:dyDescent="0.25">
      <c r="B22" t="s">
        <v>153</v>
      </c>
      <c r="G22" t="s">
        <v>138</v>
      </c>
      <c r="H22" t="s">
        <v>138</v>
      </c>
      <c r="I22" t="s">
        <v>138</v>
      </c>
      <c r="J22" t="s">
        <v>138</v>
      </c>
    </row>
    <row r="23" spans="1:10" x14ac:dyDescent="0.25">
      <c r="B23" t="s">
        <v>86</v>
      </c>
      <c r="D23">
        <v>0.25</v>
      </c>
    </row>
    <row r="24" spans="1:10" hidden="1" x14ac:dyDescent="0.25">
      <c r="B24" t="s">
        <v>220</v>
      </c>
      <c r="H24">
        <v>0.25</v>
      </c>
      <c r="I24" t="s">
        <v>138</v>
      </c>
      <c r="J24" t="s">
        <v>138</v>
      </c>
    </row>
    <row r="25" spans="1:10" x14ac:dyDescent="0.25">
      <c r="B25" t="s">
        <v>210</v>
      </c>
      <c r="H25">
        <v>0.25</v>
      </c>
      <c r="I25">
        <v>0.25</v>
      </c>
      <c r="J25">
        <v>0.25</v>
      </c>
    </row>
    <row r="26" spans="1:10" hidden="1" x14ac:dyDescent="0.25">
      <c r="B26" t="s">
        <v>221</v>
      </c>
      <c r="H26">
        <v>0.25</v>
      </c>
      <c r="I26">
        <v>0.25</v>
      </c>
      <c r="J26" t="s">
        <v>138</v>
      </c>
    </row>
    <row r="27" spans="1:10" hidden="1" x14ac:dyDescent="0.25">
      <c r="B27" t="s">
        <v>230</v>
      </c>
      <c r="I27">
        <v>0.25</v>
      </c>
      <c r="J27" t="s">
        <v>138</v>
      </c>
    </row>
    <row r="28" spans="1:10" x14ac:dyDescent="0.25">
      <c r="B28" t="s">
        <v>143</v>
      </c>
      <c r="I28">
        <v>0.25</v>
      </c>
      <c r="J28">
        <v>0.25</v>
      </c>
    </row>
    <row r="29" spans="1:10" hidden="1" x14ac:dyDescent="0.25">
      <c r="B29" t="s">
        <v>141</v>
      </c>
      <c r="D29">
        <v>0.25</v>
      </c>
      <c r="G29" t="s">
        <v>138</v>
      </c>
      <c r="H29" t="s">
        <v>138</v>
      </c>
      <c r="I29" t="s">
        <v>138</v>
      </c>
      <c r="J29" t="s">
        <v>138</v>
      </c>
    </row>
    <row r="30" spans="1:10" x14ac:dyDescent="0.25">
      <c r="B30" t="s">
        <v>144</v>
      </c>
      <c r="D30">
        <v>0.25</v>
      </c>
    </row>
    <row r="31" spans="1:10" hidden="1" x14ac:dyDescent="0.25">
      <c r="B31" t="s">
        <v>142</v>
      </c>
      <c r="D31">
        <v>0.25</v>
      </c>
      <c r="G31" t="s">
        <v>138</v>
      </c>
      <c r="H31" t="s">
        <v>138</v>
      </c>
      <c r="I31" t="s">
        <v>138</v>
      </c>
      <c r="J31" t="s">
        <v>138</v>
      </c>
    </row>
    <row r="32" spans="1:10" x14ac:dyDescent="0.25">
      <c r="B32" t="s">
        <v>176</v>
      </c>
      <c r="D32">
        <v>0.25</v>
      </c>
    </row>
    <row r="33" spans="2:10" hidden="1" x14ac:dyDescent="0.25">
      <c r="B33" t="s">
        <v>179</v>
      </c>
      <c r="H33">
        <v>0.25</v>
      </c>
      <c r="I33" t="s">
        <v>138</v>
      </c>
      <c r="J33" t="s">
        <v>138</v>
      </c>
    </row>
    <row r="34" spans="2:10" hidden="1" x14ac:dyDescent="0.25">
      <c r="B34" t="s">
        <v>205</v>
      </c>
      <c r="H34">
        <v>0.25</v>
      </c>
      <c r="I34" t="s">
        <v>138</v>
      </c>
      <c r="J34" t="s">
        <v>138</v>
      </c>
    </row>
    <row r="35" spans="2:10" x14ac:dyDescent="0.25">
      <c r="B35" t="s">
        <v>145</v>
      </c>
      <c r="D35">
        <v>0.5</v>
      </c>
    </row>
    <row r="36" spans="2:10" x14ac:dyDescent="0.25">
      <c r="B36" t="s">
        <v>243</v>
      </c>
      <c r="I36">
        <v>0.5</v>
      </c>
      <c r="J36">
        <v>0.5</v>
      </c>
    </row>
    <row r="37" spans="2:10" x14ac:dyDescent="0.25">
      <c r="B37" t="s">
        <v>67</v>
      </c>
      <c r="C37">
        <v>0.5</v>
      </c>
      <c r="D37">
        <v>1</v>
      </c>
      <c r="I37">
        <v>0.5</v>
      </c>
      <c r="J37">
        <v>0.5</v>
      </c>
    </row>
    <row r="38" spans="2:10" hidden="1" x14ac:dyDescent="0.25">
      <c r="B38" t="s">
        <v>68</v>
      </c>
      <c r="C38">
        <v>0.25</v>
      </c>
      <c r="D38">
        <v>0.25</v>
      </c>
      <c r="I38" t="s">
        <v>138</v>
      </c>
      <c r="J38" t="s">
        <v>138</v>
      </c>
    </row>
    <row r="39" spans="2:10" x14ac:dyDescent="0.25">
      <c r="B39" t="s">
        <v>30</v>
      </c>
      <c r="C39">
        <v>0.25</v>
      </c>
    </row>
    <row r="40" spans="2:10" hidden="1" x14ac:dyDescent="0.25">
      <c r="B40" t="s">
        <v>38</v>
      </c>
      <c r="D40">
        <v>0.5</v>
      </c>
      <c r="I40" t="s">
        <v>138</v>
      </c>
      <c r="J40" t="s">
        <v>138</v>
      </c>
    </row>
    <row r="41" spans="2:10" hidden="1" x14ac:dyDescent="0.25">
      <c r="B41" t="s">
        <v>39</v>
      </c>
      <c r="D41">
        <v>0.5</v>
      </c>
      <c r="I41" t="s">
        <v>138</v>
      </c>
      <c r="J41" t="s">
        <v>138</v>
      </c>
    </row>
    <row r="42" spans="2:10" x14ac:dyDescent="0.25">
      <c r="B42" t="s">
        <v>35</v>
      </c>
      <c r="D42">
        <v>0.5</v>
      </c>
    </row>
    <row r="43" spans="2:10" hidden="1" x14ac:dyDescent="0.25">
      <c r="B43" t="s">
        <v>40</v>
      </c>
      <c r="D43">
        <v>0.5</v>
      </c>
      <c r="I43" t="s">
        <v>138</v>
      </c>
      <c r="J43" t="s">
        <v>138</v>
      </c>
    </row>
    <row r="44" spans="2:10" x14ac:dyDescent="0.25">
      <c r="B44" t="s">
        <v>32</v>
      </c>
      <c r="C44">
        <v>0.25</v>
      </c>
    </row>
    <row r="45" spans="2:10" x14ac:dyDescent="0.25">
      <c r="B45" t="s">
        <v>41</v>
      </c>
    </row>
    <row r="46" spans="2:10" x14ac:dyDescent="0.25">
      <c r="B46" t="s">
        <v>33</v>
      </c>
      <c r="C46">
        <v>0.25</v>
      </c>
    </row>
    <row r="47" spans="2:10" x14ac:dyDescent="0.25">
      <c r="B47" t="s">
        <v>42</v>
      </c>
      <c r="C47">
        <v>0.25</v>
      </c>
    </row>
    <row r="48" spans="2:10" x14ac:dyDescent="0.25">
      <c r="B48" t="s">
        <v>43</v>
      </c>
      <c r="D48">
        <v>0.5</v>
      </c>
    </row>
    <row r="49" spans="2:10" x14ac:dyDescent="0.25">
      <c r="B49" t="s">
        <v>44</v>
      </c>
      <c r="C49">
        <v>0.25</v>
      </c>
    </row>
    <row r="50" spans="2:10" x14ac:dyDescent="0.25">
      <c r="B50" t="s">
        <v>45</v>
      </c>
      <c r="C50">
        <v>0.25</v>
      </c>
    </row>
    <row r="51" spans="2:10" hidden="1" x14ac:dyDescent="0.25">
      <c r="B51" t="s">
        <v>69</v>
      </c>
      <c r="C51">
        <v>2</v>
      </c>
      <c r="D51">
        <v>0.5</v>
      </c>
      <c r="I51">
        <v>2</v>
      </c>
      <c r="J51" t="s">
        <v>138</v>
      </c>
    </row>
    <row r="52" spans="2:10" hidden="1" x14ac:dyDescent="0.25">
      <c r="B52" t="s">
        <v>71</v>
      </c>
      <c r="C52">
        <v>4</v>
      </c>
      <c r="D52">
        <v>4</v>
      </c>
      <c r="J52" t="s">
        <v>138</v>
      </c>
    </row>
    <row r="53" spans="2:10" x14ac:dyDescent="0.25">
      <c r="B53" t="s">
        <v>605</v>
      </c>
      <c r="J53" t="s">
        <v>138</v>
      </c>
    </row>
    <row r="54" spans="2:10" x14ac:dyDescent="0.25">
      <c r="B54" t="s">
        <v>616</v>
      </c>
      <c r="J54">
        <v>0.25</v>
      </c>
    </row>
    <row r="55" spans="2:10" x14ac:dyDescent="0.25">
      <c r="B55" t="s">
        <v>606</v>
      </c>
      <c r="J55">
        <v>0.25</v>
      </c>
    </row>
    <row r="56" spans="2:10" x14ac:dyDescent="0.25">
      <c r="B56" t="s">
        <v>614</v>
      </c>
      <c r="J56">
        <v>0.25</v>
      </c>
    </row>
    <row r="57" spans="2:10" x14ac:dyDescent="0.25">
      <c r="B57" t="s">
        <v>615</v>
      </c>
      <c r="J57">
        <v>0.25</v>
      </c>
    </row>
    <row r="58" spans="2:10" x14ac:dyDescent="0.25">
      <c r="B58" t="s">
        <v>609</v>
      </c>
      <c r="J58">
        <v>0.5</v>
      </c>
    </row>
    <row r="59" spans="2:10" x14ac:dyDescent="0.25">
      <c r="B59" t="s">
        <v>604</v>
      </c>
      <c r="J59">
        <v>0.25</v>
      </c>
    </row>
    <row r="60" spans="2:10" x14ac:dyDescent="0.25">
      <c r="B60" t="s">
        <v>608</v>
      </c>
      <c r="J60">
        <v>0.25</v>
      </c>
    </row>
    <row r="61" spans="2:10" x14ac:dyDescent="0.25">
      <c r="B61" t="s">
        <v>607</v>
      </c>
      <c r="J61">
        <v>0.5</v>
      </c>
    </row>
    <row r="62" spans="2:10" x14ac:dyDescent="0.25">
      <c r="B62" t="s">
        <v>603</v>
      </c>
      <c r="J62">
        <v>1</v>
      </c>
    </row>
    <row r="63" spans="2:10" x14ac:dyDescent="0.25">
      <c r="B63" t="s">
        <v>602</v>
      </c>
      <c r="J63">
        <v>0.5</v>
      </c>
    </row>
    <row r="64" spans="2:10" x14ac:dyDescent="0.25">
      <c r="B64" t="s">
        <v>72</v>
      </c>
      <c r="C64">
        <v>3</v>
      </c>
      <c r="D64">
        <v>3</v>
      </c>
      <c r="J64">
        <v>2</v>
      </c>
    </row>
    <row r="66" spans="2:10" x14ac:dyDescent="0.25">
      <c r="B66" s="28">
        <f>0+C66+D66</f>
        <v>26</v>
      </c>
      <c r="C66" s="29">
        <f>SUM(C18:C64)</f>
        <v>11.5</v>
      </c>
      <c r="D66" s="30">
        <f>SUM(D18:D64)</f>
        <v>14.5</v>
      </c>
      <c r="F66" s="18">
        <f>SUMIF(F18:F65,"",$C18:$C65)+SUMIF(F18:F65,"",$D18:$D65)+SUBTOTAL(109,F18:F65)</f>
        <v>24.5</v>
      </c>
      <c r="G66" s="18">
        <f>SUMIF(G18:G65,"",$C18:$C65)+SUMIF(G18:G65,"",$D18:$D65)+SUBTOTAL(109,G18:G65)</f>
        <v>23.75</v>
      </c>
      <c r="H66" s="18">
        <f>SUMIF(H18:H65,"",$C18:$C65)+SUMIF(H18:H65,"",$D18:$D65)+SUBTOTAL(109,H18:H65)</f>
        <v>24</v>
      </c>
      <c r="I66" s="18">
        <f>SUMIF(I18:I65,"",$C18:$C65)+SUMIF(I18:I65,"",$D18:$D65)+SUBTOTAL(109,I18:I65)</f>
        <v>19.25</v>
      </c>
      <c r="J66" s="18">
        <f>SUMIF(J18:J65,"",$C18:$C65)+SUMIF(J18:J65,"",$D18:$D65)+SUBTOTAL(109,J18:J65)</f>
        <v>11.25</v>
      </c>
    </row>
    <row r="69" spans="2:10" x14ac:dyDescent="0.25">
      <c r="B69" t="s">
        <v>46</v>
      </c>
    </row>
  </sheetData>
  <autoFilter ref="A17:J64" xr:uid="{BB647366-35C4-492E-B035-621946E0AEBD}">
    <filterColumn colId="9">
      <filters blank="1">
        <filter val="0,25"/>
        <filter val="0,5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AB17-4C01-46D2-A8A8-94F27E949FEE}">
  <sheetPr codeName="Feuil6">
    <outlinePr summaryBelow="0"/>
  </sheetPr>
  <dimension ref="A3:C73"/>
  <sheetViews>
    <sheetView workbookViewId="0">
      <selection activeCell="B8" sqref="B8"/>
    </sheetView>
  </sheetViews>
  <sheetFormatPr baseColWidth="10" defaultRowHeight="15" outlineLevelRow="2" x14ac:dyDescent="0.25"/>
  <cols>
    <col min="1" max="1" width="13.42578125" bestFit="1" customWidth="1"/>
  </cols>
  <sheetData>
    <row r="3" spans="1:3" x14ac:dyDescent="0.25">
      <c r="A3" t="s">
        <v>84</v>
      </c>
    </row>
    <row r="4" spans="1:3" outlineLevel="1" x14ac:dyDescent="0.25">
      <c r="B4" t="s">
        <v>222</v>
      </c>
    </row>
    <row r="5" spans="1:3" outlineLevel="1" x14ac:dyDescent="0.25">
      <c r="B5" t="s">
        <v>223</v>
      </c>
    </row>
    <row r="6" spans="1:3" outlineLevel="1" x14ac:dyDescent="0.25">
      <c r="B6" t="s">
        <v>224</v>
      </c>
    </row>
    <row r="7" spans="1:3" outlineLevel="1" x14ac:dyDescent="0.25">
      <c r="B7" t="s">
        <v>515</v>
      </c>
    </row>
    <row r="8" spans="1:3" outlineLevel="1" x14ac:dyDescent="0.25"/>
    <row r="12" spans="1:3" collapsed="1" x14ac:dyDescent="0.25">
      <c r="A12" t="s">
        <v>249</v>
      </c>
      <c r="B12" t="s">
        <v>250</v>
      </c>
      <c r="C12" t="s">
        <v>251</v>
      </c>
    </row>
    <row r="13" spans="1:3" hidden="1" outlineLevel="1" x14ac:dyDescent="0.25">
      <c r="B13" t="s">
        <v>504</v>
      </c>
    </row>
    <row r="14" spans="1:3" hidden="1" outlineLevel="1" x14ac:dyDescent="0.25">
      <c r="B14" t="s">
        <v>505</v>
      </c>
    </row>
    <row r="15" spans="1:3" hidden="1" outlineLevel="1" x14ac:dyDescent="0.25">
      <c r="B15" t="s">
        <v>506</v>
      </c>
    </row>
    <row r="16" spans="1:3" hidden="1" outlineLevel="1" x14ac:dyDescent="0.25"/>
    <row r="18" spans="1:3" collapsed="1" x14ac:dyDescent="0.25">
      <c r="A18" t="s">
        <v>248</v>
      </c>
      <c r="B18" t="s">
        <v>229</v>
      </c>
      <c r="C18" t="s">
        <v>245</v>
      </c>
    </row>
    <row r="19" spans="1:3" hidden="1" outlineLevel="1" x14ac:dyDescent="0.25"/>
    <row r="20" spans="1:3" hidden="1" outlineLevel="1" x14ac:dyDescent="0.25"/>
    <row r="21" spans="1:3" hidden="1" outlineLevel="1" x14ac:dyDescent="0.25"/>
    <row r="23" spans="1:3" collapsed="1" x14ac:dyDescent="0.25">
      <c r="A23" t="s">
        <v>244</v>
      </c>
      <c r="B23" t="s">
        <v>229</v>
      </c>
      <c r="C23" t="s">
        <v>245</v>
      </c>
    </row>
    <row r="24" spans="1:3" hidden="1" outlineLevel="1" x14ac:dyDescent="0.25">
      <c r="B24" t="s">
        <v>246</v>
      </c>
    </row>
    <row r="25" spans="1:3" hidden="1" outlineLevel="1" x14ac:dyDescent="0.25">
      <c r="B25" t="s">
        <v>247</v>
      </c>
    </row>
    <row r="26" spans="1:3" hidden="1" outlineLevel="1" x14ac:dyDescent="0.25"/>
    <row r="28" spans="1:3" collapsed="1" x14ac:dyDescent="0.25">
      <c r="A28" t="s">
        <v>228</v>
      </c>
      <c r="B28" t="s">
        <v>229</v>
      </c>
      <c r="C28" t="s">
        <v>80</v>
      </c>
    </row>
    <row r="29" spans="1:3" hidden="1" outlineLevel="1" x14ac:dyDescent="0.25">
      <c r="B29" t="s">
        <v>234</v>
      </c>
    </row>
    <row r="30" spans="1:3" hidden="1" outlineLevel="1" x14ac:dyDescent="0.25">
      <c r="B30" t="s">
        <v>235</v>
      </c>
    </row>
    <row r="31" spans="1:3" hidden="1" outlineLevel="1" x14ac:dyDescent="0.25">
      <c r="B31" t="s">
        <v>236</v>
      </c>
    </row>
    <row r="32" spans="1:3" hidden="1" outlineLevel="1" x14ac:dyDescent="0.25">
      <c r="B32" t="s">
        <v>242</v>
      </c>
    </row>
    <row r="33" spans="1:3" hidden="1" outlineLevel="1" x14ac:dyDescent="0.25"/>
    <row r="35" spans="1:3" collapsed="1" x14ac:dyDescent="0.25">
      <c r="A35" t="s">
        <v>212</v>
      </c>
      <c r="B35" t="s">
        <v>213</v>
      </c>
      <c r="C35" t="s">
        <v>226</v>
      </c>
    </row>
    <row r="36" spans="1:3" hidden="1" outlineLevel="1" x14ac:dyDescent="0.25">
      <c r="B36" t="s">
        <v>216</v>
      </c>
    </row>
    <row r="37" spans="1:3" hidden="1" outlineLevel="1" x14ac:dyDescent="0.25">
      <c r="B37" t="s">
        <v>214</v>
      </c>
    </row>
    <row r="38" spans="1:3" hidden="1" outlineLevel="1" x14ac:dyDescent="0.25">
      <c r="B38" t="s">
        <v>215</v>
      </c>
    </row>
    <row r="39" spans="1:3" hidden="1" outlineLevel="1" x14ac:dyDescent="0.25"/>
    <row r="41" spans="1:3" collapsed="1" x14ac:dyDescent="0.25">
      <c r="A41" t="s">
        <v>217</v>
      </c>
      <c r="B41" t="s">
        <v>218</v>
      </c>
      <c r="C41" t="s">
        <v>227</v>
      </c>
    </row>
    <row r="42" spans="1:3" hidden="1" outlineLevel="1" x14ac:dyDescent="0.25">
      <c r="B42" t="s">
        <v>219</v>
      </c>
    </row>
    <row r="43" spans="1:3" hidden="1" outlineLevel="1" x14ac:dyDescent="0.25"/>
    <row r="44" spans="1:3" hidden="1" outlineLevel="1" x14ac:dyDescent="0.25"/>
    <row r="45" spans="1:3" hidden="1" outlineLevel="1" x14ac:dyDescent="0.25"/>
    <row r="48" spans="1:3" collapsed="1" x14ac:dyDescent="0.25">
      <c r="A48" t="s">
        <v>139</v>
      </c>
    </row>
    <row r="49" spans="2:2" hidden="1" outlineLevel="1" collapsed="1" x14ac:dyDescent="0.25">
      <c r="B49" t="s">
        <v>225</v>
      </c>
    </row>
    <row r="50" spans="2:2" hidden="1" outlineLevel="2" x14ac:dyDescent="0.25">
      <c r="B50" t="s">
        <v>117</v>
      </c>
    </row>
    <row r="51" spans="2:2" hidden="1" outlineLevel="2" x14ac:dyDescent="0.25"/>
    <row r="52" spans="2:2" hidden="1" outlineLevel="2" x14ac:dyDescent="0.25">
      <c r="B52" t="s">
        <v>118</v>
      </c>
    </row>
    <row r="53" spans="2:2" hidden="1" outlineLevel="2" x14ac:dyDescent="0.25"/>
    <row r="54" spans="2:2" hidden="1" outlineLevel="2" x14ac:dyDescent="0.25">
      <c r="B54" t="s">
        <v>119</v>
      </c>
    </row>
    <row r="55" spans="2:2" hidden="1" outlineLevel="2" x14ac:dyDescent="0.25">
      <c r="B55" t="s">
        <v>120</v>
      </c>
    </row>
    <row r="56" spans="2:2" hidden="1" outlineLevel="2" x14ac:dyDescent="0.25">
      <c r="B56" t="s">
        <v>121</v>
      </c>
    </row>
    <row r="57" spans="2:2" hidden="1" outlineLevel="2" x14ac:dyDescent="0.25">
      <c r="B57" t="s">
        <v>122</v>
      </c>
    </row>
    <row r="58" spans="2:2" hidden="1" outlineLevel="2" x14ac:dyDescent="0.25">
      <c r="B58" t="s">
        <v>123</v>
      </c>
    </row>
    <row r="59" spans="2:2" hidden="1" outlineLevel="2" x14ac:dyDescent="0.25">
      <c r="B59" t="s">
        <v>124</v>
      </c>
    </row>
    <row r="60" spans="2:2" hidden="1" outlineLevel="2" x14ac:dyDescent="0.25"/>
    <row r="61" spans="2:2" hidden="1" outlineLevel="2" x14ac:dyDescent="0.25">
      <c r="B61" t="s">
        <v>125</v>
      </c>
    </row>
    <row r="62" spans="2:2" hidden="1" outlineLevel="2" x14ac:dyDescent="0.25">
      <c r="B62" t="s">
        <v>126</v>
      </c>
    </row>
    <row r="63" spans="2:2" hidden="1" outlineLevel="2" x14ac:dyDescent="0.25"/>
    <row r="64" spans="2:2" hidden="1" outlineLevel="2" x14ac:dyDescent="0.25">
      <c r="B64" t="s">
        <v>127</v>
      </c>
    </row>
    <row r="65" spans="2:3" hidden="1" outlineLevel="2" x14ac:dyDescent="0.25">
      <c r="B65" t="s">
        <v>128</v>
      </c>
    </row>
    <row r="66" spans="2:3" hidden="1" outlineLevel="2" x14ac:dyDescent="0.25">
      <c r="B66" t="s">
        <v>129</v>
      </c>
    </row>
    <row r="67" spans="2:3" hidden="1" outlineLevel="2" x14ac:dyDescent="0.25">
      <c r="B67" t="s">
        <v>130</v>
      </c>
    </row>
    <row r="68" spans="2:3" hidden="1" outlineLevel="2" x14ac:dyDescent="0.25">
      <c r="B68" t="s">
        <v>131</v>
      </c>
    </row>
    <row r="69" spans="2:3" hidden="1" outlineLevel="2" x14ac:dyDescent="0.25">
      <c r="B69" t="s">
        <v>132</v>
      </c>
    </row>
    <row r="70" spans="2:3" hidden="1" outlineLevel="2" x14ac:dyDescent="0.25">
      <c r="B70" t="s">
        <v>133</v>
      </c>
    </row>
    <row r="71" spans="2:3" hidden="1" outlineLevel="1" x14ac:dyDescent="0.25"/>
    <row r="72" spans="2:3" hidden="1" outlineLevel="1" collapsed="1" x14ac:dyDescent="0.25">
      <c r="B72" t="s">
        <v>140</v>
      </c>
    </row>
    <row r="73" spans="2:3" hidden="1" outlineLevel="2" x14ac:dyDescent="0.25">
      <c r="C73" t="s">
        <v>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C7FF-75F3-40F3-9B2F-D3EAF1CD8DB9}">
  <sheetPr codeName="I18N_Data"/>
  <dimension ref="A1:L114"/>
  <sheetViews>
    <sheetView topLeftCell="A24" workbookViewId="0">
      <selection activeCell="H44" sqref="H44"/>
    </sheetView>
  </sheetViews>
  <sheetFormatPr baseColWidth="10" defaultRowHeight="15" x14ac:dyDescent="0.25"/>
  <cols>
    <col min="1" max="1" width="20.7109375" bestFit="1" customWidth="1"/>
    <col min="3" max="3" width="12.5703125" bestFit="1" customWidth="1"/>
    <col min="4" max="4" width="11.28515625" bestFit="1" customWidth="1"/>
    <col min="7" max="7" width="25.42578125" bestFit="1" customWidth="1"/>
    <col min="8" max="8" width="24.5703125" bestFit="1" customWidth="1"/>
  </cols>
  <sheetData>
    <row r="1" spans="1:12" ht="17.25" customHeight="1" x14ac:dyDescent="0.25">
      <c r="J1" s="1" t="s">
        <v>11</v>
      </c>
      <c r="L1" t="s">
        <v>56</v>
      </c>
    </row>
    <row r="2" spans="1:12" ht="17.25" customHeight="1" x14ac:dyDescent="0.25"/>
    <row r="3" spans="1:1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11</v>
      </c>
      <c r="H3" t="s">
        <v>12</v>
      </c>
    </row>
    <row r="4" spans="1:12" x14ac:dyDescent="0.25">
      <c r="A4" s="2" t="s">
        <v>12</v>
      </c>
      <c r="B4" s="2"/>
      <c r="C4" s="2"/>
      <c r="D4" s="2"/>
      <c r="E4" s="2"/>
      <c r="F4" s="2"/>
      <c r="G4" s="2" t="s">
        <v>15</v>
      </c>
      <c r="H4" s="2" t="s">
        <v>13</v>
      </c>
    </row>
    <row r="5" spans="1:12" x14ac:dyDescent="0.25">
      <c r="A5" s="2" t="s">
        <v>11</v>
      </c>
      <c r="B5" s="2"/>
      <c r="C5" s="2"/>
      <c r="D5" s="2"/>
      <c r="E5" s="2"/>
      <c r="F5" s="2"/>
      <c r="G5" s="2" t="s">
        <v>16</v>
      </c>
      <c r="H5" s="2" t="s">
        <v>14</v>
      </c>
    </row>
    <row r="6" spans="1:12" x14ac:dyDescent="0.25">
      <c r="A6" s="2" t="s">
        <v>157</v>
      </c>
      <c r="B6" s="2"/>
      <c r="C6" s="3"/>
      <c r="D6" s="3"/>
      <c r="E6" s="2" t="s">
        <v>63</v>
      </c>
      <c r="F6" s="2" t="s">
        <v>63</v>
      </c>
      <c r="G6" s="2" t="s">
        <v>158</v>
      </c>
      <c r="H6" s="2" t="s">
        <v>159</v>
      </c>
    </row>
    <row r="7" spans="1:12" x14ac:dyDescent="0.25">
      <c r="A7" s="2" t="s">
        <v>160</v>
      </c>
      <c r="B7" s="2"/>
      <c r="C7" s="3"/>
      <c r="D7" s="3"/>
      <c r="E7" s="2"/>
      <c r="F7" s="2"/>
      <c r="G7" s="2" t="s">
        <v>161</v>
      </c>
      <c r="H7" s="2" t="s">
        <v>168</v>
      </c>
    </row>
    <row r="8" spans="1:12" x14ac:dyDescent="0.25">
      <c r="A8" s="2" t="s">
        <v>162</v>
      </c>
      <c r="B8" s="2"/>
      <c r="C8" s="3"/>
      <c r="D8" s="3"/>
      <c r="E8" s="2"/>
      <c r="F8" s="2"/>
      <c r="G8" s="2" t="s">
        <v>163</v>
      </c>
      <c r="H8" s="2" t="s">
        <v>164</v>
      </c>
    </row>
    <row r="9" spans="1:12" x14ac:dyDescent="0.25">
      <c r="A9" s="2" t="s">
        <v>167</v>
      </c>
      <c r="B9" s="2"/>
      <c r="C9" s="3"/>
      <c r="D9" s="3"/>
      <c r="E9" s="2"/>
      <c r="F9" s="2"/>
      <c r="G9" s="2" t="s">
        <v>169</v>
      </c>
      <c r="H9" s="2" t="s">
        <v>170</v>
      </c>
    </row>
    <row r="10" spans="1:12" x14ac:dyDescent="0.25">
      <c r="A10" s="2" t="s">
        <v>53</v>
      </c>
      <c r="B10" s="2" t="s">
        <v>165</v>
      </c>
      <c r="C10" s="3" t="s">
        <v>166</v>
      </c>
      <c r="D10" s="3"/>
      <c r="E10" s="2"/>
      <c r="F10" s="2"/>
      <c r="G10" s="2" t="str">
        <f xml:space="preserve"> "Version " &amp; tI18N[[#This Row],[Param1]] &amp; " - " &amp; tI18N[[#This Row],[Param2]]</f>
        <v>Version 01 - 10 12 15</v>
      </c>
      <c r="H10" s="2" t="str">
        <f xml:space="preserve"> "Version " &amp; tI18N[[#This Row],[Param1]] &amp; " du " &amp; tI18N[[#This Row],[Param2]]</f>
        <v>Version 01 du 10 12 15</v>
      </c>
    </row>
    <row r="11" spans="1:12" x14ac:dyDescent="0.25">
      <c r="A11" s="2" t="s">
        <v>57</v>
      </c>
      <c r="B11" s="2" t="s">
        <v>63</v>
      </c>
      <c r="C11" s="2" t="s">
        <v>63</v>
      </c>
      <c r="D11" s="2" t="s">
        <v>63</v>
      </c>
      <c r="E11" s="2" t="s">
        <v>63</v>
      </c>
      <c r="F11" s="2" t="s">
        <v>63</v>
      </c>
      <c r="G11" s="2" t="s">
        <v>58</v>
      </c>
      <c r="H11" s="2" t="s">
        <v>59</v>
      </c>
    </row>
    <row r="12" spans="1:12" x14ac:dyDescent="0.25">
      <c r="A12" s="2" t="s">
        <v>60</v>
      </c>
      <c r="B12" s="2" t="s">
        <v>63</v>
      </c>
      <c r="C12" s="2" t="s">
        <v>63</v>
      </c>
      <c r="D12" s="2" t="s">
        <v>63</v>
      </c>
      <c r="E12" s="2" t="s">
        <v>63</v>
      </c>
      <c r="F12" s="2" t="s">
        <v>63</v>
      </c>
      <c r="G12" s="2" t="s">
        <v>62</v>
      </c>
      <c r="H12" s="2" t="s">
        <v>61</v>
      </c>
    </row>
    <row r="13" spans="1:12" x14ac:dyDescent="0.25">
      <c r="A13" s="2" t="s">
        <v>49</v>
      </c>
      <c r="B13" s="2"/>
      <c r="C13" s="2"/>
      <c r="D13" s="2"/>
      <c r="E13" s="2"/>
      <c r="F13" s="2"/>
      <c r="G13" s="2" t="s">
        <v>6</v>
      </c>
      <c r="H13" s="2" t="s">
        <v>18</v>
      </c>
    </row>
    <row r="14" spans="1:12" x14ac:dyDescent="0.25">
      <c r="A14" s="2" t="s">
        <v>50</v>
      </c>
      <c r="B14" s="2"/>
      <c r="C14" s="2"/>
      <c r="D14" s="2"/>
      <c r="E14" s="2"/>
      <c r="F14" s="2"/>
      <c r="G14" s="2" t="s">
        <v>7</v>
      </c>
      <c r="H14" s="2" t="s">
        <v>7</v>
      </c>
    </row>
    <row r="15" spans="1:12" x14ac:dyDescent="0.25">
      <c r="A15" s="2" t="s">
        <v>51</v>
      </c>
      <c r="B15" s="2"/>
      <c r="C15" s="2"/>
      <c r="D15" s="2"/>
      <c r="E15" s="2"/>
      <c r="F15" s="2"/>
      <c r="G15" s="2" t="s">
        <v>8</v>
      </c>
      <c r="H15" s="2" t="s">
        <v>8</v>
      </c>
    </row>
    <row r="16" spans="1:12" x14ac:dyDescent="0.25">
      <c r="A16" s="2" t="s">
        <v>52</v>
      </c>
      <c r="B16" s="2"/>
      <c r="C16" s="2"/>
      <c r="D16" s="2"/>
      <c r="E16" s="2"/>
      <c r="F16" s="2"/>
      <c r="G16" s="2" t="s">
        <v>9</v>
      </c>
      <c r="H16" s="2" t="s">
        <v>17</v>
      </c>
    </row>
    <row r="17" spans="1:8" x14ac:dyDescent="0.25">
      <c r="A17" s="2" t="s">
        <v>10</v>
      </c>
      <c r="B17" s="2">
        <v>10</v>
      </c>
      <c r="C17" s="2"/>
      <c r="D17" s="2"/>
      <c r="E17" s="2"/>
      <c r="F17" s="2"/>
      <c r="G17" s="2" t="str">
        <f>"End after " &amp; TEXT(tI18N[[#This Row],[Param1]], "### ### ###") &amp; " second" &amp; IF(tI18N[[#This Row],[Param1]] &gt; 1, "s", "")</f>
        <v>End after 10 seconds</v>
      </c>
      <c r="H17" s="2" t="str">
        <f>"Terminé en " &amp; TEXT(tI18N[[#This Row],[Param1]], "### ### ###") &amp; " seconde" &amp; IF(tI18N[[#This Row],[Param1]] &gt; 1, "s", "")</f>
        <v>Terminé en 10 secondes</v>
      </c>
    </row>
    <row r="18" spans="1:8" x14ac:dyDescent="0.25">
      <c r="A18" s="2" t="s">
        <v>171</v>
      </c>
      <c r="B18" s="2"/>
      <c r="C18" s="2"/>
      <c r="D18" s="2"/>
      <c r="E18" s="2"/>
      <c r="F18" s="2"/>
      <c r="G18" s="2" t="s">
        <v>501</v>
      </c>
      <c r="H18" s="2" t="s">
        <v>239</v>
      </c>
    </row>
    <row r="19" spans="1:8" x14ac:dyDescent="0.25">
      <c r="A19" s="2" t="s">
        <v>172</v>
      </c>
      <c r="B19" s="2"/>
      <c r="C19" s="2"/>
      <c r="D19" s="2"/>
      <c r="E19" s="2"/>
      <c r="F19" s="2"/>
      <c r="G19" s="2" t="s">
        <v>174</v>
      </c>
      <c r="H19" s="2" t="s">
        <v>173</v>
      </c>
    </row>
    <row r="20" spans="1:8" x14ac:dyDescent="0.25">
      <c r="A20" s="2" t="s">
        <v>175</v>
      </c>
      <c r="B20" s="2"/>
      <c r="C20" s="2"/>
      <c r="D20" s="2"/>
      <c r="E20" s="2"/>
      <c r="F20" s="2"/>
      <c r="G20" s="2" t="s">
        <v>115</v>
      </c>
      <c r="H20" s="2" t="s">
        <v>65</v>
      </c>
    </row>
    <row r="21" spans="1:8" x14ac:dyDescent="0.25">
      <c r="A21" s="2" t="s">
        <v>75</v>
      </c>
      <c r="B21" s="2"/>
      <c r="C21" s="2"/>
      <c r="D21" s="2"/>
      <c r="E21" s="2"/>
      <c r="F21" s="2"/>
      <c r="G21" s="2" t="s">
        <v>76</v>
      </c>
      <c r="H21" s="2" t="s">
        <v>77</v>
      </c>
    </row>
    <row r="22" spans="1:8" x14ac:dyDescent="0.25">
      <c r="A22" s="2" t="s">
        <v>93</v>
      </c>
      <c r="B22" s="2"/>
      <c r="C22" s="2"/>
      <c r="D22" s="2"/>
      <c r="E22" s="2"/>
      <c r="F22" s="2"/>
      <c r="G22" s="2" t="s">
        <v>0</v>
      </c>
      <c r="H22" s="2" t="s">
        <v>0</v>
      </c>
    </row>
    <row r="23" spans="1:8" x14ac:dyDescent="0.25">
      <c r="A23" s="2" t="s">
        <v>73</v>
      </c>
      <c r="B23" s="2"/>
      <c r="C23" s="2"/>
      <c r="D23" s="2"/>
      <c r="E23" s="2"/>
      <c r="F23" s="2"/>
      <c r="G23" s="2" t="s">
        <v>20</v>
      </c>
      <c r="H23" s="2" t="s">
        <v>47</v>
      </c>
    </row>
    <row r="24" spans="1:8" x14ac:dyDescent="0.25">
      <c r="A24" s="2" t="s">
        <v>105</v>
      </c>
      <c r="B24" s="2"/>
      <c r="C24" s="2"/>
      <c r="D24" s="2"/>
      <c r="E24" s="2"/>
      <c r="F24" s="2"/>
      <c r="G24" s="2" t="s">
        <v>28</v>
      </c>
      <c r="H24" s="2" t="s">
        <v>107</v>
      </c>
    </row>
    <row r="25" spans="1:8" x14ac:dyDescent="0.25">
      <c r="A25" s="2" t="s">
        <v>103</v>
      </c>
      <c r="B25" s="2"/>
      <c r="C25" s="2"/>
      <c r="D25" s="2"/>
      <c r="E25" s="2"/>
      <c r="F25" s="2"/>
      <c r="G25" s="2" t="s">
        <v>104</v>
      </c>
      <c r="H25" s="2" t="s">
        <v>48</v>
      </c>
    </row>
    <row r="26" spans="1:8" x14ac:dyDescent="0.25">
      <c r="A26" s="2" t="s">
        <v>74</v>
      </c>
      <c r="B26" s="2"/>
      <c r="C26" s="2"/>
      <c r="D26" s="2"/>
      <c r="E26" s="2"/>
      <c r="F26" s="2"/>
      <c r="G26" s="2" t="s">
        <v>54</v>
      </c>
      <c r="H26" s="2" t="s">
        <v>55</v>
      </c>
    </row>
    <row r="27" spans="1:8" x14ac:dyDescent="0.25">
      <c r="A27" s="2" t="s">
        <v>87</v>
      </c>
      <c r="B27" s="2"/>
      <c r="C27" s="2"/>
      <c r="D27" s="2"/>
      <c r="E27" s="2"/>
      <c r="F27" s="2"/>
      <c r="G27" s="2" t="s">
        <v>88</v>
      </c>
      <c r="H27" s="2" t="s">
        <v>89</v>
      </c>
    </row>
    <row r="28" spans="1:8" x14ac:dyDescent="0.25">
      <c r="A28" s="2" t="s">
        <v>83</v>
      </c>
      <c r="B28" s="2"/>
      <c r="C28" s="2"/>
      <c r="D28" s="2"/>
      <c r="E28" s="2"/>
      <c r="F28" s="2"/>
      <c r="G28" s="2" t="s">
        <v>79</v>
      </c>
      <c r="H28" s="2" t="s">
        <v>81</v>
      </c>
    </row>
    <row r="29" spans="1:8" x14ac:dyDescent="0.25">
      <c r="A29" s="2" t="s">
        <v>78</v>
      </c>
      <c r="B29" s="2"/>
      <c r="C29" s="2"/>
      <c r="D29" s="2"/>
      <c r="E29" s="2"/>
      <c r="F29" s="2"/>
      <c r="G29" s="2" t="s">
        <v>80</v>
      </c>
      <c r="H29" s="2" t="s">
        <v>82</v>
      </c>
    </row>
    <row r="30" spans="1:8" x14ac:dyDescent="0.25">
      <c r="A30" s="27" t="s">
        <v>146</v>
      </c>
      <c r="B30" s="2"/>
      <c r="C30" s="2"/>
      <c r="D30" s="2"/>
      <c r="E30" s="2"/>
      <c r="F30" s="2"/>
      <c r="G30" s="2" t="s">
        <v>181</v>
      </c>
      <c r="H30" s="2" t="s">
        <v>182</v>
      </c>
    </row>
    <row r="31" spans="1:8" x14ac:dyDescent="0.25">
      <c r="A31" s="27" t="s">
        <v>147</v>
      </c>
      <c r="B31" s="2"/>
      <c r="C31" s="2"/>
      <c r="D31" s="2"/>
      <c r="E31" s="2"/>
      <c r="F31" s="2"/>
      <c r="G31" s="2" t="s">
        <v>45</v>
      </c>
      <c r="H31" s="2" t="s">
        <v>183</v>
      </c>
    </row>
    <row r="32" spans="1:8" x14ac:dyDescent="0.25">
      <c r="A32" s="27" t="s">
        <v>148</v>
      </c>
      <c r="B32" s="2"/>
      <c r="C32" s="2"/>
      <c r="D32" s="2"/>
      <c r="E32" s="2"/>
      <c r="F32" s="2"/>
      <c r="G32" s="2" t="s">
        <v>184</v>
      </c>
      <c r="H32" s="2" t="s">
        <v>185</v>
      </c>
    </row>
    <row r="33" spans="1:8" x14ac:dyDescent="0.25">
      <c r="A33" s="27" t="s">
        <v>180</v>
      </c>
      <c r="B33" s="2"/>
      <c r="C33" s="2"/>
      <c r="D33" s="2"/>
      <c r="E33" s="2"/>
      <c r="F33" s="2"/>
      <c r="G33" s="2" t="s">
        <v>186</v>
      </c>
      <c r="H33" s="2" t="s">
        <v>187</v>
      </c>
    </row>
    <row r="34" spans="1:8" x14ac:dyDescent="0.25">
      <c r="A34" s="27" t="s">
        <v>150</v>
      </c>
      <c r="B34" s="2"/>
      <c r="C34" s="2"/>
      <c r="D34" s="2"/>
      <c r="E34" s="2"/>
      <c r="F34" s="2"/>
      <c r="G34" s="2" t="s">
        <v>188</v>
      </c>
      <c r="H34" s="2" t="s">
        <v>190</v>
      </c>
    </row>
    <row r="35" spans="1:8" x14ac:dyDescent="0.25">
      <c r="A35" s="27" t="s">
        <v>151</v>
      </c>
      <c r="B35" s="2"/>
      <c r="C35" s="2"/>
      <c r="D35" s="2"/>
      <c r="E35" s="2"/>
      <c r="F35" s="2"/>
      <c r="G35" s="2" t="s">
        <v>189</v>
      </c>
      <c r="H35" s="2" t="s">
        <v>191</v>
      </c>
    </row>
    <row r="36" spans="1:8" x14ac:dyDescent="0.25">
      <c r="A36" s="2" t="s">
        <v>134</v>
      </c>
      <c r="B36" s="2"/>
      <c r="C36" s="2"/>
      <c r="D36" s="2"/>
      <c r="E36" s="2"/>
      <c r="F36" s="2"/>
      <c r="G36" s="2" t="s">
        <v>211</v>
      </c>
      <c r="H36" s="2" t="s">
        <v>192</v>
      </c>
    </row>
    <row r="37" spans="1:8" x14ac:dyDescent="0.25">
      <c r="A37" s="27" t="s">
        <v>201</v>
      </c>
      <c r="B37" s="2"/>
      <c r="C37" s="2"/>
      <c r="D37" s="2"/>
      <c r="E37" s="2"/>
      <c r="F37" s="2"/>
      <c r="G37" s="2" t="s">
        <v>19</v>
      </c>
      <c r="H37" s="2" t="s">
        <v>19</v>
      </c>
    </row>
    <row r="38" spans="1:8" x14ac:dyDescent="0.25">
      <c r="A38" s="27" t="s">
        <v>199</v>
      </c>
      <c r="B38" s="2"/>
      <c r="C38" s="2"/>
      <c r="D38" s="2"/>
      <c r="E38" s="2"/>
      <c r="F38" s="2"/>
      <c r="G38" s="2" t="s">
        <v>203</v>
      </c>
      <c r="H38" s="2" t="s">
        <v>202</v>
      </c>
    </row>
    <row r="39" spans="1:8" x14ac:dyDescent="0.25">
      <c r="A39" s="27" t="s">
        <v>200</v>
      </c>
      <c r="B39" s="2"/>
      <c r="C39" s="2"/>
      <c r="D39" s="2"/>
      <c r="E39" s="2"/>
      <c r="F39" s="2"/>
      <c r="G39" s="2" t="s">
        <v>34</v>
      </c>
      <c r="H39" s="2" t="s">
        <v>204</v>
      </c>
    </row>
    <row r="40" spans="1:8" x14ac:dyDescent="0.25">
      <c r="A40" s="37" t="s">
        <v>380</v>
      </c>
      <c r="B40" s="2"/>
      <c r="C40" s="2"/>
      <c r="D40" s="2"/>
      <c r="E40" s="2"/>
      <c r="F40" s="2"/>
      <c r="G40" s="2" t="s">
        <v>478</v>
      </c>
      <c r="H40" s="2" t="s">
        <v>17</v>
      </c>
    </row>
    <row r="41" spans="1:8" x14ac:dyDescent="0.25">
      <c r="A41" s="37" t="s">
        <v>381</v>
      </c>
      <c r="B41" s="2"/>
      <c r="C41" s="2"/>
      <c r="D41" s="2"/>
      <c r="E41" s="2"/>
      <c r="F41" s="2"/>
      <c r="G41" s="2" t="s">
        <v>479</v>
      </c>
      <c r="H41" s="2" t="s">
        <v>480</v>
      </c>
    </row>
    <row r="42" spans="1:8" x14ac:dyDescent="0.25">
      <c r="A42" s="36" t="s">
        <v>325</v>
      </c>
      <c r="B42" s="2"/>
      <c r="C42" s="2"/>
      <c r="D42" s="2"/>
      <c r="E42" s="2"/>
      <c r="F42" s="2"/>
      <c r="G42" s="2" t="s">
        <v>481</v>
      </c>
      <c r="H42" s="2" t="s">
        <v>482</v>
      </c>
    </row>
    <row r="43" spans="1:8" x14ac:dyDescent="0.25">
      <c r="A43" s="37" t="s">
        <v>458</v>
      </c>
      <c r="B43" s="2"/>
      <c r="C43" s="2"/>
      <c r="D43" s="2"/>
      <c r="E43" s="2"/>
      <c r="F43" s="2"/>
      <c r="G43" s="2" t="s">
        <v>483</v>
      </c>
      <c r="H43" s="43" t="s">
        <v>491</v>
      </c>
    </row>
    <row r="44" spans="1:8" x14ac:dyDescent="0.25">
      <c r="A44" s="37" t="s">
        <v>459</v>
      </c>
      <c r="B44" s="2"/>
      <c r="C44" s="2"/>
      <c r="D44" s="2"/>
      <c r="E44" s="2"/>
      <c r="F44" s="2"/>
      <c r="G44" s="2" t="s">
        <v>487</v>
      </c>
      <c r="H44" s="2" t="s">
        <v>489</v>
      </c>
    </row>
    <row r="45" spans="1:8" x14ac:dyDescent="0.25">
      <c r="A45" s="37" t="s">
        <v>460</v>
      </c>
      <c r="B45" s="2"/>
      <c r="C45" s="2"/>
      <c r="D45" s="2"/>
      <c r="E45" s="2"/>
      <c r="F45" s="2"/>
      <c r="G45" s="2" t="s">
        <v>484</v>
      </c>
      <c r="H45" s="43" t="s">
        <v>492</v>
      </c>
    </row>
    <row r="46" spans="1:8" x14ac:dyDescent="0.25">
      <c r="A46" s="37" t="s">
        <v>461</v>
      </c>
      <c r="B46" s="2"/>
      <c r="C46" s="2"/>
      <c r="D46" s="2"/>
      <c r="E46" s="2"/>
      <c r="F46" s="2"/>
      <c r="G46" s="2" t="s">
        <v>488</v>
      </c>
      <c r="H46" s="2" t="s">
        <v>490</v>
      </c>
    </row>
    <row r="47" spans="1:8" x14ac:dyDescent="0.25">
      <c r="A47" s="37" t="s">
        <v>462</v>
      </c>
      <c r="B47" s="2"/>
      <c r="C47" s="2"/>
      <c r="D47" s="2"/>
      <c r="E47" s="2"/>
      <c r="F47" s="2"/>
      <c r="G47" s="2" t="s">
        <v>493</v>
      </c>
      <c r="H47" s="2" t="s">
        <v>494</v>
      </c>
    </row>
    <row r="48" spans="1:8" x14ac:dyDescent="0.25">
      <c r="A48" s="37" t="s">
        <v>463</v>
      </c>
      <c r="B48" s="2"/>
      <c r="C48" s="2"/>
      <c r="D48" s="2"/>
      <c r="E48" s="2"/>
      <c r="F48" s="2"/>
      <c r="G48" s="2" t="s">
        <v>495</v>
      </c>
      <c r="H48" s="2" t="s">
        <v>496</v>
      </c>
    </row>
    <row r="49" spans="1:8" x14ac:dyDescent="0.25">
      <c r="A49" s="37" t="s">
        <v>464</v>
      </c>
      <c r="B49" s="2"/>
      <c r="C49" s="2"/>
      <c r="D49" s="2"/>
      <c r="E49" s="2"/>
      <c r="F49" s="2"/>
      <c r="G49" s="2" t="s">
        <v>485</v>
      </c>
      <c r="H49" s="2" t="s">
        <v>497</v>
      </c>
    </row>
    <row r="50" spans="1:8" x14ac:dyDescent="0.25">
      <c r="A50" s="37" t="s">
        <v>465</v>
      </c>
      <c r="B50" s="2"/>
      <c r="C50" s="2"/>
      <c r="D50" s="2"/>
      <c r="E50" s="2"/>
      <c r="F50" s="2"/>
      <c r="G50" s="2" t="s">
        <v>498</v>
      </c>
      <c r="H50" s="2" t="s">
        <v>499</v>
      </c>
    </row>
    <row r="51" spans="1:8" x14ac:dyDescent="0.25">
      <c r="A51" s="37" t="s">
        <v>466</v>
      </c>
      <c r="B51" s="2"/>
      <c r="C51" s="2"/>
      <c r="D51" s="2"/>
      <c r="E51" s="2"/>
      <c r="F51" s="2"/>
      <c r="G51" s="2" t="s">
        <v>486</v>
      </c>
      <c r="H51" s="2" t="s">
        <v>500</v>
      </c>
    </row>
    <row r="52" spans="1:8" x14ac:dyDescent="0.25">
      <c r="A52" s="37" t="s">
        <v>467</v>
      </c>
      <c r="B52" s="2"/>
      <c r="C52" s="2"/>
      <c r="D52" s="2"/>
      <c r="E52" s="2"/>
      <c r="F52" s="2"/>
      <c r="G52" s="37" t="s">
        <v>467</v>
      </c>
      <c r="H52" s="37" t="s">
        <v>467</v>
      </c>
    </row>
    <row r="53" spans="1:8" x14ac:dyDescent="0.25">
      <c r="A53" s="37" t="s">
        <v>468</v>
      </c>
      <c r="B53" s="2"/>
      <c r="C53" s="2"/>
      <c r="D53" s="2"/>
      <c r="E53" s="2"/>
      <c r="F53" s="2"/>
      <c r="G53" s="37" t="s">
        <v>468</v>
      </c>
      <c r="H53" s="37" t="s">
        <v>468</v>
      </c>
    </row>
    <row r="54" spans="1:8" x14ac:dyDescent="0.25">
      <c r="A54" s="37" t="s">
        <v>469</v>
      </c>
      <c r="B54" s="2"/>
      <c r="C54" s="2"/>
      <c r="D54" s="2"/>
      <c r="E54" s="2"/>
      <c r="F54" s="2"/>
      <c r="G54" s="37" t="s">
        <v>469</v>
      </c>
      <c r="H54" s="37" t="s">
        <v>469</v>
      </c>
    </row>
    <row r="55" spans="1:8" x14ac:dyDescent="0.25">
      <c r="A55" s="37" t="s">
        <v>470</v>
      </c>
      <c r="B55" s="2"/>
      <c r="C55" s="2"/>
      <c r="D55" s="2"/>
      <c r="E55" s="2"/>
      <c r="F55" s="2"/>
      <c r="G55" s="37" t="s">
        <v>470</v>
      </c>
      <c r="H55" s="37" t="s">
        <v>470</v>
      </c>
    </row>
    <row r="56" spans="1:8" x14ac:dyDescent="0.25">
      <c r="A56" s="37" t="s">
        <v>471</v>
      </c>
      <c r="B56" s="2"/>
      <c r="C56" s="2"/>
      <c r="D56" s="2"/>
      <c r="E56" s="2"/>
      <c r="F56" s="2"/>
      <c r="G56" s="37" t="s">
        <v>471</v>
      </c>
      <c r="H56" s="37" t="s">
        <v>471</v>
      </c>
    </row>
    <row r="57" spans="1:8" x14ac:dyDescent="0.25">
      <c r="A57" s="37" t="s">
        <v>472</v>
      </c>
      <c r="B57" s="2"/>
      <c r="C57" s="2"/>
      <c r="D57" s="2"/>
      <c r="E57" s="2"/>
      <c r="F57" s="2"/>
      <c r="G57" s="37" t="s">
        <v>472</v>
      </c>
      <c r="H57" s="37" t="s">
        <v>472</v>
      </c>
    </row>
    <row r="58" spans="1:8" x14ac:dyDescent="0.25">
      <c r="A58" s="37" t="s">
        <v>473</v>
      </c>
      <c r="B58" s="2"/>
      <c r="C58" s="2"/>
      <c r="D58" s="2"/>
      <c r="E58" s="2"/>
      <c r="F58" s="2"/>
      <c r="G58" s="37" t="s">
        <v>473</v>
      </c>
      <c r="H58" s="37" t="s">
        <v>473</v>
      </c>
    </row>
    <row r="59" spans="1:8" x14ac:dyDescent="0.25">
      <c r="A59" s="37" t="s">
        <v>474</v>
      </c>
      <c r="B59" s="2"/>
      <c r="C59" s="2"/>
      <c r="D59" s="2"/>
      <c r="E59" s="2"/>
      <c r="F59" s="2"/>
      <c r="G59" s="37" t="s">
        <v>474</v>
      </c>
      <c r="H59" s="37" t="s">
        <v>474</v>
      </c>
    </row>
    <row r="60" spans="1:8" x14ac:dyDescent="0.25">
      <c r="A60" s="37" t="s">
        <v>475</v>
      </c>
      <c r="B60" s="2"/>
      <c r="C60" s="2"/>
      <c r="D60" s="2"/>
      <c r="E60" s="2"/>
      <c r="F60" s="2"/>
      <c r="G60" s="37" t="s">
        <v>475</v>
      </c>
      <c r="H60" s="37" t="s">
        <v>475</v>
      </c>
    </row>
    <row r="61" spans="1:8" x14ac:dyDescent="0.25">
      <c r="A61" s="37" t="s">
        <v>476</v>
      </c>
      <c r="B61" s="2"/>
      <c r="C61" s="2"/>
      <c r="D61" s="2"/>
      <c r="E61" s="2"/>
      <c r="F61" s="2"/>
      <c r="G61" s="37" t="s">
        <v>476</v>
      </c>
      <c r="H61" s="37" t="s">
        <v>476</v>
      </c>
    </row>
    <row r="62" spans="1:8" x14ac:dyDescent="0.25">
      <c r="A62" s="37" t="s">
        <v>477</v>
      </c>
      <c r="B62" s="2"/>
      <c r="C62" s="2"/>
      <c r="D62" s="2"/>
      <c r="E62" s="2"/>
      <c r="F62" s="2"/>
      <c r="G62" s="37" t="s">
        <v>477</v>
      </c>
      <c r="H62" s="37" t="s">
        <v>477</v>
      </c>
    </row>
    <row r="63" spans="1:8" x14ac:dyDescent="0.25">
      <c r="A63" s="36" t="s">
        <v>326</v>
      </c>
      <c r="B63" s="2"/>
      <c r="C63" s="2"/>
      <c r="D63" s="2"/>
      <c r="E63" s="2"/>
      <c r="F63" s="2"/>
      <c r="G63" s="36" t="s">
        <v>326</v>
      </c>
      <c r="H63" s="36" t="s">
        <v>326</v>
      </c>
    </row>
    <row r="64" spans="1:8" x14ac:dyDescent="0.25">
      <c r="A64" s="36" t="s">
        <v>327</v>
      </c>
      <c r="B64" s="2"/>
      <c r="C64" s="2"/>
      <c r="D64" s="2"/>
      <c r="E64" s="2"/>
      <c r="F64" s="2"/>
      <c r="G64" s="36" t="s">
        <v>327</v>
      </c>
      <c r="H64" s="36" t="s">
        <v>327</v>
      </c>
    </row>
    <row r="65" spans="1:8" x14ac:dyDescent="0.25">
      <c r="A65" s="37" t="s">
        <v>415</v>
      </c>
      <c r="B65" s="2"/>
      <c r="C65" s="2"/>
      <c r="D65" s="2"/>
      <c r="E65" s="2"/>
      <c r="F65" s="2"/>
      <c r="G65" s="37" t="s">
        <v>415</v>
      </c>
      <c r="H65" s="37" t="s">
        <v>415</v>
      </c>
    </row>
    <row r="66" spans="1:8" x14ac:dyDescent="0.25">
      <c r="A66" s="37" t="s">
        <v>416</v>
      </c>
      <c r="B66" s="2"/>
      <c r="C66" s="2"/>
      <c r="D66" s="2"/>
      <c r="E66" s="2"/>
      <c r="F66" s="2"/>
      <c r="G66" s="37" t="s">
        <v>416</v>
      </c>
      <c r="H66" s="37" t="s">
        <v>416</v>
      </c>
    </row>
    <row r="67" spans="1:8" x14ac:dyDescent="0.25">
      <c r="A67" s="37" t="s">
        <v>417</v>
      </c>
      <c r="B67" s="2"/>
      <c r="C67" s="2"/>
      <c r="D67" s="2"/>
      <c r="E67" s="2"/>
      <c r="F67" s="2"/>
      <c r="G67" s="37" t="s">
        <v>417</v>
      </c>
      <c r="H67" s="37" t="s">
        <v>417</v>
      </c>
    </row>
    <row r="68" spans="1:8" x14ac:dyDescent="0.25">
      <c r="A68" s="37" t="s">
        <v>418</v>
      </c>
      <c r="B68" s="2"/>
      <c r="C68" s="2"/>
      <c r="D68" s="2"/>
      <c r="E68" s="2"/>
      <c r="F68" s="2"/>
      <c r="G68" s="37" t="s">
        <v>418</v>
      </c>
      <c r="H68" s="37" t="s">
        <v>418</v>
      </c>
    </row>
    <row r="69" spans="1:8" x14ac:dyDescent="0.25">
      <c r="A69" s="36" t="s">
        <v>328</v>
      </c>
      <c r="B69" s="2"/>
      <c r="C69" s="2"/>
      <c r="D69" s="2"/>
      <c r="E69" s="2"/>
      <c r="F69" s="2"/>
      <c r="G69" s="36" t="s">
        <v>328</v>
      </c>
      <c r="H69" s="36" t="s">
        <v>328</v>
      </c>
    </row>
    <row r="70" spans="1:8" x14ac:dyDescent="0.25">
      <c r="A70" s="37" t="s">
        <v>419</v>
      </c>
      <c r="B70" s="2"/>
      <c r="C70" s="2"/>
      <c r="D70" s="2"/>
      <c r="E70" s="2"/>
      <c r="F70" s="2"/>
      <c r="G70" s="37" t="s">
        <v>419</v>
      </c>
      <c r="H70" s="37" t="s">
        <v>419</v>
      </c>
    </row>
    <row r="71" spans="1:8" x14ac:dyDescent="0.25">
      <c r="A71" s="37" t="s">
        <v>420</v>
      </c>
      <c r="B71" s="2"/>
      <c r="C71" s="2"/>
      <c r="D71" s="2"/>
      <c r="E71" s="2"/>
      <c r="F71" s="2"/>
      <c r="G71" s="37" t="s">
        <v>420</v>
      </c>
      <c r="H71" s="37" t="s">
        <v>420</v>
      </c>
    </row>
    <row r="72" spans="1:8" x14ac:dyDescent="0.25">
      <c r="A72" s="37" t="s">
        <v>421</v>
      </c>
      <c r="B72" s="2"/>
      <c r="C72" s="2"/>
      <c r="D72" s="2"/>
      <c r="E72" s="2"/>
      <c r="F72" s="2"/>
      <c r="G72" s="37" t="s">
        <v>421</v>
      </c>
      <c r="H72" s="37" t="s">
        <v>421</v>
      </c>
    </row>
    <row r="73" spans="1:8" x14ac:dyDescent="0.25">
      <c r="A73" s="37" t="s">
        <v>422</v>
      </c>
      <c r="B73" s="2"/>
      <c r="C73" s="2"/>
      <c r="D73" s="2"/>
      <c r="E73" s="2"/>
      <c r="F73" s="2"/>
      <c r="G73" s="37" t="s">
        <v>422</v>
      </c>
      <c r="H73" s="37" t="s">
        <v>422</v>
      </c>
    </row>
    <row r="74" spans="1:8" x14ac:dyDescent="0.25">
      <c r="A74" s="36" t="s">
        <v>329</v>
      </c>
      <c r="B74" s="2"/>
      <c r="C74" s="2"/>
      <c r="D74" s="2"/>
      <c r="E74" s="2"/>
      <c r="F74" s="2"/>
      <c r="G74" s="36" t="s">
        <v>329</v>
      </c>
      <c r="H74" s="36" t="s">
        <v>329</v>
      </c>
    </row>
    <row r="75" spans="1:8" x14ac:dyDescent="0.25">
      <c r="A75" s="37" t="s">
        <v>253</v>
      </c>
      <c r="B75" s="2"/>
      <c r="C75" s="2"/>
      <c r="D75" s="2"/>
      <c r="E75" s="2"/>
      <c r="F75" s="2"/>
      <c r="G75" s="37" t="s">
        <v>253</v>
      </c>
      <c r="H75" s="37" t="s">
        <v>253</v>
      </c>
    </row>
    <row r="76" spans="1:8" x14ac:dyDescent="0.25">
      <c r="A76" s="37" t="s">
        <v>423</v>
      </c>
      <c r="B76" s="2"/>
      <c r="C76" s="2"/>
      <c r="D76" s="2"/>
      <c r="E76" s="2"/>
      <c r="F76" s="2"/>
      <c r="G76" s="37" t="s">
        <v>423</v>
      </c>
      <c r="H76" s="37" t="s">
        <v>423</v>
      </c>
    </row>
    <row r="77" spans="1:8" x14ac:dyDescent="0.25">
      <c r="A77" s="37" t="s">
        <v>424</v>
      </c>
      <c r="B77" s="2"/>
      <c r="C77" s="2"/>
      <c r="D77" s="2"/>
      <c r="E77" s="2"/>
      <c r="F77" s="2"/>
      <c r="G77" s="37" t="s">
        <v>424</v>
      </c>
      <c r="H77" s="37" t="s">
        <v>424</v>
      </c>
    </row>
    <row r="78" spans="1:8" x14ac:dyDescent="0.25">
      <c r="A78" s="36" t="s">
        <v>366</v>
      </c>
      <c r="B78" s="2"/>
      <c r="C78" s="2"/>
      <c r="D78" s="2"/>
      <c r="E78" s="2"/>
      <c r="F78" s="2"/>
      <c r="G78" s="36" t="s">
        <v>366</v>
      </c>
      <c r="H78" s="36" t="s">
        <v>366</v>
      </c>
    </row>
    <row r="79" spans="1:8" x14ac:dyDescent="0.25">
      <c r="A79" s="37" t="s">
        <v>425</v>
      </c>
      <c r="B79" s="2"/>
      <c r="C79" s="2"/>
      <c r="D79" s="2"/>
      <c r="E79" s="2"/>
      <c r="F79" s="2"/>
      <c r="G79" s="37" t="s">
        <v>425</v>
      </c>
      <c r="H79" s="37" t="s">
        <v>425</v>
      </c>
    </row>
    <row r="80" spans="1:8" x14ac:dyDescent="0.25">
      <c r="A80" s="37" t="s">
        <v>444</v>
      </c>
      <c r="B80" s="2"/>
      <c r="C80" s="2"/>
      <c r="D80" s="2"/>
      <c r="E80" s="2"/>
      <c r="F80" s="2"/>
      <c r="G80" s="37" t="s">
        <v>444</v>
      </c>
      <c r="H80" s="37" t="s">
        <v>444</v>
      </c>
    </row>
    <row r="81" spans="1:8" x14ac:dyDescent="0.25">
      <c r="A81" s="37" t="s">
        <v>426</v>
      </c>
      <c r="B81" s="2"/>
      <c r="C81" s="2"/>
      <c r="D81" s="2"/>
      <c r="E81" s="2"/>
      <c r="F81" s="2"/>
      <c r="G81" s="37" t="s">
        <v>426</v>
      </c>
      <c r="H81" s="37" t="s">
        <v>426</v>
      </c>
    </row>
    <row r="82" spans="1:8" x14ac:dyDescent="0.25">
      <c r="A82" s="37" t="s">
        <v>457</v>
      </c>
      <c r="B82" s="2"/>
      <c r="C82" s="2"/>
      <c r="D82" s="2"/>
      <c r="E82" s="2"/>
      <c r="F82" s="2"/>
      <c r="G82" s="37" t="s">
        <v>457</v>
      </c>
      <c r="H82" s="37" t="s">
        <v>457</v>
      </c>
    </row>
    <row r="83" spans="1:8" x14ac:dyDescent="0.25">
      <c r="A83" s="37" t="s">
        <v>427</v>
      </c>
      <c r="B83" s="2"/>
      <c r="C83" s="2"/>
      <c r="D83" s="2"/>
      <c r="E83" s="2"/>
      <c r="F83" s="2"/>
      <c r="G83" s="37" t="s">
        <v>427</v>
      </c>
      <c r="H83" s="37" t="s">
        <v>427</v>
      </c>
    </row>
    <row r="84" spans="1:8" x14ac:dyDescent="0.25">
      <c r="A84" s="37" t="s">
        <v>445</v>
      </c>
      <c r="B84" s="2"/>
      <c r="C84" s="2"/>
      <c r="D84" s="2"/>
      <c r="E84" s="2"/>
      <c r="F84" s="2"/>
      <c r="G84" s="37" t="s">
        <v>445</v>
      </c>
      <c r="H84" s="37" t="s">
        <v>445</v>
      </c>
    </row>
    <row r="85" spans="1:8" x14ac:dyDescent="0.25">
      <c r="A85" s="37" t="s">
        <v>428</v>
      </c>
      <c r="B85" s="2"/>
      <c r="C85" s="2"/>
      <c r="D85" s="2"/>
      <c r="E85" s="2"/>
      <c r="F85" s="2"/>
      <c r="G85" s="37" t="s">
        <v>428</v>
      </c>
      <c r="H85" s="37" t="s">
        <v>428</v>
      </c>
    </row>
    <row r="86" spans="1:8" x14ac:dyDescent="0.25">
      <c r="A86" s="37" t="s">
        <v>429</v>
      </c>
      <c r="B86" s="2"/>
      <c r="C86" s="2"/>
      <c r="D86" s="2"/>
      <c r="E86" s="2"/>
      <c r="F86" s="2"/>
      <c r="G86" s="37" t="s">
        <v>429</v>
      </c>
      <c r="H86" s="37" t="s">
        <v>429</v>
      </c>
    </row>
    <row r="87" spans="1:8" x14ac:dyDescent="0.25">
      <c r="A87" s="37" t="s">
        <v>430</v>
      </c>
      <c r="B87" s="2"/>
      <c r="C87" s="2"/>
      <c r="D87" s="2"/>
      <c r="E87" s="2"/>
      <c r="F87" s="2"/>
      <c r="G87" s="37" t="s">
        <v>430</v>
      </c>
      <c r="H87" s="37" t="s">
        <v>430</v>
      </c>
    </row>
    <row r="88" spans="1:8" x14ac:dyDescent="0.25">
      <c r="A88" s="37" t="s">
        <v>431</v>
      </c>
      <c r="B88" s="2"/>
      <c r="C88" s="2"/>
      <c r="D88" s="2"/>
      <c r="E88" s="2"/>
      <c r="F88" s="2"/>
      <c r="G88" s="37" t="s">
        <v>431</v>
      </c>
      <c r="H88" s="37" t="s">
        <v>431</v>
      </c>
    </row>
    <row r="89" spans="1:8" x14ac:dyDescent="0.25">
      <c r="A89" s="37" t="s">
        <v>446</v>
      </c>
      <c r="B89" s="2"/>
      <c r="C89" s="2"/>
      <c r="D89" s="2"/>
      <c r="E89" s="2"/>
      <c r="F89" s="2"/>
      <c r="G89" s="37" t="s">
        <v>446</v>
      </c>
      <c r="H89" s="37" t="s">
        <v>446</v>
      </c>
    </row>
    <row r="90" spans="1:8" x14ac:dyDescent="0.25">
      <c r="A90" s="37" t="s">
        <v>432</v>
      </c>
      <c r="B90" s="2"/>
      <c r="C90" s="2"/>
      <c r="D90" s="2"/>
      <c r="E90" s="2"/>
      <c r="F90" s="2"/>
      <c r="G90" s="37" t="s">
        <v>432</v>
      </c>
      <c r="H90" s="37" t="s">
        <v>432</v>
      </c>
    </row>
    <row r="91" spans="1:8" x14ac:dyDescent="0.25">
      <c r="A91" s="37" t="s">
        <v>447</v>
      </c>
      <c r="B91" s="2"/>
      <c r="C91" s="2"/>
      <c r="D91" s="2"/>
      <c r="E91" s="2"/>
      <c r="F91" s="2"/>
      <c r="G91" s="37" t="s">
        <v>447</v>
      </c>
      <c r="H91" s="37" t="s">
        <v>447</v>
      </c>
    </row>
    <row r="92" spans="1:8" x14ac:dyDescent="0.25">
      <c r="A92" s="37" t="s">
        <v>433</v>
      </c>
      <c r="B92" s="2"/>
      <c r="C92" s="2"/>
      <c r="D92" s="2"/>
      <c r="E92" s="2"/>
      <c r="F92" s="2"/>
      <c r="G92" s="37" t="s">
        <v>433</v>
      </c>
      <c r="H92" s="37" t="s">
        <v>433</v>
      </c>
    </row>
    <row r="93" spans="1:8" x14ac:dyDescent="0.25">
      <c r="A93" s="37" t="s">
        <v>434</v>
      </c>
      <c r="B93" s="2"/>
      <c r="C93" s="2"/>
      <c r="D93" s="2"/>
      <c r="E93" s="2"/>
      <c r="F93" s="2"/>
      <c r="G93" s="37" t="s">
        <v>434</v>
      </c>
      <c r="H93" s="37" t="s">
        <v>434</v>
      </c>
    </row>
    <row r="94" spans="1:8" x14ac:dyDescent="0.25">
      <c r="A94" s="37" t="s">
        <v>448</v>
      </c>
      <c r="B94" s="2"/>
      <c r="C94" s="2"/>
      <c r="D94" s="2"/>
      <c r="E94" s="2"/>
      <c r="F94" s="2"/>
      <c r="G94" s="37" t="s">
        <v>448</v>
      </c>
      <c r="H94" s="37" t="s">
        <v>448</v>
      </c>
    </row>
    <row r="95" spans="1:8" x14ac:dyDescent="0.25">
      <c r="A95" s="37" t="s">
        <v>435</v>
      </c>
      <c r="B95" s="2"/>
      <c r="C95" s="2"/>
      <c r="D95" s="2"/>
      <c r="E95" s="2"/>
      <c r="F95" s="2"/>
      <c r="G95" s="37" t="s">
        <v>435</v>
      </c>
      <c r="H95" s="37" t="s">
        <v>435</v>
      </c>
    </row>
    <row r="96" spans="1:8" x14ac:dyDescent="0.25">
      <c r="A96" s="37" t="s">
        <v>436</v>
      </c>
      <c r="B96" s="2"/>
      <c r="C96" s="2"/>
      <c r="D96" s="2"/>
      <c r="E96" s="2"/>
      <c r="F96" s="2"/>
      <c r="G96" s="37" t="s">
        <v>436</v>
      </c>
      <c r="H96" s="37" t="s">
        <v>436</v>
      </c>
    </row>
    <row r="97" spans="1:8" x14ac:dyDescent="0.25">
      <c r="A97" s="37" t="s">
        <v>437</v>
      </c>
      <c r="B97" s="2"/>
      <c r="C97" s="2"/>
      <c r="D97" s="2"/>
      <c r="E97" s="2"/>
      <c r="F97" s="2"/>
      <c r="G97" s="37" t="s">
        <v>437</v>
      </c>
      <c r="H97" s="37" t="s">
        <v>437</v>
      </c>
    </row>
    <row r="98" spans="1:8" x14ac:dyDescent="0.25">
      <c r="A98" s="37" t="s">
        <v>438</v>
      </c>
      <c r="B98" s="2"/>
      <c r="C98" s="2"/>
      <c r="D98" s="2"/>
      <c r="E98" s="2"/>
      <c r="F98" s="2"/>
      <c r="G98" s="37" t="s">
        <v>438</v>
      </c>
      <c r="H98" s="37" t="s">
        <v>438</v>
      </c>
    </row>
    <row r="99" spans="1:8" x14ac:dyDescent="0.25">
      <c r="A99" s="36" t="s">
        <v>367</v>
      </c>
      <c r="B99" s="2"/>
      <c r="C99" s="2"/>
      <c r="D99" s="2"/>
      <c r="E99" s="2"/>
      <c r="F99" s="2"/>
      <c r="G99" s="36" t="s">
        <v>367</v>
      </c>
      <c r="H99" s="36" t="s">
        <v>367</v>
      </c>
    </row>
    <row r="100" spans="1:8" x14ac:dyDescent="0.25">
      <c r="A100" s="37" t="s">
        <v>439</v>
      </c>
      <c r="B100" s="2"/>
      <c r="C100" s="2"/>
      <c r="D100" s="2"/>
      <c r="E100" s="2"/>
      <c r="F100" s="2"/>
      <c r="G100" s="37" t="s">
        <v>439</v>
      </c>
      <c r="H100" s="37" t="s">
        <v>439</v>
      </c>
    </row>
    <row r="101" spans="1:8" x14ac:dyDescent="0.25">
      <c r="A101" s="37" t="s">
        <v>440</v>
      </c>
      <c r="B101" s="2"/>
      <c r="C101" s="2"/>
      <c r="D101" s="2"/>
      <c r="E101" s="2"/>
      <c r="F101" s="2"/>
      <c r="G101" s="37" t="s">
        <v>440</v>
      </c>
      <c r="H101" s="37" t="s">
        <v>440</v>
      </c>
    </row>
    <row r="102" spans="1:8" x14ac:dyDescent="0.25">
      <c r="A102" s="37" t="s">
        <v>441</v>
      </c>
      <c r="B102" s="2"/>
      <c r="C102" s="2"/>
      <c r="D102" s="2"/>
      <c r="E102" s="2"/>
      <c r="F102" s="2"/>
      <c r="G102" s="37" t="s">
        <v>441</v>
      </c>
      <c r="H102" s="37" t="s">
        <v>441</v>
      </c>
    </row>
    <row r="103" spans="1:8" x14ac:dyDescent="0.25">
      <c r="A103" s="36" t="s">
        <v>368</v>
      </c>
      <c r="B103" s="2"/>
      <c r="C103" s="2"/>
      <c r="D103" s="2"/>
      <c r="E103" s="2"/>
      <c r="F103" s="2"/>
      <c r="G103" s="36" t="s">
        <v>368</v>
      </c>
      <c r="H103" s="36" t="s">
        <v>368</v>
      </c>
    </row>
    <row r="104" spans="1:8" x14ac:dyDescent="0.25">
      <c r="A104" s="37" t="s">
        <v>442</v>
      </c>
      <c r="B104" s="2"/>
      <c r="C104" s="2"/>
      <c r="D104" s="2"/>
      <c r="E104" s="2"/>
      <c r="F104" s="2"/>
      <c r="G104" s="37" t="s">
        <v>442</v>
      </c>
      <c r="H104" s="37" t="s">
        <v>442</v>
      </c>
    </row>
    <row r="105" spans="1:8" x14ac:dyDescent="0.25">
      <c r="A105" s="37" t="s">
        <v>449</v>
      </c>
      <c r="B105" s="2"/>
      <c r="C105" s="2"/>
      <c r="D105" s="2"/>
      <c r="E105" s="2"/>
      <c r="F105" s="2"/>
      <c r="G105" s="37" t="s">
        <v>449</v>
      </c>
      <c r="H105" s="37" t="s">
        <v>449</v>
      </c>
    </row>
    <row r="106" spans="1:8" x14ac:dyDescent="0.25">
      <c r="A106" s="37" t="s">
        <v>455</v>
      </c>
      <c r="B106" s="2"/>
      <c r="C106" s="2"/>
      <c r="D106" s="2"/>
      <c r="E106" s="2"/>
      <c r="F106" s="2"/>
      <c r="G106" s="37" t="s">
        <v>455</v>
      </c>
      <c r="H106" s="37" t="s">
        <v>455</v>
      </c>
    </row>
    <row r="107" spans="1:8" x14ac:dyDescent="0.25">
      <c r="A107" s="37" t="s">
        <v>456</v>
      </c>
      <c r="B107" s="2"/>
      <c r="C107" s="2"/>
      <c r="D107" s="2"/>
      <c r="E107" s="2"/>
      <c r="F107" s="2"/>
      <c r="G107" s="37" t="s">
        <v>456</v>
      </c>
      <c r="H107" s="37" t="s">
        <v>456</v>
      </c>
    </row>
    <row r="108" spans="1:8" x14ac:dyDescent="0.25">
      <c r="A108" s="37" t="s">
        <v>450</v>
      </c>
      <c r="B108" s="2"/>
      <c r="C108" s="2"/>
      <c r="D108" s="2"/>
      <c r="E108" s="2"/>
      <c r="F108" s="2"/>
      <c r="G108" s="37" t="s">
        <v>450</v>
      </c>
      <c r="H108" s="37" t="s">
        <v>450</v>
      </c>
    </row>
    <row r="109" spans="1:8" x14ac:dyDescent="0.25">
      <c r="A109" s="36" t="s">
        <v>369</v>
      </c>
      <c r="B109" s="2"/>
      <c r="C109" s="2"/>
      <c r="D109" s="2"/>
      <c r="E109" s="2"/>
      <c r="F109" s="2"/>
      <c r="G109" s="36" t="s">
        <v>369</v>
      </c>
      <c r="H109" s="36" t="s">
        <v>369</v>
      </c>
    </row>
    <row r="110" spans="1:8" x14ac:dyDescent="0.25">
      <c r="A110" s="37" t="s">
        <v>443</v>
      </c>
      <c r="B110" s="2"/>
      <c r="C110" s="2"/>
      <c r="D110" s="2"/>
      <c r="E110" s="2"/>
      <c r="F110" s="2"/>
      <c r="G110" s="37" t="s">
        <v>443</v>
      </c>
      <c r="H110" s="37" t="s">
        <v>443</v>
      </c>
    </row>
    <row r="111" spans="1:8" x14ac:dyDescent="0.25">
      <c r="A111" s="37" t="s">
        <v>451</v>
      </c>
      <c r="B111" s="2"/>
      <c r="C111" s="2"/>
      <c r="D111" s="2"/>
      <c r="E111" s="2"/>
      <c r="F111" s="2"/>
      <c r="G111" s="37" t="s">
        <v>451</v>
      </c>
      <c r="H111" s="37" t="s">
        <v>451</v>
      </c>
    </row>
    <row r="112" spans="1:8" x14ac:dyDescent="0.25">
      <c r="A112" s="37" t="s">
        <v>452</v>
      </c>
      <c r="B112" s="2"/>
      <c r="C112" s="2"/>
      <c r="D112" s="2"/>
      <c r="E112" s="2"/>
      <c r="F112" s="2"/>
      <c r="G112" s="37" t="s">
        <v>452</v>
      </c>
      <c r="H112" s="37" t="s">
        <v>452</v>
      </c>
    </row>
    <row r="113" spans="1:8" x14ac:dyDescent="0.25">
      <c r="A113" s="37" t="s">
        <v>453</v>
      </c>
      <c r="B113" s="2"/>
      <c r="C113" s="2"/>
      <c r="D113" s="2"/>
      <c r="E113" s="2"/>
      <c r="F113" s="2"/>
      <c r="G113" s="37" t="s">
        <v>453</v>
      </c>
      <c r="H113" s="37" t="s">
        <v>453</v>
      </c>
    </row>
    <row r="114" spans="1:8" x14ac:dyDescent="0.25">
      <c r="A114" s="37" t="s">
        <v>454</v>
      </c>
      <c r="B114" s="2"/>
      <c r="C114" s="2"/>
      <c r="D114" s="2"/>
      <c r="E114" s="2"/>
      <c r="F114" s="2"/>
      <c r="G114" s="37" t="s">
        <v>454</v>
      </c>
      <c r="H114" s="37" t="s">
        <v>454</v>
      </c>
    </row>
  </sheetData>
  <phoneticPr fontId="1" type="noConversion"/>
  <dataValidations count="1">
    <dataValidation type="list" showInputMessage="1" promptTitle="Language" prompt="Choose a language" sqref="J1" xr:uid="{CCB1E06A-8CCF-4F7B-9486-14BD9D80E745}">
      <formula1>"en_US,fr_FR"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D0AF-103F-435D-B985-1FB32C40F8E2}">
  <sheetPr codeName="Feuil7"/>
  <dimension ref="B1:Q91"/>
  <sheetViews>
    <sheetView zoomScale="82" zoomScaleNormal="82" workbookViewId="0">
      <selection activeCell="Q11" sqref="Q11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2:17" x14ac:dyDescent="0.25">
      <c r="B1" t="s">
        <v>114</v>
      </c>
      <c r="I1" s="10"/>
    </row>
    <row r="3" spans="2:17" x14ac:dyDescent="0.25">
      <c r="B3" t="s">
        <v>90</v>
      </c>
      <c r="C3" t="s">
        <v>112</v>
      </c>
      <c r="D3" t="s">
        <v>110</v>
      </c>
      <c r="E3" t="s">
        <v>136</v>
      </c>
      <c r="F3" t="s">
        <v>97</v>
      </c>
      <c r="G3" t="s">
        <v>100</v>
      </c>
      <c r="H3" t="s">
        <v>135</v>
      </c>
      <c r="I3" t="s">
        <v>91</v>
      </c>
      <c r="J3" t="s">
        <v>155</v>
      </c>
      <c r="K3" t="s">
        <v>154</v>
      </c>
      <c r="L3" t="s">
        <v>198</v>
      </c>
      <c r="M3" t="s">
        <v>92</v>
      </c>
      <c r="N3" t="s">
        <v>111</v>
      </c>
      <c r="O3" t="s">
        <v>116</v>
      </c>
      <c r="P3" t="s">
        <v>108</v>
      </c>
      <c r="Q3" t="s">
        <v>324</v>
      </c>
    </row>
    <row r="4" spans="2:17" ht="30" x14ac:dyDescent="0.25">
      <c r="B4" s="14" t="s">
        <v>503</v>
      </c>
      <c r="C4" s="15" t="s">
        <v>113</v>
      </c>
      <c r="D4" s="15" t="s">
        <v>94</v>
      </c>
      <c r="E4" s="15" t="s">
        <v>137</v>
      </c>
      <c r="F4" s="15" t="s">
        <v>0</v>
      </c>
      <c r="G4" s="15" t="s">
        <v>98</v>
      </c>
      <c r="H4" s="15" t="s">
        <v>94</v>
      </c>
      <c r="I4" s="15" t="s">
        <v>93</v>
      </c>
      <c r="J4" s="15"/>
      <c r="K4" s="15"/>
      <c r="L4" s="15">
        <v>1</v>
      </c>
      <c r="M4" s="15" t="s">
        <v>94</v>
      </c>
      <c r="N4" s="15" t="s">
        <v>87</v>
      </c>
      <c r="O4" s="15" t="s">
        <v>177</v>
      </c>
      <c r="P4" s="15" t="s">
        <v>106</v>
      </c>
      <c r="Q4" s="15"/>
    </row>
    <row r="5" spans="2:17" x14ac:dyDescent="0.25">
      <c r="B5" s="15"/>
      <c r="C5" s="15"/>
      <c r="D5" s="15"/>
      <c r="E5" s="15"/>
      <c r="F5" s="15" t="s">
        <v>47</v>
      </c>
      <c r="G5" s="15" t="s">
        <v>101</v>
      </c>
      <c r="H5" s="15" t="s">
        <v>94</v>
      </c>
      <c r="I5" s="15" t="s">
        <v>73</v>
      </c>
      <c r="J5" s="15"/>
      <c r="K5" s="15"/>
      <c r="L5" s="15">
        <v>1</v>
      </c>
      <c r="M5" s="15" t="s">
        <v>96</v>
      </c>
      <c r="N5" s="15" t="s">
        <v>83</v>
      </c>
      <c r="O5" s="15" t="s">
        <v>178</v>
      </c>
      <c r="P5" s="15" t="s">
        <v>109</v>
      </c>
      <c r="Q5" s="15"/>
    </row>
    <row r="6" spans="2:17" x14ac:dyDescent="0.25">
      <c r="B6" s="15"/>
      <c r="C6" s="15"/>
      <c r="D6" s="15"/>
      <c r="E6" s="15"/>
      <c r="F6" s="15" t="s">
        <v>102</v>
      </c>
      <c r="G6" s="15" t="s">
        <v>101</v>
      </c>
      <c r="H6" s="15" t="s">
        <v>94</v>
      </c>
      <c r="I6" s="15" t="s">
        <v>103</v>
      </c>
      <c r="J6" s="15"/>
      <c r="K6" s="15"/>
      <c r="L6" s="15">
        <v>1</v>
      </c>
      <c r="M6" s="15" t="s">
        <v>96</v>
      </c>
      <c r="N6" s="15" t="s">
        <v>78</v>
      </c>
      <c r="O6" s="15" t="s">
        <v>178</v>
      </c>
      <c r="P6" s="15" t="s">
        <v>109</v>
      </c>
      <c r="Q6" s="15"/>
    </row>
    <row r="7" spans="2:17" x14ac:dyDescent="0.25">
      <c r="B7" s="15"/>
      <c r="C7" s="15"/>
      <c r="D7" s="15"/>
      <c r="E7" s="15"/>
      <c r="F7" s="15" t="s">
        <v>95</v>
      </c>
      <c r="G7" s="15" t="s">
        <v>99</v>
      </c>
      <c r="H7" s="15" t="s">
        <v>96</v>
      </c>
      <c r="I7" s="15" t="s">
        <v>74</v>
      </c>
      <c r="J7" s="15"/>
      <c r="K7" s="15" t="s">
        <v>156</v>
      </c>
      <c r="L7" s="15">
        <v>1</v>
      </c>
      <c r="M7" s="15" t="s">
        <v>96</v>
      </c>
      <c r="N7" s="15"/>
      <c r="O7" s="15"/>
      <c r="P7" s="15"/>
      <c r="Q7" s="15"/>
    </row>
    <row r="8" spans="2:17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</row>
    <row r="9" spans="2:17" ht="30" x14ac:dyDescent="0.25">
      <c r="B9" s="14" t="s">
        <v>502</v>
      </c>
      <c r="C9" s="15" t="s">
        <v>241</v>
      </c>
      <c r="D9" s="15" t="s">
        <v>94</v>
      </c>
      <c r="E9" s="16" t="s">
        <v>610</v>
      </c>
      <c r="F9" s="15" t="s">
        <v>197</v>
      </c>
      <c r="G9" s="15"/>
      <c r="H9" s="15"/>
      <c r="I9" s="15" t="s">
        <v>201</v>
      </c>
      <c r="J9" s="15"/>
      <c r="K9" s="15"/>
      <c r="L9" s="15">
        <v>1</v>
      </c>
      <c r="M9" s="15"/>
      <c r="N9" s="15" t="s">
        <v>134</v>
      </c>
      <c r="O9" s="15"/>
      <c r="P9" s="15" t="s">
        <v>106</v>
      </c>
      <c r="Q9" s="15"/>
    </row>
    <row r="10" spans="2:17" x14ac:dyDescent="0.25">
      <c r="B10" s="15"/>
      <c r="C10" s="15"/>
      <c r="D10" s="15"/>
      <c r="E10" s="15"/>
      <c r="F10" s="34" t="s">
        <v>193</v>
      </c>
      <c r="G10" s="34" t="s">
        <v>101</v>
      </c>
      <c r="H10" s="34" t="s">
        <v>94</v>
      </c>
      <c r="I10" s="33" t="s">
        <v>73</v>
      </c>
      <c r="J10" s="33" t="s">
        <v>370</v>
      </c>
      <c r="K10" s="34"/>
      <c r="L10" s="34">
        <v>4</v>
      </c>
      <c r="M10" s="34" t="s">
        <v>96</v>
      </c>
      <c r="N10" s="35"/>
      <c r="O10" s="35"/>
      <c r="P10" s="35"/>
      <c r="Q10" s="34" t="s">
        <v>252</v>
      </c>
    </row>
    <row r="11" spans="2:17" x14ac:dyDescent="0.25">
      <c r="B11" s="15"/>
      <c r="C11" s="15"/>
      <c r="D11" s="15"/>
      <c r="E11" s="15"/>
      <c r="F11" s="34" t="s">
        <v>194</v>
      </c>
      <c r="G11" s="34" t="s">
        <v>101</v>
      </c>
      <c r="H11" s="34" t="s">
        <v>94</v>
      </c>
      <c r="I11" s="33" t="s">
        <v>103</v>
      </c>
      <c r="J11" s="34" t="s">
        <v>371</v>
      </c>
      <c r="K11" s="34"/>
      <c r="L11" s="34">
        <v>4</v>
      </c>
      <c r="M11" s="34" t="s">
        <v>96</v>
      </c>
      <c r="N11" s="35"/>
      <c r="O11" s="35"/>
      <c r="P11" s="35"/>
      <c r="Q11" s="34" t="s">
        <v>283</v>
      </c>
    </row>
    <row r="12" spans="2:17" x14ac:dyDescent="0.25">
      <c r="B12" s="15"/>
      <c r="C12" s="15"/>
      <c r="D12" s="15"/>
      <c r="E12" s="15"/>
      <c r="F12" s="34" t="s">
        <v>195</v>
      </c>
      <c r="G12" s="34" t="s">
        <v>101</v>
      </c>
      <c r="H12" s="34" t="s">
        <v>94</v>
      </c>
      <c r="I12" s="33" t="s">
        <v>105</v>
      </c>
      <c r="J12" s="34" t="s">
        <v>372</v>
      </c>
      <c r="K12" s="34"/>
      <c r="L12" s="34">
        <v>4</v>
      </c>
      <c r="M12" s="34" t="s">
        <v>96</v>
      </c>
      <c r="N12" s="35"/>
      <c r="O12" s="35"/>
      <c r="P12" s="35"/>
      <c r="Q12" s="34" t="s">
        <v>284</v>
      </c>
    </row>
    <row r="13" spans="2:17" x14ac:dyDescent="0.25">
      <c r="B13" s="15"/>
      <c r="C13" s="15"/>
      <c r="D13" s="15"/>
      <c r="E13" s="15"/>
      <c r="F13" s="34" t="s">
        <v>382</v>
      </c>
      <c r="G13" s="34" t="s">
        <v>99</v>
      </c>
      <c r="H13" s="34" t="s">
        <v>94</v>
      </c>
      <c r="I13" s="34" t="s">
        <v>380</v>
      </c>
      <c r="J13" s="34"/>
      <c r="K13" s="33" t="s">
        <v>196</v>
      </c>
      <c r="L13" s="34">
        <v>4</v>
      </c>
      <c r="M13" s="34" t="s">
        <v>96</v>
      </c>
      <c r="N13" s="35"/>
      <c r="O13" s="35"/>
      <c r="P13" s="35"/>
      <c r="Q13" s="34" t="s">
        <v>285</v>
      </c>
    </row>
    <row r="14" spans="2:17" x14ac:dyDescent="0.25">
      <c r="B14" s="15"/>
      <c r="C14" s="15"/>
      <c r="D14" s="15"/>
      <c r="E14" s="15"/>
      <c r="F14" s="34" t="s">
        <v>383</v>
      </c>
      <c r="G14" s="34" t="s">
        <v>99</v>
      </c>
      <c r="H14" s="34" t="s">
        <v>94</v>
      </c>
      <c r="I14" s="34" t="s">
        <v>381</v>
      </c>
      <c r="J14" s="34"/>
      <c r="K14" s="33" t="s">
        <v>196</v>
      </c>
      <c r="L14" s="34">
        <v>4</v>
      </c>
      <c r="M14" s="34" t="s">
        <v>96</v>
      </c>
      <c r="N14" s="35"/>
      <c r="O14" s="35"/>
      <c r="P14" s="35"/>
      <c r="Q14" s="34" t="s">
        <v>286</v>
      </c>
    </row>
    <row r="15" spans="2:17" x14ac:dyDescent="0.25">
      <c r="B15" s="15"/>
      <c r="C15" s="15"/>
      <c r="D15" s="15"/>
      <c r="E15" s="15"/>
      <c r="F15" s="33" t="s">
        <v>197</v>
      </c>
      <c r="G15" s="33"/>
      <c r="H15" s="34"/>
      <c r="I15" s="33" t="s">
        <v>329</v>
      </c>
      <c r="J15" s="33"/>
      <c r="K15" s="33"/>
      <c r="L15" s="33">
        <v>2</v>
      </c>
      <c r="M15" s="34"/>
      <c r="N15" s="35"/>
      <c r="O15" s="35"/>
      <c r="P15" s="35"/>
      <c r="Q15" s="34"/>
    </row>
    <row r="16" spans="2:17" x14ac:dyDescent="0.25">
      <c r="B16" s="15"/>
      <c r="C16" s="15"/>
      <c r="D16" s="15"/>
      <c r="E16" s="15"/>
      <c r="F16" s="33" t="s">
        <v>197</v>
      </c>
      <c r="G16" s="33"/>
      <c r="H16" s="34"/>
      <c r="I16" s="33" t="s">
        <v>325</v>
      </c>
      <c r="J16" s="33"/>
      <c r="K16" s="33"/>
      <c r="L16" s="33">
        <v>2</v>
      </c>
      <c r="M16" s="34"/>
      <c r="N16" s="35"/>
      <c r="O16" s="35"/>
      <c r="P16" s="35"/>
      <c r="Q16" s="34"/>
    </row>
    <row r="17" spans="2:17" x14ac:dyDescent="0.25">
      <c r="B17" s="15"/>
      <c r="C17" s="15"/>
      <c r="D17" s="15"/>
      <c r="E17" s="15"/>
      <c r="F17" s="34" t="s">
        <v>384</v>
      </c>
      <c r="G17" s="34" t="s">
        <v>149</v>
      </c>
      <c r="H17" s="34" t="s">
        <v>96</v>
      </c>
      <c r="I17" s="34" t="s">
        <v>458</v>
      </c>
      <c r="J17" s="34"/>
      <c r="K17" s="34"/>
      <c r="L17" s="34">
        <v>4</v>
      </c>
      <c r="M17" s="34" t="s">
        <v>96</v>
      </c>
      <c r="N17" s="35"/>
      <c r="O17" s="35"/>
      <c r="P17" s="35"/>
      <c r="Q17" s="34" t="s">
        <v>254</v>
      </c>
    </row>
    <row r="18" spans="2:17" x14ac:dyDescent="0.25">
      <c r="B18" s="15"/>
      <c r="C18" s="15"/>
      <c r="D18" s="15"/>
      <c r="E18" s="15"/>
      <c r="F18" s="34" t="s">
        <v>385</v>
      </c>
      <c r="G18" s="34" t="s">
        <v>101</v>
      </c>
      <c r="H18" s="34" t="s">
        <v>96</v>
      </c>
      <c r="I18" s="34" t="s">
        <v>459</v>
      </c>
      <c r="J18" s="34" t="s">
        <v>373</v>
      </c>
      <c r="K18" s="34"/>
      <c r="L18" s="34">
        <v>4</v>
      </c>
      <c r="M18" s="34" t="s">
        <v>96</v>
      </c>
      <c r="N18" s="35"/>
      <c r="O18" s="35"/>
      <c r="P18" s="35"/>
      <c r="Q18" s="34" t="s">
        <v>255</v>
      </c>
    </row>
    <row r="19" spans="2:17" x14ac:dyDescent="0.25">
      <c r="B19" s="15"/>
      <c r="C19" s="15"/>
      <c r="D19" s="15"/>
      <c r="E19" s="15"/>
      <c r="F19" s="34" t="s">
        <v>386</v>
      </c>
      <c r="G19" s="34" t="s">
        <v>149</v>
      </c>
      <c r="H19" s="34" t="s">
        <v>96</v>
      </c>
      <c r="I19" s="34" t="s">
        <v>460</v>
      </c>
      <c r="J19" s="34"/>
      <c r="K19" s="34"/>
      <c r="L19" s="34">
        <v>4</v>
      </c>
      <c r="M19" s="34" t="s">
        <v>96</v>
      </c>
      <c r="N19" s="35"/>
      <c r="O19" s="35"/>
      <c r="P19" s="35"/>
      <c r="Q19" s="34" t="s">
        <v>256</v>
      </c>
    </row>
    <row r="20" spans="2:17" x14ac:dyDescent="0.25">
      <c r="B20" s="15"/>
      <c r="C20" s="15"/>
      <c r="D20" s="15"/>
      <c r="E20" s="15"/>
      <c r="F20" s="34" t="s">
        <v>387</v>
      </c>
      <c r="G20" s="34" t="s">
        <v>101</v>
      </c>
      <c r="H20" s="34" t="s">
        <v>96</v>
      </c>
      <c r="I20" s="34" t="s">
        <v>461</v>
      </c>
      <c r="J20" s="34" t="s">
        <v>373</v>
      </c>
      <c r="K20" s="34"/>
      <c r="L20" s="34">
        <v>4</v>
      </c>
      <c r="M20" s="34" t="s">
        <v>96</v>
      </c>
      <c r="N20" s="35"/>
      <c r="O20" s="35"/>
      <c r="P20" s="35"/>
      <c r="Q20" s="34" t="s">
        <v>257</v>
      </c>
    </row>
    <row r="21" spans="2:17" x14ac:dyDescent="0.25">
      <c r="B21" s="15"/>
      <c r="C21" s="15"/>
      <c r="D21" s="15"/>
      <c r="E21" s="15"/>
      <c r="F21" s="34" t="s">
        <v>388</v>
      </c>
      <c r="G21" s="34" t="s">
        <v>149</v>
      </c>
      <c r="H21" s="34" t="s">
        <v>96</v>
      </c>
      <c r="I21" s="34" t="s">
        <v>462</v>
      </c>
      <c r="J21" s="34"/>
      <c r="K21" s="34"/>
      <c r="L21" s="34">
        <v>4</v>
      </c>
      <c r="M21" s="34" t="s">
        <v>96</v>
      </c>
      <c r="N21" s="35"/>
      <c r="O21" s="35"/>
      <c r="P21" s="35"/>
      <c r="Q21" s="34" t="s">
        <v>258</v>
      </c>
    </row>
    <row r="22" spans="2:17" x14ac:dyDescent="0.25">
      <c r="B22" s="15"/>
      <c r="C22" s="15"/>
      <c r="D22" s="15"/>
      <c r="E22" s="15"/>
      <c r="F22" s="34" t="s">
        <v>389</v>
      </c>
      <c r="G22" s="34" t="s">
        <v>101</v>
      </c>
      <c r="H22" s="34" t="s">
        <v>96</v>
      </c>
      <c r="I22" s="34" t="s">
        <v>463</v>
      </c>
      <c r="J22" s="34" t="s">
        <v>374</v>
      </c>
      <c r="K22" s="34"/>
      <c r="L22" s="34">
        <v>4</v>
      </c>
      <c r="M22" s="34" t="s">
        <v>96</v>
      </c>
      <c r="N22" s="35"/>
      <c r="O22" s="35"/>
      <c r="P22" s="35"/>
      <c r="Q22" s="34" t="s">
        <v>259</v>
      </c>
    </row>
    <row r="23" spans="2:17" x14ac:dyDescent="0.25">
      <c r="B23" s="15"/>
      <c r="C23" s="15"/>
      <c r="D23" s="15"/>
      <c r="E23" s="15"/>
      <c r="F23" s="34" t="s">
        <v>390</v>
      </c>
      <c r="G23" s="34" t="s">
        <v>149</v>
      </c>
      <c r="H23" s="34" t="s">
        <v>96</v>
      </c>
      <c r="I23" s="34" t="s">
        <v>464</v>
      </c>
      <c r="J23" s="34"/>
      <c r="K23" s="34"/>
      <c r="L23" s="34">
        <v>4</v>
      </c>
      <c r="M23" s="34" t="s">
        <v>96</v>
      </c>
      <c r="N23" s="35"/>
      <c r="O23" s="35"/>
      <c r="P23" s="35"/>
      <c r="Q23" s="34" t="s">
        <v>260</v>
      </c>
    </row>
    <row r="24" spans="2:17" x14ac:dyDescent="0.25">
      <c r="B24" s="15"/>
      <c r="C24" s="15"/>
      <c r="D24" s="15"/>
      <c r="E24" s="15"/>
      <c r="F24" s="34" t="s">
        <v>391</v>
      </c>
      <c r="G24" s="34" t="s">
        <v>98</v>
      </c>
      <c r="H24" s="34" t="s">
        <v>96</v>
      </c>
      <c r="I24" s="34" t="s">
        <v>465</v>
      </c>
      <c r="J24" s="34"/>
      <c r="K24" s="34"/>
      <c r="L24" s="34">
        <v>4</v>
      </c>
      <c r="M24" s="34" t="s">
        <v>96</v>
      </c>
      <c r="N24" s="35"/>
      <c r="O24" s="35"/>
      <c r="P24" s="35"/>
      <c r="Q24" s="34" t="s">
        <v>261</v>
      </c>
    </row>
    <row r="25" spans="2:17" x14ac:dyDescent="0.25">
      <c r="B25" s="15"/>
      <c r="C25" s="15"/>
      <c r="D25" s="15"/>
      <c r="E25" s="15"/>
      <c r="F25" s="34" t="s">
        <v>392</v>
      </c>
      <c r="G25" s="34" t="s">
        <v>149</v>
      </c>
      <c r="H25" s="34" t="s">
        <v>96</v>
      </c>
      <c r="I25" s="34" t="s">
        <v>466</v>
      </c>
      <c r="J25" s="34"/>
      <c r="K25" s="34"/>
      <c r="L25" s="34">
        <v>4</v>
      </c>
      <c r="M25" s="34" t="s">
        <v>96</v>
      </c>
      <c r="N25" s="35"/>
      <c r="O25" s="35"/>
      <c r="P25" s="35"/>
      <c r="Q25" s="34" t="s">
        <v>262</v>
      </c>
    </row>
    <row r="26" spans="2:17" x14ac:dyDescent="0.25">
      <c r="B26" s="15"/>
      <c r="C26" s="15"/>
      <c r="D26" s="15"/>
      <c r="E26" s="15"/>
      <c r="F26" s="34" t="s">
        <v>393</v>
      </c>
      <c r="G26" s="34" t="s">
        <v>149</v>
      </c>
      <c r="H26" s="34" t="s">
        <v>96</v>
      </c>
      <c r="I26" s="34" t="s">
        <v>467</v>
      </c>
      <c r="J26" s="34"/>
      <c r="K26" s="34"/>
      <c r="L26" s="34">
        <v>4</v>
      </c>
      <c r="M26" s="34" t="s">
        <v>96</v>
      </c>
      <c r="N26" s="35"/>
      <c r="O26" s="35"/>
      <c r="P26" s="35"/>
      <c r="Q26" s="34" t="s">
        <v>263</v>
      </c>
    </row>
    <row r="27" spans="2:17" x14ac:dyDescent="0.25">
      <c r="B27" s="15"/>
      <c r="C27" s="15"/>
      <c r="D27" s="15"/>
      <c r="E27" s="15"/>
      <c r="F27" s="34" t="s">
        <v>394</v>
      </c>
      <c r="G27" s="34" t="s">
        <v>98</v>
      </c>
      <c r="H27" s="34" t="s">
        <v>96</v>
      </c>
      <c r="I27" s="34" t="s">
        <v>468</v>
      </c>
      <c r="J27" s="34" t="s">
        <v>375</v>
      </c>
      <c r="K27" s="34"/>
      <c r="L27" s="34">
        <v>4</v>
      </c>
      <c r="M27" s="34" t="s">
        <v>96</v>
      </c>
      <c r="N27" s="35"/>
      <c r="O27" s="35"/>
      <c r="P27" s="35"/>
      <c r="Q27" s="34" t="s">
        <v>264</v>
      </c>
    </row>
    <row r="28" spans="2:17" x14ac:dyDescent="0.25">
      <c r="B28" s="15"/>
      <c r="C28" s="15"/>
      <c r="D28" s="15"/>
      <c r="E28" s="15"/>
      <c r="F28" s="34" t="s">
        <v>395</v>
      </c>
      <c r="G28" s="34" t="s">
        <v>149</v>
      </c>
      <c r="H28" s="34" t="s">
        <v>96</v>
      </c>
      <c r="I28" s="34" t="s">
        <v>469</v>
      </c>
      <c r="J28" s="34"/>
      <c r="K28" s="34"/>
      <c r="L28" s="34">
        <v>4</v>
      </c>
      <c r="M28" s="34" t="s">
        <v>96</v>
      </c>
      <c r="N28" s="35"/>
      <c r="O28" s="35"/>
      <c r="P28" s="35"/>
      <c r="Q28" s="34" t="s">
        <v>265</v>
      </c>
    </row>
    <row r="29" spans="2:17" x14ac:dyDescent="0.25">
      <c r="B29" s="15"/>
      <c r="C29" s="15"/>
      <c r="D29" s="15"/>
      <c r="E29" s="15"/>
      <c r="F29" s="34" t="s">
        <v>396</v>
      </c>
      <c r="G29" s="34" t="s">
        <v>101</v>
      </c>
      <c r="H29" s="34" t="s">
        <v>96</v>
      </c>
      <c r="I29" s="34" t="s">
        <v>470</v>
      </c>
      <c r="J29" s="34" t="s">
        <v>376</v>
      </c>
      <c r="K29" s="34"/>
      <c r="L29" s="34">
        <v>4</v>
      </c>
      <c r="M29" s="34" t="s">
        <v>96</v>
      </c>
      <c r="N29" s="35"/>
      <c r="O29" s="35"/>
      <c r="P29" s="35"/>
      <c r="Q29" s="34" t="s">
        <v>266</v>
      </c>
    </row>
    <row r="30" spans="2:17" x14ac:dyDescent="0.25">
      <c r="B30" s="15"/>
      <c r="C30" s="15"/>
      <c r="D30" s="15"/>
      <c r="E30" s="15"/>
      <c r="F30" s="34" t="s">
        <v>397</v>
      </c>
      <c r="G30" s="34" t="s">
        <v>149</v>
      </c>
      <c r="H30" s="34" t="s">
        <v>96</v>
      </c>
      <c r="I30" s="34" t="s">
        <v>471</v>
      </c>
      <c r="J30" s="34"/>
      <c r="K30" s="34"/>
      <c r="L30" s="34">
        <v>4</v>
      </c>
      <c r="M30" s="34" t="s">
        <v>96</v>
      </c>
      <c r="N30" s="35"/>
      <c r="O30" s="35"/>
      <c r="P30" s="35"/>
      <c r="Q30" s="34" t="s">
        <v>267</v>
      </c>
    </row>
    <row r="31" spans="2:17" x14ac:dyDescent="0.25">
      <c r="B31" s="15"/>
      <c r="C31" s="15"/>
      <c r="D31" s="15"/>
      <c r="E31" s="15"/>
      <c r="F31" s="34" t="s">
        <v>398</v>
      </c>
      <c r="G31" s="34" t="s">
        <v>149</v>
      </c>
      <c r="H31" s="34" t="s">
        <v>96</v>
      </c>
      <c r="I31" s="34" t="s">
        <v>472</v>
      </c>
      <c r="J31" s="34"/>
      <c r="K31" s="34"/>
      <c r="L31" s="34">
        <v>4</v>
      </c>
      <c r="M31" s="34" t="s">
        <v>96</v>
      </c>
      <c r="N31" s="35"/>
      <c r="O31" s="35"/>
      <c r="P31" s="35"/>
      <c r="Q31" s="34" t="s">
        <v>268</v>
      </c>
    </row>
    <row r="32" spans="2:17" x14ac:dyDescent="0.25">
      <c r="B32" s="15"/>
      <c r="C32" s="15"/>
      <c r="D32" s="15"/>
      <c r="E32" s="15"/>
      <c r="F32" s="34" t="s">
        <v>399</v>
      </c>
      <c r="G32" s="34" t="s">
        <v>101</v>
      </c>
      <c r="H32" s="34" t="s">
        <v>96</v>
      </c>
      <c r="I32" s="34" t="s">
        <v>473</v>
      </c>
      <c r="J32" s="34" t="s">
        <v>370</v>
      </c>
      <c r="K32" s="34"/>
      <c r="L32" s="34">
        <v>4</v>
      </c>
      <c r="M32" s="34" t="s">
        <v>96</v>
      </c>
      <c r="N32" s="35"/>
      <c r="O32" s="35"/>
      <c r="P32" s="35"/>
      <c r="Q32" s="34" t="s">
        <v>269</v>
      </c>
    </row>
    <row r="33" spans="2:17" x14ac:dyDescent="0.25">
      <c r="B33" s="15"/>
      <c r="C33" s="15"/>
      <c r="D33" s="15"/>
      <c r="E33" s="15"/>
      <c r="F33" s="34" t="s">
        <v>400</v>
      </c>
      <c r="G33" s="34" t="s">
        <v>101</v>
      </c>
      <c r="H33" s="34" t="s">
        <v>96</v>
      </c>
      <c r="I33" s="34" t="s">
        <v>474</v>
      </c>
      <c r="J33" s="34"/>
      <c r="K33" s="34"/>
      <c r="L33" s="34">
        <v>4</v>
      </c>
      <c r="M33" s="34" t="s">
        <v>96</v>
      </c>
      <c r="N33" s="35"/>
      <c r="O33" s="35"/>
      <c r="P33" s="35"/>
      <c r="Q33" s="34" t="s">
        <v>270</v>
      </c>
    </row>
    <row r="34" spans="2:17" x14ac:dyDescent="0.25">
      <c r="B34" s="15"/>
      <c r="C34" s="15"/>
      <c r="D34" s="15"/>
      <c r="E34" s="15"/>
      <c r="F34" s="34" t="s">
        <v>401</v>
      </c>
      <c r="G34" s="34" t="s">
        <v>101</v>
      </c>
      <c r="H34" s="34" t="s">
        <v>96</v>
      </c>
      <c r="I34" s="34" t="s">
        <v>475</v>
      </c>
      <c r="J34" s="34"/>
      <c r="K34" s="34"/>
      <c r="L34" s="34">
        <v>4</v>
      </c>
      <c r="M34" s="34" t="s">
        <v>96</v>
      </c>
      <c r="N34" s="35"/>
      <c r="O34" s="35"/>
      <c r="P34" s="35"/>
      <c r="Q34" s="34" t="s">
        <v>271</v>
      </c>
    </row>
    <row r="35" spans="2:17" x14ac:dyDescent="0.25">
      <c r="B35" s="15"/>
      <c r="C35" s="15"/>
      <c r="D35" s="15"/>
      <c r="E35" s="15"/>
      <c r="F35" s="34" t="s">
        <v>402</v>
      </c>
      <c r="G35" s="34" t="s">
        <v>101</v>
      </c>
      <c r="H35" s="34" t="s">
        <v>96</v>
      </c>
      <c r="I35" s="34" t="s">
        <v>476</v>
      </c>
      <c r="J35" s="34"/>
      <c r="K35" s="34"/>
      <c r="L35" s="34">
        <v>4</v>
      </c>
      <c r="M35" s="34" t="s">
        <v>96</v>
      </c>
      <c r="N35" s="35"/>
      <c r="O35" s="35"/>
      <c r="P35" s="35"/>
      <c r="Q35" s="34" t="s">
        <v>272</v>
      </c>
    </row>
    <row r="36" spans="2:17" x14ac:dyDescent="0.25">
      <c r="B36" s="15"/>
      <c r="C36" s="15"/>
      <c r="D36" s="15"/>
      <c r="E36" s="15"/>
      <c r="F36" s="34" t="s">
        <v>403</v>
      </c>
      <c r="G36" s="34" t="s">
        <v>101</v>
      </c>
      <c r="H36" s="34" t="s">
        <v>96</v>
      </c>
      <c r="I36" s="34" t="s">
        <v>477</v>
      </c>
      <c r="J36" s="34"/>
      <c r="K36" s="34"/>
      <c r="L36" s="34">
        <v>4</v>
      </c>
      <c r="M36" s="34" t="s">
        <v>96</v>
      </c>
      <c r="N36" s="35"/>
      <c r="O36" s="35"/>
      <c r="P36" s="35"/>
      <c r="Q36" s="34" t="s">
        <v>273</v>
      </c>
    </row>
    <row r="37" spans="2:17" x14ac:dyDescent="0.25">
      <c r="B37" s="15"/>
      <c r="C37" s="15"/>
      <c r="D37" s="15"/>
      <c r="E37" s="15"/>
      <c r="F37" s="33" t="s">
        <v>197</v>
      </c>
      <c r="G37" s="33"/>
      <c r="H37" s="34"/>
      <c r="I37" s="33" t="s">
        <v>326</v>
      </c>
      <c r="J37" s="33"/>
      <c r="K37" s="33"/>
      <c r="L37" s="33">
        <v>2</v>
      </c>
      <c r="M37" s="34"/>
      <c r="N37" s="35"/>
      <c r="O37" s="35"/>
      <c r="P37" s="35"/>
      <c r="Q37" s="34"/>
    </row>
    <row r="38" spans="2:17" x14ac:dyDescent="0.25">
      <c r="B38" s="15"/>
      <c r="C38" s="15"/>
      <c r="D38" s="15"/>
      <c r="E38" s="15"/>
      <c r="F38" s="34" t="s">
        <v>404</v>
      </c>
      <c r="G38" s="34" t="s">
        <v>99</v>
      </c>
      <c r="H38" s="34" t="s">
        <v>96</v>
      </c>
      <c r="I38" s="33" t="s">
        <v>148</v>
      </c>
      <c r="J38" s="34"/>
      <c r="K38" s="33" t="s">
        <v>196</v>
      </c>
      <c r="L38" s="34">
        <v>4</v>
      </c>
      <c r="M38" s="34" t="s">
        <v>96</v>
      </c>
      <c r="N38" s="35"/>
      <c r="O38" s="35"/>
      <c r="P38" s="35"/>
      <c r="Q38" s="34" t="s">
        <v>274</v>
      </c>
    </row>
    <row r="39" spans="2:17" x14ac:dyDescent="0.25">
      <c r="B39" s="15"/>
      <c r="C39" s="15"/>
      <c r="D39" s="15"/>
      <c r="E39" s="15"/>
      <c r="F39" s="34" t="s">
        <v>405</v>
      </c>
      <c r="G39" s="34" t="s">
        <v>149</v>
      </c>
      <c r="H39" s="34" t="s">
        <v>96</v>
      </c>
      <c r="I39" s="33" t="s">
        <v>180</v>
      </c>
      <c r="J39" s="34"/>
      <c r="K39" s="34"/>
      <c r="L39" s="34">
        <v>4</v>
      </c>
      <c r="M39" s="34" t="s">
        <v>96</v>
      </c>
      <c r="N39" s="35"/>
      <c r="O39" s="35"/>
      <c r="P39" s="35"/>
      <c r="Q39" s="34" t="s">
        <v>138</v>
      </c>
    </row>
    <row r="40" spans="2:17" x14ac:dyDescent="0.25">
      <c r="B40" s="15"/>
      <c r="C40" s="15"/>
      <c r="D40" s="15"/>
      <c r="E40" s="15"/>
      <c r="F40" s="33" t="s">
        <v>197</v>
      </c>
      <c r="G40" s="33"/>
      <c r="H40" s="34"/>
      <c r="I40" s="33" t="s">
        <v>327</v>
      </c>
      <c r="J40" s="33"/>
      <c r="K40" s="33"/>
      <c r="L40" s="33">
        <v>3</v>
      </c>
      <c r="M40" s="34"/>
      <c r="N40" s="35"/>
      <c r="O40" s="35"/>
      <c r="P40" s="35"/>
      <c r="Q40" s="34"/>
    </row>
    <row r="41" spans="2:17" x14ac:dyDescent="0.25">
      <c r="B41" s="15"/>
      <c r="C41" s="15"/>
      <c r="D41" s="15"/>
      <c r="E41" s="15"/>
      <c r="F41" s="34" t="s">
        <v>406</v>
      </c>
      <c r="G41" s="34" t="s">
        <v>149</v>
      </c>
      <c r="H41" s="34" t="s">
        <v>96</v>
      </c>
      <c r="I41" s="34" t="s">
        <v>415</v>
      </c>
      <c r="J41" s="34"/>
      <c r="K41" s="34"/>
      <c r="L41" s="34">
        <v>4</v>
      </c>
      <c r="M41" s="34" t="s">
        <v>96</v>
      </c>
      <c r="N41" s="35"/>
      <c r="O41" s="35"/>
      <c r="P41" s="35"/>
      <c r="Q41" s="34" t="s">
        <v>275</v>
      </c>
    </row>
    <row r="42" spans="2:17" x14ac:dyDescent="0.25">
      <c r="B42" s="15"/>
      <c r="C42" s="15"/>
      <c r="D42" s="15"/>
      <c r="E42" s="15"/>
      <c r="F42" s="34" t="s">
        <v>407</v>
      </c>
      <c r="G42" s="34" t="s">
        <v>149</v>
      </c>
      <c r="H42" s="34" t="s">
        <v>96</v>
      </c>
      <c r="I42" s="34" t="s">
        <v>416</v>
      </c>
      <c r="J42" s="34"/>
      <c r="K42" s="34"/>
      <c r="L42" s="34">
        <v>4</v>
      </c>
      <c r="M42" s="34" t="s">
        <v>96</v>
      </c>
      <c r="N42" s="35"/>
      <c r="O42" s="35"/>
      <c r="P42" s="35"/>
      <c r="Q42" s="34" t="s">
        <v>276</v>
      </c>
    </row>
    <row r="43" spans="2:17" x14ac:dyDescent="0.25">
      <c r="B43" s="15"/>
      <c r="C43" s="15"/>
      <c r="D43" s="15"/>
      <c r="E43" s="15"/>
      <c r="F43" s="34" t="s">
        <v>408</v>
      </c>
      <c r="G43" s="34" t="s">
        <v>149</v>
      </c>
      <c r="H43" s="34" t="s">
        <v>96</v>
      </c>
      <c r="I43" s="34" t="s">
        <v>417</v>
      </c>
      <c r="J43" s="34"/>
      <c r="K43" s="34"/>
      <c r="L43" s="34">
        <v>4</v>
      </c>
      <c r="M43" s="34" t="s">
        <v>96</v>
      </c>
      <c r="N43" s="35"/>
      <c r="O43" s="35"/>
      <c r="P43" s="35"/>
      <c r="Q43" s="34" t="s">
        <v>277</v>
      </c>
    </row>
    <row r="44" spans="2:17" x14ac:dyDescent="0.25">
      <c r="B44" s="15"/>
      <c r="C44" s="15"/>
      <c r="D44" s="15"/>
      <c r="E44" s="15"/>
      <c r="F44" s="34" t="s">
        <v>409</v>
      </c>
      <c r="G44" s="34" t="s">
        <v>98</v>
      </c>
      <c r="H44" s="34" t="s">
        <v>96</v>
      </c>
      <c r="I44" s="34" t="s">
        <v>418</v>
      </c>
      <c r="J44" s="34"/>
      <c r="K44" s="34"/>
      <c r="L44" s="34">
        <v>4</v>
      </c>
      <c r="M44" s="34" t="s">
        <v>96</v>
      </c>
      <c r="N44" s="35"/>
      <c r="O44" s="35"/>
      <c r="P44" s="35"/>
      <c r="Q44" s="34" t="s">
        <v>278</v>
      </c>
    </row>
    <row r="45" spans="2:17" x14ac:dyDescent="0.25">
      <c r="B45" s="15"/>
      <c r="C45" s="15"/>
      <c r="D45" s="15"/>
      <c r="E45" s="15"/>
      <c r="F45" s="33" t="s">
        <v>197</v>
      </c>
      <c r="G45" s="33"/>
      <c r="H45" s="34"/>
      <c r="I45" s="33" t="s">
        <v>328</v>
      </c>
      <c r="J45" s="33"/>
      <c r="K45" s="33"/>
      <c r="L45" s="33">
        <v>3</v>
      </c>
      <c r="M45" s="34"/>
      <c r="N45" s="35"/>
      <c r="O45" s="35"/>
      <c r="P45" s="35"/>
      <c r="Q45" s="34"/>
    </row>
    <row r="46" spans="2:17" x14ac:dyDescent="0.25">
      <c r="B46" s="15"/>
      <c r="C46" s="15"/>
      <c r="D46" s="15"/>
      <c r="E46" s="15"/>
      <c r="F46" s="34" t="s">
        <v>410</v>
      </c>
      <c r="G46" s="34" t="s">
        <v>149</v>
      </c>
      <c r="H46" s="34" t="s">
        <v>96</v>
      </c>
      <c r="I46" s="34" t="s">
        <v>419</v>
      </c>
      <c r="J46" s="34"/>
      <c r="K46" s="34"/>
      <c r="L46" s="34">
        <v>4</v>
      </c>
      <c r="M46" s="34" t="s">
        <v>96</v>
      </c>
      <c r="N46" s="35"/>
      <c r="O46" s="35"/>
      <c r="P46" s="35"/>
      <c r="Q46" s="34" t="s">
        <v>279</v>
      </c>
    </row>
    <row r="47" spans="2:17" x14ac:dyDescent="0.25">
      <c r="B47" s="15"/>
      <c r="C47" s="15"/>
      <c r="D47" s="15"/>
      <c r="E47" s="15"/>
      <c r="F47" s="34" t="s">
        <v>411</v>
      </c>
      <c r="G47" s="34" t="s">
        <v>149</v>
      </c>
      <c r="H47" s="34" t="s">
        <v>96</v>
      </c>
      <c r="I47" s="34" t="s">
        <v>420</v>
      </c>
      <c r="J47" s="34"/>
      <c r="K47" s="34"/>
      <c r="L47" s="34">
        <v>4</v>
      </c>
      <c r="M47" s="34" t="s">
        <v>96</v>
      </c>
      <c r="N47" s="35"/>
      <c r="O47" s="35"/>
      <c r="P47" s="35"/>
      <c r="Q47" s="34" t="s">
        <v>280</v>
      </c>
    </row>
    <row r="48" spans="2:17" x14ac:dyDescent="0.25">
      <c r="B48" s="15"/>
      <c r="C48" s="15"/>
      <c r="D48" s="15"/>
      <c r="E48" s="15"/>
      <c r="F48" s="34" t="s">
        <v>412</v>
      </c>
      <c r="G48" s="34" t="s">
        <v>149</v>
      </c>
      <c r="H48" s="34" t="s">
        <v>96</v>
      </c>
      <c r="I48" s="34" t="s">
        <v>421</v>
      </c>
      <c r="J48" s="34"/>
      <c r="K48" s="34"/>
      <c r="L48" s="34">
        <v>4</v>
      </c>
      <c r="M48" s="34" t="s">
        <v>96</v>
      </c>
      <c r="N48" s="35"/>
      <c r="O48" s="35"/>
      <c r="P48" s="35"/>
      <c r="Q48" s="34" t="s">
        <v>281</v>
      </c>
    </row>
    <row r="49" spans="2:17" x14ac:dyDescent="0.25">
      <c r="B49" s="15"/>
      <c r="C49" s="15"/>
      <c r="D49" s="15"/>
      <c r="E49" s="15"/>
      <c r="F49" s="34" t="s">
        <v>413</v>
      </c>
      <c r="G49" s="34" t="s">
        <v>98</v>
      </c>
      <c r="H49" s="34" t="s">
        <v>96</v>
      </c>
      <c r="I49" s="34" t="s">
        <v>422</v>
      </c>
      <c r="J49" s="34"/>
      <c r="K49" s="34"/>
      <c r="L49" s="34">
        <v>4</v>
      </c>
      <c r="M49" s="34" t="s">
        <v>96</v>
      </c>
      <c r="N49" s="35"/>
      <c r="O49" s="35"/>
      <c r="P49" s="35"/>
      <c r="Q49" s="34" t="s">
        <v>282</v>
      </c>
    </row>
    <row r="50" spans="2:17" x14ac:dyDescent="0.25">
      <c r="B50" s="15"/>
      <c r="C50" s="15"/>
      <c r="D50" s="15"/>
      <c r="E50" s="15"/>
      <c r="F50" s="33" t="s">
        <v>197</v>
      </c>
      <c r="G50" s="33"/>
      <c r="H50" s="34"/>
      <c r="I50" s="33" t="s">
        <v>146</v>
      </c>
      <c r="J50" s="33"/>
      <c r="K50" s="33"/>
      <c r="L50" s="33">
        <v>1</v>
      </c>
      <c r="M50" s="34"/>
      <c r="N50" s="35"/>
      <c r="O50" s="35"/>
      <c r="P50" s="35"/>
      <c r="Q50" s="34"/>
    </row>
    <row r="51" spans="2:17" x14ac:dyDescent="0.25">
      <c r="B51" s="15"/>
      <c r="C51" s="15"/>
      <c r="D51" s="15"/>
      <c r="E51" s="15"/>
      <c r="F51" s="34" t="s">
        <v>181</v>
      </c>
      <c r="G51" s="34" t="s">
        <v>101</v>
      </c>
      <c r="H51" s="34" t="s">
        <v>94</v>
      </c>
      <c r="I51" s="33" t="s">
        <v>199</v>
      </c>
      <c r="J51" s="34" t="s">
        <v>377</v>
      </c>
      <c r="K51" s="34"/>
      <c r="L51" s="34">
        <v>4</v>
      </c>
      <c r="M51" s="34" t="s">
        <v>96</v>
      </c>
      <c r="N51" s="35"/>
      <c r="O51" s="35"/>
      <c r="P51" s="35"/>
      <c r="Q51" s="34" t="s">
        <v>287</v>
      </c>
    </row>
    <row r="52" spans="2:17" x14ac:dyDescent="0.25">
      <c r="B52" s="15"/>
      <c r="C52" s="15"/>
      <c r="D52" s="15"/>
      <c r="E52" s="15"/>
      <c r="F52" s="34" t="s">
        <v>330</v>
      </c>
      <c r="G52" s="34" t="s">
        <v>101</v>
      </c>
      <c r="H52" s="34" t="s">
        <v>94</v>
      </c>
      <c r="I52" s="33" t="s">
        <v>147</v>
      </c>
      <c r="J52" s="34" t="s">
        <v>378</v>
      </c>
      <c r="K52" s="34"/>
      <c r="L52" s="34">
        <v>4</v>
      </c>
      <c r="M52" s="34" t="s">
        <v>96</v>
      </c>
      <c r="N52" s="35"/>
      <c r="O52" s="35"/>
      <c r="P52" s="35"/>
      <c r="Q52" s="34" t="s">
        <v>288</v>
      </c>
    </row>
    <row r="53" spans="2:17" x14ac:dyDescent="0.25">
      <c r="B53" s="15"/>
      <c r="C53" s="15"/>
      <c r="D53" s="15"/>
      <c r="E53" s="15"/>
      <c r="F53" s="34" t="s">
        <v>331</v>
      </c>
      <c r="G53" s="34" t="s">
        <v>101</v>
      </c>
      <c r="H53" s="34" t="s">
        <v>94</v>
      </c>
      <c r="I53" s="34" t="s">
        <v>423</v>
      </c>
      <c r="J53" s="34" t="s">
        <v>379</v>
      </c>
      <c r="K53" s="34"/>
      <c r="L53" s="34">
        <v>4</v>
      </c>
      <c r="M53" s="34" t="s">
        <v>96</v>
      </c>
      <c r="N53" s="35"/>
      <c r="O53" s="35"/>
      <c r="P53" s="35"/>
      <c r="Q53" s="34" t="s">
        <v>289</v>
      </c>
    </row>
    <row r="54" spans="2:17" x14ac:dyDescent="0.25">
      <c r="B54" s="15"/>
      <c r="C54" s="15"/>
      <c r="D54" s="15"/>
      <c r="E54" s="15"/>
      <c r="F54" s="34" t="s">
        <v>332</v>
      </c>
      <c r="G54" s="34" t="s">
        <v>101</v>
      </c>
      <c r="H54" s="34" t="s">
        <v>94</v>
      </c>
      <c r="I54" s="34" t="s">
        <v>424</v>
      </c>
      <c r="J54" s="34" t="s">
        <v>379</v>
      </c>
      <c r="K54" s="34"/>
      <c r="L54" s="34">
        <v>4</v>
      </c>
      <c r="M54" s="34" t="s">
        <v>96</v>
      </c>
      <c r="N54" s="35"/>
      <c r="O54" s="35"/>
      <c r="P54" s="35"/>
      <c r="Q54" s="34" t="s">
        <v>290</v>
      </c>
    </row>
    <row r="55" spans="2:17" x14ac:dyDescent="0.25">
      <c r="B55" s="15"/>
      <c r="C55" s="15"/>
      <c r="D55" s="15"/>
      <c r="E55" s="15"/>
      <c r="F55" s="33" t="s">
        <v>197</v>
      </c>
      <c r="G55" s="33"/>
      <c r="H55" s="34"/>
      <c r="I55" s="33" t="s">
        <v>366</v>
      </c>
      <c r="J55" s="33"/>
      <c r="K55" s="33"/>
      <c r="L55" s="33">
        <v>2</v>
      </c>
      <c r="M55" s="34"/>
      <c r="N55" s="35"/>
      <c r="O55" s="35"/>
      <c r="P55" s="35"/>
      <c r="Q55" s="34"/>
    </row>
    <row r="56" spans="2:17" x14ac:dyDescent="0.25">
      <c r="B56" s="15"/>
      <c r="C56" s="15"/>
      <c r="D56" s="15"/>
      <c r="E56" s="15"/>
      <c r="F56" s="34" t="s">
        <v>333</v>
      </c>
      <c r="G56" s="34" t="s">
        <v>149</v>
      </c>
      <c r="H56" s="34" t="s">
        <v>96</v>
      </c>
      <c r="I56" s="34" t="s">
        <v>425</v>
      </c>
      <c r="J56" s="34"/>
      <c r="K56" s="34"/>
      <c r="L56" s="34">
        <v>4</v>
      </c>
      <c r="M56" s="34" t="s">
        <v>96</v>
      </c>
      <c r="N56" s="35"/>
      <c r="O56" s="35"/>
      <c r="P56" s="35"/>
      <c r="Q56" s="34" t="s">
        <v>291</v>
      </c>
    </row>
    <row r="57" spans="2:17" x14ac:dyDescent="0.25">
      <c r="B57" s="15"/>
      <c r="C57" s="15"/>
      <c r="D57" s="15"/>
      <c r="E57" s="15"/>
      <c r="F57" s="34" t="s">
        <v>334</v>
      </c>
      <c r="G57" s="34" t="s">
        <v>101</v>
      </c>
      <c r="H57" s="34" t="s">
        <v>96</v>
      </c>
      <c r="I57" s="34" t="s">
        <v>444</v>
      </c>
      <c r="J57" s="34" t="s">
        <v>373</v>
      </c>
      <c r="K57" s="34"/>
      <c r="L57" s="34">
        <v>4</v>
      </c>
      <c r="M57" s="34" t="s">
        <v>96</v>
      </c>
      <c r="N57" s="35"/>
      <c r="O57" s="35"/>
      <c r="P57" s="35"/>
      <c r="Q57" s="34" t="s">
        <v>292</v>
      </c>
    </row>
    <row r="58" spans="2:17" x14ac:dyDescent="0.25">
      <c r="B58" s="15"/>
      <c r="C58" s="15"/>
      <c r="D58" s="15"/>
      <c r="E58" s="15"/>
      <c r="F58" s="34" t="s">
        <v>335</v>
      </c>
      <c r="G58" s="34" t="s">
        <v>149</v>
      </c>
      <c r="H58" s="34" t="s">
        <v>96</v>
      </c>
      <c r="I58" s="34" t="s">
        <v>426</v>
      </c>
      <c r="J58" s="34"/>
      <c r="K58" s="34"/>
      <c r="L58" s="34">
        <v>4</v>
      </c>
      <c r="M58" s="34" t="s">
        <v>96</v>
      </c>
      <c r="N58" s="35"/>
      <c r="O58" s="35"/>
      <c r="P58" s="35"/>
      <c r="Q58" s="34" t="s">
        <v>293</v>
      </c>
    </row>
    <row r="59" spans="2:17" x14ac:dyDescent="0.25">
      <c r="B59" s="15"/>
      <c r="C59" s="15"/>
      <c r="D59" s="15"/>
      <c r="E59" s="15"/>
      <c r="F59" s="34" t="s">
        <v>336</v>
      </c>
      <c r="G59" s="34" t="s">
        <v>101</v>
      </c>
      <c r="H59" s="34" t="s">
        <v>96</v>
      </c>
      <c r="I59" s="34" t="s">
        <v>457</v>
      </c>
      <c r="J59" s="34" t="s">
        <v>373</v>
      </c>
      <c r="K59" s="34"/>
      <c r="L59" s="34">
        <v>4</v>
      </c>
      <c r="M59" s="34" t="s">
        <v>96</v>
      </c>
      <c r="N59" s="35"/>
      <c r="O59" s="35"/>
      <c r="P59" s="35"/>
      <c r="Q59" s="34" t="s">
        <v>294</v>
      </c>
    </row>
    <row r="60" spans="2:17" x14ac:dyDescent="0.25">
      <c r="B60" s="15"/>
      <c r="C60" s="15"/>
      <c r="D60" s="15"/>
      <c r="E60" s="15"/>
      <c r="F60" s="34" t="s">
        <v>337</v>
      </c>
      <c r="G60" s="34" t="s">
        <v>149</v>
      </c>
      <c r="H60" s="34" t="s">
        <v>96</v>
      </c>
      <c r="I60" s="34" t="s">
        <v>427</v>
      </c>
      <c r="J60" s="34"/>
      <c r="K60" s="34"/>
      <c r="L60" s="34">
        <v>4</v>
      </c>
      <c r="M60" s="34" t="s">
        <v>96</v>
      </c>
      <c r="N60" s="35"/>
      <c r="O60" s="35"/>
      <c r="P60" s="35"/>
      <c r="Q60" s="34" t="s">
        <v>295</v>
      </c>
    </row>
    <row r="61" spans="2:17" x14ac:dyDescent="0.25">
      <c r="B61" s="15"/>
      <c r="C61" s="15"/>
      <c r="D61" s="15"/>
      <c r="E61" s="15"/>
      <c r="F61" s="34" t="s">
        <v>338</v>
      </c>
      <c r="G61" s="34" t="s">
        <v>101</v>
      </c>
      <c r="H61" s="34" t="s">
        <v>96</v>
      </c>
      <c r="I61" s="34" t="s">
        <v>445</v>
      </c>
      <c r="J61" s="34" t="s">
        <v>374</v>
      </c>
      <c r="K61" s="34"/>
      <c r="L61" s="34">
        <v>4</v>
      </c>
      <c r="M61" s="34" t="s">
        <v>96</v>
      </c>
      <c r="N61" s="35"/>
      <c r="O61" s="35"/>
      <c r="P61" s="35"/>
      <c r="Q61" s="34" t="s">
        <v>296</v>
      </c>
    </row>
    <row r="62" spans="2:17" x14ac:dyDescent="0.25">
      <c r="B62" s="15"/>
      <c r="C62" s="15"/>
      <c r="D62" s="15"/>
      <c r="E62" s="15"/>
      <c r="F62" s="34" t="s">
        <v>339</v>
      </c>
      <c r="G62" s="34" t="s">
        <v>149</v>
      </c>
      <c r="H62" s="34" t="s">
        <v>96</v>
      </c>
      <c r="I62" s="34" t="s">
        <v>428</v>
      </c>
      <c r="J62" s="34"/>
      <c r="K62" s="34"/>
      <c r="L62" s="34">
        <v>4</v>
      </c>
      <c r="M62" s="34" t="s">
        <v>96</v>
      </c>
      <c r="N62" s="35"/>
      <c r="O62" s="35"/>
      <c r="P62" s="35"/>
      <c r="Q62" s="34" t="s">
        <v>297</v>
      </c>
    </row>
    <row r="63" spans="2:17" x14ac:dyDescent="0.25">
      <c r="B63" s="15"/>
      <c r="C63" s="15"/>
      <c r="D63" s="15"/>
      <c r="E63" s="15"/>
      <c r="F63" s="34" t="s">
        <v>340</v>
      </c>
      <c r="G63" s="34" t="s">
        <v>98</v>
      </c>
      <c r="H63" s="34" t="s">
        <v>96</v>
      </c>
      <c r="I63" s="34" t="s">
        <v>429</v>
      </c>
      <c r="J63" s="34"/>
      <c r="K63" s="34"/>
      <c r="L63" s="34">
        <v>4</v>
      </c>
      <c r="M63" s="34" t="s">
        <v>96</v>
      </c>
      <c r="N63" s="35"/>
      <c r="O63" s="35"/>
      <c r="P63" s="35"/>
      <c r="Q63" s="34" t="s">
        <v>298</v>
      </c>
    </row>
    <row r="64" spans="2:17" x14ac:dyDescent="0.25">
      <c r="B64" s="15"/>
      <c r="C64" s="15"/>
      <c r="D64" s="15"/>
      <c r="E64" s="15"/>
      <c r="F64" s="34" t="s">
        <v>341</v>
      </c>
      <c r="G64" s="34" t="s">
        <v>149</v>
      </c>
      <c r="H64" s="34" t="s">
        <v>96</v>
      </c>
      <c r="I64" s="34" t="s">
        <v>430</v>
      </c>
      <c r="J64" s="34"/>
      <c r="K64" s="34"/>
      <c r="L64" s="34">
        <v>4</v>
      </c>
      <c r="M64" s="34" t="s">
        <v>96</v>
      </c>
      <c r="N64" s="35"/>
      <c r="O64" s="35"/>
      <c r="P64" s="35"/>
      <c r="Q64" s="34" t="s">
        <v>299</v>
      </c>
    </row>
    <row r="65" spans="2:17" x14ac:dyDescent="0.25">
      <c r="B65" s="15"/>
      <c r="C65" s="15"/>
      <c r="D65" s="15"/>
      <c r="E65" s="15"/>
      <c r="F65" s="34" t="s">
        <v>342</v>
      </c>
      <c r="G65" s="34" t="s">
        <v>149</v>
      </c>
      <c r="H65" s="34" t="s">
        <v>96</v>
      </c>
      <c r="I65" s="34" t="s">
        <v>431</v>
      </c>
      <c r="J65" s="34"/>
      <c r="K65" s="34"/>
      <c r="L65" s="34">
        <v>4</v>
      </c>
      <c r="M65" s="34" t="s">
        <v>96</v>
      </c>
      <c r="N65" s="35"/>
      <c r="O65" s="35"/>
      <c r="P65" s="35"/>
      <c r="Q65" s="34" t="s">
        <v>300</v>
      </c>
    </row>
    <row r="66" spans="2:17" x14ac:dyDescent="0.25">
      <c r="B66" s="15"/>
      <c r="C66" s="15"/>
      <c r="D66" s="15"/>
      <c r="E66" s="15"/>
      <c r="F66" s="34" t="s">
        <v>343</v>
      </c>
      <c r="G66" s="34" t="s">
        <v>98</v>
      </c>
      <c r="H66" s="34" t="s">
        <v>96</v>
      </c>
      <c r="I66" s="34" t="s">
        <v>446</v>
      </c>
      <c r="J66" s="34" t="s">
        <v>375</v>
      </c>
      <c r="K66" s="34"/>
      <c r="L66" s="34">
        <v>4</v>
      </c>
      <c r="M66" s="34" t="s">
        <v>96</v>
      </c>
      <c r="N66" s="35"/>
      <c r="O66" s="35"/>
      <c r="P66" s="35"/>
      <c r="Q66" s="34" t="s">
        <v>301</v>
      </c>
    </row>
    <row r="67" spans="2:17" x14ac:dyDescent="0.25">
      <c r="B67" s="15"/>
      <c r="C67" s="15"/>
      <c r="D67" s="15"/>
      <c r="E67" s="15"/>
      <c r="F67" s="34" t="s">
        <v>344</v>
      </c>
      <c r="G67" s="34" t="s">
        <v>149</v>
      </c>
      <c r="H67" s="34" t="s">
        <v>96</v>
      </c>
      <c r="I67" s="34" t="s">
        <v>432</v>
      </c>
      <c r="J67" s="34"/>
      <c r="K67" s="34"/>
      <c r="L67" s="34">
        <v>4</v>
      </c>
      <c r="M67" s="34" t="s">
        <v>96</v>
      </c>
      <c r="N67" s="35"/>
      <c r="O67" s="35"/>
      <c r="P67" s="35"/>
      <c r="Q67" s="34" t="s">
        <v>302</v>
      </c>
    </row>
    <row r="68" spans="2:17" x14ac:dyDescent="0.25">
      <c r="B68" s="15"/>
      <c r="C68" s="15"/>
      <c r="D68" s="15"/>
      <c r="E68" s="15"/>
      <c r="F68" s="34" t="s">
        <v>345</v>
      </c>
      <c r="G68" s="34" t="s">
        <v>101</v>
      </c>
      <c r="H68" s="34" t="s">
        <v>96</v>
      </c>
      <c r="I68" s="34" t="s">
        <v>447</v>
      </c>
      <c r="J68" s="34" t="s">
        <v>376</v>
      </c>
      <c r="K68" s="34"/>
      <c r="L68" s="34">
        <v>4</v>
      </c>
      <c r="M68" s="34" t="s">
        <v>96</v>
      </c>
      <c r="N68" s="35"/>
      <c r="O68" s="35"/>
      <c r="P68" s="35"/>
      <c r="Q68" s="34" t="s">
        <v>303</v>
      </c>
    </row>
    <row r="69" spans="2:17" x14ac:dyDescent="0.25">
      <c r="B69" s="15"/>
      <c r="C69" s="15"/>
      <c r="D69" s="15"/>
      <c r="E69" s="15"/>
      <c r="F69" s="34" t="s">
        <v>346</v>
      </c>
      <c r="G69" s="34" t="s">
        <v>149</v>
      </c>
      <c r="H69" s="34" t="s">
        <v>96</v>
      </c>
      <c r="I69" s="34" t="s">
        <v>433</v>
      </c>
      <c r="J69" s="34"/>
      <c r="K69" s="34"/>
      <c r="L69" s="34">
        <v>4</v>
      </c>
      <c r="M69" s="34" t="s">
        <v>96</v>
      </c>
      <c r="N69" s="35"/>
      <c r="O69" s="35"/>
      <c r="P69" s="35"/>
      <c r="Q69" s="34" t="s">
        <v>304</v>
      </c>
    </row>
    <row r="70" spans="2:17" x14ac:dyDescent="0.25">
      <c r="B70" s="15"/>
      <c r="C70" s="15"/>
      <c r="D70" s="15"/>
      <c r="E70" s="15"/>
      <c r="F70" s="34" t="s">
        <v>347</v>
      </c>
      <c r="G70" s="34" t="s">
        <v>149</v>
      </c>
      <c r="H70" s="34" t="s">
        <v>96</v>
      </c>
      <c r="I70" s="34" t="s">
        <v>434</v>
      </c>
      <c r="J70" s="34"/>
      <c r="K70" s="34"/>
      <c r="L70" s="34">
        <v>4</v>
      </c>
      <c r="M70" s="34" t="s">
        <v>96</v>
      </c>
      <c r="N70" s="35"/>
      <c r="O70" s="35"/>
      <c r="P70" s="35"/>
      <c r="Q70" s="34" t="s">
        <v>305</v>
      </c>
    </row>
    <row r="71" spans="2:17" x14ac:dyDescent="0.25">
      <c r="B71" s="15"/>
      <c r="C71" s="15"/>
      <c r="D71" s="15"/>
      <c r="E71" s="15"/>
      <c r="F71" s="34" t="s">
        <v>348</v>
      </c>
      <c r="G71" s="34" t="s">
        <v>101</v>
      </c>
      <c r="H71" s="34" t="s">
        <v>96</v>
      </c>
      <c r="I71" s="34" t="s">
        <v>448</v>
      </c>
      <c r="J71" s="34" t="s">
        <v>370</v>
      </c>
      <c r="K71" s="34"/>
      <c r="L71" s="34">
        <v>4</v>
      </c>
      <c r="M71" s="34" t="s">
        <v>96</v>
      </c>
      <c r="N71" s="35"/>
      <c r="O71" s="35"/>
      <c r="P71" s="35"/>
      <c r="Q71" s="34" t="s">
        <v>306</v>
      </c>
    </row>
    <row r="72" spans="2:17" x14ac:dyDescent="0.25">
      <c r="B72" s="15"/>
      <c r="C72" s="15"/>
      <c r="D72" s="15"/>
      <c r="E72" s="15"/>
      <c r="F72" s="34" t="s">
        <v>349</v>
      </c>
      <c r="G72" s="34" t="s">
        <v>101</v>
      </c>
      <c r="H72" s="34" t="s">
        <v>96</v>
      </c>
      <c r="I72" s="34" t="s">
        <v>435</v>
      </c>
      <c r="J72" s="34"/>
      <c r="K72" s="34"/>
      <c r="L72" s="34">
        <v>4</v>
      </c>
      <c r="M72" s="34" t="s">
        <v>96</v>
      </c>
      <c r="N72" s="35"/>
      <c r="O72" s="35"/>
      <c r="P72" s="35"/>
      <c r="Q72" s="34" t="s">
        <v>307</v>
      </c>
    </row>
    <row r="73" spans="2:17" x14ac:dyDescent="0.25">
      <c r="B73" s="15"/>
      <c r="C73" s="15"/>
      <c r="D73" s="15"/>
      <c r="E73" s="15"/>
      <c r="F73" s="34" t="s">
        <v>350</v>
      </c>
      <c r="G73" s="34" t="s">
        <v>101</v>
      </c>
      <c r="H73" s="34" t="s">
        <v>96</v>
      </c>
      <c r="I73" s="34" t="s">
        <v>436</v>
      </c>
      <c r="J73" s="34"/>
      <c r="K73" s="34"/>
      <c r="L73" s="34">
        <v>4</v>
      </c>
      <c r="M73" s="34" t="s">
        <v>96</v>
      </c>
      <c r="N73" s="35"/>
      <c r="O73" s="35"/>
      <c r="P73" s="35"/>
      <c r="Q73" s="34" t="s">
        <v>308</v>
      </c>
    </row>
    <row r="74" spans="2:17" x14ac:dyDescent="0.25">
      <c r="B74" s="15"/>
      <c r="C74" s="15"/>
      <c r="D74" s="15"/>
      <c r="E74" s="15"/>
      <c r="F74" s="34" t="s">
        <v>351</v>
      </c>
      <c r="G74" s="34" t="s">
        <v>101</v>
      </c>
      <c r="H74" s="34" t="s">
        <v>96</v>
      </c>
      <c r="I74" s="34" t="s">
        <v>437</v>
      </c>
      <c r="J74" s="34"/>
      <c r="K74" s="34"/>
      <c r="L74" s="34">
        <v>4</v>
      </c>
      <c r="M74" s="34" t="s">
        <v>96</v>
      </c>
      <c r="N74" s="35"/>
      <c r="O74" s="35"/>
      <c r="P74" s="35"/>
      <c r="Q74" s="34" t="s">
        <v>309</v>
      </c>
    </row>
    <row r="75" spans="2:17" x14ac:dyDescent="0.25">
      <c r="B75" s="15"/>
      <c r="C75" s="15"/>
      <c r="D75" s="15"/>
      <c r="E75" s="15"/>
      <c r="F75" s="34" t="s">
        <v>352</v>
      </c>
      <c r="G75" s="34" t="s">
        <v>101</v>
      </c>
      <c r="H75" s="34" t="s">
        <v>96</v>
      </c>
      <c r="I75" s="34" t="s">
        <v>438</v>
      </c>
      <c r="J75" s="34"/>
      <c r="K75" s="34"/>
      <c r="L75" s="34">
        <v>4</v>
      </c>
      <c r="M75" s="34" t="s">
        <v>96</v>
      </c>
      <c r="N75" s="35"/>
      <c r="O75" s="35"/>
      <c r="P75" s="35"/>
      <c r="Q75" s="34" t="s">
        <v>310</v>
      </c>
    </row>
    <row r="76" spans="2:17" x14ac:dyDescent="0.25">
      <c r="B76" s="15"/>
      <c r="C76" s="15"/>
      <c r="D76" s="15"/>
      <c r="E76" s="15"/>
      <c r="F76" s="33" t="s">
        <v>197</v>
      </c>
      <c r="G76" s="33"/>
      <c r="H76" s="34"/>
      <c r="I76" s="33" t="s">
        <v>367</v>
      </c>
      <c r="J76" s="33"/>
      <c r="K76" s="33"/>
      <c r="L76" s="33">
        <v>2</v>
      </c>
      <c r="M76" s="34"/>
      <c r="N76" s="35"/>
      <c r="O76" s="35"/>
      <c r="P76" s="35"/>
      <c r="Q76" s="34"/>
    </row>
    <row r="77" spans="2:17" x14ac:dyDescent="0.25">
      <c r="B77" s="15"/>
      <c r="C77" s="15"/>
      <c r="D77" s="15"/>
      <c r="E77" s="15"/>
      <c r="F77" s="34" t="s">
        <v>353</v>
      </c>
      <c r="G77" s="34" t="s">
        <v>149</v>
      </c>
      <c r="H77" s="34" t="s">
        <v>96</v>
      </c>
      <c r="I77" s="34" t="s">
        <v>439</v>
      </c>
      <c r="J77" s="34"/>
      <c r="K77" s="34"/>
      <c r="L77" s="34">
        <v>4</v>
      </c>
      <c r="M77" s="34" t="s">
        <v>96</v>
      </c>
      <c r="N77" s="35"/>
      <c r="O77" s="35"/>
      <c r="P77" s="35"/>
      <c r="Q77" s="34" t="s">
        <v>311</v>
      </c>
    </row>
    <row r="78" spans="2:17" x14ac:dyDescent="0.25">
      <c r="B78" s="15"/>
      <c r="C78" s="15"/>
      <c r="D78" s="15"/>
      <c r="E78" s="15"/>
      <c r="F78" s="34" t="s">
        <v>354</v>
      </c>
      <c r="G78" s="34" t="s">
        <v>99</v>
      </c>
      <c r="H78" s="34" t="s">
        <v>96</v>
      </c>
      <c r="I78" s="34" t="s">
        <v>440</v>
      </c>
      <c r="J78" s="34"/>
      <c r="K78" s="33" t="s">
        <v>196</v>
      </c>
      <c r="L78" s="34">
        <v>4</v>
      </c>
      <c r="M78" s="34" t="s">
        <v>96</v>
      </c>
      <c r="N78" s="35"/>
      <c r="O78" s="35"/>
      <c r="P78" s="35"/>
      <c r="Q78" s="34" t="s">
        <v>312</v>
      </c>
    </row>
    <row r="79" spans="2:17" x14ac:dyDescent="0.25">
      <c r="B79" s="15"/>
      <c r="C79" s="15"/>
      <c r="D79" s="15"/>
      <c r="E79" s="15"/>
      <c r="F79" s="34" t="s">
        <v>355</v>
      </c>
      <c r="G79" s="34" t="s">
        <v>149</v>
      </c>
      <c r="H79" s="34" t="s">
        <v>96</v>
      </c>
      <c r="I79" s="34" t="s">
        <v>441</v>
      </c>
      <c r="J79" s="34"/>
      <c r="K79" s="34"/>
      <c r="L79" s="34">
        <v>4</v>
      </c>
      <c r="M79" s="34" t="s">
        <v>96</v>
      </c>
      <c r="N79" s="35"/>
      <c r="O79" s="35"/>
      <c r="P79" s="35"/>
      <c r="Q79" s="34" t="s">
        <v>313</v>
      </c>
    </row>
    <row r="80" spans="2:17" x14ac:dyDescent="0.25">
      <c r="B80" s="15"/>
      <c r="C80" s="15"/>
      <c r="D80" s="15"/>
      <c r="E80" s="15"/>
      <c r="F80" s="33" t="s">
        <v>197</v>
      </c>
      <c r="G80" s="33"/>
      <c r="H80" s="34"/>
      <c r="I80" s="33" t="s">
        <v>368</v>
      </c>
      <c r="J80" s="33"/>
      <c r="K80" s="33"/>
      <c r="L80" s="33">
        <v>3</v>
      </c>
      <c r="M80" s="34"/>
      <c r="N80" s="35"/>
      <c r="O80" s="35"/>
      <c r="P80" s="35"/>
      <c r="Q80" s="34"/>
    </row>
    <row r="81" spans="2:17" x14ac:dyDescent="0.25">
      <c r="B81" s="15"/>
      <c r="C81" s="15"/>
      <c r="D81" s="15"/>
      <c r="E81" s="15"/>
      <c r="F81" s="34" t="s">
        <v>356</v>
      </c>
      <c r="G81" s="34" t="s">
        <v>149</v>
      </c>
      <c r="H81" s="34" t="s">
        <v>96</v>
      </c>
      <c r="I81" s="34" t="s">
        <v>442</v>
      </c>
      <c r="J81" s="34"/>
      <c r="K81" s="34"/>
      <c r="L81" s="34">
        <v>4</v>
      </c>
      <c r="M81" s="34" t="s">
        <v>96</v>
      </c>
      <c r="N81" s="35"/>
      <c r="O81" s="35"/>
      <c r="P81" s="35"/>
      <c r="Q81" s="34" t="s">
        <v>314</v>
      </c>
    </row>
    <row r="82" spans="2:17" x14ac:dyDescent="0.25">
      <c r="B82" s="15"/>
      <c r="C82" s="15"/>
      <c r="D82" s="15"/>
      <c r="E82" s="15"/>
      <c r="F82" s="34" t="s">
        <v>357</v>
      </c>
      <c r="G82" s="34" t="s">
        <v>149</v>
      </c>
      <c r="H82" s="34" t="s">
        <v>96</v>
      </c>
      <c r="I82" s="34" t="s">
        <v>449</v>
      </c>
      <c r="J82" s="34"/>
      <c r="K82" s="34"/>
      <c r="L82" s="34">
        <v>4</v>
      </c>
      <c r="M82" s="34" t="s">
        <v>96</v>
      </c>
      <c r="N82" s="35"/>
      <c r="O82" s="35"/>
      <c r="P82" s="35"/>
      <c r="Q82" s="34" t="s">
        <v>315</v>
      </c>
    </row>
    <row r="83" spans="2:17" x14ac:dyDescent="0.25">
      <c r="B83" s="15"/>
      <c r="C83" s="15"/>
      <c r="D83" s="15"/>
      <c r="E83" s="15"/>
      <c r="F83" s="34" t="s">
        <v>358</v>
      </c>
      <c r="G83" s="34" t="s">
        <v>149</v>
      </c>
      <c r="H83" s="34" t="s">
        <v>96</v>
      </c>
      <c r="I83" s="34" t="s">
        <v>455</v>
      </c>
      <c r="J83" s="34"/>
      <c r="K83" s="34"/>
      <c r="L83" s="34">
        <v>4</v>
      </c>
      <c r="M83" s="34" t="s">
        <v>96</v>
      </c>
      <c r="N83" s="35"/>
      <c r="O83" s="35"/>
      <c r="P83" s="35"/>
      <c r="Q83" s="34" t="s">
        <v>316</v>
      </c>
    </row>
    <row r="84" spans="2:17" x14ac:dyDescent="0.25">
      <c r="B84" s="15"/>
      <c r="C84" s="15"/>
      <c r="D84" s="15"/>
      <c r="E84" s="15"/>
      <c r="F84" s="34" t="s">
        <v>359</v>
      </c>
      <c r="G84" s="34" t="s">
        <v>149</v>
      </c>
      <c r="H84" s="34" t="s">
        <v>96</v>
      </c>
      <c r="I84" s="34" t="s">
        <v>456</v>
      </c>
      <c r="J84" s="34"/>
      <c r="K84" s="34"/>
      <c r="L84" s="34">
        <v>4</v>
      </c>
      <c r="M84" s="34" t="s">
        <v>96</v>
      </c>
      <c r="N84" s="35"/>
      <c r="O84" s="35"/>
      <c r="P84" s="35"/>
      <c r="Q84" s="34" t="s">
        <v>317</v>
      </c>
    </row>
    <row r="85" spans="2:17" x14ac:dyDescent="0.25">
      <c r="B85" s="15"/>
      <c r="C85" s="15"/>
      <c r="D85" s="15"/>
      <c r="E85" s="15"/>
      <c r="F85" s="34" t="s">
        <v>360</v>
      </c>
      <c r="G85" s="34" t="s">
        <v>98</v>
      </c>
      <c r="H85" s="34" t="s">
        <v>96</v>
      </c>
      <c r="I85" s="34" t="s">
        <v>450</v>
      </c>
      <c r="J85" s="34"/>
      <c r="K85" s="34"/>
      <c r="L85" s="34">
        <v>4</v>
      </c>
      <c r="M85" s="34" t="s">
        <v>96</v>
      </c>
      <c r="N85" s="35"/>
      <c r="O85" s="35"/>
      <c r="P85" s="35"/>
      <c r="Q85" s="34" t="s">
        <v>318</v>
      </c>
    </row>
    <row r="86" spans="2:17" x14ac:dyDescent="0.25">
      <c r="B86" s="15"/>
      <c r="C86" s="15"/>
      <c r="D86" s="15"/>
      <c r="E86" s="15"/>
      <c r="F86" s="33" t="s">
        <v>197</v>
      </c>
      <c r="G86" s="33"/>
      <c r="H86" s="34"/>
      <c r="I86" s="33" t="s">
        <v>369</v>
      </c>
      <c r="J86" s="33"/>
      <c r="K86" s="33"/>
      <c r="L86" s="33">
        <v>3</v>
      </c>
      <c r="M86" s="34"/>
      <c r="N86" s="35"/>
      <c r="O86" s="35"/>
      <c r="P86" s="35"/>
      <c r="Q86" s="34"/>
    </row>
    <row r="87" spans="2:17" x14ac:dyDescent="0.25">
      <c r="B87" s="15"/>
      <c r="C87" s="15"/>
      <c r="D87" s="15"/>
      <c r="E87" s="15"/>
      <c r="F87" s="34" t="s">
        <v>361</v>
      </c>
      <c r="G87" s="34" t="s">
        <v>149</v>
      </c>
      <c r="H87" s="34" t="s">
        <v>96</v>
      </c>
      <c r="I87" s="34" t="s">
        <v>443</v>
      </c>
      <c r="J87" s="34"/>
      <c r="K87" s="34"/>
      <c r="L87" s="34">
        <v>4</v>
      </c>
      <c r="M87" s="34" t="s">
        <v>96</v>
      </c>
      <c r="N87" s="35"/>
      <c r="O87" s="35"/>
      <c r="P87" s="35"/>
      <c r="Q87" s="34" t="s">
        <v>319</v>
      </c>
    </row>
    <row r="88" spans="2:17" x14ac:dyDescent="0.25">
      <c r="B88" s="15"/>
      <c r="C88" s="15"/>
      <c r="D88" s="15"/>
      <c r="E88" s="15"/>
      <c r="F88" s="34" t="s">
        <v>362</v>
      </c>
      <c r="G88" s="34" t="s">
        <v>149</v>
      </c>
      <c r="H88" s="34" t="s">
        <v>96</v>
      </c>
      <c r="I88" s="34" t="s">
        <v>451</v>
      </c>
      <c r="J88" s="34"/>
      <c r="K88" s="34"/>
      <c r="L88" s="34">
        <v>4</v>
      </c>
      <c r="M88" s="34" t="s">
        <v>96</v>
      </c>
      <c r="N88" s="35"/>
      <c r="O88" s="35"/>
      <c r="P88" s="35"/>
      <c r="Q88" s="34" t="s">
        <v>320</v>
      </c>
    </row>
    <row r="89" spans="2:17" x14ac:dyDescent="0.25">
      <c r="B89" s="15"/>
      <c r="C89" s="15"/>
      <c r="D89" s="15"/>
      <c r="E89" s="15"/>
      <c r="F89" s="34" t="s">
        <v>363</v>
      </c>
      <c r="G89" s="34" t="s">
        <v>149</v>
      </c>
      <c r="H89" s="34" t="s">
        <v>96</v>
      </c>
      <c r="I89" s="34" t="s">
        <v>452</v>
      </c>
      <c r="J89" s="34"/>
      <c r="K89" s="34"/>
      <c r="L89" s="34">
        <v>4</v>
      </c>
      <c r="M89" s="34" t="s">
        <v>96</v>
      </c>
      <c r="N89" s="35"/>
      <c r="O89" s="35"/>
      <c r="P89" s="35"/>
      <c r="Q89" s="34" t="s">
        <v>321</v>
      </c>
    </row>
    <row r="90" spans="2:17" x14ac:dyDescent="0.25">
      <c r="B90" s="15"/>
      <c r="C90" s="15"/>
      <c r="D90" s="15"/>
      <c r="E90" s="15"/>
      <c r="F90" s="34" t="s">
        <v>364</v>
      </c>
      <c r="G90" s="34" t="s">
        <v>149</v>
      </c>
      <c r="H90" s="34" t="s">
        <v>96</v>
      </c>
      <c r="I90" s="34" t="s">
        <v>453</v>
      </c>
      <c r="J90" s="34"/>
      <c r="K90" s="34"/>
      <c r="L90" s="34">
        <v>4</v>
      </c>
      <c r="M90" s="34" t="s">
        <v>96</v>
      </c>
      <c r="N90" s="35"/>
      <c r="O90" s="35"/>
      <c r="P90" s="35"/>
      <c r="Q90" s="34" t="s">
        <v>322</v>
      </c>
    </row>
    <row r="91" spans="2:17" x14ac:dyDescent="0.25">
      <c r="B91" s="15"/>
      <c r="C91" s="15"/>
      <c r="D91" s="15"/>
      <c r="E91" s="15"/>
      <c r="F91" s="34" t="s">
        <v>365</v>
      </c>
      <c r="G91" s="34" t="s">
        <v>98</v>
      </c>
      <c r="H91" s="34" t="s">
        <v>96</v>
      </c>
      <c r="I91" s="34" t="s">
        <v>454</v>
      </c>
      <c r="J91" s="34"/>
      <c r="K91" s="34"/>
      <c r="L91" s="34">
        <v>4</v>
      </c>
      <c r="M91" s="34" t="s">
        <v>96</v>
      </c>
      <c r="N91" s="35"/>
      <c r="O91" s="35"/>
      <c r="P91" s="35"/>
      <c r="Q91" s="34" t="s">
        <v>323</v>
      </c>
    </row>
  </sheetData>
  <hyperlinks>
    <hyperlink ref="B9" r:id="rId1" display="http://20.188.62.95/reportingmanager/api/reporting/{ID}" xr:uid="{10FE6A28-D839-4124-AB92-F50F125C824C}"/>
    <hyperlink ref="B4" r:id="rId2" display="http://20.188.62.95/reportingmanager/api/reporting" xr:uid="{E4BC7E82-3420-4C54-88BD-3467497FFFFC}"/>
  </hyperlinks>
  <pageMargins left="0.7" right="0.7" top="0.75" bottom="0.75" header="0.3" footer="0.3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641F5-F8A6-4AF1-BA7A-867EDA62C716}">
  <sheetPr codeName="Feuil8"/>
  <dimension ref="B1:Q7"/>
  <sheetViews>
    <sheetView topLeftCell="A68" zoomScale="82" zoomScaleNormal="82" workbookViewId="0">
      <selection activeCell="A95" sqref="A95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2:17" x14ac:dyDescent="0.25">
      <c r="B1" t="s">
        <v>114</v>
      </c>
      <c r="I1" s="10"/>
    </row>
    <row r="3" spans="2:17" x14ac:dyDescent="0.25">
      <c r="B3" t="s">
        <v>90</v>
      </c>
      <c r="C3" t="s">
        <v>112</v>
      </c>
      <c r="D3" t="s">
        <v>110</v>
      </c>
      <c r="E3" t="s">
        <v>136</v>
      </c>
      <c r="F3" t="s">
        <v>97</v>
      </c>
      <c r="G3" t="s">
        <v>100</v>
      </c>
      <c r="H3" t="s">
        <v>135</v>
      </c>
      <c r="I3" t="s">
        <v>91</v>
      </c>
      <c r="J3" t="s">
        <v>155</v>
      </c>
      <c r="K3" t="s">
        <v>154</v>
      </c>
      <c r="L3" t="s">
        <v>198</v>
      </c>
      <c r="M3" t="s">
        <v>92</v>
      </c>
      <c r="N3" t="s">
        <v>111</v>
      </c>
      <c r="O3" t="s">
        <v>116</v>
      </c>
      <c r="P3" t="s">
        <v>108</v>
      </c>
      <c r="Q3" t="s">
        <v>324</v>
      </c>
    </row>
    <row r="4" spans="2:17" x14ac:dyDescent="0.25">
      <c r="B4" s="14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</row>
    <row r="7" spans="2:17" x14ac:dyDescent="0.25">
      <c r="B7" s="15"/>
      <c r="C7" s="15"/>
      <c r="D7" s="15"/>
      <c r="E7" s="15"/>
      <c r="F7" s="34" t="s">
        <v>414</v>
      </c>
      <c r="G7" s="34" t="s">
        <v>101</v>
      </c>
      <c r="H7" s="34" t="s">
        <v>96</v>
      </c>
      <c r="I7" s="34" t="s">
        <v>514</v>
      </c>
      <c r="J7" s="34"/>
      <c r="K7" s="34"/>
      <c r="L7" s="34">
        <v>3</v>
      </c>
      <c r="M7" s="34" t="s">
        <v>96</v>
      </c>
      <c r="N7" s="35"/>
      <c r="O7" s="35"/>
      <c r="P7" s="35"/>
      <c r="Q7" s="34" t="s">
        <v>513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9</vt:i4>
      </vt:variant>
    </vt:vector>
  </HeadingPairs>
  <TitlesOfParts>
    <vt:vector size="17" baseType="lpstr">
      <vt:lpstr>Reporting List</vt:lpstr>
      <vt:lpstr>A - 2000.12</vt:lpstr>
      <vt:lpstr>CACHE</vt:lpstr>
      <vt:lpstr>Planning</vt:lpstr>
      <vt:lpstr>History</vt:lpstr>
      <vt:lpstr>I18N</vt:lpstr>
      <vt:lpstr>JSON</vt:lpstr>
      <vt:lpstr>JSON (2)</vt:lpstr>
      <vt:lpstr>'JSON (2)'!cell_JSON_Param</vt:lpstr>
      <vt:lpstr>cell_JSON_Param</vt:lpstr>
      <vt:lpstr>cellLanguage</vt:lpstr>
      <vt:lpstr>lCategory</vt:lpstr>
      <vt:lpstr>lCategoryVersion</vt:lpstr>
      <vt:lpstr>lFolders</vt:lpstr>
      <vt:lpstr>tReporting52428888___RF_Save</vt:lpstr>
      <vt:lpstr>tReportings____ROWS_</vt:lpstr>
      <vt:lpstr>tReportings___RF_Refresh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Pierre</cp:lastModifiedBy>
  <dcterms:created xsi:type="dcterms:W3CDTF">2015-06-05T18:19:34Z</dcterms:created>
  <dcterms:modified xsi:type="dcterms:W3CDTF">2021-03-04T20:01:25Z</dcterms:modified>
</cp:coreProperties>
</file>