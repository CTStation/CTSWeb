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628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Pierre\Documents\GitHub\CTSWeb\Client\"/>
    </mc:Choice>
  </mc:AlternateContent>
  <xr:revisionPtr revIDLastSave="0" documentId="13_ncr:1_{BDE8372B-6F30-434A-BC74-688C1551BFAD}" xr6:coauthVersionLast="46" xr6:coauthVersionMax="46" xr10:uidLastSave="{00000000-0000-0000-0000-000000000000}"/>
  <bookViews>
    <workbookView xWindow="-28800" yWindow="-4695" windowWidth="28830" windowHeight="17400" tabRatio="723" xr2:uid="{00000000-000D-0000-FFFF-FFFF00000000}"/>
  </bookViews>
  <sheets>
    <sheet name="Reporting List" sheetId="6" r:id="rId1"/>
    <sheet name="A - 2000.12" sheetId="15" r:id="rId2"/>
    <sheet name="CACHE" sheetId="10" r:id="rId3"/>
    <sheet name="Planning" sheetId="4" r:id="rId4"/>
    <sheet name="History" sheetId="7" r:id="rId5"/>
    <sheet name="I18N" sheetId="2" r:id="rId6"/>
    <sheet name="JSON" sheetId="8" r:id="rId7"/>
    <sheet name="JSON (2)" sheetId="13" r:id="rId8"/>
  </sheets>
  <functionGroups builtInGroupCount="19"/>
  <definedNames>
    <definedName name="_xlnm._FilterDatabase" localSheetId="3" hidden="1">Planning!$A$17:$J$64</definedName>
    <definedName name="_xlnm._FilterDatabase" localSheetId="0" hidden="1">'Reporting List'!$C$10:$E$14</definedName>
    <definedName name="cell_JSON_Param" localSheetId="7">'JSON (2)'!$I$1</definedName>
    <definedName name="cell_JSON_Param">JSON!$I$1</definedName>
    <definedName name="cellLanguage">I18N!$J$1</definedName>
    <definedName name="lCategory">Planning!$B$3:$B$5</definedName>
    <definedName name="lCategoryVersion">Planning!$B$9</definedName>
    <definedName name="lFolders">Planning!$B$12:$B$13</definedName>
    <definedName name="tReporting52428888___RF_Save">'A - 2000.12'!$B$2</definedName>
    <definedName name="tReportings____ROWS_">'Reporting List'!$H$14:$I$41</definedName>
    <definedName name="tReportings___RF_Refresh">'Reporting List'!$D$10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11" i="6" l="1"/>
  <c r="CF3" i="15"/>
  <c r="J66" i="4"/>
  <c r="CF4" i="15"/>
  <c r="CE4" i="15"/>
  <c r="CD4" i="15"/>
  <c r="CC4" i="15"/>
  <c r="CB4" i="15"/>
  <c r="CA4" i="15"/>
  <c r="BZ4" i="15"/>
  <c r="BY4" i="15"/>
  <c r="BX4" i="15"/>
  <c r="BW4" i="15"/>
  <c r="BV4" i="15"/>
  <c r="BU4" i="15"/>
  <c r="BT4" i="15"/>
  <c r="BS4" i="15"/>
  <c r="BR4" i="15"/>
  <c r="BQ4" i="15"/>
  <c r="BP4" i="15"/>
  <c r="BO4" i="15"/>
  <c r="BN4" i="15"/>
  <c r="BM4" i="15"/>
  <c r="BL4" i="15"/>
  <c r="BK4" i="15"/>
  <c r="BJ4" i="15"/>
  <c r="BI4" i="15"/>
  <c r="BH4" i="15"/>
  <c r="BG4" i="15"/>
  <c r="BF4" i="15"/>
  <c r="BE4" i="15"/>
  <c r="BD4" i="15"/>
  <c r="BC4" i="15"/>
  <c r="BB4" i="15"/>
  <c r="BA4" i="15"/>
  <c r="AZ4" i="15"/>
  <c r="AY4" i="15"/>
  <c r="AX4" i="15"/>
  <c r="AW4" i="15"/>
  <c r="AV4" i="15"/>
  <c r="AU4" i="15"/>
  <c r="AT4" i="15"/>
  <c r="AS4" i="15"/>
  <c r="AR4" i="15"/>
  <c r="AQ4" i="15"/>
  <c r="AP4" i="15"/>
  <c r="AO4" i="15"/>
  <c r="AN4" i="15"/>
  <c r="AM4" i="15"/>
  <c r="AL4" i="15"/>
  <c r="AK4" i="15"/>
  <c r="AJ4" i="15"/>
  <c r="AI4" i="15"/>
  <c r="AH4" i="15"/>
  <c r="AG4" i="15"/>
  <c r="AF4" i="15"/>
  <c r="AE4" i="15"/>
  <c r="AD4" i="15"/>
  <c r="AC4" i="15"/>
  <c r="AB4" i="15"/>
  <c r="AA4" i="15"/>
  <c r="Z4" i="15"/>
  <c r="Y4" i="15"/>
  <c r="X4" i="15"/>
  <c r="W4" i="15"/>
  <c r="V4" i="15"/>
  <c r="U4" i="15"/>
  <c r="T4" i="15"/>
  <c r="S4" i="15"/>
  <c r="R4" i="15"/>
  <c r="Q4" i="15"/>
  <c r="P4" i="15"/>
  <c r="O4" i="15"/>
  <c r="N4" i="15"/>
  <c r="M4" i="15"/>
  <c r="L4" i="15"/>
  <c r="K4" i="15"/>
  <c r="J4" i="15"/>
  <c r="I4" i="15"/>
  <c r="H4" i="15"/>
  <c r="G4" i="15"/>
  <c r="F4" i="15"/>
  <c r="E4" i="15"/>
  <c r="D4" i="15"/>
  <c r="C4" i="15"/>
  <c r="B4" i="15"/>
  <c r="B2" i="15"/>
  <c r="I41" i="6"/>
  <c r="I39" i="6"/>
  <c r="I37" i="6"/>
  <c r="I35" i="6"/>
  <c r="I33" i="6"/>
  <c r="I31" i="6"/>
  <c r="I29" i="6"/>
  <c r="I27" i="6"/>
  <c r="I25" i="6"/>
  <c r="I23" i="6"/>
  <c r="I21" i="6"/>
  <c r="I19" i="6"/>
  <c r="I17" i="6"/>
  <c r="I15" i="6"/>
  <c r="I38" i="6"/>
  <c r="I36" i="6"/>
  <c r="I30" i="6"/>
  <c r="I26" i="6"/>
  <c r="I22" i="6"/>
  <c r="I18" i="6"/>
  <c r="I16" i="6"/>
  <c r="H38" i="6"/>
  <c r="H34" i="6"/>
  <c r="H30" i="6"/>
  <c r="H28" i="6"/>
  <c r="H22" i="6"/>
  <c r="H20" i="6"/>
  <c r="H16" i="6"/>
  <c r="H41" i="6"/>
  <c r="H39" i="6"/>
  <c r="H37" i="6"/>
  <c r="H35" i="6"/>
  <c r="H33" i="6"/>
  <c r="H31" i="6"/>
  <c r="H29" i="6"/>
  <c r="H27" i="6"/>
  <c r="H25" i="6"/>
  <c r="H23" i="6"/>
  <c r="H21" i="6"/>
  <c r="H19" i="6"/>
  <c r="H17" i="6"/>
  <c r="H15" i="6"/>
  <c r="I40" i="6"/>
  <c r="I34" i="6"/>
  <c r="I32" i="6"/>
  <c r="I28" i="6"/>
  <c r="I24" i="6"/>
  <c r="I20" i="6"/>
  <c r="H40" i="6"/>
  <c r="H36" i="6"/>
  <c r="H32" i="6"/>
  <c r="H26" i="6"/>
  <c r="H24" i="6"/>
  <c r="H18" i="6"/>
  <c r="I14" i="6"/>
  <c r="H14" i="6"/>
  <c r="F12" i="6"/>
  <c r="E12" i="6"/>
  <c r="D12" i="6"/>
  <c r="C12" i="6"/>
  <c r="D10" i="6"/>
  <c r="I66" i="4" l="1"/>
  <c r="H66" i="4"/>
  <c r="F66" i="4" l="1"/>
  <c r="G66" i="4"/>
  <c r="D66" i="4"/>
  <c r="C66" i="4"/>
  <c r="I4" i="6" a="1"/>
  <c r="B66" i="4" l="1"/>
  <c r="I4" i="6"/>
  <c r="G10" i="2"/>
  <c r="H10" i="2" l="1"/>
  <c r="G17" i="2" l="1"/>
  <c r="H17" i="2"/>
  <c r="B4" i="6" a="1"/>
  <c r="B4" i="6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<sst xmlns="http://schemas.openxmlformats.org/spreadsheetml/2006/main" count="1290" uniqueCount="676">
  <si>
    <t>ID</t>
  </si>
  <si>
    <t>Param1</t>
  </si>
  <si>
    <t>Param2</t>
  </si>
  <si>
    <t>Param3</t>
  </si>
  <si>
    <t>Param4</t>
  </si>
  <si>
    <t>Param5</t>
  </si>
  <si>
    <t>Start time</t>
  </si>
  <si>
    <t>Source</t>
  </si>
  <si>
    <t>Message</t>
  </si>
  <si>
    <t>Start</t>
  </si>
  <si>
    <t>LOG_End</t>
  </si>
  <si>
    <t>en_US</t>
  </si>
  <si>
    <t>fr_FR</t>
  </si>
  <si>
    <t>Français</t>
  </si>
  <si>
    <t>Anglais</t>
  </si>
  <si>
    <t>French</t>
  </si>
  <si>
    <t>English</t>
  </si>
  <si>
    <t>Début</t>
  </si>
  <si>
    <t>Heure de début</t>
  </si>
  <si>
    <t>Reporting</t>
  </si>
  <si>
    <t>Category</t>
  </si>
  <si>
    <t>A</t>
  </si>
  <si>
    <t>C</t>
  </si>
  <si>
    <t>B</t>
  </si>
  <si>
    <t>Actual</t>
  </si>
  <si>
    <t>F</t>
  </si>
  <si>
    <t>Forecast</t>
  </si>
  <si>
    <t>Budget</t>
  </si>
  <si>
    <t>Category version</t>
  </si>
  <si>
    <t>Current</t>
  </si>
  <si>
    <t>Folders</t>
  </si>
  <si>
    <t>P-A</t>
  </si>
  <si>
    <t>Set of controls</t>
  </si>
  <si>
    <t>Restrictions</t>
  </si>
  <si>
    <t>Operation</t>
  </si>
  <si>
    <t>List of entities</t>
  </si>
  <si>
    <t>P-JV</t>
  </si>
  <si>
    <t>Todo</t>
  </si>
  <si>
    <t>Date picker</t>
  </si>
  <si>
    <t>Text entry</t>
  </si>
  <si>
    <t>Reporting period picker</t>
  </si>
  <si>
    <t>Level of control</t>
  </si>
  <si>
    <t>List of flows</t>
  </si>
  <si>
    <t>List of periods</t>
  </si>
  <si>
    <t>Site</t>
  </si>
  <si>
    <t>Currency</t>
  </si>
  <si>
    <t>Impasse sur le workflow</t>
  </si>
  <si>
    <t>Phase</t>
  </si>
  <si>
    <t>Exercice</t>
  </si>
  <si>
    <t>LOG_StartTime</t>
  </si>
  <si>
    <t>LOG_Source</t>
  </si>
  <si>
    <t>LOG_Message</t>
  </si>
  <si>
    <t>LOG_Start</t>
  </si>
  <si>
    <t>I18N_Version</t>
  </si>
  <si>
    <t>Created</t>
  </si>
  <si>
    <t>Date de création</t>
  </si>
  <si>
    <t>https://www.flaticon.com/</t>
  </si>
  <si>
    <t>I18N_CellValLanguage</t>
  </si>
  <si>
    <t>Language</t>
  </si>
  <si>
    <t>Langue</t>
  </si>
  <si>
    <t>I18N_CellValTip</t>
  </si>
  <si>
    <t>Choisir une langue</t>
  </si>
  <si>
    <t>Choose a language</t>
  </si>
  <si>
    <t/>
  </si>
  <si>
    <t>Tarik</t>
  </si>
  <si>
    <t>Liste des reportings</t>
  </si>
  <si>
    <t>Pierre</t>
  </si>
  <si>
    <t>Category (généralisé à toutes les dimensions)</t>
  </si>
  <si>
    <t>Category version (dépend de la catégory)</t>
  </si>
  <si>
    <t>Duplication</t>
  </si>
  <si>
    <t>JSON</t>
  </si>
  <si>
    <t>Gestion des erreurs</t>
  </si>
  <si>
    <t>Packaging et tests</t>
  </si>
  <si>
    <t>RF_Phase</t>
  </si>
  <si>
    <t>RF_CreationDate</t>
  </si>
  <si>
    <t>RF_Title</t>
  </si>
  <si>
    <t>CTS Reporting Factory</t>
  </si>
  <si>
    <t>Génération des reportings</t>
  </si>
  <si>
    <t>RF_Duplicate</t>
  </si>
  <si>
    <t>Modify</t>
  </si>
  <si>
    <t>Duplicate</t>
  </si>
  <si>
    <t>Modifier</t>
  </si>
  <si>
    <t>Dupliquer</t>
  </si>
  <si>
    <t>RF_Modify</t>
  </si>
  <si>
    <t>TODO</t>
  </si>
  <si>
    <t>Fonction de traduction des dates, avec formats par defaut pour long et court et nom des jours</t>
  </si>
  <si>
    <t>Tri des tableaux</t>
  </si>
  <si>
    <t>RF_Refresh</t>
  </si>
  <si>
    <t>Refresh list</t>
  </si>
  <si>
    <t>Mettre à jour la liste</t>
  </si>
  <si>
    <t>Query</t>
  </si>
  <si>
    <t>Title</t>
  </si>
  <si>
    <t>Hidden</t>
  </si>
  <si>
    <t>RF_ID</t>
  </si>
  <si>
    <t>Yes</t>
  </si>
  <si>
    <t>CreationDate</t>
  </si>
  <si>
    <t>No</t>
  </si>
  <si>
    <t>JSON Column</t>
  </si>
  <si>
    <t>Int</t>
  </si>
  <si>
    <t>Date</t>
  </si>
  <si>
    <t>JSON Type</t>
  </si>
  <si>
    <t>String</t>
  </si>
  <si>
    <t>UpdatePeriod</t>
  </si>
  <si>
    <t>RF_UpdatePeriod</t>
  </si>
  <si>
    <t>Update Period</t>
  </si>
  <si>
    <t>RF_FrameworkVersion</t>
  </si>
  <si>
    <t>Header</t>
  </si>
  <si>
    <t>Version de référentiel</t>
  </si>
  <si>
    <t>Position</t>
  </si>
  <si>
    <t>Row</t>
  </si>
  <si>
    <t>I18N</t>
  </si>
  <si>
    <t>Command</t>
  </si>
  <si>
    <t>Table</t>
  </si>
  <si>
    <t>tReportings</t>
  </si>
  <si>
    <t>Leave at least one empty line between one query and the next</t>
  </si>
  <si>
    <t>Reporting List</t>
  </si>
  <si>
    <t>Params</t>
  </si>
  <si>
    <t>The MIT License (MIT)</t>
  </si>
  <si>
    <t>Copyright (c) 2016 Tim Hall</t>
  </si>
  <si>
    <t>Permission is hereby granted, free of charge, to any person obtaining a copy</t>
  </si>
  <si>
    <t>of this software and associated documentation files (the "Software"), to deal</t>
  </si>
  <si>
    <t>in the Software without restriction, including without limitation the rights</t>
  </si>
  <si>
    <t>to use, copy, modify, merge, publish, distribute, sublicense, and/or sell</t>
  </si>
  <si>
    <t>copies of the Software, and to permit persons to whom the Software is</t>
  </si>
  <si>
    <t>furnished to do so, subject to the following conditions:</t>
  </si>
  <si>
    <t>The above copyright notice and this permission notice shall be included in all</t>
  </si>
  <si>
    <t>copies or substantial portions of the Software.</t>
  </si>
  <si>
    <t>THE SOFTWARE IS PROVIDED "AS IS", WITHOUT WARRANTY OF ANY KIND, EXPRESS OR</t>
  </si>
  <si>
    <t>IMPLIED, INCLUDING BUT NOT LIMITED TO THE WARRANTIES OF MERCHANTABILITY,</t>
  </si>
  <si>
    <t>FITNESS FOR A PARTICULAR PURPOSE AND NONINFRINGEMENT. IN NO EVENT SHALL THE</t>
  </si>
  <si>
    <t>AUTHORS OR COPYRIGHT HOLDERS BE LIABLE FOR ANY CLAIM, DAMAGES OR OTHER</t>
  </si>
  <si>
    <t>LIABILITY, WHETHER IN AN ACTION OF CONTRACT, TORT OR OTHERWISE, ARISING FROM,</t>
  </si>
  <si>
    <t>OUT OF OR IN CONNECTION WITH THE SOFTWARE OR THE USE OR OTHER DEALINGS IN THE</t>
  </si>
  <si>
    <t>SOFTWARE.</t>
  </si>
  <si>
    <t>RF_Save</t>
  </si>
  <si>
    <t>Required</t>
  </si>
  <si>
    <t>JSON Row Array</t>
  </si>
  <si>
    <t>Data</t>
  </si>
  <si>
    <t>x</t>
  </si>
  <si>
    <t>Credits</t>
  </si>
  <si>
    <t>icons</t>
  </si>
  <si>
    <t>Actions en ligne</t>
  </si>
  <si>
    <t>Traduction des feuilles</t>
  </si>
  <si>
    <t>Cacher la barre de formules</t>
  </si>
  <si>
    <t>Fenêtre d'atente</t>
  </si>
  <si>
    <t>Traduire les erreurs</t>
  </si>
  <si>
    <t>RF_Entity</t>
  </si>
  <si>
    <t>RF_InputCurrency</t>
  </si>
  <si>
    <t>RF_CutoffDate</t>
  </si>
  <si>
    <t>Boolean</t>
  </si>
  <si>
    <t>RF_AfterPublication</t>
  </si>
  <si>
    <t>RF_AfterTransfer</t>
  </si>
  <si>
    <t>Sélection après création</t>
  </si>
  <si>
    <t>Passage d'argument dans les commandes</t>
  </si>
  <si>
    <t>Format</t>
  </si>
  <si>
    <t>Editor</t>
  </si>
  <si>
    <t>LongDate</t>
  </si>
  <si>
    <t>I18N_Months</t>
  </si>
  <si>
    <t>Jan. Feb. Mar. Apr. May June July Aug. Sep. Oct. Nov. Dec. January February March April May June July August September October November December</t>
  </si>
  <si>
    <t>jan. fév. mars ajr. mai juin juil. août sep. oct. nov. déc. janvier février mars avril mai june juillet août septembre octobre novembre décembre</t>
  </si>
  <si>
    <t>I18N_Days</t>
  </si>
  <si>
    <t>Sun Mon Tue Wed Thu Fri Sat Sunday Monday Tuesday Wednesday Thursday Friday Saturday</t>
  </si>
  <si>
    <t>I18N_YesNo</t>
  </si>
  <si>
    <t>Yes No</t>
  </si>
  <si>
    <t>Oui Non</t>
  </si>
  <si>
    <t>01</t>
  </si>
  <si>
    <t>10 12 15</t>
  </si>
  <si>
    <t>I18N_DateFormats</t>
  </si>
  <si>
    <t>Dim Lun Mar Mer Jeu Ven Sam Dimanche Lundi Mardi Mercredi Jeudi Vendredi Samedi</t>
  </si>
  <si>
    <t>mm/dd/yy|ddd mmm dd, yyyy|dddd mmmm dd, yyyy</t>
  </si>
  <si>
    <t>dd mm yy|ddd dd mmm yyyy|dddd dd mmmm yyyy</t>
  </si>
  <si>
    <t>RF_UpdateData</t>
  </si>
  <si>
    <t>RF_UpdateDataTitle</t>
  </si>
  <si>
    <t>Connection au serveur</t>
  </si>
  <si>
    <t>Connect to server</t>
  </si>
  <si>
    <t>RF_I18N_Sheet</t>
  </si>
  <si>
    <t>Proposer de changer de server sur timeout</t>
  </si>
  <si>
    <t>{"CodeName": "RF_I18N_Sheet", "Cell": "C10"}</t>
  </si>
  <si>
    <t>{"RF_ID":"?","RF_Phase":"?","RF_UpdatePeriod":"?"}</t>
  </si>
  <si>
    <t>Données dans feuille et relecture</t>
  </si>
  <si>
    <t>RF_EarlyPublishing</t>
  </si>
  <si>
    <t>Entity</t>
  </si>
  <si>
    <t>Unité</t>
  </si>
  <si>
    <t>Devise</t>
  </si>
  <si>
    <t>Cutoff Date</t>
  </si>
  <si>
    <t>Date limite</t>
  </si>
  <si>
    <t>Early publishing</t>
  </si>
  <si>
    <t>Publication anticipée</t>
  </si>
  <si>
    <t>Integrate after publication</t>
  </si>
  <si>
    <t>Integrate after transfer</t>
  </si>
  <si>
    <t>Intégrer après publication</t>
  </si>
  <si>
    <t>Intégrer après transfert</t>
  </si>
  <si>
    <t>Sauvegarder</t>
  </si>
  <si>
    <t>/Data/Phase</t>
  </si>
  <si>
    <t>/Data/UpdatePeriod</t>
  </si>
  <si>
    <t>/Data/FrameworkVersion</t>
  </si>
  <si>
    <t>yyyy-mm-dd hh:mm</t>
  </si>
  <si>
    <t>#Group</t>
  </si>
  <si>
    <t>Level</t>
  </si>
  <si>
    <t>RF_Entity2</t>
  </si>
  <si>
    <t>RF_Operation</t>
  </si>
  <si>
    <t>RF_Reporting</t>
  </si>
  <si>
    <t>Code</t>
  </si>
  <si>
    <t>Name</t>
  </si>
  <si>
    <t>Exploitation</t>
  </si>
  <si>
    <t>Colonnes à cacher dans feuille</t>
  </si>
  <si>
    <t xml:space="preserve"> 1</t>
  </si>
  <si>
    <t xml:space="preserve"> 2</t>
  </si>
  <si>
    <t xml:space="preserve"> 3</t>
  </si>
  <si>
    <t xml:space="preserve"> 4</t>
  </si>
  <si>
    <t xml:space="preserve">Gérer l'erreur 408 </t>
  </si>
  <si>
    <t>Save changes</t>
  </si>
  <si>
    <t>Version 0.7</t>
  </si>
  <si>
    <t>29 07 2020</t>
  </si>
  <si>
    <t>Corrige Save Changes (manquait un n)</t>
  </si>
  <si>
    <t>Prépare les suggestions de Bruno</t>
  </si>
  <si>
    <t>Adapté au 64 bits</t>
  </si>
  <si>
    <t>Version 0.6</t>
  </si>
  <si>
    <t>27 07 2020</t>
  </si>
  <si>
    <t>Première diffusion pour revue</t>
  </si>
  <si>
    <t>Dans le dialogue de duplication, ajouter la deadline et les dates de début et de fin</t>
  </si>
  <si>
    <t>Autoriser plusieurs reprtings dans une même feuille</t>
  </si>
  <si>
    <t>Tâches de consolidation et de pré consolidation</t>
  </si>
  <si>
    <t>Définitions de consolidation</t>
  </si>
  <si>
    <t>Chargement des taux</t>
  </si>
  <si>
    <t>Web Access</t>
  </si>
  <si>
    <t>64 bits</t>
  </si>
  <si>
    <t>Première diffusion</t>
  </si>
  <si>
    <t>Version 0.8</t>
  </si>
  <si>
    <t>29 11 2020</t>
  </si>
  <si>
    <t>Séparer l'adresse du serveur du reste des requêtes</t>
  </si>
  <si>
    <t>Content</t>
  </si>
  <si>
    <t>JSON Query</t>
  </si>
  <si>
    <t>Next ID</t>
  </si>
  <si>
    <t>Gère la dupication</t>
  </si>
  <si>
    <t>Cache les données</t>
  </si>
  <si>
    <t>Gère l'ouverture de plusieurs reportings</t>
  </si>
  <si>
    <t>Direction</t>
  </si>
  <si>
    <t>Timestamp</t>
  </si>
  <si>
    <t>Voulez-vous vous connecter au serveur et mettre à jour la liste des reportings ?</t>
  </si>
  <si>
    <t>Key</t>
  </si>
  <si>
    <t>tReporting{ID}</t>
  </si>
  <si>
    <t>Le serveur ne fait pas partie de l'identifiant des données, donc des comparaisons entre serveurs exigent deux fichiers</t>
  </si>
  <si>
    <t>Traduire les forms</t>
  </si>
  <si>
    <t>Version 0.9</t>
  </si>
  <si>
    <t>Bug fix</t>
  </si>
  <si>
    <t>Supprime la référence aux contrôles SP4</t>
  </si>
  <si>
    <t>Cache le quadrillage dans les détails</t>
  </si>
  <si>
    <t>Version 0.91</t>
  </si>
  <si>
    <t>Version 0.92.1</t>
  </si>
  <si>
    <t>28 02 2021</t>
  </si>
  <si>
    <t>Full info</t>
  </si>
  <si>
    <t>aj</t>
  </si>
  <si>
    <t>FlatDesc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</si>
  <si>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</si>
  <si>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</si>
  <si>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</si>
  <si>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</si>
  <si>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</si>
  <si>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</si>
  <si>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</si>
  <si>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</si>
  <si>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</si>
  <si>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</si>
  <si>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</si>
  <si>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</si>
  <si>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</si>
  <si>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</si>
  <si>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</si>
  <si>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</si>
  <si>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</si>
  <si>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</si>
  <si>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</si>
  <si>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</si>
  <si>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w</t>
  </si>
  <si>
    <t>z</t>
  </si>
  <si>
    <t>aa</t>
  </si>
  <si>
    <t>ab</t>
  </si>
  <si>
    <t>ac</t>
  </si>
  <si>
    <t>ae</t>
  </si>
  <si>
    <t>af</t>
  </si>
  <si>
    <t>ag</t>
  </si>
  <si>
    <t>ah</t>
  </si>
  <si>
    <t>ak</t>
  </si>
  <si>
    <t>al</t>
  </si>
  <si>
    <t>am</t>
  </si>
  <si>
    <t>an</t>
  </si>
  <si>
    <t>ca</t>
  </si>
  <si>
    <t>cb</t>
  </si>
  <si>
    <t>cc</t>
  </si>
  <si>
    <t>cd</t>
  </si>
  <si>
    <t>ce</t>
  </si>
  <si>
    <t>cf</t>
  </si>
  <si>
    <t>cg</t>
  </si>
  <si>
    <t>ch</t>
  </si>
  <si>
    <t>ci</t>
  </si>
  <si>
    <t>cj</t>
  </si>
  <si>
    <t>ck</t>
  </si>
  <si>
    <t>cl</t>
  </si>
  <si>
    <t>cm</t>
  </si>
  <si>
    <t>cn</t>
  </si>
  <si>
    <t>co</t>
  </si>
  <si>
    <t>cp</t>
  </si>
  <si>
    <t>cq</t>
  </si>
  <si>
    <t>cr</t>
  </si>
  <si>
    <t>cs</t>
  </si>
  <si>
    <t>ct</t>
  </si>
  <si>
    <t>cu</t>
  </si>
  <si>
    <t>cv</t>
  </si>
  <si>
    <t>cw</t>
  </si>
  <si>
    <t>cx</t>
  </si>
  <si>
    <t>cy</t>
  </si>
  <si>
    <t>cz</t>
  </si>
  <si>
    <t>da</t>
  </si>
  <si>
    <t>db</t>
  </si>
  <si>
    <t>dc</t>
  </si>
  <si>
    <t>dd</t>
  </si>
  <si>
    <t>de</t>
  </si>
  <si>
    <t>df</t>
  </si>
  <si>
    <t>dg</t>
  </si>
  <si>
    <t>dh</t>
  </si>
  <si>
    <t>di</t>
  </si>
  <si>
    <t>dj</t>
  </si>
  <si>
    <t>dk</t>
  </si>
  <si>
    <t>ReturnCol</t>
  </si>
  <si>
    <t>RF_RepPack</t>
  </si>
  <si>
    <t>RF_RepOp</t>
  </si>
  <si>
    <t>RF_RepOpAftPub</t>
  </si>
  <si>
    <t>RF_RepOpAftTran</t>
  </si>
  <si>
    <t>RF_RepDesc</t>
  </si>
  <si>
    <t>InputCurrency</t>
  </si>
  <si>
    <t>InputSite</t>
  </si>
  <si>
    <t>PublicationSite</t>
  </si>
  <si>
    <t>PackPackage/UseDefaultWindowsFolder</t>
  </si>
  <si>
    <t>PackPackage/WindowsFolder</t>
  </si>
  <si>
    <t>PackPackage/UseDefaultInternetFolder</t>
  </si>
  <si>
    <t>PackPackage/InternetFolder</t>
  </si>
  <si>
    <t>PackPackage/UseDefaultSetOfControls</t>
  </si>
  <si>
    <t>PackPackage/SetOfControls</t>
  </si>
  <si>
    <t>PackPackage/UseDefaultLevel</t>
  </si>
  <si>
    <t>PackPackage/LevelToReach</t>
  </si>
  <si>
    <t>PackPackage/Blocking</t>
  </si>
  <si>
    <t>PackPackage/UseDefaultLock</t>
  </si>
  <si>
    <t>PackPackage/LockOnPublication</t>
  </si>
  <si>
    <t>PackPackage/UseDefaultRuleSet</t>
  </si>
  <si>
    <t>PackPackage/RuleSet</t>
  </si>
  <si>
    <t>PackPackage/UseDefaultOpbal</t>
  </si>
  <si>
    <t>PackPackage/HasOpBal</t>
  </si>
  <si>
    <t>PackPackage/OpbPhase</t>
  </si>
  <si>
    <t>PackPackage/OpbUpdatePeriod</t>
  </si>
  <si>
    <t>PackPackage/OpbScope</t>
  </si>
  <si>
    <t>PackPackage/OpbVariant</t>
  </si>
  <si>
    <t>PackPackage/OpbConsCurrency</t>
  </si>
  <si>
    <t>PackOperation/UseDefaultPublish</t>
  </si>
  <si>
    <t>PackOperation/PackPublishingCutOffDate</t>
  </si>
  <si>
    <t>PackOperation/AllowEarlyPublishing</t>
  </si>
  <si>
    <t>PackOperation/UseDefaultAfterPub</t>
  </si>
  <si>
    <t>PackOperation/AfterPublication/Standard</t>
  </si>
  <si>
    <t>PackOperation/AfterPublication/Special</t>
  </si>
  <si>
    <t>PackOperation/AfterPublication/Advanced</t>
  </si>
  <si>
    <t>PackOperation/AfterPublication/Level</t>
  </si>
  <si>
    <t>PackOperation/UseDefaultAfterTran</t>
  </si>
  <si>
    <t>PackOperation/AfterTransfer/Standard</t>
  </si>
  <si>
    <t>PackOperation/AfterTransfer/Special</t>
  </si>
  <si>
    <t>PackOperation/AfterTransfer/Advanced</t>
  </si>
  <si>
    <t>PackOperation/AfterTransfer/Level</t>
  </si>
  <si>
    <t>RF_EntPack</t>
  </si>
  <si>
    <t>RF_EntOp</t>
  </si>
  <si>
    <t>RF_EntOpAftPub</t>
  </si>
  <si>
    <t>RF_EntOpAftTran</t>
  </si>
  <si>
    <t>Dim/Phase</t>
  </si>
  <si>
    <t>Dim/UpdPer</t>
  </si>
  <si>
    <t>Dim/FrameworkVersion</t>
  </si>
  <si>
    <t>Folder</t>
  </si>
  <si>
    <t>SetOfCtrl</t>
  </si>
  <si>
    <t>Lock</t>
  </si>
  <si>
    <t>SetOfRules</t>
  </si>
  <si>
    <t>Dim/Entity</t>
  </si>
  <si>
    <t>Dim/Currency</t>
  </si>
  <si>
    <t>Recipient</t>
  </si>
  <si>
    <t>RF_Start</t>
  </si>
  <si>
    <t>RF_End</t>
  </si>
  <si>
    <t>/Data/ReportingStartDate</t>
  </si>
  <si>
    <t>/Data/ReportingEndDate</t>
  </si>
  <si>
    <t>/Data/DefaultPackage/UseDefaultWindowsFolder</t>
  </si>
  <si>
    <t>/Data/DefaultPackage/WindowsFolder</t>
  </si>
  <si>
    <t>/Data/DefaultPackage/UseDefaultInternetFolder</t>
  </si>
  <si>
    <t>/Data/DefaultPackage/InternetFolder</t>
  </si>
  <si>
    <t>/Data/DefaultPackage/UseDefaultSetOfControls</t>
  </si>
  <si>
    <t>/Data/DefaultPackage/SetOfControls</t>
  </si>
  <si>
    <t>/Data/DefaultPackage/UseDefaultLevel</t>
  </si>
  <si>
    <t>/Data/DefaultPackage/LevelToReach</t>
  </si>
  <si>
    <t>/Data/DefaultPackage/Blocking</t>
  </si>
  <si>
    <t>/Data/DefaultPackage/UseDefaultLock</t>
  </si>
  <si>
    <t>/Data/DefaultPackage/LockOnPublication</t>
  </si>
  <si>
    <t>/Data/DefaultPackage/UseDefaultRuleSet</t>
  </si>
  <si>
    <t>/Data/DefaultPackage/RuleSet</t>
  </si>
  <si>
    <t>/Data/DefaultPackage/UseDefaultOpbal</t>
  </si>
  <si>
    <t>/Data/DefaultPackage/HasOpBal</t>
  </si>
  <si>
    <t>/Data/DefaultPackage/OpbPhase</t>
  </si>
  <si>
    <t>/Data/DefaultPackage/OpbUpdatePeriod</t>
  </si>
  <si>
    <t>/Data/DefaultPackage/OpbScope</t>
  </si>
  <si>
    <t>/Data/DefaultPackage/OpbVariant</t>
  </si>
  <si>
    <t>/Data/DefaultPackage/OpbConsCurrency</t>
  </si>
  <si>
    <t>/Data/DefaultOperation/PackPublishingCutOffDate</t>
  </si>
  <si>
    <t>/Data/DefaultOperation/AllowEarlyPublishing</t>
  </si>
  <si>
    <t>/Data/DefaultOperation/AfterPublication/Standard</t>
  </si>
  <si>
    <t>/Data/DefaultOperation/AfterPublication/Special</t>
  </si>
  <si>
    <t>/Data/DefaultOperation/AfterPublication/Advanced</t>
  </si>
  <si>
    <t>/Data/DefaultOperation/AfterPublication/Level</t>
  </si>
  <si>
    <t>/Data/DefaultOperation/AfterTransfer/Standard</t>
  </si>
  <si>
    <t>/Data/DefaultOperation/AfterTransfer/Special</t>
  </si>
  <si>
    <t>/Data/DefaultOperation/AfterTransfer/Advanced</t>
  </si>
  <si>
    <t>/Data/DefaultOperation/AfterTransfer/Level</t>
  </si>
  <si>
    <t>/Data/Descriptions</t>
  </si>
  <si>
    <t>RF_RepOpAftPubStd</t>
  </si>
  <si>
    <t>RF_RepOpAftPubSpe</t>
  </si>
  <si>
    <t>RF_RepOpAftPubAdv</t>
  </si>
  <si>
    <t>RF_RepOpAftPubLvl</t>
  </si>
  <si>
    <t>RF_RepOpAftTranStd</t>
  </si>
  <si>
    <t>RF_RepOpAftTranSpe</t>
  </si>
  <si>
    <t>RF_RepOpAftTranAdv</t>
  </si>
  <si>
    <t>RF_RepOpAftTranLvl</t>
  </si>
  <si>
    <t>RF_InputSite</t>
  </si>
  <si>
    <t>RF_PublicationSite</t>
  </si>
  <si>
    <t>RF_EntUseDefaultWindowsFolder</t>
  </si>
  <si>
    <t>RF_EntUseDefaultInternetFolder</t>
  </si>
  <si>
    <t>RF_EntUseDefaultSetOfControls</t>
  </si>
  <si>
    <t>RF_EntUseDefaultLevel</t>
  </si>
  <si>
    <t>RF_EntLevelToReach</t>
  </si>
  <si>
    <t>RF_EntBlocking</t>
  </si>
  <si>
    <t>RF_EntUseDefaultLock</t>
  </si>
  <si>
    <t>RF_EntUseDefaultRuleSet</t>
  </si>
  <si>
    <t>RF_EntUseDefaultOpbal</t>
  </si>
  <si>
    <t>RF_EntHasOpBal</t>
  </si>
  <si>
    <t>RF_EntOpbUpdatePeriod</t>
  </si>
  <si>
    <t>RF_EntOpbScope</t>
  </si>
  <si>
    <t>RF_EntOpbVariant</t>
  </si>
  <si>
    <t>RF_EntOpbConsCurrency</t>
  </si>
  <si>
    <t>RF_EntUseDefaultPublish</t>
  </si>
  <si>
    <t>RF_EntPackPublishingCutOffDate</t>
  </si>
  <si>
    <t>RF_EntAllowEarlyPublishing</t>
  </si>
  <si>
    <t>RF_EntUseDefaultAfterPub</t>
  </si>
  <si>
    <t>RF_EntUseDefaultAfterTran</t>
  </si>
  <si>
    <t>RF_EntWindowsFolder</t>
  </si>
  <si>
    <t>RF_EntSetOfControls</t>
  </si>
  <si>
    <t>RF_EntLockOnPublication</t>
  </si>
  <si>
    <t>RF_EntRuleSet</t>
  </si>
  <si>
    <t>RF_EntOpbPhase</t>
  </si>
  <si>
    <t>RF_EntAftPubStandard</t>
  </si>
  <si>
    <t>RF_EntAftPubLevel</t>
  </si>
  <si>
    <t>RF_EntAftTranStandard</t>
  </si>
  <si>
    <t>RF_EntAftTranSpecial</t>
  </si>
  <si>
    <t>RF_EntAftTranAdvanced</t>
  </si>
  <si>
    <t>RF_EntAftTranLevel</t>
  </si>
  <si>
    <t>RF_EntAftPubSpecial</t>
  </si>
  <si>
    <t>RF_EntAftPubAdvanced</t>
  </si>
  <si>
    <t>RF_EntInternetFolder</t>
  </si>
  <si>
    <t>RF_UseDefaultWindowsFolder</t>
  </si>
  <si>
    <t>RF_WindowsFolder</t>
  </si>
  <si>
    <t>RF_UseDefaultInternetFolder</t>
  </si>
  <si>
    <t>RF_InternetFolder</t>
  </si>
  <si>
    <t>RF_UseDefaultSetOfControls</t>
  </si>
  <si>
    <t>RF_SetOfControls</t>
  </si>
  <si>
    <t>RF_UseDefaultLevel</t>
  </si>
  <si>
    <t>RF_LevelToReach</t>
  </si>
  <si>
    <t>RF_Blocking</t>
  </si>
  <si>
    <t>RF_UseDefaultLock</t>
  </si>
  <si>
    <t>RF_LockOnPublication</t>
  </si>
  <si>
    <t>RF_UseDefaultRuleSet</t>
  </si>
  <si>
    <t>RF_RuleSet</t>
  </si>
  <si>
    <t>RF_UseDefaultOpbal</t>
  </si>
  <si>
    <t>RF_HasOpBal</t>
  </si>
  <si>
    <t>RF_OpbPhase</t>
  </si>
  <si>
    <t>RF_OpbUpdatePeriod</t>
  </si>
  <si>
    <t>RF_OpbScope</t>
  </si>
  <si>
    <t>RF_OpbVariant</t>
  </si>
  <si>
    <t>RF_OpbConsCurrency</t>
  </si>
  <si>
    <t>Start date</t>
  </si>
  <si>
    <t>End date</t>
  </si>
  <si>
    <t>Fin</t>
  </si>
  <si>
    <t>Package</t>
  </si>
  <si>
    <t>Liasse</t>
  </si>
  <si>
    <t>Default Windows Folder?</t>
  </si>
  <si>
    <t>Default Internet Folder?</t>
  </si>
  <si>
    <t>Default Level?</t>
  </si>
  <si>
    <t>Blocking?</t>
  </si>
  <si>
    <t>Windows folder</t>
  </si>
  <si>
    <t>Internet folder</t>
  </si>
  <si>
    <t>Cahier Windows</t>
  </si>
  <si>
    <t>Cahier Internet</t>
  </si>
  <si>
    <t>Cahier Windows: défaut?</t>
  </si>
  <si>
    <t>Cahier Internet: défaut?</t>
  </si>
  <si>
    <t>Control Set: default?</t>
  </si>
  <si>
    <t>Jeu de contrôles: défaut?</t>
  </si>
  <si>
    <t>Control Set</t>
  </si>
  <si>
    <t>Jeu de contrôles</t>
  </si>
  <si>
    <t>Niveau de contrôle: défaut?</t>
  </si>
  <si>
    <t>Control Level</t>
  </si>
  <si>
    <t>Niveau de contrôle</t>
  </si>
  <si>
    <t>Bloquant?</t>
  </si>
  <si>
    <t>Connect to  server and refresh the reporting list?</t>
  </si>
  <si>
    <t>/api/reporting/{ID}</t>
  </si>
  <si>
    <t>/api/reportings</t>
  </si>
  <si>
    <t>Lacks restriction</t>
  </si>
  <si>
    <t>Lacks BFC Dim picker</t>
  </si>
  <si>
    <t>Bug on opening balance generation</t>
  </si>
  <si>
    <t>172.31.38.85</t>
  </si>
  <si>
    <t>SAPFCSQLSERVER</t>
  </si>
  <si>
    <t>ADMIN</t>
  </si>
  <si>
    <t>fr-FR</t>
  </si>
  <si>
    <t>en-US</t>
  </si>
  <si>
    <t>https://localhost:44304</t>
  </si>
  <si>
    <t>auLDescfr_FR</t>
  </si>
  <si>
    <t>RF_DescFr</t>
  </si>
  <si>
    <t>Multilang desc</t>
  </si>
  <si>
    <t>In</t>
  </si>
  <si>
    <t>2000.12</t>
  </si>
  <si>
    <t xml:space="preserve"> 5</t>
  </si>
  <si>
    <t xml:space="preserve"> 6</t>
  </si>
  <si>
    <t xml:space="preserve"> 7</t>
  </si>
  <si>
    <t xml:space="preserve"> 8</t>
  </si>
  <si>
    <t xml:space="preserve"> 9</t>
  </si>
  <si>
    <t xml:space="preserve"> 10</t>
  </si>
  <si>
    <t xml:space="preserve"> 11</t>
  </si>
  <si>
    <t xml:space="preserve"> 12</t>
  </si>
  <si>
    <t xml:space="preserve"> 13</t>
  </si>
  <si>
    <t xml:space="preserve"> 14</t>
  </si>
  <si>
    <t xml:space="preserve"> 15</t>
  </si>
  <si>
    <t xml:space="preserve"> 16</t>
  </si>
  <si>
    <t xml:space="preserve"> 17</t>
  </si>
  <si>
    <t xml:space="preserve"> 18</t>
  </si>
  <si>
    <t xml:space="preserve"> 19</t>
  </si>
  <si>
    <t xml:space="preserve"> 20</t>
  </si>
  <si>
    <t xml:space="preserve"> 21</t>
  </si>
  <si>
    <t xml:space="preserve"> 22</t>
  </si>
  <si>
    <t xml:space="preserve"> 23</t>
  </si>
  <si>
    <t xml:space="preserve"> 24</t>
  </si>
  <si>
    <t xml:space="preserve"> 25</t>
  </si>
  <si>
    <t xml:space="preserve"> 26</t>
  </si>
  <si>
    <t xml:space="preserve"> 27</t>
  </si>
  <si>
    <t xml:space="preserve"> 28</t>
  </si>
  <si>
    <t xml:space="preserve"> 29</t>
  </si>
  <si>
    <t xml:space="preserve"> 30</t>
  </si>
  <si>
    <t xml:space="preserve"> 31</t>
  </si>
  <si>
    <t xml:space="preserve"> 32</t>
  </si>
  <si>
    <t xml:space="preserve"> 33</t>
  </si>
  <si>
    <t xml:space="preserve"> 34</t>
  </si>
  <si>
    <t xml:space="preserve"> 35</t>
  </si>
  <si>
    <t xml:space="preserve"> 36</t>
  </si>
  <si>
    <t xml:space="preserve"> 37</t>
  </si>
  <si>
    <t xml:space="preserve"> 38</t>
  </si>
  <si>
    <t xml:space="preserve"> 39</t>
  </si>
  <si>
    <t xml:space="preserve"> 40</t>
  </si>
  <si>
    <t xml:space="preserve"> 41</t>
  </si>
  <si>
    <t xml:space="preserve"> 42</t>
  </si>
  <si>
    <t xml:space="preserve"> 43</t>
  </si>
  <si>
    <t xml:space="preserve"> 44</t>
  </si>
  <si>
    <t xml:space="preserve"> 45</t>
  </si>
  <si>
    <t xml:space="preserve"> 46</t>
  </si>
  <si>
    <t xml:space="preserve"> 47</t>
  </si>
  <si>
    <t xml:space="preserve"> 48</t>
  </si>
  <si>
    <t xml:space="preserve"> 49</t>
  </si>
  <si>
    <t xml:space="preserve"> 50</t>
  </si>
  <si>
    <t xml:space="preserve"> 51</t>
  </si>
  <si>
    <t xml:space="preserve"> 52</t>
  </si>
  <si>
    <t xml:space="preserve"> 53</t>
  </si>
  <si>
    <t xml:space="preserve"> 54</t>
  </si>
  <si>
    <t xml:space="preserve"> 55</t>
  </si>
  <si>
    <t xml:space="preserve"> 56</t>
  </si>
  <si>
    <t xml:space="preserve"> 57</t>
  </si>
  <si>
    <t xml:space="preserve"> 58</t>
  </si>
  <si>
    <t xml:space="preserve"> 59</t>
  </si>
  <si>
    <t xml:space="preserve"> 60</t>
  </si>
  <si>
    <t xml:space="preserve"> 61</t>
  </si>
  <si>
    <t xml:space="preserve"> 62</t>
  </si>
  <si>
    <t xml:space="preserve"> 63</t>
  </si>
  <si>
    <t xml:space="preserve"> 64</t>
  </si>
  <si>
    <t xml:space="preserve"> 65</t>
  </si>
  <si>
    <t xml:space="preserve"> 66</t>
  </si>
  <si>
    <t xml:space="preserve"> 67</t>
  </si>
  <si>
    <t xml:space="preserve"> 68</t>
  </si>
  <si>
    <t xml:space="preserve"> 69</t>
  </si>
  <si>
    <t xml:space="preserve"> 70</t>
  </si>
  <si>
    <t xml:space="preserve"> 71</t>
  </si>
  <si>
    <t xml:space="preserve"> 72</t>
  </si>
  <si>
    <t xml:space="preserve"> 73</t>
  </si>
  <si>
    <t xml:space="preserve"> 74</t>
  </si>
  <si>
    <t xml:space="preserve"> 75</t>
  </si>
  <si>
    <t xml:space="preserve"> 76</t>
  </si>
  <si>
    <t xml:space="preserve"> 77</t>
  </si>
  <si>
    <t xml:space="preserve"> 78</t>
  </si>
  <si>
    <t xml:space="preserve"> 79</t>
  </si>
  <si>
    <t xml:space="preserve"> 80</t>
  </si>
  <si>
    <t xml:space="preserve"> 81</t>
  </si>
  <si>
    <t xml:space="preserve"> 82</t>
  </si>
  <si>
    <t xml:space="preserve"> 83</t>
  </si>
  <si>
    <t>tReporting52428888</t>
  </si>
  <si>
    <t>{"Data":[{"Phase":"A","UpdatePeriod":"2000.12","FrameworkVersion":"C","ReportingStartDate":"2021-02-24T10:02:00Z","ReportingEndDate":"2021-02-27T10:02:00Z","OwnerSite":100,"OwnerWorkgroup":0,"CreationDate":"2021-03-01T16:55:21Z","Author":-524286,"UpdateDate":"2021-03-01T18:28:24.67Z","UpdateAuthor":-524286,"Descriptions":[{"CultureName":"fr-FR","Texts":{"SDesc":"","LDesc":"Test"}},{"CultureName":"en-US","Texts":{"SDesc":"","LDesc":"Actual - 2000.12"}}],"ID":52428888,"LDesc":"Test","Name":"A - 2000.12"},{"Phase":"A","UpdatePeriod":"2001.11","FrameworkVersion":"C","ReportingStartDate":"2021-02-23T15:52:39Z","ReportingEndDate":"2021-04-25T16:00:10Z","OwnerSite":100,"OwnerWorkgroup":0,"CreationDate":"2021-02-23T14:52:39Z","Author":-524286,"UpdateDate":"2021-02-25T15:00:10Z","UpdateAuthor":-524286,"Descriptions":[{"CultureName":"fr-FR","Texts":{"SDesc":"","LDesc":"Réel - 2001.11"}},{"CultureName":"en-US","Texts":{"SDesc":"","LDesc":"Actual - 2001.11"}}],"ID":52428859,"LDesc":"Réel - 2001.11","Name":"A - 2001.11"},{"Phase":"A","UpdatePeriod":"2001.12","FrameworkVersion":"C","ReportingStartDate":"2021-02-23T15:12:48Z","ReportingEndDate":"2021-04-23T15:12:48Z","OwnerSite":100,"OwnerWorkgroup":0,"CreationDate":"2021-02-23T14:13:08Z","Author":-524286,"UpdateDate":"2021-02-23T14:13:08Z","UpdateAuthor":-524286,"Descriptions":[{"CultureName":"fr-FR","Texts":{"SDesc":"","LDesc":"Réel - 2001.12"}},{"CultureName":"en-US","Texts":{"SDesc":"","LDesc":"Actual - 2001.12"}}],"ID":52428858,"LDesc":"Réel - 2001.12","Name":"A - 2001.12"},{"Phase":"A","UpdatePeriod":"2002.01","FrameworkVersion":"C","ReportingStartDate":"2021-02-18T20:47:58Z","ReportingEndDate":"2021-03-20T20:47:58Z","OwnerSite":100,"OwnerWorkgroup":0,"CreationDate":"2021-02-18T20:47:58Z","Author":-524286,"UpdateDate":"2021-02-18T20:47:58Z","UpdateAuthor":-524286,"Descriptions":[{"CultureName":"fr-FR","Texts":{"SDesc":"","LDesc":""}},{"CultureName":"en-US","Texts":{"SDesc":"","LDesc":""}}],"ID":52428847,"LDesc":null,"Name":"A - 2002.01"},{"Phase":"A","UpdatePeriod":"2002.02","FrameworkVersion":"C","ReportingStartDate":"2021-02-23T15:02:13Z","ReportingEndDate":"2021-04-23T15:03:23Z","OwnerSite":100,"OwnerWorkgroup":0,"CreationDate":"2021-02-23T14:02:13Z","Author":-524286,"UpdateDate":"2021-02-23T14:04:19Z","UpdateAuthor":-524286,"Descriptions":[{"CultureName":"fr-FR","Texts":{"SDesc":"","LDesc":""}},{"CultureName":"en-US","Texts":{"SDesc":"","LDesc":""}}],"ID":52428855,"LDesc":null,"Name":"A - 2002.02"},{"Phase":"A","UpdatePeriod":"2002.03","FrameworkVersion":"C","ReportingStartDate":"2021-02-23T11:30:37Z","ReportingEndDate":"2021-03-25T11:30:37Z","OwnerSite":100,"OwnerWorkgroup":0,"CreationDate":"2021-02-23T11:30:51Z","Author":-524286,"UpdateDate":"2021-02-23T11:30:51Z","UpdateAuthor":-524286,"Descriptions":[{"CultureName":"fr-FR","Texts":{"SDesc":"","LDesc":""}},{"CultureName":"en-US","Texts":{"SDesc":"","LDesc":""}}],"ID":52428853,"LDesc":null,"Name":"A - 2002.03"},{"Phase":"A","UpdatePeriod":"2002.04","FrameworkVersion":"C","ReportingStartDate":"2021-02-23T12:13:56Z","ReportingEndDate":"2021-04-23T12:13:50Z","OwnerSite":100,"OwnerWorkgroup":0,"CreationDate":"2021-02-23T11:15:06Z","Author":-524286,"UpdateDate":"2021-02-23T11:15:06Z","UpdateAuthor":-524286,"Descriptions":[{"CultureName":"fr-FR","Texts":{"SDesc":"","LDesc":""}},{"CultureName":"en-US","Texts":{"SDesc":"","LDesc":""}}],"ID":52428851,"LDesc":null,"Name":"A - 2002.04"},{"Phase":"A","UpdatePeriod":"2002.05","FrameworkVersion":"C","ReportingStartDate":"2021-02-23T11:36:13Z","ReportingEndDate":"2021-04-23T11:36:13Z","OwnerSite":100,"OwnerWorkgroup":0,"CreationDate":"2021-02-23T10:36:13Z","Author":-524286,"UpdateDate":"2021-02-23T10:36:13Z","UpdateAuthor":-524286,"Descriptions":[{"CultureName":"fr-FR","Texts":{"SDesc":"","LDesc":""}},{"CultureName":"en-US","Texts":{"SDesc":"","LDesc":""}}],"ID":52428848,"LDesc":null,"Name":"A - 2002.05"},{"Phase":"A","UpdatePeriod":"2002.06","FrameworkVersion":"C","ReportingStartDate":"2021-02-16T18:37:45Z","ReportingEndDate":"2021-02-22T11:41:54Z","OwnerSite":100,"OwnerWorkgroup":0,"CreationDate":"2021-02-16T18:37:46Z","Author":-524286,"UpdateDate":"2021-02-22T10:41:55Z","UpdateAuthor":-524286,"Descriptions":[{"CultureName":"fr-FR","Texts":{"SDesc":"","LDesc":""}},{"CultureName":"en-US","Texts":{"SDesc":"","LDesc":""}}],"ID":52428841,"LDesc":null,"Name":"A - 2002.06"},{"Phase":"A","UpdatePeriod":"2002.07","FrameworkVersion":"C","ReportingStartDate":"2021-02-16T18:32:13Z","ReportingEndDate":"2021-03-18T18:32:13Z","OwnerSite":100,"OwnerWorkgroup":0,"CreationDate":"2021-02-16T18:33:41Z","Author":-524286,"UpdateDate":"2021-02-16T18:36:47Z","UpdateAuthor":-524286,"Descriptions":[{"CultureName":"fr-FR","Texts":{"SDesc":"","LDesc":""}},{"CultureName":"en-US","Texts":{"SDesc":"","LDesc":""}}],"ID":52428840,"LDesc":null,"Name":"A - 2002.07"},{"Phase":"A","UpdatePeriod":"2002.08","FrameworkVersion":"C","ReportingStartDate":"2021-02-16T18:23:18Z","ReportingEndDate":"2021-03-18T18:23:18Z","OwnerSite":100,"OwnerWorkgroup":0,"CreationDate":"2021-02-16T18:23:18Z","Author":-524286,"UpdateDate":"2021-02-16T18:23:18Z","UpdateAuthor":-524286,"Descriptions":[{"CultureName":"fr-FR","Texts":{"SDesc":"","LDesc":""}},{"CultureName":"en-US","Texts":{"SDesc":"","LDesc":""}}],"ID":52428838,"LDesc":null,"Name":"A - 2002.08"},{"Phase":"A","UpdatePeriod":"2002.09","FrameworkVersion":"C","ReportingStartDate":"2021-02-16T14:59:17Z","ReportingEndDate":"2021-03-18T14:59:17Z","OwnerSite":100,"OwnerWorkgroup":0,"CreationDate":"2021-02-16T14:59:23Z","Author":-524286,"UpdateDate":"2021-02-16T14:59:23Z","UpdateAuthor":-524286,"Descriptions":[{"CultureName":"fr-FR","Texts":{"SDesc":"","LDesc":""}},{"CultureName":"en-US","Texts":{"SDesc":"","LDesc":""}}],"ID":52428832,"LDesc":null,"Name":"A - 2002.09"},{"Phase":"A","UpdatePeriod":"2002.10","FrameworkVersion":"C","ReportingStartDate":"2021-02-16T14:53:29Z","ReportingEndDate":"2021-03-18T14:53:29Z","OwnerSite":100,"OwnerWorkgroup":0,"CreationDate":"2021-02-16T14:53:29Z","Author":-524286,"UpdateDate":"2021-02-16T14:53:29Z","UpdateAuthor":-524286,"Descriptions":[{"CultureName":"fr-FR","Texts":{"SDesc":"","LDesc":"Réel 2002.10"}},{"CultureName":"en-US","Texts":{"SDesc":"","LDesc":"Actual 2002.10"}}],"ID":52428830,"LDesc":"Réel 2002.10","Name":"A - 2002.10"},{"Phase":"A","UpdatePeriod":"2002.11","FrameworkVersion":"C","ReportingStartDate":"2021-02-16T14:50:29Z","ReportingEndDate":"2021-03-18T14:50:29Z","OwnerSite":100,"OwnerWorkgroup":0,"CreationDate":"2021-02-16T14:50:30Z","Author":-524286,"UpdateDate":"2021-02-16T14:50:30Z","UpdateAuthor":-524286,"Descriptions":[{"CultureName":"fr-FR","Texts":{"SDesc":"a","LDesc":"a"}},{"CultureName":"en-US","Texts":{"SDesc":"a","LDesc":"a"}}],"ID":52428829,"LDesc":"a","Name":"A - 2002.11"},{"Phase":"A","UpdatePeriod":"2002.12","FrameworkVersion":"C","ReportingStartDate":"2015-08-28T12:16:14Z","ReportingEndDate":"2015-09-25T12:16:14Z","OwnerSite":100,"OwnerWorkgroup":0,"CreationDate":"2021-02-15T14:11:42Z","Author":-524286,"UpdateDate":"2021-02-19T09:46:39Z","UpdateAuthor":-524286,"Descriptions":[{"CultureName":"fr-FR","Texts":{"SDesc":"","LDesc":"Réel 2002.12"}},{"CultureName":"en-US","Texts":{"SDesc":"ff","LDesc":"Actual - 2002.12"}}],"ID":52428827,"LDesc":"Réel 2002.12","Name":"A - 2002.12"},{"Phase":"A","UpdatePeriod":"2003.12","FrameworkVersion":"C","ReportingStartDate":"2015-08-28T12:16:14Z","ReportingEndDate":"2015-09-27T12:16:14Z","OwnerSite":100,"OwnerWorkgroup":0,"CreationDate":"2015-08-28T12:16:28Z","Author":-524286,"UpdateDate":"2021-02-22T17:22:39Z","UpdateAuthor":-524286,"Descriptions":[{"CultureName":"fr-FR","Texts":{"SDesc":"","LDesc":"Réel 2003.12"}},{"CultureName":"en-US","Texts":{"SDesc":"","LDesc":"Actual - 2003.12"}}],"ID":79,"LDesc":"Réel 2003.12","Name":"A - 2003.12"},{"Phase":"A","UpdatePeriod":"2004.12","FrameworkVersion":"C","ReportingStartDate":"2015-08-28T12:09:34Z","ReportingEndDate":"2015-09-27T12:09:34Z","OwnerSite":100,"OwnerWorkgroup":0,"CreationDate":"2015-08-28T12:10:05Z","Author":-524286,"UpdateDate":"2015-08-28T13:48:52Z","UpdateAuthor":-524286,"Descriptions":[{"CultureName":"fr-FR","Texts":{"SDesc":"","LDesc":"Réel 2004.12"}},{"CultureName":"en-US","Texts":{"SDesc":"","LDesc":"Actual - 2004.12"}}],"ID":77,"LDesc":"Réel 2004.12","Name":"A - 2004.12"},{"Phase":"A","UpdatePeriod":"2010.12","FrameworkVersion":"C","ReportingStartDate":"2010-05-03T11:21:32Z","ReportingEndDate":"2010-06-02T11:21:32Z","OwnerSite":100,"OwnerWorkgroup":0,"CreationDate":"2010-05-03T11:22:35Z","Author":-524286,"UpdateDate":"2010-08-16T12:39:18Z","UpdateAuthor":-524286,"Descriptions":[{"CultureName":"fr-FR","Texts":{"SDesc":"","LDesc":"Réel 2010.12"}},{"CultureName":"en-US","Texts":{"SDesc":"Actual 2010.12","LDesc":"Actual - 2010.12"}}],"ID":55,"LDesc":"Réel 2010.12","Name":"A - 2010.12"},{"Phase":"A","UpdatePeriod":"2011.03","FrameworkVersion":"C","ReportingStartDate":"2011-01-03T11:00:00Z","ReportingEndDate":"2011-03-31T11:00:00Z","OwnerSite":100,"OwnerWorkgroup":0,"CreationDate":"2010-11-25T13:09:22Z","Author":-524286,"UpdateDate":"2021-02-22T12:34:16Z","UpdateAuthor":-524286,"Descriptions":[{"CultureName":"fr-FR","Texts":{"SDesc":"","LDesc":"Réel 2011.03"}},{"CultureName":"en-US","Texts":{"SDesc":"","LDesc":"Actual - 2011.03"}}],"ID":67,"LDesc":"Réel 2011.03","Name":"A - 2011.03"},{"Phase":"A","UpdatePeriod":"2011.06","FrameworkVersion":"C","ReportingStartDate":"2011-04-04T11:00:00Z","ReportingEndDate":"2011-06-30T11:00:00Z","OwnerSite":100,"OwnerWorkgroup":0,"CreationDate":"2010-11-29T10:06:57Z","Author":-524286,"UpdateDate":"2010-11-29T10:10:31Z","UpdateAuthor":-524286,"Descriptions":[{"CultureName":"fr-FR","Texts":{"SDesc":"","LDesc":"Réel 2011.06"}},{"CultureName":"en-US","Texts":{"SDesc":"","LDesc":"Actual - 2011.06"}}],"ID":68,"LDesc":"Réel 2011.06","Name":"A - 2011.06"},{"Phase":"A","UpdatePeriod":"2011.09","FrameworkVersion":"C","ReportingStartDate":"2011-07-01T11:00:00Z","ReportingEndDate":"2011-09-30T11:00:00Z","OwnerSite":100,"OwnerWorkgroup":0,"CreationDate":"2010-11-29T10:10:44Z","Author":-524286,"UpdateDate":"2010-11-29T10:11:37Z","UpdateAuthor":-524286,"Descriptions":[{"CultureName":"fr-FR","Texts":{"SDesc":"","LDesc":"Réel 2011.09"}},{"CultureName":"en-US","Texts":{"SDesc":"","LDesc":"Actual - 2011.09"}}],"ID":69,"LDesc":"Réel 2011.09","Name":"A - 2011.09"},{"Phase":"A","UpdatePeriod":"2011.12","FrameworkVersion":"C","ReportingStartDate":"2010-05-04T07:09:13Z","ReportingEndDate":"2010-06-03T07:09:13Z","OwnerSite":100,"OwnerWorkgroup":0,"CreationDate":"2010-05-04T07:10:01Z","Author":-524286,"UpdateDate":"2010-08-16T12:40:04Z","UpdateAuthor":-524286,"Descriptions":[{"CultureName":"fr-FR","Texts":{"SDesc":"","LDesc":"Réel 2011.12"}},{"CultureName":"en-US","Texts":{"SDesc":"","LDesc":"Actual - 2011.12"}}],"ID":56,"LDesc":"Réel 2011.12","Name":"A - 2011.12"},{"Phase":"A","UpdatePeriod":"2013.01","FrameworkVersion":"C","ReportingStartDate":"2013-03-29T09:53:07Z","ReportingEndDate":"2013-04-28T09:53:07Z","OwnerSite":100,"OwnerWorkgroup":0,"CreationDate":"2021-01-28T10:06:48Z","Author":-524286,"UpdateDate":"2021-01-28T10:06:48Z","UpdateAuthor":-524286,"Descriptions":[{"CultureName":"fr-FR","Texts":{"SDesc":"","LDesc":"Réel 2013.01"}},{"CultureName":"en-US","Texts":{"SDesc":"","LDesc":"Actual - 2013.01"}}],"ID":52428802,"LDesc":"Réel 2013.01","Name":"A - 2013.01"},{"Phase":"A","UpdatePeriod":"2013.12","FrameworkVersion":"C","ReportingStartDate":"2013-03-15T09:53:07Z","ReportingEndDate":"2013-04-28T09:53:07Z","OwnerSite":100,"OwnerWorkgroup":0,"CreationDate":"2013-03-29T09:53:41Z","Author":-524286,"UpdateDate":"2021-01-28T10:25:51Z","UpdateAuthor":-524286,"Descriptions":[{"CultureName":"fr-FR","Texts":{"SDesc":"","LDesc":"Réel 2013.12"}},{"CultureName":"en-US","Texts":{"SDesc":"","LDesc":"Actual - 2013.12"}}],"ID":71,"LDesc":"Réel 2013.12","Name":"A - 2013.12"},{"Phase":"A","UpdatePeriod":"2014.12","FrameworkVersion":"C","ReportingStartDate":"2014-04-07T09:30:55Z","ReportingEndDate":"2014-05-07T09:30:55Z","OwnerSite":100,"OwnerWorkgroup":0,"CreationDate":"2014-04-07T09:31:33Z","Author":-524286,"UpdateDate":"2014-04-07T09:31:33Z","UpdateAuthor":-524286,"Descriptions":[{"CultureName":"fr-FR","Texts":{"SDesc":"","LDesc":"Réel 2014.12"}},{"CultureName":"en-US","Texts":{"SDesc":"","LDesc":"Actual - 2014.12"}}],"ID":73,"LDesc":"Réel 2014.12","Name":"A - 2014.12"},{"Phase":"A","UpdatePeriod":"2019.12","FrameworkVersion":"C","ReportingStartDate":"2010-09-02T09:16:58Z","ReportingEndDate":"2010-10-02T09:16:58Z","OwnerSite":100,"OwnerWorkgroup":0,"CreationDate":"2010-09-02T09:17:44Z","Author":-524286,"UpdateDate":"2010-09-02T09:17:44Z","UpdateAuthor":-524286,"Descriptions":[{"CultureName":"fr-FR","Texts":{"SDesc":"","LDesc":"Réel 2019.12"}},{"CultureName":"en-US","Texts":{"SDesc":"","LDesc":"Actual - 2019.12"}}],"ID":61,"LDesc":"Réel 2019.12","Name":"A - 2019.12"},{"Phase":"A","UpdatePeriod":"2020.12","FrameworkVersion":"C","ReportingStartDate":"2010-08-31T12:51:32Z","ReportingEndDate":"2010-09-30T12:51:32Z","OwnerSite":100,"OwnerWorkgroup":0,"CreationDate":"2010-08-31T12:52:12Z","Author":-524286,"UpdateDate":"2010-09-03T07:54:58Z","UpdateAuthor":-524286,"Descriptions":[{"CultureName":"fr-FR","Texts":{"SDesc":"","LDesc":"Réel 2020.12"}},{"CultureName":"en-US","Texts":{"SDesc":"","LDesc":"Actual - 2020.12"}}],"ID":59,"LDesc":"Réel 2020.12","Name":"A - 2020.12"},{"Phase":"A","UpdatePeriod":"2021.12","FrameworkVersion":"C","ReportingStartDate":"2010-08-31T12:56:46Z","ReportingEndDate":"2010-09-30T12:56:46Z","OwnerSite":100,"OwnerWorkgroup":0,"CreationDate":"2010-08-31T12:57:27Z","Author":-524286,"UpdateDate":"2012-07-05T07:50:54Z","UpdateAuthor":-524286,"Descriptions":[{"CultureName":"fr-FR","Texts":{"SDesc":"","LDesc":"Réel 2021.12"}},{"CultureName":"en-US","Texts":{"SDesc":"","LDesc":"Actual - 2021.12"}}],"ID":60,"LDesc":"Réel 2021.12","Name":"A - 2021.12"}],"Messages":null}</t>
  </si>
  <si>
    <t>tReporting79</t>
  </si>
  <si>
    <t>{"Data":{"Framework":{"Phase":"A","Version":"C","Status":5,"ControlSets":{"P-A":{"ID":8,"LDesc":"Jeu de contrôle de la liasse de consolidation statutaire","Name":"P-A"},"P-E":{"ID":10,"LDesc":"Jeu de contrôle pour les unités mises en équivalence","Name":"P-E"}},"ControlLevels":{"1":{"Descriptions":[{"CultureName":"fr-FR","Texts":{"LDesc":"Analyse en solde"}},{"CultureName":"en-US","Texts":{"LDesc":"Balance analysis"}}],"ID":1,"LDesc":"Analyse en solde","Rank":1,"Name":"LEV1"},"2":{"Descriptions":[{"CultureName":"fr-FR","Texts":{"LDesc":"Analyse en flux"}},{"CultureName":"en-US","Texts":{"LDesc":"Flow analysis"}}],"ID":4,"LDesc":"Analyse en flux","Rank":2,"Name":"LEV2"}},"ID":1,"LDesc":"Réel","Name":"A - C"},"DefaultPackage":{"UseDefaultWindowsFolder":true,"WindowsFolder":"P-A","UseDefaultInternetFolder":true,"InternetFolder":null,"UseDefaultSetOfControls":true,"SetOfControls":"P-A","UseDefaultLevel":true,"LevelToReach":null,"Blocking":true,"UseDefaultLock":true,"LockOnPublication":2,"UseDefaultRuleSet":true,"RuleSet":null,"UseDefaultOpbal":false,"HasOpBal":false,"OpbPhase":null,"OpbUpdatePeriod":null,"OpbScope":null,"OpbVariant":null,"OpbConsCurrency":null},"DefaultRestriction":{},"DefaultOperation":{"UseDefaultPublish":false,"PackPublishingCutOffDate":"2015-09-12T12:16:14Z","AllowEarlyPublishing":true,"UseDefaultAfterPub":false,"AfterPublication":{"Standard":false,"Special":true,"Advanced":true,"Level":2},"UseDefaultAfterTran":false,"AfterTransfer":{"Standard":false,"Special":false,"Advanced":false,"Level":null}},"EntityReportings":[],"Phase":"A","UpdatePeriod":"2003.12","FrameworkVersion":"C","ReportingStartDate":"2015-08-28T12:16:14Z","ReportingEndDate":"2015-09-27T12:16:14Z","OwnerSite":100,"OwnerWorkgroup":0,"CreationDate":"2015-08-28T12:16:28Z","Author":-524286,"UpdateDate":"2021-02-22T17:22:39Z","UpdateAuthor":-524286,"Descriptions":[{"CultureName":"fr-FR","Texts":{"SDesc":"","LDesc":"Réel 2003.12"}},{"CultureName":"en-US","Texts":{"SDesc":"","LDesc":"Actual - 2003.12"}}],"ID":79,"LDesc":"Réel 2003.12","Name":"A - 2003.12"},"Messages":{"Messages":[],"UsedHints":{}}}</t>
  </si>
  <si>
    <t>{"Data":{"Framework":{"Phase":"A","Version":"C","Status":5,"ControlSets":{"P-A":{"ID":8,"LDesc":null,"Name":"P-A"},"P-E":{"ID":10,"LDesc":null,"Name":"P-E"}},"ControlLevels":{"1":{"Descriptions":[{"CultureName":"fr-FR","Texts":{"LDesc":"Analyse en solde"}},{"CultureName":"en-US","Texts":{"LDesc":"Balance analysis"}}],"ID":1,"LDesc":null,"Rank":1,"Name":"LEV1"},"2":{"Descriptions":[{"CultureName":"fr-FR","Texts":{"LDesc":"Analyse en flux"}},{"CultureName":"en-US","Texts":{"LDesc":"Flow analysis"}}],"ID":4,"LDesc":null,"Rank":2,"Name":"LEV2"}},"ID":1,"LDesc":null,"Name":"A - C"},"DefaultPackage":{"UseDefaultWindowsFolder":true,"WindowsFolder":null,"UseDefaultInternetFolder":true,"InternetFolder":null,"UseDefaultSetOfControls":true,"SetOfControls":null,"UseDefaultLevel":true,"LevelToReach":null,"Blocking":false,"UseDefaultLock":true,"LockOnPublication":0,"UseDefaultRuleSet":true,"RuleSet":null,"UseDefaultOpbal":true,"HasOpBal":false,"OpbPhase":null,"OpbUpdatePeriod":null,"OpbScope":null,"OpbVariant":null,"OpbConsCurrency":null},"DefaultRestriction":{},"DefaultOperation":{"UseDefaultPublish":false,"PackPublishingCutOffDate":"2021-02-26T10:02:00Z","AllowEarlyPublishing":true,"UseDefaultAfterPub":false,"AfterPublication":{"Standard":true,"Special":true,"Advanced":true,"Level":2},"UseDefaultAfterTran":false,"AfterTransfer":{"Standard":false,"Special":true,"Advanced":false,"Level":null}},"EntityReportings":[{"Reporting":{"Phase":"A","UpdatePeriod":"2000.12","FrameworkVersion":"C","ReportingStartDate":"2021-02-24T10:02:00Z","ReportingEndDate":"2021-02-27T10:02:00Z","OwnerSite":100,"OwnerWorkgroup":0,"CreationDate":"2021-03-01T16:55:21Z","Author":-524286,"UpdateDate":"2021-03-01T18:28:24.67Z","UpdateAuthor":-524286,"Descriptions":[{"CultureName":"fr-FR","Texts":{"LDesc":"Test"}},{"CultureName":"en-US","Texts":{"LDesc":"Actual - 2000.12"}}],"ID":52428888,"LDesc":null,"Name":"A - 2000.12"},"Entity":"S001","InputCurrency":"EUR","InputSite":"0000.TOP","PublicationSite":"0000.TOP","PackPackage":{"UseDefaultWindowsFolder":true,"WindowsFolder":null,"UseDefaultInternetFolder":true,"InternetFolder":null,"UseDefaultSetOfControls":true,"SetOfControls":null,"UseDefaultLevel":true,"LevelToReach":null,"Blocking":false,"UseDefaultLock":true,"LockOnPublication":0,"UseDefaultRuleSet":true,"RuleSet":null,"UseDefaultOpbal":true,"HasOpBal":false,"OpbPhase":null,"OpbUpdatePeriod":null,"OpbScope":null,"OpbVariant":null,"OpbConsCurrency":null},"PackRestriction":{},"PackOperation":{"UseDefaultPublish":true,"PackPublishingCutOffDate":"0001-01-01T00:00:00Z","AllowEarlyPublishing":false,"UseDefaultAfterPub":true,"AfterPublication":{"Standard":false,"Special":false,"Advanced":false,"Level":null},"UseDefaultAfterTran":true,"AfterTransfer":{"Standard":false,"Special":false,"Advanced":false,"Level":null}},"ID":-2147483618,"LDesc":null,"Name":"{A - 2000.12 - S001}"}],"Phase":"A","UpdatePeriod":"2000.12","FrameworkVersion":"C","ReportingStartDate":"2021-02-24T10:02:00Z","ReportingEndDate":"2021-02-27T10:02:00Z","OwnerSite":100,"OwnerWorkgroup":0,"CreationDate":"2021-03-01T16:55:21Z","Author":-524286,"UpdateDate":"2021-03-01T18:28:24.67Z","UpdateAuthor":-524286,"Descriptions":[{"CultureName":"fr-FR","Texts":{"LDesc":"Test"}},{"CultureName":"en-US","Texts":{"LDesc":"Actual - 2000.12"}}],"ID":52428888,"LDesc":null,"Name":"A - 2000.12"},"Messages":{"Messages":[],"UsedHints":{}}}</t>
  </si>
  <si>
    <t>Serveur: Nettoyer le Save</t>
  </si>
  <si>
    <t>Serveur: A nouveaux</t>
  </si>
  <si>
    <t>Vider le cache en cas de changement de user/datasource</t>
  </si>
  <si>
    <t>Supprimer la copie cachée</t>
  </si>
  <si>
    <t>Afficher les libellés</t>
  </si>
  <si>
    <t>Jeton de session</t>
  </si>
  <si>
    <t>Liste des langues et erreurs dans la connexion</t>
  </si>
  <si>
    <t>Présenter les messages</t>
  </si>
  <si>
    <t>Data/EntityReportings</t>
  </si>
  <si>
    <t>S001</t>
  </si>
  <si>
    <t>EUR</t>
  </si>
  <si>
    <t>0000.TOP</t>
  </si>
  <si>
    <t>Commande Add description</t>
  </si>
  <si>
    <t>Protéger la query de liste des reportings</t>
  </si>
  <si>
    <t>Largeur des cols</t>
  </si>
  <si>
    <t>2/24/2021  11:02:00 AM</t>
  </si>
  <si>
    <t>2/27/2021  11:02:00 AM</t>
  </si>
  <si>
    <t>2/26/2021  11:02:00 AM</t>
  </si>
  <si>
    <t>1/1/2001  1:00:00 AM</t>
  </si>
  <si>
    <t>3/1/2021  5:55:21 PM</t>
  </si>
  <si>
    <t>2001.11</t>
  </si>
  <si>
    <t>2/23/2021  3:52:39 PM</t>
  </si>
  <si>
    <t>2001.12</t>
  </si>
  <si>
    <t>2/23/2021  3:13:08 PM</t>
  </si>
  <si>
    <t>2002.01</t>
  </si>
  <si>
    <t>2/18/2021  9:47:58 PM</t>
  </si>
  <si>
    <t>2002.02</t>
  </si>
  <si>
    <t>2/23/2021  3:02:13 PM</t>
  </si>
  <si>
    <t>2002.03</t>
  </si>
  <si>
    <t>2/23/2021  12:30:51 PM</t>
  </si>
  <si>
    <t>2002.04</t>
  </si>
  <si>
    <t>2/23/2021  12:15:06 PM</t>
  </si>
  <si>
    <t>2002.05</t>
  </si>
  <si>
    <t>2/23/2021  11:36:13 AM</t>
  </si>
  <si>
    <t>2002.06</t>
  </si>
  <si>
    <t>2/16/2021  7:37:46 PM</t>
  </si>
  <si>
    <t>2002.07</t>
  </si>
  <si>
    <t>2/16/2021  7:33:41 PM</t>
  </si>
  <si>
    <t>2002.08</t>
  </si>
  <si>
    <t>2/16/2021  7:23:18 PM</t>
  </si>
  <si>
    <t>2002.09</t>
  </si>
  <si>
    <t>2/16/2021  3:59:23 PM</t>
  </si>
  <si>
    <t>2002.10</t>
  </si>
  <si>
    <t>2/16/2021  3:53:29 PM</t>
  </si>
  <si>
    <t>2002.11</t>
  </si>
  <si>
    <t>2/16/2021  3:50:30 PM</t>
  </si>
  <si>
    <t>2002.12</t>
  </si>
  <si>
    <t>2/15/2021  3:11:42 PM</t>
  </si>
  <si>
    <t>2003.12</t>
  </si>
  <si>
    <t>8/28/2015  2:16:28 PM</t>
  </si>
  <si>
    <t>2004.12</t>
  </si>
  <si>
    <t>8/28/2015  2:10:05 PM</t>
  </si>
  <si>
    <t>2010.12</t>
  </si>
  <si>
    <t>5/3/2010  1:22:35 PM</t>
  </si>
  <si>
    <t>2011.03</t>
  </si>
  <si>
    <t>11/25/2010  2:09:22 PM</t>
  </si>
  <si>
    <t>2011.06</t>
  </si>
  <si>
    <t>11/29/2010  11:06:57 AM</t>
  </si>
  <si>
    <t>2011.09</t>
  </si>
  <si>
    <t>11/29/2010  11:10:44 AM</t>
  </si>
  <si>
    <t>2011.12</t>
  </si>
  <si>
    <t>5/4/2010  9:10:01 AM</t>
  </si>
  <si>
    <t>2013.01</t>
  </si>
  <si>
    <t>1/28/2021  11:06:48 AM</t>
  </si>
  <si>
    <t>2013.12</t>
  </si>
  <si>
    <t>3/29/2013  10:53:41 AM</t>
  </si>
  <si>
    <t>2014.12</t>
  </si>
  <si>
    <t>4/7/2014  11:31:33 AM</t>
  </si>
  <si>
    <t>2019.12</t>
  </si>
  <si>
    <t>9/2/2010  11:17:44 AM</t>
  </si>
  <si>
    <t>2020.12</t>
  </si>
  <si>
    <t>8/31/2010  2:52:12 PM</t>
  </si>
  <si>
    <t>2021.12</t>
  </si>
  <si>
    <t>8/31/2010  2:57:27 PM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</si>
</sst>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/mmm/yyyy\ hh:mm:ss"/>
  </numFmts>
  <fonts count="8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8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9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rgb="FFFFFF00"/>
        <bgColor indexed="64"/>
      </patternFill>
    </fill>
  </fills>
  <borders count="7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6">
    <xf numFmtId="0" fontId="0" fillId="0" borderId="0" xfId="0"/>
    <xf numFmtId="0" fontId="0" fillId="2" borderId="0" xfId="0" applyFont="1" applyFill="1" applyAlignment="1">
      <alignment horizontal="center" vertical="center"/>
    </xf>
    <xf numFmtId="49" fontId="0" fillId="0" borderId="0" xfId="0" applyNumberFormat="1"/>
    <xf numFmtId="49" fontId="0" fillId="0" borderId="0" xfId="0" quotePrefix="1" applyNumberFormat="1"/>
    <xf numFmtId="0" fontId="0" fillId="0" borderId="0" xfId="0" applyProtection="1">
      <protection hidden="1"/>
    </xf>
    <xf numFmtId="0" fontId="2" fillId="0" borderId="0" xfId="0" applyFont="1" applyAlignment="1" applyProtection="1">
      <alignment horizontal="right" vertical="center"/>
      <protection hidden="1"/>
    </xf>
    <xf numFmtId="0" fontId="3" fillId="0" borderId="0" xfId="1" applyProtection="1">
      <protection hidden="1"/>
    </xf>
    <xf numFmtId="0" fontId="3" fillId="0" borderId="0" xfId="1" applyAlignment="1" applyProtection="1">
      <alignment horizontal="center"/>
      <protection hidden="1"/>
    </xf>
    <xf numFmtId="0" fontId="5" fillId="0" borderId="0" xfId="0" applyFont="1" applyProtection="1">
      <protection hidden="1"/>
    </xf>
    <xf numFmtId="0" fontId="0" fillId="0" borderId="0" xfId="0" applyNumberFormat="1"/>
    <xf numFmtId="0" fontId="0" fillId="4" borderId="0" xfId="0" applyFill="1"/>
    <xf numFmtId="0" fontId="3" fillId="0" borderId="0" xfId="1" applyNumberFormat="1"/>
    <xf numFmtId="0" fontId="4" fillId="0" borderId="0" xfId="0" applyNumberFormat="1" applyFont="1" applyAlignment="1" applyProtection="1">
      <alignment horizontal="right"/>
      <protection hidden="1"/>
    </xf>
    <xf numFmtId="0" fontId="3" fillId="0" borderId="0" xfId="1" applyNumberFormat="1" applyAlignment="1" applyProtection="1">
      <alignment horizontal="center"/>
      <protection hidden="1"/>
    </xf>
    <xf numFmtId="0" fontId="3" fillId="0" borderId="0" xfId="1" applyAlignment="1">
      <alignment vertical="center" wrapText="1"/>
    </xf>
    <xf numFmtId="0" fontId="0" fillId="0" borderId="0" xfId="0" applyAlignment="1">
      <alignment vertical="center"/>
    </xf>
    <xf numFmtId="0" fontId="0" fillId="0" borderId="0" xfId="0" applyAlignment="1">
      <alignment vertical="center" wrapText="1"/>
    </xf>
    <xf numFmtId="0" fontId="3" fillId="0" borderId="0" xfId="1" applyNumberFormat="1" applyProtection="1">
      <protection hidden="1"/>
    </xf>
    <xf numFmtId="0" fontId="0" fillId="0" borderId="0" xfId="0" applyAlignment="1">
      <alignment horizontal="center"/>
    </xf>
    <xf numFmtId="16" fontId="0" fillId="0" borderId="0" xfId="0" applyNumberFormat="1" applyAlignment="1">
      <alignment horizontal="center"/>
    </xf>
    <xf numFmtId="0" fontId="0" fillId="0" borderId="0" xfId="0" applyNumberFormat="1" applyProtection="1">
      <protection hidden="1"/>
    </xf>
    <xf numFmtId="0" fontId="6" fillId="3" borderId="2" xfId="0" applyNumberFormat="1" applyFont="1" applyFill="1" applyBorder="1" applyAlignment="1"/>
    <xf numFmtId="0" fontId="6" fillId="3" borderId="1" xfId="0" applyNumberFormat="1" applyFont="1" applyFill="1" applyBorder="1" applyAlignment="1"/>
    <xf numFmtId="0" fontId="6" fillId="3" borderId="3" xfId="0" applyNumberFormat="1" applyFont="1" applyFill="1" applyBorder="1" applyAlignment="1"/>
    <xf numFmtId="49" fontId="0" fillId="0" borderId="0" xfId="0" applyNumberFormat="1" applyAlignment="1"/>
    <xf numFmtId="0" fontId="4" fillId="0" borderId="0" xfId="0" applyNumberFormat="1" applyFont="1" applyAlignment="1">
      <alignment horizontal="right"/>
    </xf>
    <xf numFmtId="16" fontId="0" fillId="0" borderId="0" xfId="0" applyNumberFormat="1"/>
    <xf numFmtId="49" fontId="0" fillId="0" borderId="0" xfId="0" applyNumberFormat="1" applyAlignment="1">
      <alignment vertical="center"/>
    </xf>
    <xf numFmtId="0" fontId="7" fillId="0" borderId="4" xfId="0" applyFont="1" applyBorder="1"/>
    <xf numFmtId="0" fontId="0" fillId="0" borderId="5" xfId="0" applyBorder="1"/>
    <xf numFmtId="0" fontId="0" fillId="0" borderId="6" xfId="0" applyBorder="1"/>
    <xf numFmtId="164" fontId="0" fillId="0" borderId="0" xfId="0" applyNumberFormat="1"/>
    <xf numFmtId="0" fontId="0" fillId="4" borderId="0" xfId="0" applyNumberFormat="1" applyFill="1"/>
    <xf numFmtId="0" fontId="0" fillId="0" borderId="1" xfId="0" applyFont="1" applyFill="1" applyBorder="1" applyAlignment="1">
      <alignment vertical="center"/>
    </xf>
    <xf numFmtId="0" fontId="0" fillId="0" borderId="0" xfId="0" applyFill="1"/>
    <xf numFmtId="0" fontId="0" fillId="0" borderId="0" xfId="0" applyFill="1" applyAlignment="1">
      <alignment vertical="center"/>
    </xf>
    <xf numFmtId="49" fontId="0" fillId="0" borderId="1" xfId="0" applyNumberFormat="1" applyFont="1" applyFill="1" applyBorder="1" applyAlignment="1">
      <alignment vertical="center"/>
    </xf>
    <xf numFmtId="49" fontId="0" fillId="0" borderId="0" xfId="0" applyNumberFormat="1" applyFill="1"/>
    <xf numFmtId="49" fontId="0" fillId="0" borderId="0" xfId="0" applyNumberFormat="1" applyAlignment="1">
      <alignment horizontal="center"/>
    </xf>
    <xf numFmtId="0" fontId="6" fillId="3" borderId="2" xfId="0" applyNumberFormat="1" applyFont="1" applyFill="1" applyBorder="1" applyAlignment="1">
      <alignment horizontal="center"/>
    </xf>
    <xf numFmtId="0" fontId="6" fillId="3" borderId="1" xfId="0" applyNumberFormat="1" applyFont="1" applyFill="1" applyBorder="1" applyAlignment="1">
      <alignment horizontal="center"/>
    </xf>
    <xf numFmtId="0" fontId="6" fillId="3" borderId="3" xfId="0" applyNumberFormat="1" applyFont="1" applyFill="1" applyBorder="1" applyAlignment="1">
      <alignment horizontal="center"/>
    </xf>
    <xf numFmtId="49" fontId="0" fillId="4" borderId="0" xfId="0" applyNumberFormat="1" applyFill="1"/>
    <xf numFmtId="49" fontId="0" fillId="0" borderId="0" xfId="0" applyNumberFormat="1" applyAlignment="1">
      <alignment wrapText="1"/>
    </xf>
    <xf numFmtId="49" fontId="0" fillId="0" borderId="0" xfId="0" applyNumberFormat="1" applyAlignment="1" applyProtection="1">
      <alignment horizontal="center"/>
      <protection locked="0"/>
    </xf>
    <xf numFmtId="49" fontId="0" fillId="0" borderId="0" xfId="0" applyNumberFormat="1" applyAlignment="1" applyProtection="1">
      <protection locked="0"/>
    </xf>
  </cellXfs>
  <cellStyles count="2">
    <cellStyle name="Lien hypertexte" xfId="1" builtinId="8"/>
    <cellStyle name="Normal" xfId="0" builtinId="0"/>
  </cellStyles>
  <dxfs count="135">
    <dxf>
      <protection locked="0" hidden="0"/>
    </dxf>
    <dxf>
      <numFmt numFmtId="30" formatCode="@"/>
      <alignment horizontal="general" vertical="bottom" textRotation="0" wrapText="0" indent="0" justifyLastLine="0" shrinkToFit="0" readingOrder="0"/>
      <protection locked="0" hidden="0"/>
    </dxf>
    <dxf>
      <numFmt numFmtId="30" formatCode="@"/>
      <alignment horizontal="general" vertical="bottom" textRotation="0" wrapText="0" indent="0" justifyLastLine="0" shrinkToFit="0" readingOrder="0"/>
      <protection locked="0" hidden="0"/>
    </dxf>
    <dxf>
      <numFmt numFmtId="30" formatCode="@"/>
      <alignment horizontal="general" vertical="bottom" textRotation="0" wrapText="0" indent="0" justifyLastLine="0" shrinkToFit="0" readingOrder="0"/>
      <protection locked="0" hidden="0"/>
    </dxf>
    <dxf>
      <numFmt numFmtId="30" formatCode="@"/>
      <alignment horizontal="general" vertical="bottom" textRotation="0" wrapText="0" indent="0" justifyLastLine="0" shrinkToFit="0" readingOrder="0"/>
      <protection locked="0" hidden="0"/>
    </dxf>
    <dxf>
      <numFmt numFmtId="30" formatCode="@"/>
      <alignment horizontal="general" vertical="bottom" textRotation="0" wrapText="0" indent="0" justifyLastLine="0" shrinkToFit="0" readingOrder="0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border outline="0">
        <top style="thin">
          <color theme="4" tint="0.39997558519241921"/>
        </top>
      </border>
    </dxf>
    <dxf>
      <protection locked="0" hidden="0"/>
    </dxf>
    <dxf>
      <numFmt numFmtId="30" formatCode="@"/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</xdr:row>
      <xdr:rowOff>0</xdr:rowOff>
    </xdr:from>
    <xdr:to>
      <xdr:col>12</xdr:col>
      <xdr:colOff>66675</xdr:colOff>
      <xdr:row>6</xdr:row>
      <xdr:rowOff>0</xdr:rowOff>
    </xdr:to>
    <xdr:sp macro="" textlink="$B$4">
      <xdr:nvSpPr>
        <xdr:cNvPr id="2" name="Title">
          <a:extLst>
            <a:ext uri="{FF2B5EF4-FFF2-40B4-BE49-F238E27FC236}">
              <a16:creationId xmlns:a16="http://schemas.microsoft.com/office/drawing/2014/main" id="{B7286C0D-64E2-4158-A33E-5D311951C2DD}"/>
            </a:ext>
          </a:extLst>
        </xdr:cNvPr>
        <xdr:cNvSpPr/>
      </xdr:nvSpPr>
      <xdr:spPr>
        <a:xfrm>
          <a:off x="190500" y="190500"/>
          <a:ext cx="10868025" cy="952500"/>
        </a:xfrm>
        <a:prstGeom prst="roundRect">
          <a:avLst/>
        </a:prstGeom>
        <a:gradFill flip="none" rotWithShape="1">
          <a:gsLst>
            <a:gs pos="0">
              <a:schemeClr val="accent1">
                <a:lumMod val="40000"/>
                <a:lumOff val="60000"/>
              </a:schemeClr>
            </a:gs>
            <a:gs pos="46000">
              <a:schemeClr val="accent1">
                <a:lumMod val="95000"/>
                <a:lumOff val="5000"/>
              </a:schemeClr>
            </a:gs>
            <a:gs pos="100000">
              <a:schemeClr val="accent1">
                <a:lumMod val="60000"/>
              </a:schemeClr>
            </a:gs>
          </a:gsLst>
          <a:path path="circle">
            <a:fillToRect l="50000" t="130000" r="50000" b="-30000"/>
          </a:path>
          <a:tileRect/>
        </a:gra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24000" rtlCol="0" anchor="ctr" anchorCtr="0"/>
        <a:lstStyle/>
        <a:p>
          <a:pPr algn="ctr"/>
          <a:fld id="{6F9713BA-2E8C-44E3-9CBC-99BF17D05BBB}" type="TxLink">
            <a:rPr lang="en-US" sz="4000" b="0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CTS Reporting Factory</a:t>
          </a:fld>
          <a:endParaRPr lang="en-US" sz="59500" b="0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11</xdr:col>
      <xdr:colOff>123824</xdr:colOff>
      <xdr:row>6</xdr:row>
      <xdr:rowOff>147638</xdr:rowOff>
    </xdr:from>
    <xdr:to>
      <xdr:col>12</xdr:col>
      <xdr:colOff>142874</xdr:colOff>
      <xdr:row>8</xdr:row>
      <xdr:rowOff>71437</xdr:rowOff>
    </xdr:to>
    <xdr:sp macro="" textlink="$I$4">
      <xdr:nvSpPr>
        <xdr:cNvPr id="9" name="Version">
          <a:extLst>
            <a:ext uri="{FF2B5EF4-FFF2-40B4-BE49-F238E27FC236}">
              <a16:creationId xmlns:a16="http://schemas.microsoft.com/office/drawing/2014/main" id="{79FCB3C3-08A0-4030-B95F-998508432596}"/>
            </a:ext>
          </a:extLst>
        </xdr:cNvPr>
        <xdr:cNvSpPr/>
      </xdr:nvSpPr>
      <xdr:spPr>
        <a:xfrm>
          <a:off x="7677149" y="1290638"/>
          <a:ext cx="2209800" cy="304799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fld id="{9E88C766-52B5-4516-A1A9-5E9DB4CEA806}" type="TxLink">
            <a:rPr lang="en-US" sz="800" b="0" i="0" u="none" strike="noStrike">
              <a:solidFill>
                <a:srgbClr val="000000"/>
              </a:solidFill>
              <a:latin typeface="Calibri"/>
              <a:cs typeface="Calibri"/>
            </a:rPr>
            <a:pPr algn="r"/>
            <a:t>Version 0.92 - 03/05/21</a:t>
          </a:fld>
          <a:endParaRPr lang="en-US" sz="1100"/>
        </a:p>
      </xdr:txBody>
    </xdr:sp>
    <xdr:clientData/>
  </xdr:twoCellAnchor>
  <xdr:twoCellAnchor editAs="absolute">
    <xdr:from>
      <xdr:col>11</xdr:col>
      <xdr:colOff>504824</xdr:colOff>
      <xdr:row>6</xdr:row>
      <xdr:rowOff>156037</xdr:rowOff>
    </xdr:from>
    <xdr:to>
      <xdr:col>11</xdr:col>
      <xdr:colOff>792824</xdr:colOff>
      <xdr:row>8</xdr:row>
      <xdr:rowOff>63037</xdr:rowOff>
    </xdr:to>
    <xdr:pic macro="[0]!I18N_LanguageClick">
      <xdr:nvPicPr>
        <xdr:cNvPr id="3" name="fr_FR">
          <a:extLst>
            <a:ext uri="{FF2B5EF4-FFF2-40B4-BE49-F238E27FC236}">
              <a16:creationId xmlns:a16="http://schemas.microsoft.com/office/drawing/2014/main" id="{BDB11BA6-8C86-484B-A39B-BAFAE36D75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058149" y="1299037"/>
          <a:ext cx="288000" cy="288000"/>
        </a:xfrm>
        <a:prstGeom prst="rect">
          <a:avLst/>
        </a:prstGeom>
      </xdr:spPr>
    </xdr:pic>
    <xdr:clientData/>
  </xdr:twoCellAnchor>
  <xdr:twoCellAnchor editAs="absolute">
    <xdr:from>
      <xdr:col>11</xdr:col>
      <xdr:colOff>161924</xdr:colOff>
      <xdr:row>6</xdr:row>
      <xdr:rowOff>156037</xdr:rowOff>
    </xdr:from>
    <xdr:to>
      <xdr:col>11</xdr:col>
      <xdr:colOff>449924</xdr:colOff>
      <xdr:row>8</xdr:row>
      <xdr:rowOff>63037</xdr:rowOff>
    </xdr:to>
    <xdr:pic macro="[0]!I18N_LanguageClick">
      <xdr:nvPicPr>
        <xdr:cNvPr id="4" name="en_US">
          <a:extLst>
            <a:ext uri="{FF2B5EF4-FFF2-40B4-BE49-F238E27FC236}">
              <a16:creationId xmlns:a16="http://schemas.microsoft.com/office/drawing/2014/main" id="{32A3F01F-F006-45C8-9E6B-71D98BE9AC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715249" y="1299037"/>
          <a:ext cx="288000" cy="288000"/>
        </a:xfrm>
        <a:prstGeom prst="rect">
          <a:avLst/>
        </a:prstGeom>
      </xdr:spPr>
    </xdr:pic>
    <xdr:clientData/>
  </xdr:twoCellAnchor>
  <xdr:twoCellAnchor>
    <xdr:from>
      <xdr:col>3</xdr:col>
      <xdr:colOff>0</xdr:colOff>
      <xdr:row>11</xdr:row>
      <xdr:rowOff>0</xdr:rowOff>
    </xdr:from>
    <xdr:to>
      <xdr:col>4</xdr:col>
      <xdr:colOff>0</xdr:colOff>
      <xdr:row>13</xdr:row>
      <xdr:rowOff>0</xdr:rowOff>
    </xdr:to>
    <xdr:sp macro="JSON_TableHeaderClick" textlink="$D$12">
      <xdr:nvSpPr>
        <xdr:cNvPr id="5" name="tReportings_2">
          <a:extLst>
            <a:ext uri="{FF2B5EF4-FFF2-40B4-BE49-F238E27FC236}">
              <a16:creationId xmlns:a16="http://schemas.microsoft.com/office/drawing/2014/main" id="{D98ADA66-3D44-4B40-A99B-97D200CEC876}"/>
            </a:ext>
          </a:extLst>
        </xdr:cNvPr>
        <xdr:cNvSpPr/>
      </xdr:nvSpPr>
      <xdr:spPr>
        <a:xfrm>
          <a:off x="2466975" y="2095500"/>
          <a:ext cx="1485900" cy="1905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A5333763-D049-4A9F-A44D-621A0F14A3F3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Category</a:t>
          </a:fld>
          <a:endParaRPr lang="en-US" sz="1100"/>
        </a:p>
      </xdr:txBody>
    </xdr:sp>
    <xdr:clientData/>
  </xdr:twoCellAnchor>
  <xdr:twoCellAnchor>
    <xdr:from>
      <xdr:col>4</xdr:col>
      <xdr:colOff>0</xdr:colOff>
      <xdr:row>11</xdr:row>
      <xdr:rowOff>0</xdr:rowOff>
    </xdr:from>
    <xdr:to>
      <xdr:col>5</xdr:col>
      <xdr:colOff>0</xdr:colOff>
      <xdr:row>13</xdr:row>
      <xdr:rowOff>0</xdr:rowOff>
    </xdr:to>
    <xdr:sp macro="JSON_TableHeaderClick" textlink="$E$12">
      <xdr:nvSpPr>
        <xdr:cNvPr id="6" name="tReportings_3">
          <a:extLst>
            <a:ext uri="{FF2B5EF4-FFF2-40B4-BE49-F238E27FC236}">
              <a16:creationId xmlns:a16="http://schemas.microsoft.com/office/drawing/2014/main" id="{54508113-6E9B-4F63-800D-CF5CEE774F7D}"/>
            </a:ext>
          </a:extLst>
        </xdr:cNvPr>
        <xdr:cNvSpPr/>
      </xdr:nvSpPr>
      <xdr:spPr>
        <a:xfrm>
          <a:off x="3952875" y="2095500"/>
          <a:ext cx="1485900" cy="1905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E07F816B-1839-4135-B6B3-B41493D988E3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Update Period</a:t>
          </a:fld>
          <a:endParaRPr lang="en-US" sz="1100"/>
        </a:p>
      </xdr:txBody>
    </xdr:sp>
    <xdr:clientData/>
  </xdr:twoCellAnchor>
  <xdr:twoCellAnchor>
    <xdr:from>
      <xdr:col>5</xdr:col>
      <xdr:colOff>0</xdr:colOff>
      <xdr:row>11</xdr:row>
      <xdr:rowOff>0</xdr:rowOff>
    </xdr:from>
    <xdr:to>
      <xdr:col>6</xdr:col>
      <xdr:colOff>0</xdr:colOff>
      <xdr:row>13</xdr:row>
      <xdr:rowOff>0</xdr:rowOff>
    </xdr:to>
    <xdr:sp macro="JSON_TableHeaderClick" textlink="$F$12">
      <xdr:nvSpPr>
        <xdr:cNvPr id="7" name="tReportings_4">
          <a:extLst>
            <a:ext uri="{FF2B5EF4-FFF2-40B4-BE49-F238E27FC236}">
              <a16:creationId xmlns:a16="http://schemas.microsoft.com/office/drawing/2014/main" id="{3A3369A9-F63B-47EF-BD8C-233E85402708}"/>
            </a:ext>
          </a:extLst>
        </xdr:cNvPr>
        <xdr:cNvSpPr/>
      </xdr:nvSpPr>
      <xdr:spPr>
        <a:xfrm>
          <a:off x="5438775" y="2095500"/>
          <a:ext cx="1809750" cy="1905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EFE73670-7367-49BB-A435-7D98BDDFD431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Created</a:t>
          </a:fld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</xdr:row>
      <xdr:rowOff>63500</xdr:rowOff>
    </xdr:from>
    <xdr:to>
      <xdr:col>2</xdr:col>
      <xdr:colOff>0</xdr:colOff>
      <xdr:row>5</xdr:row>
      <xdr:rowOff>0</xdr:rowOff>
    </xdr:to>
    <xdr:sp macro="JSON_TableHeaderClick" textlink="$B$4">
      <xdr:nvSpPr>
        <xdr:cNvPr id="480" name="tReporting52428888_1">
          <a:extLst>
            <a:ext uri="{FF2B5EF4-FFF2-40B4-BE49-F238E27FC236}">
              <a16:creationId xmlns:a16="http://schemas.microsoft.com/office/drawing/2014/main" id="{E6F9153E-80C7-450B-8060-8CF24262DBE5}"/>
            </a:ext>
          </a:extLst>
        </xdr:cNvPr>
        <xdr:cNvSpPr/>
      </xdr:nvSpPr>
      <xdr:spPr>
        <a:xfrm>
          <a:off x="1114425" y="444500"/>
          <a:ext cx="447675" cy="965200"/>
        </a:xfrm>
        <a:prstGeom prst="rect">
          <a:avLst/>
        </a:prstGeom>
        <a:solidFill>
          <a:schemeClr val="bg1">
            <a:lumMod val="65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lIns="0" tIns="0" rIns="0" bIns="0" rtlCol="0" anchor="ctr" anchorCtr="1"/>
        <a:lstStyle/>
        <a:p>
          <a:pPr algn="l"/>
          <a:fld id="{4C82D8F1-5D43-449E-82C3-085D3D1EBA91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Reporting</a:t>
          </a:fld>
          <a:endParaRPr lang="en-US" sz="1100"/>
        </a:p>
      </xdr:txBody>
    </xdr:sp>
    <xdr:clientData/>
  </xdr:twoCellAnchor>
  <xdr:twoCellAnchor>
    <xdr:from>
      <xdr:col>2</xdr:col>
      <xdr:colOff>0</xdr:colOff>
      <xdr:row>3</xdr:row>
      <xdr:rowOff>0</xdr:rowOff>
    </xdr:from>
    <xdr:to>
      <xdr:col>3</xdr:col>
      <xdr:colOff>0</xdr:colOff>
      <xdr:row>5</xdr:row>
      <xdr:rowOff>0</xdr:rowOff>
    </xdr:to>
    <xdr:sp macro="JSON_TableHeaderClick" textlink="$C$4">
      <xdr:nvSpPr>
        <xdr:cNvPr id="481" name="tReporting52428888_2">
          <a:extLst>
            <a:ext uri="{FF2B5EF4-FFF2-40B4-BE49-F238E27FC236}">
              <a16:creationId xmlns:a16="http://schemas.microsoft.com/office/drawing/2014/main" id="{D84CA1C9-A194-479E-BEA9-F7C120ADBCD6}"/>
            </a:ext>
          </a:extLst>
        </xdr:cNvPr>
        <xdr:cNvSpPr/>
      </xdr:nvSpPr>
      <xdr:spPr>
        <a:xfrm>
          <a:off x="1562100" y="571500"/>
          <a:ext cx="1114425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C3EEF677-2D9C-4B7E-87C1-03CB51AC0DE4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Category</a:t>
          </a:fld>
          <a:endParaRPr lang="en-US" sz="1100"/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5</xdr:row>
      <xdr:rowOff>0</xdr:rowOff>
    </xdr:to>
    <xdr:sp macro="JSON_TableHeaderClick" textlink="$D$4">
      <xdr:nvSpPr>
        <xdr:cNvPr id="482" name="tReporting52428888_3">
          <a:extLst>
            <a:ext uri="{FF2B5EF4-FFF2-40B4-BE49-F238E27FC236}">
              <a16:creationId xmlns:a16="http://schemas.microsoft.com/office/drawing/2014/main" id="{90A16CC9-455C-4FA9-A15C-D13C74B023B3}"/>
            </a:ext>
          </a:extLst>
        </xdr:cNvPr>
        <xdr:cNvSpPr/>
      </xdr:nvSpPr>
      <xdr:spPr>
        <a:xfrm>
          <a:off x="2676525" y="571500"/>
          <a:ext cx="1114425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C3A4E495-49F4-4549-B65B-47AA48BA9670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Update Period</a:t>
          </a:fld>
          <a:endParaRPr lang="en-US" sz="1100"/>
        </a:p>
      </xdr:txBody>
    </xdr:sp>
    <xdr:clientData/>
  </xdr:twoCellAnchor>
  <xdr:twoCellAnchor>
    <xdr:from>
      <xdr:col>4</xdr:col>
      <xdr:colOff>0</xdr:colOff>
      <xdr:row>3</xdr:row>
      <xdr:rowOff>0</xdr:rowOff>
    </xdr:from>
    <xdr:to>
      <xdr:col>5</xdr:col>
      <xdr:colOff>0</xdr:colOff>
      <xdr:row>5</xdr:row>
      <xdr:rowOff>0</xdr:rowOff>
    </xdr:to>
    <xdr:sp macro="JSON_TableHeaderClick" textlink="$E$4">
      <xdr:nvSpPr>
        <xdr:cNvPr id="483" name="tReporting52428888_4">
          <a:extLst>
            <a:ext uri="{FF2B5EF4-FFF2-40B4-BE49-F238E27FC236}">
              <a16:creationId xmlns:a16="http://schemas.microsoft.com/office/drawing/2014/main" id="{E57B367E-8CB2-45A0-9F4E-EF57E3C9326F}"/>
            </a:ext>
          </a:extLst>
        </xdr:cNvPr>
        <xdr:cNvSpPr/>
      </xdr:nvSpPr>
      <xdr:spPr>
        <a:xfrm>
          <a:off x="3790950" y="571500"/>
          <a:ext cx="1114425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4DE31765-55FA-4783-AB74-1E2C0E08A87A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Category version</a:t>
          </a:fld>
          <a:endParaRPr lang="en-US" sz="1100"/>
        </a:p>
      </xdr:txBody>
    </xdr:sp>
    <xdr:clientData/>
  </xdr:twoCellAnchor>
  <xdr:twoCellAnchor>
    <xdr:from>
      <xdr:col>5</xdr:col>
      <xdr:colOff>0</xdr:colOff>
      <xdr:row>3</xdr:row>
      <xdr:rowOff>0</xdr:rowOff>
    </xdr:from>
    <xdr:to>
      <xdr:col>6</xdr:col>
      <xdr:colOff>0</xdr:colOff>
      <xdr:row>5</xdr:row>
      <xdr:rowOff>0</xdr:rowOff>
    </xdr:to>
    <xdr:sp macro="JSON_TableHeaderClick" textlink="$F$4">
      <xdr:nvSpPr>
        <xdr:cNvPr id="484" name="tReporting52428888_5">
          <a:extLst>
            <a:ext uri="{FF2B5EF4-FFF2-40B4-BE49-F238E27FC236}">
              <a16:creationId xmlns:a16="http://schemas.microsoft.com/office/drawing/2014/main" id="{10396E78-FFBB-4B30-ACB9-F0B3B31F906E}"/>
            </a:ext>
          </a:extLst>
        </xdr:cNvPr>
        <xdr:cNvSpPr/>
      </xdr:nvSpPr>
      <xdr:spPr>
        <a:xfrm>
          <a:off x="4905375" y="571500"/>
          <a:ext cx="142875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BB5587A5-D541-4C02-AB25-82AD75EA4AD6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Start date</a:t>
          </a:fld>
          <a:endParaRPr lang="en-US" sz="1100"/>
        </a:p>
      </xdr:txBody>
    </xdr:sp>
    <xdr:clientData/>
  </xdr:twoCellAnchor>
  <xdr:twoCellAnchor>
    <xdr:from>
      <xdr:col>6</xdr:col>
      <xdr:colOff>0</xdr:colOff>
      <xdr:row>3</xdr:row>
      <xdr:rowOff>0</xdr:rowOff>
    </xdr:from>
    <xdr:to>
      <xdr:col>7</xdr:col>
      <xdr:colOff>0</xdr:colOff>
      <xdr:row>5</xdr:row>
      <xdr:rowOff>0</xdr:rowOff>
    </xdr:to>
    <xdr:sp macro="JSON_TableHeaderClick" textlink="$G$4">
      <xdr:nvSpPr>
        <xdr:cNvPr id="485" name="tReporting52428888_6">
          <a:extLst>
            <a:ext uri="{FF2B5EF4-FFF2-40B4-BE49-F238E27FC236}">
              <a16:creationId xmlns:a16="http://schemas.microsoft.com/office/drawing/2014/main" id="{1CC03103-9D4B-45A6-90A3-9DA4C2A6A93C}"/>
            </a:ext>
          </a:extLst>
        </xdr:cNvPr>
        <xdr:cNvSpPr/>
      </xdr:nvSpPr>
      <xdr:spPr>
        <a:xfrm>
          <a:off x="6334125" y="571500"/>
          <a:ext cx="142875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6B103BC9-EB26-47B8-9407-F8FA352072D8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End date</a:t>
          </a:fld>
          <a:endParaRPr lang="en-US" sz="1100"/>
        </a:p>
      </xdr:txBody>
    </xdr:sp>
    <xdr:clientData/>
  </xdr:twoCellAnchor>
  <xdr:twoCellAnchor>
    <xdr:from>
      <xdr:col>7</xdr:col>
      <xdr:colOff>0</xdr:colOff>
      <xdr:row>2</xdr:row>
      <xdr:rowOff>63500</xdr:rowOff>
    </xdr:from>
    <xdr:to>
      <xdr:col>8</xdr:col>
      <xdr:colOff>0</xdr:colOff>
      <xdr:row>5</xdr:row>
      <xdr:rowOff>0</xdr:rowOff>
    </xdr:to>
    <xdr:sp macro="JSON_TableHeaderClick" textlink="$H$4">
      <xdr:nvSpPr>
        <xdr:cNvPr id="486" name="tReporting52428888_7">
          <a:extLst>
            <a:ext uri="{FF2B5EF4-FFF2-40B4-BE49-F238E27FC236}">
              <a16:creationId xmlns:a16="http://schemas.microsoft.com/office/drawing/2014/main" id="{CF97D4A8-CFFE-46CC-BF62-6BF46A0486B8}"/>
            </a:ext>
          </a:extLst>
        </xdr:cNvPr>
        <xdr:cNvSpPr/>
      </xdr:nvSpPr>
      <xdr:spPr>
        <a:xfrm>
          <a:off x="7762875" y="444500"/>
          <a:ext cx="781050" cy="965200"/>
        </a:xfrm>
        <a:prstGeom prst="rect">
          <a:avLst/>
        </a:prstGeom>
        <a:solidFill>
          <a:schemeClr val="bg1">
            <a:lumMod val="65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lIns="0" tIns="0" rIns="0" bIns="0" rtlCol="0" anchor="ctr" anchorCtr="1"/>
        <a:lstStyle/>
        <a:p>
          <a:pPr algn="l"/>
          <a:fld id="{344BC2DC-62DF-4CD7-B1D3-BE20CB5B7BA3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RF_RepDesc</a:t>
          </a:fld>
          <a:endParaRPr lang="en-US" sz="1100"/>
        </a:p>
      </xdr:txBody>
    </xdr:sp>
    <xdr:clientData/>
  </xdr:twoCellAnchor>
  <xdr:twoCellAnchor>
    <xdr:from>
      <xdr:col>8</xdr:col>
      <xdr:colOff>0</xdr:colOff>
      <xdr:row>2</xdr:row>
      <xdr:rowOff>63500</xdr:rowOff>
    </xdr:from>
    <xdr:to>
      <xdr:col>9</xdr:col>
      <xdr:colOff>0</xdr:colOff>
      <xdr:row>5</xdr:row>
      <xdr:rowOff>0</xdr:rowOff>
    </xdr:to>
    <xdr:sp macro="JSON_TableHeaderClick" textlink="$I$4">
      <xdr:nvSpPr>
        <xdr:cNvPr id="487" name="tReporting52428888_8">
          <a:extLst>
            <a:ext uri="{FF2B5EF4-FFF2-40B4-BE49-F238E27FC236}">
              <a16:creationId xmlns:a16="http://schemas.microsoft.com/office/drawing/2014/main" id="{5FE90E44-AB47-4F88-A99A-ABBAE7B50731}"/>
            </a:ext>
          </a:extLst>
        </xdr:cNvPr>
        <xdr:cNvSpPr/>
      </xdr:nvSpPr>
      <xdr:spPr>
        <a:xfrm>
          <a:off x="8543925" y="444500"/>
          <a:ext cx="647700" cy="965200"/>
        </a:xfrm>
        <a:prstGeom prst="rect">
          <a:avLst/>
        </a:prstGeom>
        <a:solidFill>
          <a:schemeClr val="bg1">
            <a:lumMod val="65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lIns="0" tIns="0" rIns="0" bIns="0" rtlCol="0" anchor="ctr" anchorCtr="1"/>
        <a:lstStyle/>
        <a:p>
          <a:pPr algn="l"/>
          <a:fld id="{196E3E52-DB52-4CED-909E-F2369BCB4479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Package</a:t>
          </a:fld>
          <a:endParaRPr lang="en-US" sz="1100"/>
        </a:p>
      </xdr:txBody>
    </xdr:sp>
    <xdr:clientData/>
  </xdr:twoCellAnchor>
  <xdr:twoCellAnchor>
    <xdr:from>
      <xdr:col>9</xdr:col>
      <xdr:colOff>0</xdr:colOff>
      <xdr:row>3</xdr:row>
      <xdr:rowOff>0</xdr:rowOff>
    </xdr:from>
    <xdr:to>
      <xdr:col>10</xdr:col>
      <xdr:colOff>0</xdr:colOff>
      <xdr:row>5</xdr:row>
      <xdr:rowOff>0</xdr:rowOff>
    </xdr:to>
    <xdr:sp macro="JSON_TableHeaderClick" textlink="$J$4">
      <xdr:nvSpPr>
        <xdr:cNvPr id="488" name="tReporting52428888_9">
          <a:extLst>
            <a:ext uri="{FF2B5EF4-FFF2-40B4-BE49-F238E27FC236}">
              <a16:creationId xmlns:a16="http://schemas.microsoft.com/office/drawing/2014/main" id="{7581FAF0-D66D-4D07-A5A2-AD24978B52E1}"/>
            </a:ext>
          </a:extLst>
        </xdr:cNvPr>
        <xdr:cNvSpPr/>
      </xdr:nvSpPr>
      <xdr:spPr>
        <a:xfrm>
          <a:off x="9191625" y="571500"/>
          <a:ext cx="1114425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69E72FD7-EC92-47FC-8CF6-5C2ADAA4BBA0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Default Windows Folder?</a:t>
          </a:fld>
          <a:endParaRPr lang="en-US" sz="1100"/>
        </a:p>
      </xdr:txBody>
    </xdr:sp>
    <xdr:clientData/>
  </xdr:twoCellAnchor>
  <xdr:twoCellAnchor>
    <xdr:from>
      <xdr:col>10</xdr:col>
      <xdr:colOff>0</xdr:colOff>
      <xdr:row>3</xdr:row>
      <xdr:rowOff>0</xdr:rowOff>
    </xdr:from>
    <xdr:to>
      <xdr:col>11</xdr:col>
      <xdr:colOff>0</xdr:colOff>
      <xdr:row>5</xdr:row>
      <xdr:rowOff>0</xdr:rowOff>
    </xdr:to>
    <xdr:sp macro="JSON_TableHeaderClick" textlink="$K$4">
      <xdr:nvSpPr>
        <xdr:cNvPr id="489" name="tReporting52428888_10">
          <a:extLst>
            <a:ext uri="{FF2B5EF4-FFF2-40B4-BE49-F238E27FC236}">
              <a16:creationId xmlns:a16="http://schemas.microsoft.com/office/drawing/2014/main" id="{8FCCF2AC-A31F-49A5-8C30-41AA74703327}"/>
            </a:ext>
          </a:extLst>
        </xdr:cNvPr>
        <xdr:cNvSpPr/>
      </xdr:nvSpPr>
      <xdr:spPr>
        <a:xfrm>
          <a:off x="10306050" y="571500"/>
          <a:ext cx="1114425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0F094140-48F8-4554-970A-E5CBAAC62C1C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Windows folder</a:t>
          </a:fld>
          <a:endParaRPr lang="en-US" sz="1100"/>
        </a:p>
      </xdr:txBody>
    </xdr:sp>
    <xdr:clientData/>
  </xdr:twoCellAnchor>
  <xdr:twoCellAnchor>
    <xdr:from>
      <xdr:col>11</xdr:col>
      <xdr:colOff>0</xdr:colOff>
      <xdr:row>3</xdr:row>
      <xdr:rowOff>0</xdr:rowOff>
    </xdr:from>
    <xdr:to>
      <xdr:col>12</xdr:col>
      <xdr:colOff>0</xdr:colOff>
      <xdr:row>5</xdr:row>
      <xdr:rowOff>0</xdr:rowOff>
    </xdr:to>
    <xdr:sp macro="JSON_TableHeaderClick" textlink="$L$4">
      <xdr:nvSpPr>
        <xdr:cNvPr id="490" name="tReporting52428888_11">
          <a:extLst>
            <a:ext uri="{FF2B5EF4-FFF2-40B4-BE49-F238E27FC236}">
              <a16:creationId xmlns:a16="http://schemas.microsoft.com/office/drawing/2014/main" id="{E7616134-1BB0-4313-A854-38AFBE4C8797}"/>
            </a:ext>
          </a:extLst>
        </xdr:cNvPr>
        <xdr:cNvSpPr/>
      </xdr:nvSpPr>
      <xdr:spPr>
        <a:xfrm>
          <a:off x="11420475" y="571500"/>
          <a:ext cx="1114425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80A1B339-A5E0-40C3-BB37-E358C30854F2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Default Internet Folder?</a:t>
          </a:fld>
          <a:endParaRPr lang="en-US" sz="1100"/>
        </a:p>
      </xdr:txBody>
    </xdr:sp>
    <xdr:clientData/>
  </xdr:twoCellAnchor>
  <xdr:twoCellAnchor>
    <xdr:from>
      <xdr:col>12</xdr:col>
      <xdr:colOff>0</xdr:colOff>
      <xdr:row>3</xdr:row>
      <xdr:rowOff>0</xdr:rowOff>
    </xdr:from>
    <xdr:to>
      <xdr:col>13</xdr:col>
      <xdr:colOff>0</xdr:colOff>
      <xdr:row>5</xdr:row>
      <xdr:rowOff>0</xdr:rowOff>
    </xdr:to>
    <xdr:sp macro="JSON_TableHeaderClick" textlink="$M$4">
      <xdr:nvSpPr>
        <xdr:cNvPr id="491" name="tReporting52428888_12">
          <a:extLst>
            <a:ext uri="{FF2B5EF4-FFF2-40B4-BE49-F238E27FC236}">
              <a16:creationId xmlns:a16="http://schemas.microsoft.com/office/drawing/2014/main" id="{3DFF636F-BA5C-406F-B64F-0B905AF98C53}"/>
            </a:ext>
          </a:extLst>
        </xdr:cNvPr>
        <xdr:cNvSpPr/>
      </xdr:nvSpPr>
      <xdr:spPr>
        <a:xfrm>
          <a:off x="12534900" y="571500"/>
          <a:ext cx="1114425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F2248616-1CA8-46C4-AF2B-B3B06A645BD1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Internet folder</a:t>
          </a:fld>
          <a:endParaRPr lang="en-US" sz="1100"/>
        </a:p>
      </xdr:txBody>
    </xdr:sp>
    <xdr:clientData/>
  </xdr:twoCellAnchor>
  <xdr:twoCellAnchor>
    <xdr:from>
      <xdr:col>13</xdr:col>
      <xdr:colOff>0</xdr:colOff>
      <xdr:row>3</xdr:row>
      <xdr:rowOff>0</xdr:rowOff>
    </xdr:from>
    <xdr:to>
      <xdr:col>14</xdr:col>
      <xdr:colOff>0</xdr:colOff>
      <xdr:row>5</xdr:row>
      <xdr:rowOff>0</xdr:rowOff>
    </xdr:to>
    <xdr:sp macro="JSON_TableHeaderClick" textlink="$N$4">
      <xdr:nvSpPr>
        <xdr:cNvPr id="492" name="tReporting52428888_13">
          <a:extLst>
            <a:ext uri="{FF2B5EF4-FFF2-40B4-BE49-F238E27FC236}">
              <a16:creationId xmlns:a16="http://schemas.microsoft.com/office/drawing/2014/main" id="{B3FC26E8-316D-4756-8983-86B87E0501BB}"/>
            </a:ext>
          </a:extLst>
        </xdr:cNvPr>
        <xdr:cNvSpPr/>
      </xdr:nvSpPr>
      <xdr:spPr>
        <a:xfrm>
          <a:off x="13649325" y="571500"/>
          <a:ext cx="1114425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8625AAB3-1753-48AC-800B-F2C7FCFC4314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Control Set: default?</a:t>
          </a:fld>
          <a:endParaRPr lang="en-US" sz="1100"/>
        </a:p>
      </xdr:txBody>
    </xdr:sp>
    <xdr:clientData/>
  </xdr:twoCellAnchor>
  <xdr:twoCellAnchor>
    <xdr:from>
      <xdr:col>14</xdr:col>
      <xdr:colOff>0</xdr:colOff>
      <xdr:row>3</xdr:row>
      <xdr:rowOff>0</xdr:rowOff>
    </xdr:from>
    <xdr:to>
      <xdr:col>15</xdr:col>
      <xdr:colOff>0</xdr:colOff>
      <xdr:row>5</xdr:row>
      <xdr:rowOff>0</xdr:rowOff>
    </xdr:to>
    <xdr:sp macro="JSON_TableHeaderClick" textlink="$O$4">
      <xdr:nvSpPr>
        <xdr:cNvPr id="493" name="tReporting52428888_14">
          <a:extLst>
            <a:ext uri="{FF2B5EF4-FFF2-40B4-BE49-F238E27FC236}">
              <a16:creationId xmlns:a16="http://schemas.microsoft.com/office/drawing/2014/main" id="{67117B12-111C-4350-8325-50DBCB6A62E1}"/>
            </a:ext>
          </a:extLst>
        </xdr:cNvPr>
        <xdr:cNvSpPr/>
      </xdr:nvSpPr>
      <xdr:spPr>
        <a:xfrm>
          <a:off x="14763750" y="571500"/>
          <a:ext cx="1114425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0386CD83-CA62-4608-B37A-9223BC4F6468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Control Set</a:t>
          </a:fld>
          <a:endParaRPr lang="en-US" sz="1100"/>
        </a:p>
      </xdr:txBody>
    </xdr:sp>
    <xdr:clientData/>
  </xdr:twoCellAnchor>
  <xdr:twoCellAnchor>
    <xdr:from>
      <xdr:col>15</xdr:col>
      <xdr:colOff>0</xdr:colOff>
      <xdr:row>3</xdr:row>
      <xdr:rowOff>0</xdr:rowOff>
    </xdr:from>
    <xdr:to>
      <xdr:col>16</xdr:col>
      <xdr:colOff>0</xdr:colOff>
      <xdr:row>5</xdr:row>
      <xdr:rowOff>0</xdr:rowOff>
    </xdr:to>
    <xdr:sp macro="JSON_TableHeaderClick" textlink="$P$4">
      <xdr:nvSpPr>
        <xdr:cNvPr id="520" name="tReporting52428888_15">
          <a:extLst>
            <a:ext uri="{FF2B5EF4-FFF2-40B4-BE49-F238E27FC236}">
              <a16:creationId xmlns:a16="http://schemas.microsoft.com/office/drawing/2014/main" id="{23C396EF-5CE1-481F-A92C-40771EF90894}"/>
            </a:ext>
          </a:extLst>
        </xdr:cNvPr>
        <xdr:cNvSpPr/>
      </xdr:nvSpPr>
      <xdr:spPr>
        <a:xfrm>
          <a:off x="15878175" y="571500"/>
          <a:ext cx="1114425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C10EC578-F63A-40C3-BD41-96ADD7CF8E6C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Default Level?</a:t>
          </a:fld>
          <a:endParaRPr lang="en-US" sz="1100"/>
        </a:p>
      </xdr:txBody>
    </xdr:sp>
    <xdr:clientData/>
  </xdr:twoCellAnchor>
  <xdr:twoCellAnchor>
    <xdr:from>
      <xdr:col>16</xdr:col>
      <xdr:colOff>0</xdr:colOff>
      <xdr:row>3</xdr:row>
      <xdr:rowOff>0</xdr:rowOff>
    </xdr:from>
    <xdr:to>
      <xdr:col>17</xdr:col>
      <xdr:colOff>0</xdr:colOff>
      <xdr:row>5</xdr:row>
      <xdr:rowOff>0</xdr:rowOff>
    </xdr:to>
    <xdr:sp macro="JSON_TableHeaderClick" textlink="$Q$4">
      <xdr:nvSpPr>
        <xdr:cNvPr id="521" name="tReporting52428888_16">
          <a:extLst>
            <a:ext uri="{FF2B5EF4-FFF2-40B4-BE49-F238E27FC236}">
              <a16:creationId xmlns:a16="http://schemas.microsoft.com/office/drawing/2014/main" id="{C17A8349-7F6A-44BE-BFA6-044D63BC8175}"/>
            </a:ext>
          </a:extLst>
        </xdr:cNvPr>
        <xdr:cNvSpPr/>
      </xdr:nvSpPr>
      <xdr:spPr>
        <a:xfrm>
          <a:off x="16992600" y="571500"/>
          <a:ext cx="1114425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36CFB270-1632-47D8-B2A6-06E3786229B0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Control Level</a:t>
          </a:fld>
          <a:endParaRPr lang="en-US" sz="1100"/>
        </a:p>
      </xdr:txBody>
    </xdr:sp>
    <xdr:clientData/>
  </xdr:twoCellAnchor>
  <xdr:twoCellAnchor>
    <xdr:from>
      <xdr:col>17</xdr:col>
      <xdr:colOff>0</xdr:colOff>
      <xdr:row>3</xdr:row>
      <xdr:rowOff>0</xdr:rowOff>
    </xdr:from>
    <xdr:to>
      <xdr:col>18</xdr:col>
      <xdr:colOff>0</xdr:colOff>
      <xdr:row>5</xdr:row>
      <xdr:rowOff>0</xdr:rowOff>
    </xdr:to>
    <xdr:sp macro="JSON_TableHeaderClick" textlink="$R$4">
      <xdr:nvSpPr>
        <xdr:cNvPr id="522" name="tReporting52428888_17">
          <a:extLst>
            <a:ext uri="{FF2B5EF4-FFF2-40B4-BE49-F238E27FC236}">
              <a16:creationId xmlns:a16="http://schemas.microsoft.com/office/drawing/2014/main" id="{F7691F41-599C-41FA-9DB6-F752A950B183}"/>
            </a:ext>
          </a:extLst>
        </xdr:cNvPr>
        <xdr:cNvSpPr/>
      </xdr:nvSpPr>
      <xdr:spPr>
        <a:xfrm>
          <a:off x="18107025" y="571500"/>
          <a:ext cx="1114425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4B7989C5-1A25-466D-B9E8-6ED7A1889916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Blocking?</a:t>
          </a:fld>
          <a:endParaRPr lang="en-US" sz="1100"/>
        </a:p>
      </xdr:txBody>
    </xdr:sp>
    <xdr:clientData/>
  </xdr:twoCellAnchor>
  <xdr:twoCellAnchor>
    <xdr:from>
      <xdr:col>18</xdr:col>
      <xdr:colOff>0</xdr:colOff>
      <xdr:row>3</xdr:row>
      <xdr:rowOff>0</xdr:rowOff>
    </xdr:from>
    <xdr:to>
      <xdr:col>19</xdr:col>
      <xdr:colOff>0</xdr:colOff>
      <xdr:row>5</xdr:row>
      <xdr:rowOff>0</xdr:rowOff>
    </xdr:to>
    <xdr:sp macro="JSON_TableHeaderClick" textlink="$S$4">
      <xdr:nvSpPr>
        <xdr:cNvPr id="523" name="tReporting52428888_18">
          <a:extLst>
            <a:ext uri="{FF2B5EF4-FFF2-40B4-BE49-F238E27FC236}">
              <a16:creationId xmlns:a16="http://schemas.microsoft.com/office/drawing/2014/main" id="{B5091C1E-8660-482F-AA19-D5DF1D0145F8}"/>
            </a:ext>
          </a:extLst>
        </xdr:cNvPr>
        <xdr:cNvSpPr/>
      </xdr:nvSpPr>
      <xdr:spPr>
        <a:xfrm>
          <a:off x="19221450" y="571500"/>
          <a:ext cx="1114425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5C5B5130-0C54-42D0-ADC5-0D440B009290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RF_UseDefaultLock</a:t>
          </a:fld>
          <a:endParaRPr lang="en-US" sz="1100"/>
        </a:p>
      </xdr:txBody>
    </xdr:sp>
    <xdr:clientData/>
  </xdr:twoCellAnchor>
  <xdr:twoCellAnchor>
    <xdr:from>
      <xdr:col>19</xdr:col>
      <xdr:colOff>0</xdr:colOff>
      <xdr:row>3</xdr:row>
      <xdr:rowOff>0</xdr:rowOff>
    </xdr:from>
    <xdr:to>
      <xdr:col>20</xdr:col>
      <xdr:colOff>0</xdr:colOff>
      <xdr:row>5</xdr:row>
      <xdr:rowOff>0</xdr:rowOff>
    </xdr:to>
    <xdr:sp macro="JSON_TableHeaderClick" textlink="$T$4">
      <xdr:nvSpPr>
        <xdr:cNvPr id="524" name="tReporting52428888_19">
          <a:extLst>
            <a:ext uri="{FF2B5EF4-FFF2-40B4-BE49-F238E27FC236}">
              <a16:creationId xmlns:a16="http://schemas.microsoft.com/office/drawing/2014/main" id="{1D0A7306-4AFE-4058-B20B-4FB24762E095}"/>
            </a:ext>
          </a:extLst>
        </xdr:cNvPr>
        <xdr:cNvSpPr/>
      </xdr:nvSpPr>
      <xdr:spPr>
        <a:xfrm>
          <a:off x="20335875" y="571500"/>
          <a:ext cx="1114425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D83333CF-6BE6-47A3-9B67-5F13C0AE0CDA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RF_LockOnPublication</a:t>
          </a:fld>
          <a:endParaRPr lang="en-US" sz="1100"/>
        </a:p>
      </xdr:txBody>
    </xdr:sp>
    <xdr:clientData/>
  </xdr:twoCellAnchor>
  <xdr:twoCellAnchor>
    <xdr:from>
      <xdr:col>20</xdr:col>
      <xdr:colOff>0</xdr:colOff>
      <xdr:row>3</xdr:row>
      <xdr:rowOff>0</xdr:rowOff>
    </xdr:from>
    <xdr:to>
      <xdr:col>21</xdr:col>
      <xdr:colOff>0</xdr:colOff>
      <xdr:row>5</xdr:row>
      <xdr:rowOff>0</xdr:rowOff>
    </xdr:to>
    <xdr:sp macro="JSON_TableHeaderClick" textlink="$U$4">
      <xdr:nvSpPr>
        <xdr:cNvPr id="525" name="tReporting52428888_20">
          <a:extLst>
            <a:ext uri="{FF2B5EF4-FFF2-40B4-BE49-F238E27FC236}">
              <a16:creationId xmlns:a16="http://schemas.microsoft.com/office/drawing/2014/main" id="{5A4C260B-DE0A-4504-BEE3-FB6D3CFCEBC1}"/>
            </a:ext>
          </a:extLst>
        </xdr:cNvPr>
        <xdr:cNvSpPr/>
      </xdr:nvSpPr>
      <xdr:spPr>
        <a:xfrm>
          <a:off x="21450300" y="571500"/>
          <a:ext cx="1114425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36888C5B-2F48-4D4A-817D-5B8064511AAA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RF_UseDefaultRuleSet</a:t>
          </a:fld>
          <a:endParaRPr lang="en-US" sz="1100"/>
        </a:p>
      </xdr:txBody>
    </xdr:sp>
    <xdr:clientData/>
  </xdr:twoCellAnchor>
  <xdr:twoCellAnchor>
    <xdr:from>
      <xdr:col>21</xdr:col>
      <xdr:colOff>0</xdr:colOff>
      <xdr:row>3</xdr:row>
      <xdr:rowOff>0</xdr:rowOff>
    </xdr:from>
    <xdr:to>
      <xdr:col>22</xdr:col>
      <xdr:colOff>0</xdr:colOff>
      <xdr:row>5</xdr:row>
      <xdr:rowOff>0</xdr:rowOff>
    </xdr:to>
    <xdr:sp macro="JSON_TableHeaderClick" textlink="$V$4">
      <xdr:nvSpPr>
        <xdr:cNvPr id="526" name="tReporting52428888_21">
          <a:extLst>
            <a:ext uri="{FF2B5EF4-FFF2-40B4-BE49-F238E27FC236}">
              <a16:creationId xmlns:a16="http://schemas.microsoft.com/office/drawing/2014/main" id="{907AF772-E7BE-4EA0-8041-CB8913AA56D7}"/>
            </a:ext>
          </a:extLst>
        </xdr:cNvPr>
        <xdr:cNvSpPr/>
      </xdr:nvSpPr>
      <xdr:spPr>
        <a:xfrm>
          <a:off x="22564725" y="571500"/>
          <a:ext cx="1114425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2F2FE2F9-3D1B-46D9-9CA4-F0C602F31D65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RF_RuleSet</a:t>
          </a:fld>
          <a:endParaRPr lang="en-US" sz="1100"/>
        </a:p>
      </xdr:txBody>
    </xdr:sp>
    <xdr:clientData/>
  </xdr:twoCellAnchor>
  <xdr:twoCellAnchor>
    <xdr:from>
      <xdr:col>22</xdr:col>
      <xdr:colOff>0</xdr:colOff>
      <xdr:row>3</xdr:row>
      <xdr:rowOff>0</xdr:rowOff>
    </xdr:from>
    <xdr:to>
      <xdr:col>23</xdr:col>
      <xdr:colOff>0</xdr:colOff>
      <xdr:row>5</xdr:row>
      <xdr:rowOff>0</xdr:rowOff>
    </xdr:to>
    <xdr:sp macro="JSON_TableHeaderClick" textlink="$W$4">
      <xdr:nvSpPr>
        <xdr:cNvPr id="527" name="tReporting52428888_22">
          <a:extLst>
            <a:ext uri="{FF2B5EF4-FFF2-40B4-BE49-F238E27FC236}">
              <a16:creationId xmlns:a16="http://schemas.microsoft.com/office/drawing/2014/main" id="{473477DD-64D5-40AE-A75F-BAEE5BE59F0A}"/>
            </a:ext>
          </a:extLst>
        </xdr:cNvPr>
        <xdr:cNvSpPr/>
      </xdr:nvSpPr>
      <xdr:spPr>
        <a:xfrm>
          <a:off x="23679150" y="571500"/>
          <a:ext cx="1114425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B3E4D74F-E629-4850-A8E7-AD9AE1AFA694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RF_UseDefaultOpbal</a:t>
          </a:fld>
          <a:endParaRPr lang="en-US" sz="1100"/>
        </a:p>
      </xdr:txBody>
    </xdr:sp>
    <xdr:clientData/>
  </xdr:twoCellAnchor>
  <xdr:twoCellAnchor>
    <xdr:from>
      <xdr:col>23</xdr:col>
      <xdr:colOff>0</xdr:colOff>
      <xdr:row>3</xdr:row>
      <xdr:rowOff>0</xdr:rowOff>
    </xdr:from>
    <xdr:to>
      <xdr:col>24</xdr:col>
      <xdr:colOff>0</xdr:colOff>
      <xdr:row>5</xdr:row>
      <xdr:rowOff>0</xdr:rowOff>
    </xdr:to>
    <xdr:sp macro="JSON_TableHeaderClick" textlink="$X$4">
      <xdr:nvSpPr>
        <xdr:cNvPr id="528" name="tReporting52428888_23">
          <a:extLst>
            <a:ext uri="{FF2B5EF4-FFF2-40B4-BE49-F238E27FC236}">
              <a16:creationId xmlns:a16="http://schemas.microsoft.com/office/drawing/2014/main" id="{A07035E2-ECB8-4671-9BAE-FC76D890306C}"/>
            </a:ext>
          </a:extLst>
        </xdr:cNvPr>
        <xdr:cNvSpPr/>
      </xdr:nvSpPr>
      <xdr:spPr>
        <a:xfrm>
          <a:off x="24793575" y="571500"/>
          <a:ext cx="1114425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FE0BA38D-3AAB-46AA-A42A-596754660E69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RF_HasOpBal</a:t>
          </a:fld>
          <a:endParaRPr lang="en-US" sz="1100"/>
        </a:p>
      </xdr:txBody>
    </xdr:sp>
    <xdr:clientData/>
  </xdr:twoCellAnchor>
  <xdr:twoCellAnchor>
    <xdr:from>
      <xdr:col>24</xdr:col>
      <xdr:colOff>0</xdr:colOff>
      <xdr:row>3</xdr:row>
      <xdr:rowOff>0</xdr:rowOff>
    </xdr:from>
    <xdr:to>
      <xdr:col>25</xdr:col>
      <xdr:colOff>0</xdr:colOff>
      <xdr:row>5</xdr:row>
      <xdr:rowOff>0</xdr:rowOff>
    </xdr:to>
    <xdr:sp macro="JSON_TableHeaderClick" textlink="$Y$4">
      <xdr:nvSpPr>
        <xdr:cNvPr id="529" name="tReporting52428888_24">
          <a:extLst>
            <a:ext uri="{FF2B5EF4-FFF2-40B4-BE49-F238E27FC236}">
              <a16:creationId xmlns:a16="http://schemas.microsoft.com/office/drawing/2014/main" id="{42B2B631-9E48-4B92-A730-0C3BC88ED11C}"/>
            </a:ext>
          </a:extLst>
        </xdr:cNvPr>
        <xdr:cNvSpPr/>
      </xdr:nvSpPr>
      <xdr:spPr>
        <a:xfrm>
          <a:off x="25908000" y="571500"/>
          <a:ext cx="1114425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6EA96A19-D214-4F3F-919E-78BD87EFD6C0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RF_OpbPhase</a:t>
          </a:fld>
          <a:endParaRPr lang="en-US" sz="1100"/>
        </a:p>
      </xdr:txBody>
    </xdr:sp>
    <xdr:clientData/>
  </xdr:twoCellAnchor>
  <xdr:twoCellAnchor>
    <xdr:from>
      <xdr:col>25</xdr:col>
      <xdr:colOff>0</xdr:colOff>
      <xdr:row>3</xdr:row>
      <xdr:rowOff>0</xdr:rowOff>
    </xdr:from>
    <xdr:to>
      <xdr:col>26</xdr:col>
      <xdr:colOff>0</xdr:colOff>
      <xdr:row>5</xdr:row>
      <xdr:rowOff>0</xdr:rowOff>
    </xdr:to>
    <xdr:sp macro="JSON_TableHeaderClick" textlink="$Z$4">
      <xdr:nvSpPr>
        <xdr:cNvPr id="530" name="tReporting52428888_25">
          <a:extLst>
            <a:ext uri="{FF2B5EF4-FFF2-40B4-BE49-F238E27FC236}">
              <a16:creationId xmlns:a16="http://schemas.microsoft.com/office/drawing/2014/main" id="{46A8DEFA-F1A4-48AB-ADEB-DA20E9744CA1}"/>
            </a:ext>
          </a:extLst>
        </xdr:cNvPr>
        <xdr:cNvSpPr/>
      </xdr:nvSpPr>
      <xdr:spPr>
        <a:xfrm>
          <a:off x="27022425" y="571500"/>
          <a:ext cx="1114425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0A67AF7F-F731-4EF4-A3D7-BE607C739DA3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RF_OpbUpdatePeriod</a:t>
          </a:fld>
          <a:endParaRPr lang="en-US" sz="1100"/>
        </a:p>
      </xdr:txBody>
    </xdr:sp>
    <xdr:clientData/>
  </xdr:twoCellAnchor>
  <xdr:twoCellAnchor>
    <xdr:from>
      <xdr:col>26</xdr:col>
      <xdr:colOff>0</xdr:colOff>
      <xdr:row>3</xdr:row>
      <xdr:rowOff>0</xdr:rowOff>
    </xdr:from>
    <xdr:to>
      <xdr:col>27</xdr:col>
      <xdr:colOff>0</xdr:colOff>
      <xdr:row>5</xdr:row>
      <xdr:rowOff>0</xdr:rowOff>
    </xdr:to>
    <xdr:sp macro="JSON_TableHeaderClick" textlink="$AA$4">
      <xdr:nvSpPr>
        <xdr:cNvPr id="531" name="tReporting52428888_26">
          <a:extLst>
            <a:ext uri="{FF2B5EF4-FFF2-40B4-BE49-F238E27FC236}">
              <a16:creationId xmlns:a16="http://schemas.microsoft.com/office/drawing/2014/main" id="{3E1F6C35-A9EB-4461-AA68-56C2858154EE}"/>
            </a:ext>
          </a:extLst>
        </xdr:cNvPr>
        <xdr:cNvSpPr/>
      </xdr:nvSpPr>
      <xdr:spPr>
        <a:xfrm>
          <a:off x="28136850" y="571500"/>
          <a:ext cx="1114425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0EA5DCD8-9D29-4975-8AF4-111F99653D5A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RF_OpbScope</a:t>
          </a:fld>
          <a:endParaRPr lang="en-US" sz="1100"/>
        </a:p>
      </xdr:txBody>
    </xdr:sp>
    <xdr:clientData/>
  </xdr:twoCellAnchor>
  <xdr:twoCellAnchor>
    <xdr:from>
      <xdr:col>27</xdr:col>
      <xdr:colOff>0</xdr:colOff>
      <xdr:row>3</xdr:row>
      <xdr:rowOff>0</xdr:rowOff>
    </xdr:from>
    <xdr:to>
      <xdr:col>28</xdr:col>
      <xdr:colOff>0</xdr:colOff>
      <xdr:row>5</xdr:row>
      <xdr:rowOff>0</xdr:rowOff>
    </xdr:to>
    <xdr:sp macro="JSON_TableHeaderClick" textlink="$AB$4">
      <xdr:nvSpPr>
        <xdr:cNvPr id="532" name="tReporting52428888_27">
          <a:extLst>
            <a:ext uri="{FF2B5EF4-FFF2-40B4-BE49-F238E27FC236}">
              <a16:creationId xmlns:a16="http://schemas.microsoft.com/office/drawing/2014/main" id="{688C6486-61C7-4B3B-808D-5FE8A5371265}"/>
            </a:ext>
          </a:extLst>
        </xdr:cNvPr>
        <xdr:cNvSpPr/>
      </xdr:nvSpPr>
      <xdr:spPr>
        <a:xfrm>
          <a:off x="29251275" y="571500"/>
          <a:ext cx="1114425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1855DAF5-00D9-4D15-AF29-82824F216B93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RF_OpbVariant</a:t>
          </a:fld>
          <a:endParaRPr lang="en-US" sz="1100"/>
        </a:p>
      </xdr:txBody>
    </xdr:sp>
    <xdr:clientData/>
  </xdr:twoCellAnchor>
  <xdr:twoCellAnchor>
    <xdr:from>
      <xdr:col>28</xdr:col>
      <xdr:colOff>0</xdr:colOff>
      <xdr:row>3</xdr:row>
      <xdr:rowOff>0</xdr:rowOff>
    </xdr:from>
    <xdr:to>
      <xdr:col>29</xdr:col>
      <xdr:colOff>0</xdr:colOff>
      <xdr:row>5</xdr:row>
      <xdr:rowOff>0</xdr:rowOff>
    </xdr:to>
    <xdr:sp macro="JSON_TableHeaderClick" textlink="$AC$4">
      <xdr:nvSpPr>
        <xdr:cNvPr id="533" name="tReporting52428888_28">
          <a:extLst>
            <a:ext uri="{FF2B5EF4-FFF2-40B4-BE49-F238E27FC236}">
              <a16:creationId xmlns:a16="http://schemas.microsoft.com/office/drawing/2014/main" id="{90EC02DE-70F9-4EB7-812D-36E4D0C2BD09}"/>
            </a:ext>
          </a:extLst>
        </xdr:cNvPr>
        <xdr:cNvSpPr/>
      </xdr:nvSpPr>
      <xdr:spPr>
        <a:xfrm>
          <a:off x="30365700" y="571500"/>
          <a:ext cx="1114425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23993E14-2B75-4924-9E7A-FBA0DBA4F965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RF_OpbConsCurrency</a:t>
          </a:fld>
          <a:endParaRPr lang="en-US" sz="1100"/>
        </a:p>
      </xdr:txBody>
    </xdr:sp>
    <xdr:clientData/>
  </xdr:twoCellAnchor>
  <xdr:twoCellAnchor>
    <xdr:from>
      <xdr:col>29</xdr:col>
      <xdr:colOff>0</xdr:colOff>
      <xdr:row>2</xdr:row>
      <xdr:rowOff>63500</xdr:rowOff>
    </xdr:from>
    <xdr:to>
      <xdr:col>30</xdr:col>
      <xdr:colOff>0</xdr:colOff>
      <xdr:row>5</xdr:row>
      <xdr:rowOff>0</xdr:rowOff>
    </xdr:to>
    <xdr:sp macro="JSON_TableHeaderClick" textlink="$AD$4">
      <xdr:nvSpPr>
        <xdr:cNvPr id="534" name="tReporting52428888_29">
          <a:extLst>
            <a:ext uri="{FF2B5EF4-FFF2-40B4-BE49-F238E27FC236}">
              <a16:creationId xmlns:a16="http://schemas.microsoft.com/office/drawing/2014/main" id="{B750D92D-8681-4204-BCB1-A3927155FAC0}"/>
            </a:ext>
          </a:extLst>
        </xdr:cNvPr>
        <xdr:cNvSpPr/>
      </xdr:nvSpPr>
      <xdr:spPr>
        <a:xfrm>
          <a:off x="31480125" y="444500"/>
          <a:ext cx="1114425" cy="965200"/>
        </a:xfrm>
        <a:prstGeom prst="rect">
          <a:avLst/>
        </a:prstGeom>
        <a:solidFill>
          <a:schemeClr val="bg1">
            <a:lumMod val="65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lIns="0" tIns="0" rIns="0" bIns="0" rtlCol="0" anchor="ctr" anchorCtr="1"/>
        <a:lstStyle/>
        <a:p>
          <a:pPr algn="l"/>
          <a:fld id="{BE741128-86D7-4D0A-96B9-0FE327B62DEE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RF_RepOp</a:t>
          </a:fld>
          <a:endParaRPr lang="en-US" sz="1100"/>
        </a:p>
      </xdr:txBody>
    </xdr:sp>
    <xdr:clientData/>
  </xdr:twoCellAnchor>
  <xdr:twoCellAnchor>
    <xdr:from>
      <xdr:col>30</xdr:col>
      <xdr:colOff>0</xdr:colOff>
      <xdr:row>3</xdr:row>
      <xdr:rowOff>0</xdr:rowOff>
    </xdr:from>
    <xdr:to>
      <xdr:col>31</xdr:col>
      <xdr:colOff>0</xdr:colOff>
      <xdr:row>5</xdr:row>
      <xdr:rowOff>0</xdr:rowOff>
    </xdr:to>
    <xdr:sp macro="JSON_TableHeaderClick" textlink="$AE$4">
      <xdr:nvSpPr>
        <xdr:cNvPr id="535" name="tReporting52428888_30">
          <a:extLst>
            <a:ext uri="{FF2B5EF4-FFF2-40B4-BE49-F238E27FC236}">
              <a16:creationId xmlns:a16="http://schemas.microsoft.com/office/drawing/2014/main" id="{B6C5F3C5-C8B0-473C-811F-15321ED0CF6C}"/>
            </a:ext>
          </a:extLst>
        </xdr:cNvPr>
        <xdr:cNvSpPr/>
      </xdr:nvSpPr>
      <xdr:spPr>
        <a:xfrm>
          <a:off x="32594550" y="571500"/>
          <a:ext cx="1114425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411B9036-67F0-40AA-A8E0-A62ED3162CE8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Cutoff Date</a:t>
          </a:fld>
          <a:endParaRPr lang="en-US" sz="1100"/>
        </a:p>
      </xdr:txBody>
    </xdr:sp>
    <xdr:clientData/>
  </xdr:twoCellAnchor>
  <xdr:twoCellAnchor>
    <xdr:from>
      <xdr:col>31</xdr:col>
      <xdr:colOff>0</xdr:colOff>
      <xdr:row>3</xdr:row>
      <xdr:rowOff>0</xdr:rowOff>
    </xdr:from>
    <xdr:to>
      <xdr:col>32</xdr:col>
      <xdr:colOff>0</xdr:colOff>
      <xdr:row>5</xdr:row>
      <xdr:rowOff>0</xdr:rowOff>
    </xdr:to>
    <xdr:sp macro="JSON_TableHeaderClick" textlink="$AF$4">
      <xdr:nvSpPr>
        <xdr:cNvPr id="536" name="tReporting52428888_31">
          <a:extLst>
            <a:ext uri="{FF2B5EF4-FFF2-40B4-BE49-F238E27FC236}">
              <a16:creationId xmlns:a16="http://schemas.microsoft.com/office/drawing/2014/main" id="{E4BFD199-B696-4474-BBFF-A10D9BCF2E83}"/>
            </a:ext>
          </a:extLst>
        </xdr:cNvPr>
        <xdr:cNvSpPr/>
      </xdr:nvSpPr>
      <xdr:spPr>
        <a:xfrm>
          <a:off x="33708975" y="571500"/>
          <a:ext cx="1114425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FD3898CC-07DC-4A6F-BF95-F614EAAA65D3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Early publishing</a:t>
          </a:fld>
          <a:endParaRPr lang="en-US" sz="1100"/>
        </a:p>
      </xdr:txBody>
    </xdr:sp>
    <xdr:clientData/>
  </xdr:twoCellAnchor>
  <xdr:twoCellAnchor>
    <xdr:from>
      <xdr:col>32</xdr:col>
      <xdr:colOff>0</xdr:colOff>
      <xdr:row>2</xdr:row>
      <xdr:rowOff>63500</xdr:rowOff>
    </xdr:from>
    <xdr:to>
      <xdr:col>33</xdr:col>
      <xdr:colOff>0</xdr:colOff>
      <xdr:row>5</xdr:row>
      <xdr:rowOff>0</xdr:rowOff>
    </xdr:to>
    <xdr:sp macro="JSON_TableHeaderClick" textlink="$AG$4">
      <xdr:nvSpPr>
        <xdr:cNvPr id="537" name="tReporting52428888_32">
          <a:extLst>
            <a:ext uri="{FF2B5EF4-FFF2-40B4-BE49-F238E27FC236}">
              <a16:creationId xmlns:a16="http://schemas.microsoft.com/office/drawing/2014/main" id="{B440DC73-5EF1-43CA-8974-7C8B7454596E}"/>
            </a:ext>
          </a:extLst>
        </xdr:cNvPr>
        <xdr:cNvSpPr/>
      </xdr:nvSpPr>
      <xdr:spPr>
        <a:xfrm>
          <a:off x="34823400" y="444500"/>
          <a:ext cx="1114425" cy="965200"/>
        </a:xfrm>
        <a:prstGeom prst="rect">
          <a:avLst/>
        </a:prstGeom>
        <a:solidFill>
          <a:schemeClr val="bg1">
            <a:lumMod val="65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lIns="0" tIns="0" rIns="0" bIns="0" rtlCol="0" anchor="ctr" anchorCtr="1"/>
        <a:lstStyle/>
        <a:p>
          <a:pPr algn="l"/>
          <a:fld id="{6838FC12-E2A6-4505-B7FA-35C0F1A9F922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RF_RepOpAftPub</a:t>
          </a:fld>
          <a:endParaRPr lang="en-US" sz="1100"/>
        </a:p>
      </xdr:txBody>
    </xdr:sp>
    <xdr:clientData/>
  </xdr:twoCellAnchor>
  <xdr:twoCellAnchor>
    <xdr:from>
      <xdr:col>33</xdr:col>
      <xdr:colOff>0</xdr:colOff>
      <xdr:row>3</xdr:row>
      <xdr:rowOff>0</xdr:rowOff>
    </xdr:from>
    <xdr:to>
      <xdr:col>34</xdr:col>
      <xdr:colOff>0</xdr:colOff>
      <xdr:row>5</xdr:row>
      <xdr:rowOff>0</xdr:rowOff>
    </xdr:to>
    <xdr:sp macro="JSON_TableHeaderClick" textlink="$AH$4">
      <xdr:nvSpPr>
        <xdr:cNvPr id="538" name="tReporting52428888_33">
          <a:extLst>
            <a:ext uri="{FF2B5EF4-FFF2-40B4-BE49-F238E27FC236}">
              <a16:creationId xmlns:a16="http://schemas.microsoft.com/office/drawing/2014/main" id="{E478EC91-3F9B-4AFF-B3E0-64149545157F}"/>
            </a:ext>
          </a:extLst>
        </xdr:cNvPr>
        <xdr:cNvSpPr/>
      </xdr:nvSpPr>
      <xdr:spPr>
        <a:xfrm>
          <a:off x="35937825" y="571500"/>
          <a:ext cx="1114425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12FDED83-A5B2-41D9-B656-260240AF5927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RF_RepOpAftPubStd</a:t>
          </a:fld>
          <a:endParaRPr lang="en-US" sz="1100"/>
        </a:p>
      </xdr:txBody>
    </xdr:sp>
    <xdr:clientData/>
  </xdr:twoCellAnchor>
  <xdr:twoCellAnchor>
    <xdr:from>
      <xdr:col>34</xdr:col>
      <xdr:colOff>0</xdr:colOff>
      <xdr:row>3</xdr:row>
      <xdr:rowOff>0</xdr:rowOff>
    </xdr:from>
    <xdr:to>
      <xdr:col>35</xdr:col>
      <xdr:colOff>0</xdr:colOff>
      <xdr:row>5</xdr:row>
      <xdr:rowOff>0</xdr:rowOff>
    </xdr:to>
    <xdr:sp macro="JSON_TableHeaderClick" textlink="$AI$4">
      <xdr:nvSpPr>
        <xdr:cNvPr id="539" name="tReporting52428888_34">
          <a:extLst>
            <a:ext uri="{FF2B5EF4-FFF2-40B4-BE49-F238E27FC236}">
              <a16:creationId xmlns:a16="http://schemas.microsoft.com/office/drawing/2014/main" id="{8B22D210-FEC3-4B5C-9E5A-30AE855A961A}"/>
            </a:ext>
          </a:extLst>
        </xdr:cNvPr>
        <xdr:cNvSpPr/>
      </xdr:nvSpPr>
      <xdr:spPr>
        <a:xfrm>
          <a:off x="37052250" y="571500"/>
          <a:ext cx="1114425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94832C84-A237-471F-A541-9FE8903E50ED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RF_RepOpAftPubSpe</a:t>
          </a:fld>
          <a:endParaRPr lang="en-US" sz="1100"/>
        </a:p>
      </xdr:txBody>
    </xdr:sp>
    <xdr:clientData/>
  </xdr:twoCellAnchor>
  <xdr:twoCellAnchor>
    <xdr:from>
      <xdr:col>35</xdr:col>
      <xdr:colOff>0</xdr:colOff>
      <xdr:row>3</xdr:row>
      <xdr:rowOff>0</xdr:rowOff>
    </xdr:from>
    <xdr:to>
      <xdr:col>36</xdr:col>
      <xdr:colOff>0</xdr:colOff>
      <xdr:row>5</xdr:row>
      <xdr:rowOff>0</xdr:rowOff>
    </xdr:to>
    <xdr:sp macro="JSON_TableHeaderClick" textlink="$AJ$4">
      <xdr:nvSpPr>
        <xdr:cNvPr id="540" name="tReporting52428888_35">
          <a:extLst>
            <a:ext uri="{FF2B5EF4-FFF2-40B4-BE49-F238E27FC236}">
              <a16:creationId xmlns:a16="http://schemas.microsoft.com/office/drawing/2014/main" id="{4D849E41-4483-49D0-855A-3543183987A4}"/>
            </a:ext>
          </a:extLst>
        </xdr:cNvPr>
        <xdr:cNvSpPr/>
      </xdr:nvSpPr>
      <xdr:spPr>
        <a:xfrm>
          <a:off x="38166675" y="571500"/>
          <a:ext cx="1114425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EAECA880-636C-4969-A252-965BDDE7430F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RF_RepOpAftPubAdv</a:t>
          </a:fld>
          <a:endParaRPr lang="en-US" sz="1100"/>
        </a:p>
      </xdr:txBody>
    </xdr:sp>
    <xdr:clientData/>
  </xdr:twoCellAnchor>
  <xdr:twoCellAnchor>
    <xdr:from>
      <xdr:col>36</xdr:col>
      <xdr:colOff>0</xdr:colOff>
      <xdr:row>3</xdr:row>
      <xdr:rowOff>0</xdr:rowOff>
    </xdr:from>
    <xdr:to>
      <xdr:col>37</xdr:col>
      <xdr:colOff>0</xdr:colOff>
      <xdr:row>5</xdr:row>
      <xdr:rowOff>0</xdr:rowOff>
    </xdr:to>
    <xdr:sp macro="JSON_TableHeaderClick" textlink="$AK$4">
      <xdr:nvSpPr>
        <xdr:cNvPr id="541" name="tReporting52428888_36">
          <a:extLst>
            <a:ext uri="{FF2B5EF4-FFF2-40B4-BE49-F238E27FC236}">
              <a16:creationId xmlns:a16="http://schemas.microsoft.com/office/drawing/2014/main" id="{555AB18F-3530-4C63-839F-3A529FAA17E6}"/>
            </a:ext>
          </a:extLst>
        </xdr:cNvPr>
        <xdr:cNvSpPr/>
      </xdr:nvSpPr>
      <xdr:spPr>
        <a:xfrm>
          <a:off x="39281100" y="571500"/>
          <a:ext cx="1114425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1C0E5F03-5537-44C8-A1B8-0298CDA4D078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RF_RepOpAftPubLvl</a:t>
          </a:fld>
          <a:endParaRPr lang="en-US" sz="1100"/>
        </a:p>
      </xdr:txBody>
    </xdr:sp>
    <xdr:clientData/>
  </xdr:twoCellAnchor>
  <xdr:twoCellAnchor>
    <xdr:from>
      <xdr:col>37</xdr:col>
      <xdr:colOff>0</xdr:colOff>
      <xdr:row>2</xdr:row>
      <xdr:rowOff>63500</xdr:rowOff>
    </xdr:from>
    <xdr:to>
      <xdr:col>38</xdr:col>
      <xdr:colOff>0</xdr:colOff>
      <xdr:row>5</xdr:row>
      <xdr:rowOff>0</xdr:rowOff>
    </xdr:to>
    <xdr:sp macro="JSON_TableHeaderClick" textlink="$AL$4">
      <xdr:nvSpPr>
        <xdr:cNvPr id="542" name="tReporting52428888_37">
          <a:extLst>
            <a:ext uri="{FF2B5EF4-FFF2-40B4-BE49-F238E27FC236}">
              <a16:creationId xmlns:a16="http://schemas.microsoft.com/office/drawing/2014/main" id="{FFEAF3CF-8727-4EB5-8CBA-EC2E746CC7AF}"/>
            </a:ext>
          </a:extLst>
        </xdr:cNvPr>
        <xdr:cNvSpPr/>
      </xdr:nvSpPr>
      <xdr:spPr>
        <a:xfrm>
          <a:off x="40395525" y="444500"/>
          <a:ext cx="1114425" cy="965200"/>
        </a:xfrm>
        <a:prstGeom prst="rect">
          <a:avLst/>
        </a:prstGeom>
        <a:solidFill>
          <a:schemeClr val="bg1">
            <a:lumMod val="65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lIns="0" tIns="0" rIns="0" bIns="0" rtlCol="0" anchor="ctr" anchorCtr="1"/>
        <a:lstStyle/>
        <a:p>
          <a:pPr algn="l"/>
          <a:fld id="{A532DA38-DE97-4570-B909-BBDDAE621FFF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RF_RepOpAftTran</a:t>
          </a:fld>
          <a:endParaRPr lang="en-US" sz="1100"/>
        </a:p>
      </xdr:txBody>
    </xdr:sp>
    <xdr:clientData/>
  </xdr:twoCellAnchor>
  <xdr:twoCellAnchor>
    <xdr:from>
      <xdr:col>38</xdr:col>
      <xdr:colOff>0</xdr:colOff>
      <xdr:row>3</xdr:row>
      <xdr:rowOff>0</xdr:rowOff>
    </xdr:from>
    <xdr:to>
      <xdr:col>39</xdr:col>
      <xdr:colOff>0</xdr:colOff>
      <xdr:row>5</xdr:row>
      <xdr:rowOff>0</xdr:rowOff>
    </xdr:to>
    <xdr:sp macro="JSON_TableHeaderClick" textlink="$AM$4">
      <xdr:nvSpPr>
        <xdr:cNvPr id="543" name="tReporting52428888_38">
          <a:extLst>
            <a:ext uri="{FF2B5EF4-FFF2-40B4-BE49-F238E27FC236}">
              <a16:creationId xmlns:a16="http://schemas.microsoft.com/office/drawing/2014/main" id="{243EBE37-4B89-453F-B003-D507BC04BA9B}"/>
            </a:ext>
          </a:extLst>
        </xdr:cNvPr>
        <xdr:cNvSpPr/>
      </xdr:nvSpPr>
      <xdr:spPr>
        <a:xfrm>
          <a:off x="41509950" y="571500"/>
          <a:ext cx="1114425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05A0F5DF-2C4D-4993-8ECE-ACC51AB6872A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RF_RepOpAftTranStd</a:t>
          </a:fld>
          <a:endParaRPr lang="en-US" sz="1100"/>
        </a:p>
      </xdr:txBody>
    </xdr:sp>
    <xdr:clientData/>
  </xdr:twoCellAnchor>
  <xdr:twoCellAnchor>
    <xdr:from>
      <xdr:col>39</xdr:col>
      <xdr:colOff>0</xdr:colOff>
      <xdr:row>3</xdr:row>
      <xdr:rowOff>0</xdr:rowOff>
    </xdr:from>
    <xdr:to>
      <xdr:col>40</xdr:col>
      <xdr:colOff>0</xdr:colOff>
      <xdr:row>5</xdr:row>
      <xdr:rowOff>0</xdr:rowOff>
    </xdr:to>
    <xdr:sp macro="JSON_TableHeaderClick" textlink="$AN$4">
      <xdr:nvSpPr>
        <xdr:cNvPr id="411" name="tReporting52428888_39">
          <a:extLst>
            <a:ext uri="{FF2B5EF4-FFF2-40B4-BE49-F238E27FC236}">
              <a16:creationId xmlns:a16="http://schemas.microsoft.com/office/drawing/2014/main" id="{303F0ACD-D6F8-4D75-8B96-88BF38D9E7C1}"/>
            </a:ext>
          </a:extLst>
        </xdr:cNvPr>
        <xdr:cNvSpPr/>
      </xdr:nvSpPr>
      <xdr:spPr>
        <a:xfrm>
          <a:off x="42624375" y="571500"/>
          <a:ext cx="1114425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A657E385-A6BC-4CDA-BA59-96B08C98AB23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RF_RepOpAftTranSpe</a:t>
          </a:fld>
          <a:endParaRPr lang="en-US" sz="1100"/>
        </a:p>
      </xdr:txBody>
    </xdr:sp>
    <xdr:clientData/>
  </xdr:twoCellAnchor>
  <xdr:twoCellAnchor>
    <xdr:from>
      <xdr:col>40</xdr:col>
      <xdr:colOff>0</xdr:colOff>
      <xdr:row>3</xdr:row>
      <xdr:rowOff>0</xdr:rowOff>
    </xdr:from>
    <xdr:to>
      <xdr:col>41</xdr:col>
      <xdr:colOff>0</xdr:colOff>
      <xdr:row>5</xdr:row>
      <xdr:rowOff>0</xdr:rowOff>
    </xdr:to>
    <xdr:sp macro="JSON_TableHeaderClick" textlink="$AO$4">
      <xdr:nvSpPr>
        <xdr:cNvPr id="412" name="tReporting52428888_40">
          <a:extLst>
            <a:ext uri="{FF2B5EF4-FFF2-40B4-BE49-F238E27FC236}">
              <a16:creationId xmlns:a16="http://schemas.microsoft.com/office/drawing/2014/main" id="{0E60D035-BC69-4262-AFA2-CA005A31EFDE}"/>
            </a:ext>
          </a:extLst>
        </xdr:cNvPr>
        <xdr:cNvSpPr/>
      </xdr:nvSpPr>
      <xdr:spPr>
        <a:xfrm>
          <a:off x="43738800" y="571500"/>
          <a:ext cx="1114425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D4543E08-2F5E-41C6-A224-88056C45F1C0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RF_RepOpAftTranAdv</a:t>
          </a:fld>
          <a:endParaRPr lang="en-US" sz="1100"/>
        </a:p>
      </xdr:txBody>
    </xdr:sp>
    <xdr:clientData/>
  </xdr:twoCellAnchor>
  <xdr:twoCellAnchor>
    <xdr:from>
      <xdr:col>41</xdr:col>
      <xdr:colOff>0</xdr:colOff>
      <xdr:row>3</xdr:row>
      <xdr:rowOff>0</xdr:rowOff>
    </xdr:from>
    <xdr:to>
      <xdr:col>42</xdr:col>
      <xdr:colOff>0</xdr:colOff>
      <xdr:row>5</xdr:row>
      <xdr:rowOff>0</xdr:rowOff>
    </xdr:to>
    <xdr:sp macro="JSON_TableHeaderClick" textlink="$AP$4">
      <xdr:nvSpPr>
        <xdr:cNvPr id="413" name="tReporting52428888_41">
          <a:extLst>
            <a:ext uri="{FF2B5EF4-FFF2-40B4-BE49-F238E27FC236}">
              <a16:creationId xmlns:a16="http://schemas.microsoft.com/office/drawing/2014/main" id="{00A4F978-7F93-4939-A6B3-0B6C0EAE6978}"/>
            </a:ext>
          </a:extLst>
        </xdr:cNvPr>
        <xdr:cNvSpPr/>
      </xdr:nvSpPr>
      <xdr:spPr>
        <a:xfrm>
          <a:off x="44853225" y="571500"/>
          <a:ext cx="1114425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7B66D285-F75B-4340-806C-DEFD36310517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RF_RepOpAftTranLvl</a:t>
          </a:fld>
          <a:endParaRPr lang="en-US" sz="1100"/>
        </a:p>
      </xdr:txBody>
    </xdr:sp>
    <xdr:clientData/>
  </xdr:twoCellAnchor>
  <xdr:twoCellAnchor>
    <xdr:from>
      <xdr:col>42</xdr:col>
      <xdr:colOff>0</xdr:colOff>
      <xdr:row>2</xdr:row>
      <xdr:rowOff>63500</xdr:rowOff>
    </xdr:from>
    <xdr:to>
      <xdr:col>43</xdr:col>
      <xdr:colOff>0</xdr:colOff>
      <xdr:row>5</xdr:row>
      <xdr:rowOff>0</xdr:rowOff>
    </xdr:to>
    <xdr:sp macro="JSON_TableHeaderClick" textlink="$AQ$4">
      <xdr:nvSpPr>
        <xdr:cNvPr id="414" name="tReporting52428888_42">
          <a:extLst>
            <a:ext uri="{FF2B5EF4-FFF2-40B4-BE49-F238E27FC236}">
              <a16:creationId xmlns:a16="http://schemas.microsoft.com/office/drawing/2014/main" id="{5031F325-E2A6-44FD-BF37-9F1B0E4651AF}"/>
            </a:ext>
          </a:extLst>
        </xdr:cNvPr>
        <xdr:cNvSpPr/>
      </xdr:nvSpPr>
      <xdr:spPr>
        <a:xfrm>
          <a:off x="45967650" y="444500"/>
          <a:ext cx="447675" cy="965200"/>
        </a:xfrm>
        <a:prstGeom prst="rect">
          <a:avLst/>
        </a:prstGeom>
        <a:solidFill>
          <a:schemeClr val="bg1">
            <a:lumMod val="65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lIns="0" tIns="0" rIns="0" bIns="0" rtlCol="0" anchor="ctr" anchorCtr="1"/>
        <a:lstStyle/>
        <a:p>
          <a:pPr algn="l"/>
          <a:fld id="{48969326-EB6E-4BB8-93E3-A0D93D71C0E8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Entity</a:t>
          </a:fld>
          <a:endParaRPr lang="en-US" sz="1100"/>
        </a:p>
      </xdr:txBody>
    </xdr:sp>
    <xdr:clientData/>
  </xdr:twoCellAnchor>
  <xdr:twoCellAnchor>
    <xdr:from>
      <xdr:col>43</xdr:col>
      <xdr:colOff>0</xdr:colOff>
      <xdr:row>3</xdr:row>
      <xdr:rowOff>0</xdr:rowOff>
    </xdr:from>
    <xdr:to>
      <xdr:col>44</xdr:col>
      <xdr:colOff>0</xdr:colOff>
      <xdr:row>5</xdr:row>
      <xdr:rowOff>0</xdr:rowOff>
    </xdr:to>
    <xdr:sp macro="JSON_TableHeaderClick" textlink="$AR$4">
      <xdr:nvSpPr>
        <xdr:cNvPr id="415" name="tReporting52428888_43">
          <a:extLst>
            <a:ext uri="{FF2B5EF4-FFF2-40B4-BE49-F238E27FC236}">
              <a16:creationId xmlns:a16="http://schemas.microsoft.com/office/drawing/2014/main" id="{951DBB6A-F287-48C1-920D-CBBCEB53BFB4}"/>
            </a:ext>
          </a:extLst>
        </xdr:cNvPr>
        <xdr:cNvSpPr/>
      </xdr:nvSpPr>
      <xdr:spPr>
        <a:xfrm>
          <a:off x="46415325" y="571500"/>
          <a:ext cx="1114425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5B0FE43F-54E6-406D-9DDD-74BD62BE1BCA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Name</a:t>
          </a:fld>
          <a:endParaRPr lang="en-US" sz="1100"/>
        </a:p>
      </xdr:txBody>
    </xdr:sp>
    <xdr:clientData/>
  </xdr:twoCellAnchor>
  <xdr:twoCellAnchor>
    <xdr:from>
      <xdr:col>44</xdr:col>
      <xdr:colOff>0</xdr:colOff>
      <xdr:row>3</xdr:row>
      <xdr:rowOff>0</xdr:rowOff>
    </xdr:from>
    <xdr:to>
      <xdr:col>45</xdr:col>
      <xdr:colOff>0</xdr:colOff>
      <xdr:row>5</xdr:row>
      <xdr:rowOff>0</xdr:rowOff>
    </xdr:to>
    <xdr:sp macro="JSON_TableHeaderClick" textlink="$AS$4">
      <xdr:nvSpPr>
        <xdr:cNvPr id="544" name="tReporting52428888_44">
          <a:extLst>
            <a:ext uri="{FF2B5EF4-FFF2-40B4-BE49-F238E27FC236}">
              <a16:creationId xmlns:a16="http://schemas.microsoft.com/office/drawing/2014/main" id="{E8011CD1-3F85-46F6-98AD-AFBF78E2FEFE}"/>
            </a:ext>
          </a:extLst>
        </xdr:cNvPr>
        <xdr:cNvSpPr/>
      </xdr:nvSpPr>
      <xdr:spPr>
        <a:xfrm>
          <a:off x="47529750" y="571500"/>
          <a:ext cx="1114425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CE4F6A78-6079-442C-92B4-93835FC06711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Currency</a:t>
          </a:fld>
          <a:endParaRPr lang="en-US" sz="1100"/>
        </a:p>
      </xdr:txBody>
    </xdr:sp>
    <xdr:clientData/>
  </xdr:twoCellAnchor>
  <xdr:twoCellAnchor>
    <xdr:from>
      <xdr:col>45</xdr:col>
      <xdr:colOff>0</xdr:colOff>
      <xdr:row>3</xdr:row>
      <xdr:rowOff>0</xdr:rowOff>
    </xdr:from>
    <xdr:to>
      <xdr:col>46</xdr:col>
      <xdr:colOff>0</xdr:colOff>
      <xdr:row>5</xdr:row>
      <xdr:rowOff>0</xdr:rowOff>
    </xdr:to>
    <xdr:sp macro="JSON_TableHeaderClick" textlink="$AT$4">
      <xdr:nvSpPr>
        <xdr:cNvPr id="545" name="tReporting52428888_45">
          <a:extLst>
            <a:ext uri="{FF2B5EF4-FFF2-40B4-BE49-F238E27FC236}">
              <a16:creationId xmlns:a16="http://schemas.microsoft.com/office/drawing/2014/main" id="{BEF0335C-619B-40C4-A13F-91AB4CBAED9D}"/>
            </a:ext>
          </a:extLst>
        </xdr:cNvPr>
        <xdr:cNvSpPr/>
      </xdr:nvSpPr>
      <xdr:spPr>
        <a:xfrm>
          <a:off x="48644175" y="571500"/>
          <a:ext cx="1114425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AD4E62D8-3681-4B0D-84AC-11CA2463C223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RF_InputSite</a:t>
          </a:fld>
          <a:endParaRPr lang="en-US" sz="1100"/>
        </a:p>
      </xdr:txBody>
    </xdr:sp>
    <xdr:clientData/>
  </xdr:twoCellAnchor>
  <xdr:twoCellAnchor>
    <xdr:from>
      <xdr:col>46</xdr:col>
      <xdr:colOff>0</xdr:colOff>
      <xdr:row>3</xdr:row>
      <xdr:rowOff>0</xdr:rowOff>
    </xdr:from>
    <xdr:to>
      <xdr:col>47</xdr:col>
      <xdr:colOff>0</xdr:colOff>
      <xdr:row>5</xdr:row>
      <xdr:rowOff>0</xdr:rowOff>
    </xdr:to>
    <xdr:sp macro="JSON_TableHeaderClick" textlink="$AU$4">
      <xdr:nvSpPr>
        <xdr:cNvPr id="546" name="tReporting52428888_46">
          <a:extLst>
            <a:ext uri="{FF2B5EF4-FFF2-40B4-BE49-F238E27FC236}">
              <a16:creationId xmlns:a16="http://schemas.microsoft.com/office/drawing/2014/main" id="{88B6B96C-262D-4818-900A-F53F011BA315}"/>
            </a:ext>
          </a:extLst>
        </xdr:cNvPr>
        <xdr:cNvSpPr/>
      </xdr:nvSpPr>
      <xdr:spPr>
        <a:xfrm>
          <a:off x="49758600" y="571500"/>
          <a:ext cx="1114425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BDBB3142-20C8-4ED9-BCDF-F9AC58EFA083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RF_PublicationSite</a:t>
          </a:fld>
          <a:endParaRPr lang="en-US" sz="1100"/>
        </a:p>
      </xdr:txBody>
    </xdr:sp>
    <xdr:clientData/>
  </xdr:twoCellAnchor>
  <xdr:twoCellAnchor>
    <xdr:from>
      <xdr:col>47</xdr:col>
      <xdr:colOff>0</xdr:colOff>
      <xdr:row>2</xdr:row>
      <xdr:rowOff>63500</xdr:rowOff>
    </xdr:from>
    <xdr:to>
      <xdr:col>48</xdr:col>
      <xdr:colOff>0</xdr:colOff>
      <xdr:row>5</xdr:row>
      <xdr:rowOff>0</xdr:rowOff>
    </xdr:to>
    <xdr:sp macro="JSON_TableHeaderClick" textlink="$AV$4">
      <xdr:nvSpPr>
        <xdr:cNvPr id="547" name="tReporting52428888_47">
          <a:extLst>
            <a:ext uri="{FF2B5EF4-FFF2-40B4-BE49-F238E27FC236}">
              <a16:creationId xmlns:a16="http://schemas.microsoft.com/office/drawing/2014/main" id="{0C283EBD-C2E9-4A21-8496-C582BA25487E}"/>
            </a:ext>
          </a:extLst>
        </xdr:cNvPr>
        <xdr:cNvSpPr/>
      </xdr:nvSpPr>
      <xdr:spPr>
        <a:xfrm>
          <a:off x="50873025" y="444500"/>
          <a:ext cx="1114425" cy="965200"/>
        </a:xfrm>
        <a:prstGeom prst="rect">
          <a:avLst/>
        </a:prstGeom>
        <a:solidFill>
          <a:schemeClr val="bg1">
            <a:lumMod val="65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lIns="0" tIns="0" rIns="0" bIns="0" rtlCol="0" anchor="ctr" anchorCtr="1"/>
        <a:lstStyle/>
        <a:p>
          <a:pPr algn="l"/>
          <a:fld id="{9900692D-3CC8-4C5E-A7E5-CA35ACBF5AAE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RF_EntPack</a:t>
          </a:fld>
          <a:endParaRPr lang="en-US" sz="1100"/>
        </a:p>
      </xdr:txBody>
    </xdr:sp>
    <xdr:clientData/>
  </xdr:twoCellAnchor>
  <xdr:twoCellAnchor>
    <xdr:from>
      <xdr:col>48</xdr:col>
      <xdr:colOff>0</xdr:colOff>
      <xdr:row>3</xdr:row>
      <xdr:rowOff>0</xdr:rowOff>
    </xdr:from>
    <xdr:to>
      <xdr:col>49</xdr:col>
      <xdr:colOff>0</xdr:colOff>
      <xdr:row>5</xdr:row>
      <xdr:rowOff>0</xdr:rowOff>
    </xdr:to>
    <xdr:sp macro="JSON_TableHeaderClick" textlink="$AW$4">
      <xdr:nvSpPr>
        <xdr:cNvPr id="548" name="tReporting52428888_48">
          <a:extLst>
            <a:ext uri="{FF2B5EF4-FFF2-40B4-BE49-F238E27FC236}">
              <a16:creationId xmlns:a16="http://schemas.microsoft.com/office/drawing/2014/main" id="{691BD9DC-FDF1-4F90-B934-B785F0277A93}"/>
            </a:ext>
          </a:extLst>
        </xdr:cNvPr>
        <xdr:cNvSpPr/>
      </xdr:nvSpPr>
      <xdr:spPr>
        <a:xfrm>
          <a:off x="51987450" y="571500"/>
          <a:ext cx="1114425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EA163BE9-7DCB-4AA4-A35D-6422147C8BF5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RF_EntUseDefaultWindowsFolder</a:t>
          </a:fld>
          <a:endParaRPr lang="en-US" sz="1100"/>
        </a:p>
      </xdr:txBody>
    </xdr:sp>
    <xdr:clientData/>
  </xdr:twoCellAnchor>
  <xdr:twoCellAnchor>
    <xdr:from>
      <xdr:col>49</xdr:col>
      <xdr:colOff>0</xdr:colOff>
      <xdr:row>3</xdr:row>
      <xdr:rowOff>0</xdr:rowOff>
    </xdr:from>
    <xdr:to>
      <xdr:col>50</xdr:col>
      <xdr:colOff>0</xdr:colOff>
      <xdr:row>5</xdr:row>
      <xdr:rowOff>0</xdr:rowOff>
    </xdr:to>
    <xdr:sp macro="JSON_TableHeaderClick" textlink="$AX$4">
      <xdr:nvSpPr>
        <xdr:cNvPr id="549" name="tReporting52428888_49">
          <a:extLst>
            <a:ext uri="{FF2B5EF4-FFF2-40B4-BE49-F238E27FC236}">
              <a16:creationId xmlns:a16="http://schemas.microsoft.com/office/drawing/2014/main" id="{CB49070A-F1FF-462A-AD8C-A0EF7FC7ADA4}"/>
            </a:ext>
          </a:extLst>
        </xdr:cNvPr>
        <xdr:cNvSpPr/>
      </xdr:nvSpPr>
      <xdr:spPr>
        <a:xfrm>
          <a:off x="53101875" y="571500"/>
          <a:ext cx="1114425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5E49451E-CF2A-4BC3-8F4E-316A533E5FAD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RF_EntWindowsFolder</a:t>
          </a:fld>
          <a:endParaRPr lang="en-US" sz="1100"/>
        </a:p>
      </xdr:txBody>
    </xdr:sp>
    <xdr:clientData/>
  </xdr:twoCellAnchor>
  <xdr:twoCellAnchor>
    <xdr:from>
      <xdr:col>50</xdr:col>
      <xdr:colOff>0</xdr:colOff>
      <xdr:row>3</xdr:row>
      <xdr:rowOff>0</xdr:rowOff>
    </xdr:from>
    <xdr:to>
      <xdr:col>51</xdr:col>
      <xdr:colOff>0</xdr:colOff>
      <xdr:row>5</xdr:row>
      <xdr:rowOff>0</xdr:rowOff>
    </xdr:to>
    <xdr:sp macro="JSON_TableHeaderClick" textlink="$AY$4">
      <xdr:nvSpPr>
        <xdr:cNvPr id="550" name="tReporting52428888_50">
          <a:extLst>
            <a:ext uri="{FF2B5EF4-FFF2-40B4-BE49-F238E27FC236}">
              <a16:creationId xmlns:a16="http://schemas.microsoft.com/office/drawing/2014/main" id="{437A4F94-3B79-471C-9B66-DEC98B4244D9}"/>
            </a:ext>
          </a:extLst>
        </xdr:cNvPr>
        <xdr:cNvSpPr/>
      </xdr:nvSpPr>
      <xdr:spPr>
        <a:xfrm>
          <a:off x="54216300" y="571500"/>
          <a:ext cx="1114425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0C9E7B09-4233-4E40-A91C-313F60C505B3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RF_EntUseDefaultInternetFolder</a:t>
          </a:fld>
          <a:endParaRPr lang="en-US" sz="1100"/>
        </a:p>
      </xdr:txBody>
    </xdr:sp>
    <xdr:clientData/>
  </xdr:twoCellAnchor>
  <xdr:twoCellAnchor>
    <xdr:from>
      <xdr:col>51</xdr:col>
      <xdr:colOff>0</xdr:colOff>
      <xdr:row>3</xdr:row>
      <xdr:rowOff>0</xdr:rowOff>
    </xdr:from>
    <xdr:to>
      <xdr:col>52</xdr:col>
      <xdr:colOff>0</xdr:colOff>
      <xdr:row>5</xdr:row>
      <xdr:rowOff>0</xdr:rowOff>
    </xdr:to>
    <xdr:sp macro="JSON_TableHeaderClick" textlink="$AZ$4">
      <xdr:nvSpPr>
        <xdr:cNvPr id="551" name="tReporting52428888_51">
          <a:extLst>
            <a:ext uri="{FF2B5EF4-FFF2-40B4-BE49-F238E27FC236}">
              <a16:creationId xmlns:a16="http://schemas.microsoft.com/office/drawing/2014/main" id="{AC6DEF35-208E-48ED-9ECB-49970F2FBC1E}"/>
            </a:ext>
          </a:extLst>
        </xdr:cNvPr>
        <xdr:cNvSpPr/>
      </xdr:nvSpPr>
      <xdr:spPr>
        <a:xfrm>
          <a:off x="55330725" y="571500"/>
          <a:ext cx="1114425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58FCC15B-489E-4D87-99EB-09AF2627D73E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RF_EntInternetFolder</a:t>
          </a:fld>
          <a:endParaRPr lang="en-US" sz="1100"/>
        </a:p>
      </xdr:txBody>
    </xdr:sp>
    <xdr:clientData/>
  </xdr:twoCellAnchor>
  <xdr:twoCellAnchor>
    <xdr:from>
      <xdr:col>52</xdr:col>
      <xdr:colOff>0</xdr:colOff>
      <xdr:row>3</xdr:row>
      <xdr:rowOff>0</xdr:rowOff>
    </xdr:from>
    <xdr:to>
      <xdr:col>53</xdr:col>
      <xdr:colOff>0</xdr:colOff>
      <xdr:row>5</xdr:row>
      <xdr:rowOff>0</xdr:rowOff>
    </xdr:to>
    <xdr:sp macro="JSON_TableHeaderClick" textlink="$BA$4">
      <xdr:nvSpPr>
        <xdr:cNvPr id="552" name="tReporting52428888_52">
          <a:extLst>
            <a:ext uri="{FF2B5EF4-FFF2-40B4-BE49-F238E27FC236}">
              <a16:creationId xmlns:a16="http://schemas.microsoft.com/office/drawing/2014/main" id="{75AD3A1F-BC16-4A77-A3F9-5D0FE9F617C5}"/>
            </a:ext>
          </a:extLst>
        </xdr:cNvPr>
        <xdr:cNvSpPr/>
      </xdr:nvSpPr>
      <xdr:spPr>
        <a:xfrm>
          <a:off x="56445150" y="571500"/>
          <a:ext cx="1114425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A87ACEB5-2262-4410-9175-3ED7FF3F0812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RF_EntUseDefaultSetOfControls</a:t>
          </a:fld>
          <a:endParaRPr lang="en-US" sz="1100"/>
        </a:p>
      </xdr:txBody>
    </xdr:sp>
    <xdr:clientData/>
  </xdr:twoCellAnchor>
  <xdr:twoCellAnchor>
    <xdr:from>
      <xdr:col>53</xdr:col>
      <xdr:colOff>0</xdr:colOff>
      <xdr:row>3</xdr:row>
      <xdr:rowOff>0</xdr:rowOff>
    </xdr:from>
    <xdr:to>
      <xdr:col>54</xdr:col>
      <xdr:colOff>0</xdr:colOff>
      <xdr:row>5</xdr:row>
      <xdr:rowOff>0</xdr:rowOff>
    </xdr:to>
    <xdr:sp macro="JSON_TableHeaderClick" textlink="$BB$4">
      <xdr:nvSpPr>
        <xdr:cNvPr id="553" name="tReporting52428888_53">
          <a:extLst>
            <a:ext uri="{FF2B5EF4-FFF2-40B4-BE49-F238E27FC236}">
              <a16:creationId xmlns:a16="http://schemas.microsoft.com/office/drawing/2014/main" id="{8BA6D1BB-74CD-4BF7-A1BD-91FA44AEE4A3}"/>
            </a:ext>
          </a:extLst>
        </xdr:cNvPr>
        <xdr:cNvSpPr/>
      </xdr:nvSpPr>
      <xdr:spPr>
        <a:xfrm>
          <a:off x="57559575" y="571500"/>
          <a:ext cx="1114425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F9E7B539-6694-4954-B975-4F4372BA756F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RF_EntSetOfControls</a:t>
          </a:fld>
          <a:endParaRPr lang="en-US" sz="1100"/>
        </a:p>
      </xdr:txBody>
    </xdr:sp>
    <xdr:clientData/>
  </xdr:twoCellAnchor>
  <xdr:twoCellAnchor>
    <xdr:from>
      <xdr:col>54</xdr:col>
      <xdr:colOff>0</xdr:colOff>
      <xdr:row>3</xdr:row>
      <xdr:rowOff>0</xdr:rowOff>
    </xdr:from>
    <xdr:to>
      <xdr:col>55</xdr:col>
      <xdr:colOff>0</xdr:colOff>
      <xdr:row>5</xdr:row>
      <xdr:rowOff>0</xdr:rowOff>
    </xdr:to>
    <xdr:sp macro="JSON_TableHeaderClick" textlink="$BC$4">
      <xdr:nvSpPr>
        <xdr:cNvPr id="554" name="tReporting52428888_54">
          <a:extLst>
            <a:ext uri="{FF2B5EF4-FFF2-40B4-BE49-F238E27FC236}">
              <a16:creationId xmlns:a16="http://schemas.microsoft.com/office/drawing/2014/main" id="{1378A633-06E9-4F2F-BFE2-3CC43D009EDA}"/>
            </a:ext>
          </a:extLst>
        </xdr:cNvPr>
        <xdr:cNvSpPr/>
      </xdr:nvSpPr>
      <xdr:spPr>
        <a:xfrm>
          <a:off x="58674000" y="571500"/>
          <a:ext cx="1114425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A2497EAD-B5FB-4CFD-AD25-58DD44063B83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RF_EntUseDefaultLevel</a:t>
          </a:fld>
          <a:endParaRPr lang="en-US" sz="1100"/>
        </a:p>
      </xdr:txBody>
    </xdr:sp>
    <xdr:clientData/>
  </xdr:twoCellAnchor>
  <xdr:twoCellAnchor>
    <xdr:from>
      <xdr:col>55</xdr:col>
      <xdr:colOff>0</xdr:colOff>
      <xdr:row>3</xdr:row>
      <xdr:rowOff>0</xdr:rowOff>
    </xdr:from>
    <xdr:to>
      <xdr:col>56</xdr:col>
      <xdr:colOff>0</xdr:colOff>
      <xdr:row>5</xdr:row>
      <xdr:rowOff>0</xdr:rowOff>
    </xdr:to>
    <xdr:sp macro="JSON_TableHeaderClick" textlink="$BD$4">
      <xdr:nvSpPr>
        <xdr:cNvPr id="555" name="tReporting52428888_55">
          <a:extLst>
            <a:ext uri="{FF2B5EF4-FFF2-40B4-BE49-F238E27FC236}">
              <a16:creationId xmlns:a16="http://schemas.microsoft.com/office/drawing/2014/main" id="{B1862CE2-90A1-4145-9C16-B36E705EC2E3}"/>
            </a:ext>
          </a:extLst>
        </xdr:cNvPr>
        <xdr:cNvSpPr/>
      </xdr:nvSpPr>
      <xdr:spPr>
        <a:xfrm>
          <a:off x="59788425" y="571500"/>
          <a:ext cx="1114425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6A8FBE9B-ADA4-44D9-A8AD-6150F47AFB52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RF_EntLevelToReach</a:t>
          </a:fld>
          <a:endParaRPr lang="en-US" sz="1100"/>
        </a:p>
      </xdr:txBody>
    </xdr:sp>
    <xdr:clientData/>
  </xdr:twoCellAnchor>
  <xdr:twoCellAnchor>
    <xdr:from>
      <xdr:col>56</xdr:col>
      <xdr:colOff>0</xdr:colOff>
      <xdr:row>3</xdr:row>
      <xdr:rowOff>0</xdr:rowOff>
    </xdr:from>
    <xdr:to>
      <xdr:col>57</xdr:col>
      <xdr:colOff>0</xdr:colOff>
      <xdr:row>5</xdr:row>
      <xdr:rowOff>0</xdr:rowOff>
    </xdr:to>
    <xdr:sp macro="JSON_TableHeaderClick" textlink="$BE$4">
      <xdr:nvSpPr>
        <xdr:cNvPr id="556" name="tReporting52428888_56">
          <a:extLst>
            <a:ext uri="{FF2B5EF4-FFF2-40B4-BE49-F238E27FC236}">
              <a16:creationId xmlns:a16="http://schemas.microsoft.com/office/drawing/2014/main" id="{457F0A7F-B3BF-402A-95F1-98CECF24B2BA}"/>
            </a:ext>
          </a:extLst>
        </xdr:cNvPr>
        <xdr:cNvSpPr/>
      </xdr:nvSpPr>
      <xdr:spPr>
        <a:xfrm>
          <a:off x="60902850" y="571500"/>
          <a:ext cx="1114425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34673002-B476-4407-873B-B2B83CF6F258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RF_EntBlocking</a:t>
          </a:fld>
          <a:endParaRPr lang="en-US" sz="1100"/>
        </a:p>
      </xdr:txBody>
    </xdr:sp>
    <xdr:clientData/>
  </xdr:twoCellAnchor>
  <xdr:twoCellAnchor>
    <xdr:from>
      <xdr:col>57</xdr:col>
      <xdr:colOff>0</xdr:colOff>
      <xdr:row>3</xdr:row>
      <xdr:rowOff>0</xdr:rowOff>
    </xdr:from>
    <xdr:to>
      <xdr:col>58</xdr:col>
      <xdr:colOff>0</xdr:colOff>
      <xdr:row>5</xdr:row>
      <xdr:rowOff>0</xdr:rowOff>
    </xdr:to>
    <xdr:sp macro="JSON_TableHeaderClick" textlink="$BF$4">
      <xdr:nvSpPr>
        <xdr:cNvPr id="557" name="tReporting52428888_57">
          <a:extLst>
            <a:ext uri="{FF2B5EF4-FFF2-40B4-BE49-F238E27FC236}">
              <a16:creationId xmlns:a16="http://schemas.microsoft.com/office/drawing/2014/main" id="{861B0A73-0254-4503-B99B-6C266B78971F}"/>
            </a:ext>
          </a:extLst>
        </xdr:cNvPr>
        <xdr:cNvSpPr/>
      </xdr:nvSpPr>
      <xdr:spPr>
        <a:xfrm>
          <a:off x="62017275" y="571500"/>
          <a:ext cx="1114425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D0C50504-627B-4ED2-AA12-CB8BEE48F085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RF_EntUseDefaultLock</a:t>
          </a:fld>
          <a:endParaRPr lang="en-US" sz="1100"/>
        </a:p>
      </xdr:txBody>
    </xdr:sp>
    <xdr:clientData/>
  </xdr:twoCellAnchor>
  <xdr:twoCellAnchor>
    <xdr:from>
      <xdr:col>58</xdr:col>
      <xdr:colOff>0</xdr:colOff>
      <xdr:row>3</xdr:row>
      <xdr:rowOff>0</xdr:rowOff>
    </xdr:from>
    <xdr:to>
      <xdr:col>59</xdr:col>
      <xdr:colOff>0</xdr:colOff>
      <xdr:row>5</xdr:row>
      <xdr:rowOff>0</xdr:rowOff>
    </xdr:to>
    <xdr:sp macro="JSON_TableHeaderClick" textlink="$BG$4">
      <xdr:nvSpPr>
        <xdr:cNvPr id="558" name="tReporting52428888_58">
          <a:extLst>
            <a:ext uri="{FF2B5EF4-FFF2-40B4-BE49-F238E27FC236}">
              <a16:creationId xmlns:a16="http://schemas.microsoft.com/office/drawing/2014/main" id="{4C256EBE-739D-45AE-AB74-AD9E844D6A5B}"/>
            </a:ext>
          </a:extLst>
        </xdr:cNvPr>
        <xdr:cNvSpPr/>
      </xdr:nvSpPr>
      <xdr:spPr>
        <a:xfrm>
          <a:off x="63131700" y="571500"/>
          <a:ext cx="1114425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89704B6C-96A9-4D56-9863-83855B85BB09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RF_EntLockOnPublication</a:t>
          </a:fld>
          <a:endParaRPr lang="en-US" sz="1100"/>
        </a:p>
      </xdr:txBody>
    </xdr:sp>
    <xdr:clientData/>
  </xdr:twoCellAnchor>
  <xdr:twoCellAnchor>
    <xdr:from>
      <xdr:col>59</xdr:col>
      <xdr:colOff>0</xdr:colOff>
      <xdr:row>3</xdr:row>
      <xdr:rowOff>0</xdr:rowOff>
    </xdr:from>
    <xdr:to>
      <xdr:col>60</xdr:col>
      <xdr:colOff>0</xdr:colOff>
      <xdr:row>5</xdr:row>
      <xdr:rowOff>0</xdr:rowOff>
    </xdr:to>
    <xdr:sp macro="JSON_TableHeaderClick" textlink="$BH$4">
      <xdr:nvSpPr>
        <xdr:cNvPr id="559" name="tReporting52428888_59">
          <a:extLst>
            <a:ext uri="{FF2B5EF4-FFF2-40B4-BE49-F238E27FC236}">
              <a16:creationId xmlns:a16="http://schemas.microsoft.com/office/drawing/2014/main" id="{53C30A1B-4301-4419-B284-BD5EB6DAC94F}"/>
            </a:ext>
          </a:extLst>
        </xdr:cNvPr>
        <xdr:cNvSpPr/>
      </xdr:nvSpPr>
      <xdr:spPr>
        <a:xfrm>
          <a:off x="64246125" y="571500"/>
          <a:ext cx="1114425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FC92FD59-B617-439A-A6C5-4F62123D467F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RF_EntUseDefaultRuleSet</a:t>
          </a:fld>
          <a:endParaRPr lang="en-US" sz="1100"/>
        </a:p>
      </xdr:txBody>
    </xdr:sp>
    <xdr:clientData/>
  </xdr:twoCellAnchor>
  <xdr:twoCellAnchor>
    <xdr:from>
      <xdr:col>60</xdr:col>
      <xdr:colOff>0</xdr:colOff>
      <xdr:row>3</xdr:row>
      <xdr:rowOff>0</xdr:rowOff>
    </xdr:from>
    <xdr:to>
      <xdr:col>61</xdr:col>
      <xdr:colOff>0</xdr:colOff>
      <xdr:row>5</xdr:row>
      <xdr:rowOff>0</xdr:rowOff>
    </xdr:to>
    <xdr:sp macro="JSON_TableHeaderClick" textlink="$BI$4">
      <xdr:nvSpPr>
        <xdr:cNvPr id="560" name="tReporting52428888_60">
          <a:extLst>
            <a:ext uri="{FF2B5EF4-FFF2-40B4-BE49-F238E27FC236}">
              <a16:creationId xmlns:a16="http://schemas.microsoft.com/office/drawing/2014/main" id="{7BCB8D21-D0A2-4A12-BF31-ACBBB70B45B8}"/>
            </a:ext>
          </a:extLst>
        </xdr:cNvPr>
        <xdr:cNvSpPr/>
      </xdr:nvSpPr>
      <xdr:spPr>
        <a:xfrm>
          <a:off x="65360550" y="571500"/>
          <a:ext cx="1114425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F250FF0A-EDE6-4915-8FA4-135305F16779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RF_EntRuleSet</a:t>
          </a:fld>
          <a:endParaRPr lang="en-US" sz="1100"/>
        </a:p>
      </xdr:txBody>
    </xdr:sp>
    <xdr:clientData/>
  </xdr:twoCellAnchor>
  <xdr:twoCellAnchor>
    <xdr:from>
      <xdr:col>61</xdr:col>
      <xdr:colOff>0</xdr:colOff>
      <xdr:row>3</xdr:row>
      <xdr:rowOff>0</xdr:rowOff>
    </xdr:from>
    <xdr:to>
      <xdr:col>62</xdr:col>
      <xdr:colOff>0</xdr:colOff>
      <xdr:row>5</xdr:row>
      <xdr:rowOff>0</xdr:rowOff>
    </xdr:to>
    <xdr:sp macro="JSON_TableHeaderClick" textlink="$BJ$4">
      <xdr:nvSpPr>
        <xdr:cNvPr id="561" name="tReporting52428888_61">
          <a:extLst>
            <a:ext uri="{FF2B5EF4-FFF2-40B4-BE49-F238E27FC236}">
              <a16:creationId xmlns:a16="http://schemas.microsoft.com/office/drawing/2014/main" id="{E30FEB6E-1B1D-4E01-A020-5BD5EBA734D1}"/>
            </a:ext>
          </a:extLst>
        </xdr:cNvPr>
        <xdr:cNvSpPr/>
      </xdr:nvSpPr>
      <xdr:spPr>
        <a:xfrm>
          <a:off x="66474975" y="571500"/>
          <a:ext cx="1114425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7E710E7F-A770-4895-9FE5-120D2FACD7B5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RF_EntUseDefaultOpbal</a:t>
          </a:fld>
          <a:endParaRPr lang="en-US" sz="1100"/>
        </a:p>
      </xdr:txBody>
    </xdr:sp>
    <xdr:clientData/>
  </xdr:twoCellAnchor>
  <xdr:twoCellAnchor>
    <xdr:from>
      <xdr:col>62</xdr:col>
      <xdr:colOff>0</xdr:colOff>
      <xdr:row>3</xdr:row>
      <xdr:rowOff>0</xdr:rowOff>
    </xdr:from>
    <xdr:to>
      <xdr:col>63</xdr:col>
      <xdr:colOff>0</xdr:colOff>
      <xdr:row>5</xdr:row>
      <xdr:rowOff>0</xdr:rowOff>
    </xdr:to>
    <xdr:sp macro="JSON_TableHeaderClick" textlink="$BK$4">
      <xdr:nvSpPr>
        <xdr:cNvPr id="562" name="tReporting52428888_62">
          <a:extLst>
            <a:ext uri="{FF2B5EF4-FFF2-40B4-BE49-F238E27FC236}">
              <a16:creationId xmlns:a16="http://schemas.microsoft.com/office/drawing/2014/main" id="{EE6F9E7D-4975-4924-8B1D-5DE7C346E8A8}"/>
            </a:ext>
          </a:extLst>
        </xdr:cNvPr>
        <xdr:cNvSpPr/>
      </xdr:nvSpPr>
      <xdr:spPr>
        <a:xfrm>
          <a:off x="67589400" y="571500"/>
          <a:ext cx="1114425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E733A386-70DB-4583-9D2C-4C6CEC25F380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RF_EntHasOpBal</a:t>
          </a:fld>
          <a:endParaRPr lang="en-US" sz="1100"/>
        </a:p>
      </xdr:txBody>
    </xdr:sp>
    <xdr:clientData/>
  </xdr:twoCellAnchor>
  <xdr:twoCellAnchor>
    <xdr:from>
      <xdr:col>63</xdr:col>
      <xdr:colOff>0</xdr:colOff>
      <xdr:row>3</xdr:row>
      <xdr:rowOff>0</xdr:rowOff>
    </xdr:from>
    <xdr:to>
      <xdr:col>64</xdr:col>
      <xdr:colOff>0</xdr:colOff>
      <xdr:row>5</xdr:row>
      <xdr:rowOff>0</xdr:rowOff>
    </xdr:to>
    <xdr:sp macro="JSON_TableHeaderClick" textlink="$BL$4">
      <xdr:nvSpPr>
        <xdr:cNvPr id="563" name="tReporting52428888_63">
          <a:extLst>
            <a:ext uri="{FF2B5EF4-FFF2-40B4-BE49-F238E27FC236}">
              <a16:creationId xmlns:a16="http://schemas.microsoft.com/office/drawing/2014/main" id="{FBD3F960-9E06-4A6E-9570-CDCE4AAEF5D5}"/>
            </a:ext>
          </a:extLst>
        </xdr:cNvPr>
        <xdr:cNvSpPr/>
      </xdr:nvSpPr>
      <xdr:spPr>
        <a:xfrm>
          <a:off x="68703825" y="571500"/>
          <a:ext cx="1114425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15154037-0A22-4455-92D0-42ED2F31A72E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RF_EntOpbPhase</a:t>
          </a:fld>
          <a:endParaRPr lang="en-US" sz="1100"/>
        </a:p>
      </xdr:txBody>
    </xdr:sp>
    <xdr:clientData/>
  </xdr:twoCellAnchor>
  <xdr:twoCellAnchor>
    <xdr:from>
      <xdr:col>64</xdr:col>
      <xdr:colOff>0</xdr:colOff>
      <xdr:row>3</xdr:row>
      <xdr:rowOff>0</xdr:rowOff>
    </xdr:from>
    <xdr:to>
      <xdr:col>65</xdr:col>
      <xdr:colOff>0</xdr:colOff>
      <xdr:row>5</xdr:row>
      <xdr:rowOff>0</xdr:rowOff>
    </xdr:to>
    <xdr:sp macro="JSON_TableHeaderClick" textlink="$BM$4">
      <xdr:nvSpPr>
        <xdr:cNvPr id="564" name="tReporting52428888_64">
          <a:extLst>
            <a:ext uri="{FF2B5EF4-FFF2-40B4-BE49-F238E27FC236}">
              <a16:creationId xmlns:a16="http://schemas.microsoft.com/office/drawing/2014/main" id="{956036F1-04E2-4D69-AF38-59622C5E3386}"/>
            </a:ext>
          </a:extLst>
        </xdr:cNvPr>
        <xdr:cNvSpPr/>
      </xdr:nvSpPr>
      <xdr:spPr>
        <a:xfrm>
          <a:off x="69818250" y="571500"/>
          <a:ext cx="1114425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4DB95864-A1D9-4F08-BA5B-046B09C1AEEB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RF_EntOpbUpdatePeriod</a:t>
          </a:fld>
          <a:endParaRPr lang="en-US" sz="1100"/>
        </a:p>
      </xdr:txBody>
    </xdr:sp>
    <xdr:clientData/>
  </xdr:twoCellAnchor>
  <xdr:twoCellAnchor>
    <xdr:from>
      <xdr:col>65</xdr:col>
      <xdr:colOff>0</xdr:colOff>
      <xdr:row>3</xdr:row>
      <xdr:rowOff>0</xdr:rowOff>
    </xdr:from>
    <xdr:to>
      <xdr:col>66</xdr:col>
      <xdr:colOff>0</xdr:colOff>
      <xdr:row>5</xdr:row>
      <xdr:rowOff>0</xdr:rowOff>
    </xdr:to>
    <xdr:sp macro="JSON_TableHeaderClick" textlink="$BN$4">
      <xdr:nvSpPr>
        <xdr:cNvPr id="565" name="tReporting52428888_65">
          <a:extLst>
            <a:ext uri="{FF2B5EF4-FFF2-40B4-BE49-F238E27FC236}">
              <a16:creationId xmlns:a16="http://schemas.microsoft.com/office/drawing/2014/main" id="{92EE3FD3-44DE-4E56-A3F6-91E7EA56F51A}"/>
            </a:ext>
          </a:extLst>
        </xdr:cNvPr>
        <xdr:cNvSpPr/>
      </xdr:nvSpPr>
      <xdr:spPr>
        <a:xfrm>
          <a:off x="70932675" y="571500"/>
          <a:ext cx="1114425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DFDC4828-19F9-4C4C-8119-C6CF4E454404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RF_EntOpbScope</a:t>
          </a:fld>
          <a:endParaRPr lang="en-US" sz="1100"/>
        </a:p>
      </xdr:txBody>
    </xdr:sp>
    <xdr:clientData/>
  </xdr:twoCellAnchor>
  <xdr:twoCellAnchor>
    <xdr:from>
      <xdr:col>66</xdr:col>
      <xdr:colOff>0</xdr:colOff>
      <xdr:row>3</xdr:row>
      <xdr:rowOff>0</xdr:rowOff>
    </xdr:from>
    <xdr:to>
      <xdr:col>67</xdr:col>
      <xdr:colOff>0</xdr:colOff>
      <xdr:row>5</xdr:row>
      <xdr:rowOff>0</xdr:rowOff>
    </xdr:to>
    <xdr:sp macro="JSON_TableHeaderClick" textlink="$BO$4">
      <xdr:nvSpPr>
        <xdr:cNvPr id="566" name="tReporting52428888_66">
          <a:extLst>
            <a:ext uri="{FF2B5EF4-FFF2-40B4-BE49-F238E27FC236}">
              <a16:creationId xmlns:a16="http://schemas.microsoft.com/office/drawing/2014/main" id="{22B17F8D-6904-4984-AD16-F5A591E9956C}"/>
            </a:ext>
          </a:extLst>
        </xdr:cNvPr>
        <xdr:cNvSpPr/>
      </xdr:nvSpPr>
      <xdr:spPr>
        <a:xfrm>
          <a:off x="72047100" y="571500"/>
          <a:ext cx="1114425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704A6CDA-83FD-4E9D-BFBC-D6DC641047F4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RF_EntOpbVariant</a:t>
          </a:fld>
          <a:endParaRPr lang="en-US" sz="1100"/>
        </a:p>
      </xdr:txBody>
    </xdr:sp>
    <xdr:clientData/>
  </xdr:twoCellAnchor>
  <xdr:twoCellAnchor>
    <xdr:from>
      <xdr:col>67</xdr:col>
      <xdr:colOff>0</xdr:colOff>
      <xdr:row>3</xdr:row>
      <xdr:rowOff>0</xdr:rowOff>
    </xdr:from>
    <xdr:to>
      <xdr:col>68</xdr:col>
      <xdr:colOff>0</xdr:colOff>
      <xdr:row>5</xdr:row>
      <xdr:rowOff>0</xdr:rowOff>
    </xdr:to>
    <xdr:sp macro="JSON_TableHeaderClick" textlink="$BP$4">
      <xdr:nvSpPr>
        <xdr:cNvPr id="567" name="tReporting52428888_67">
          <a:extLst>
            <a:ext uri="{FF2B5EF4-FFF2-40B4-BE49-F238E27FC236}">
              <a16:creationId xmlns:a16="http://schemas.microsoft.com/office/drawing/2014/main" id="{C304301D-DCBF-429D-9E1D-144F3C137BC7}"/>
            </a:ext>
          </a:extLst>
        </xdr:cNvPr>
        <xdr:cNvSpPr/>
      </xdr:nvSpPr>
      <xdr:spPr>
        <a:xfrm>
          <a:off x="73161525" y="571500"/>
          <a:ext cx="1114425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BB3D992D-E915-4A06-9018-183C488506E0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RF_EntOpbConsCurrency</a:t>
          </a:fld>
          <a:endParaRPr lang="en-US" sz="1100"/>
        </a:p>
      </xdr:txBody>
    </xdr:sp>
    <xdr:clientData/>
  </xdr:twoCellAnchor>
  <xdr:twoCellAnchor>
    <xdr:from>
      <xdr:col>68</xdr:col>
      <xdr:colOff>0</xdr:colOff>
      <xdr:row>2</xdr:row>
      <xdr:rowOff>63500</xdr:rowOff>
    </xdr:from>
    <xdr:to>
      <xdr:col>69</xdr:col>
      <xdr:colOff>0</xdr:colOff>
      <xdr:row>5</xdr:row>
      <xdr:rowOff>0</xdr:rowOff>
    </xdr:to>
    <xdr:sp macro="JSON_TableHeaderClick" textlink="$BQ$4">
      <xdr:nvSpPr>
        <xdr:cNvPr id="568" name="tReporting52428888_68">
          <a:extLst>
            <a:ext uri="{FF2B5EF4-FFF2-40B4-BE49-F238E27FC236}">
              <a16:creationId xmlns:a16="http://schemas.microsoft.com/office/drawing/2014/main" id="{D0593BBC-6E7E-41FF-AE6F-B06A0B0CEEA2}"/>
            </a:ext>
          </a:extLst>
        </xdr:cNvPr>
        <xdr:cNvSpPr/>
      </xdr:nvSpPr>
      <xdr:spPr>
        <a:xfrm>
          <a:off x="74275950" y="444500"/>
          <a:ext cx="1114425" cy="965200"/>
        </a:xfrm>
        <a:prstGeom prst="rect">
          <a:avLst/>
        </a:prstGeom>
        <a:solidFill>
          <a:schemeClr val="bg1">
            <a:lumMod val="65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lIns="0" tIns="0" rIns="0" bIns="0" rtlCol="0" anchor="ctr" anchorCtr="1"/>
        <a:lstStyle/>
        <a:p>
          <a:pPr algn="l"/>
          <a:fld id="{6C63D380-4BE1-448C-9391-5405C8670758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RF_EntOp</a:t>
          </a:fld>
          <a:endParaRPr lang="en-US" sz="1100"/>
        </a:p>
      </xdr:txBody>
    </xdr:sp>
    <xdr:clientData/>
  </xdr:twoCellAnchor>
  <xdr:twoCellAnchor>
    <xdr:from>
      <xdr:col>69</xdr:col>
      <xdr:colOff>0</xdr:colOff>
      <xdr:row>3</xdr:row>
      <xdr:rowOff>0</xdr:rowOff>
    </xdr:from>
    <xdr:to>
      <xdr:col>70</xdr:col>
      <xdr:colOff>0</xdr:colOff>
      <xdr:row>5</xdr:row>
      <xdr:rowOff>0</xdr:rowOff>
    </xdr:to>
    <xdr:sp macro="JSON_TableHeaderClick" textlink="$BR$4">
      <xdr:nvSpPr>
        <xdr:cNvPr id="569" name="tReporting52428888_69">
          <a:extLst>
            <a:ext uri="{FF2B5EF4-FFF2-40B4-BE49-F238E27FC236}">
              <a16:creationId xmlns:a16="http://schemas.microsoft.com/office/drawing/2014/main" id="{D29E7EF1-9667-4671-A6C7-51E5AF46CDBA}"/>
            </a:ext>
          </a:extLst>
        </xdr:cNvPr>
        <xdr:cNvSpPr/>
      </xdr:nvSpPr>
      <xdr:spPr>
        <a:xfrm>
          <a:off x="75390375" y="571500"/>
          <a:ext cx="1114425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92ABF4B7-1607-41FE-8DF6-9C6A47DE2332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RF_EntUseDefaultPublish</a:t>
          </a:fld>
          <a:endParaRPr lang="en-US" sz="1100"/>
        </a:p>
      </xdr:txBody>
    </xdr:sp>
    <xdr:clientData/>
  </xdr:twoCellAnchor>
  <xdr:twoCellAnchor>
    <xdr:from>
      <xdr:col>70</xdr:col>
      <xdr:colOff>0</xdr:colOff>
      <xdr:row>3</xdr:row>
      <xdr:rowOff>0</xdr:rowOff>
    </xdr:from>
    <xdr:to>
      <xdr:col>71</xdr:col>
      <xdr:colOff>0</xdr:colOff>
      <xdr:row>5</xdr:row>
      <xdr:rowOff>0</xdr:rowOff>
    </xdr:to>
    <xdr:sp macro="JSON_TableHeaderClick" textlink="$BS$4">
      <xdr:nvSpPr>
        <xdr:cNvPr id="570" name="tReporting52428888_70">
          <a:extLst>
            <a:ext uri="{FF2B5EF4-FFF2-40B4-BE49-F238E27FC236}">
              <a16:creationId xmlns:a16="http://schemas.microsoft.com/office/drawing/2014/main" id="{47A93B29-C249-4E4E-B32D-BE619D55FB2F}"/>
            </a:ext>
          </a:extLst>
        </xdr:cNvPr>
        <xdr:cNvSpPr/>
      </xdr:nvSpPr>
      <xdr:spPr>
        <a:xfrm>
          <a:off x="76504800" y="571500"/>
          <a:ext cx="1114425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D50D5C81-C811-4ED0-AFE9-D72EF49D6900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RF_EntPackPublishingCutOffDate</a:t>
          </a:fld>
          <a:endParaRPr lang="en-US" sz="1100"/>
        </a:p>
      </xdr:txBody>
    </xdr:sp>
    <xdr:clientData/>
  </xdr:twoCellAnchor>
  <xdr:twoCellAnchor>
    <xdr:from>
      <xdr:col>71</xdr:col>
      <xdr:colOff>0</xdr:colOff>
      <xdr:row>3</xdr:row>
      <xdr:rowOff>0</xdr:rowOff>
    </xdr:from>
    <xdr:to>
      <xdr:col>72</xdr:col>
      <xdr:colOff>0</xdr:colOff>
      <xdr:row>5</xdr:row>
      <xdr:rowOff>0</xdr:rowOff>
    </xdr:to>
    <xdr:sp macro="JSON_TableHeaderClick" textlink="$BT$4">
      <xdr:nvSpPr>
        <xdr:cNvPr id="571" name="tReporting52428888_71">
          <a:extLst>
            <a:ext uri="{FF2B5EF4-FFF2-40B4-BE49-F238E27FC236}">
              <a16:creationId xmlns:a16="http://schemas.microsoft.com/office/drawing/2014/main" id="{3B6CABBD-BD0D-4CC3-ADEB-91D274DB8C83}"/>
            </a:ext>
          </a:extLst>
        </xdr:cNvPr>
        <xdr:cNvSpPr/>
      </xdr:nvSpPr>
      <xdr:spPr>
        <a:xfrm>
          <a:off x="77619225" y="571500"/>
          <a:ext cx="1114425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16A5A3D2-C399-44CB-A594-2438DD903358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RF_EntAllowEarlyPublishing</a:t>
          </a:fld>
          <a:endParaRPr lang="en-US" sz="1100"/>
        </a:p>
      </xdr:txBody>
    </xdr:sp>
    <xdr:clientData/>
  </xdr:twoCellAnchor>
  <xdr:twoCellAnchor>
    <xdr:from>
      <xdr:col>72</xdr:col>
      <xdr:colOff>0</xdr:colOff>
      <xdr:row>2</xdr:row>
      <xdr:rowOff>63500</xdr:rowOff>
    </xdr:from>
    <xdr:to>
      <xdr:col>73</xdr:col>
      <xdr:colOff>0</xdr:colOff>
      <xdr:row>5</xdr:row>
      <xdr:rowOff>0</xdr:rowOff>
    </xdr:to>
    <xdr:sp macro="JSON_TableHeaderClick" textlink="$BU$4">
      <xdr:nvSpPr>
        <xdr:cNvPr id="572" name="tReporting52428888_72">
          <a:extLst>
            <a:ext uri="{FF2B5EF4-FFF2-40B4-BE49-F238E27FC236}">
              <a16:creationId xmlns:a16="http://schemas.microsoft.com/office/drawing/2014/main" id="{0C2521B0-1E70-4020-923F-9DC6B9C9DFB8}"/>
            </a:ext>
          </a:extLst>
        </xdr:cNvPr>
        <xdr:cNvSpPr/>
      </xdr:nvSpPr>
      <xdr:spPr>
        <a:xfrm>
          <a:off x="78733650" y="444500"/>
          <a:ext cx="1114425" cy="965200"/>
        </a:xfrm>
        <a:prstGeom prst="rect">
          <a:avLst/>
        </a:prstGeom>
        <a:solidFill>
          <a:schemeClr val="bg1">
            <a:lumMod val="65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lIns="0" tIns="0" rIns="0" bIns="0" rtlCol="0" anchor="ctr" anchorCtr="1"/>
        <a:lstStyle/>
        <a:p>
          <a:pPr algn="l"/>
          <a:fld id="{14F2A494-4120-4492-93B8-B96E25FD67E9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RF_EntOpAftPub</a:t>
          </a:fld>
          <a:endParaRPr lang="en-US" sz="1100"/>
        </a:p>
      </xdr:txBody>
    </xdr:sp>
    <xdr:clientData/>
  </xdr:twoCellAnchor>
  <xdr:twoCellAnchor>
    <xdr:from>
      <xdr:col>73</xdr:col>
      <xdr:colOff>0</xdr:colOff>
      <xdr:row>3</xdr:row>
      <xdr:rowOff>0</xdr:rowOff>
    </xdr:from>
    <xdr:to>
      <xdr:col>74</xdr:col>
      <xdr:colOff>0</xdr:colOff>
      <xdr:row>5</xdr:row>
      <xdr:rowOff>0</xdr:rowOff>
    </xdr:to>
    <xdr:sp macro="JSON_TableHeaderClick" textlink="$BV$4">
      <xdr:nvSpPr>
        <xdr:cNvPr id="573" name="tReporting52428888_73">
          <a:extLst>
            <a:ext uri="{FF2B5EF4-FFF2-40B4-BE49-F238E27FC236}">
              <a16:creationId xmlns:a16="http://schemas.microsoft.com/office/drawing/2014/main" id="{A3817C16-DFB8-4A1D-B39D-A33FC06A83F9}"/>
            </a:ext>
          </a:extLst>
        </xdr:cNvPr>
        <xdr:cNvSpPr/>
      </xdr:nvSpPr>
      <xdr:spPr>
        <a:xfrm>
          <a:off x="79848075" y="571500"/>
          <a:ext cx="1114425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1DD5B09A-CBE8-40D2-8C7C-35D61A16DF9B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RF_EntUseDefaultAfterPub</a:t>
          </a:fld>
          <a:endParaRPr lang="en-US" sz="1100"/>
        </a:p>
      </xdr:txBody>
    </xdr:sp>
    <xdr:clientData/>
  </xdr:twoCellAnchor>
  <xdr:twoCellAnchor>
    <xdr:from>
      <xdr:col>74</xdr:col>
      <xdr:colOff>0</xdr:colOff>
      <xdr:row>3</xdr:row>
      <xdr:rowOff>0</xdr:rowOff>
    </xdr:from>
    <xdr:to>
      <xdr:col>75</xdr:col>
      <xdr:colOff>0</xdr:colOff>
      <xdr:row>5</xdr:row>
      <xdr:rowOff>0</xdr:rowOff>
    </xdr:to>
    <xdr:sp macro="JSON_TableHeaderClick" textlink="$BW$4">
      <xdr:nvSpPr>
        <xdr:cNvPr id="574" name="tReporting52428888_74">
          <a:extLst>
            <a:ext uri="{FF2B5EF4-FFF2-40B4-BE49-F238E27FC236}">
              <a16:creationId xmlns:a16="http://schemas.microsoft.com/office/drawing/2014/main" id="{C30E5551-1C86-4F48-ADD0-CF9E24A245F9}"/>
            </a:ext>
          </a:extLst>
        </xdr:cNvPr>
        <xdr:cNvSpPr/>
      </xdr:nvSpPr>
      <xdr:spPr>
        <a:xfrm>
          <a:off x="80962500" y="571500"/>
          <a:ext cx="1114425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3DA1870B-4C27-456F-A067-D9AD5756AA13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RF_EntAftPubStandard</a:t>
          </a:fld>
          <a:endParaRPr lang="en-US" sz="1100"/>
        </a:p>
      </xdr:txBody>
    </xdr:sp>
    <xdr:clientData/>
  </xdr:twoCellAnchor>
  <xdr:twoCellAnchor>
    <xdr:from>
      <xdr:col>75</xdr:col>
      <xdr:colOff>0</xdr:colOff>
      <xdr:row>3</xdr:row>
      <xdr:rowOff>0</xdr:rowOff>
    </xdr:from>
    <xdr:to>
      <xdr:col>76</xdr:col>
      <xdr:colOff>0</xdr:colOff>
      <xdr:row>5</xdr:row>
      <xdr:rowOff>0</xdr:rowOff>
    </xdr:to>
    <xdr:sp macro="JSON_TableHeaderClick" textlink="$BX$4">
      <xdr:nvSpPr>
        <xdr:cNvPr id="575" name="tReporting52428888_75">
          <a:extLst>
            <a:ext uri="{FF2B5EF4-FFF2-40B4-BE49-F238E27FC236}">
              <a16:creationId xmlns:a16="http://schemas.microsoft.com/office/drawing/2014/main" id="{42AA3AE9-243E-4874-AC5B-C553F9DFBC3D}"/>
            </a:ext>
          </a:extLst>
        </xdr:cNvPr>
        <xdr:cNvSpPr/>
      </xdr:nvSpPr>
      <xdr:spPr>
        <a:xfrm>
          <a:off x="82076925" y="571500"/>
          <a:ext cx="1114425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2D6F8F7E-D53E-46FC-9B6F-C32FFCDB76EF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RF_EntAftPubSpecial</a:t>
          </a:fld>
          <a:endParaRPr lang="en-US" sz="1100"/>
        </a:p>
      </xdr:txBody>
    </xdr:sp>
    <xdr:clientData/>
  </xdr:twoCellAnchor>
  <xdr:twoCellAnchor>
    <xdr:from>
      <xdr:col>76</xdr:col>
      <xdr:colOff>0</xdr:colOff>
      <xdr:row>3</xdr:row>
      <xdr:rowOff>0</xdr:rowOff>
    </xdr:from>
    <xdr:to>
      <xdr:col>77</xdr:col>
      <xdr:colOff>0</xdr:colOff>
      <xdr:row>5</xdr:row>
      <xdr:rowOff>0</xdr:rowOff>
    </xdr:to>
    <xdr:sp macro="JSON_TableHeaderClick" textlink="$BY$4">
      <xdr:nvSpPr>
        <xdr:cNvPr id="576" name="tReporting52428888_76">
          <a:extLst>
            <a:ext uri="{FF2B5EF4-FFF2-40B4-BE49-F238E27FC236}">
              <a16:creationId xmlns:a16="http://schemas.microsoft.com/office/drawing/2014/main" id="{604BD6FA-F127-421D-B152-6D665281EB53}"/>
            </a:ext>
          </a:extLst>
        </xdr:cNvPr>
        <xdr:cNvSpPr/>
      </xdr:nvSpPr>
      <xdr:spPr>
        <a:xfrm>
          <a:off x="83191350" y="571500"/>
          <a:ext cx="1114425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D8928A09-7B02-4F2E-942A-0F68DAD641C4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RF_EntAftPubAdvanced</a:t>
          </a:fld>
          <a:endParaRPr lang="en-US" sz="1100"/>
        </a:p>
      </xdr:txBody>
    </xdr:sp>
    <xdr:clientData/>
  </xdr:twoCellAnchor>
  <xdr:twoCellAnchor>
    <xdr:from>
      <xdr:col>77</xdr:col>
      <xdr:colOff>0</xdr:colOff>
      <xdr:row>3</xdr:row>
      <xdr:rowOff>0</xdr:rowOff>
    </xdr:from>
    <xdr:to>
      <xdr:col>78</xdr:col>
      <xdr:colOff>0</xdr:colOff>
      <xdr:row>5</xdr:row>
      <xdr:rowOff>0</xdr:rowOff>
    </xdr:to>
    <xdr:sp macro="JSON_TableHeaderClick" textlink="$BZ$4">
      <xdr:nvSpPr>
        <xdr:cNvPr id="577" name="tReporting52428888_77">
          <a:extLst>
            <a:ext uri="{FF2B5EF4-FFF2-40B4-BE49-F238E27FC236}">
              <a16:creationId xmlns:a16="http://schemas.microsoft.com/office/drawing/2014/main" id="{21972801-A544-4198-A26A-DD0B6D105219}"/>
            </a:ext>
          </a:extLst>
        </xdr:cNvPr>
        <xdr:cNvSpPr/>
      </xdr:nvSpPr>
      <xdr:spPr>
        <a:xfrm>
          <a:off x="84305775" y="571500"/>
          <a:ext cx="1114425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3BB3883F-A4EC-4F06-AA81-A94E2C4E4884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RF_EntAftPubLevel</a:t>
          </a:fld>
          <a:endParaRPr lang="en-US" sz="1100"/>
        </a:p>
      </xdr:txBody>
    </xdr:sp>
    <xdr:clientData/>
  </xdr:twoCellAnchor>
  <xdr:twoCellAnchor>
    <xdr:from>
      <xdr:col>78</xdr:col>
      <xdr:colOff>0</xdr:colOff>
      <xdr:row>2</xdr:row>
      <xdr:rowOff>63500</xdr:rowOff>
    </xdr:from>
    <xdr:to>
      <xdr:col>79</xdr:col>
      <xdr:colOff>0</xdr:colOff>
      <xdr:row>5</xdr:row>
      <xdr:rowOff>0</xdr:rowOff>
    </xdr:to>
    <xdr:sp macro="JSON_TableHeaderClick" textlink="$CA$4">
      <xdr:nvSpPr>
        <xdr:cNvPr id="578" name="tReporting52428888_78">
          <a:extLst>
            <a:ext uri="{FF2B5EF4-FFF2-40B4-BE49-F238E27FC236}">
              <a16:creationId xmlns:a16="http://schemas.microsoft.com/office/drawing/2014/main" id="{88208A49-B42F-4F93-B068-0D3E2338480A}"/>
            </a:ext>
          </a:extLst>
        </xdr:cNvPr>
        <xdr:cNvSpPr/>
      </xdr:nvSpPr>
      <xdr:spPr>
        <a:xfrm>
          <a:off x="85420200" y="444500"/>
          <a:ext cx="1114425" cy="965200"/>
        </a:xfrm>
        <a:prstGeom prst="rect">
          <a:avLst/>
        </a:prstGeom>
        <a:solidFill>
          <a:schemeClr val="bg1">
            <a:lumMod val="65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lIns="0" tIns="0" rIns="0" bIns="0" rtlCol="0" anchor="ctr" anchorCtr="1"/>
        <a:lstStyle/>
        <a:p>
          <a:pPr algn="l"/>
          <a:fld id="{035073BA-E6B8-44F5-90FA-4A32EB29DE55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RF_EntOpAftTran</a:t>
          </a:fld>
          <a:endParaRPr lang="en-US" sz="1100"/>
        </a:p>
      </xdr:txBody>
    </xdr:sp>
    <xdr:clientData/>
  </xdr:twoCellAnchor>
  <xdr:twoCellAnchor>
    <xdr:from>
      <xdr:col>79</xdr:col>
      <xdr:colOff>0</xdr:colOff>
      <xdr:row>3</xdr:row>
      <xdr:rowOff>0</xdr:rowOff>
    </xdr:from>
    <xdr:to>
      <xdr:col>80</xdr:col>
      <xdr:colOff>0</xdr:colOff>
      <xdr:row>5</xdr:row>
      <xdr:rowOff>0</xdr:rowOff>
    </xdr:to>
    <xdr:sp macro="JSON_TableHeaderClick" textlink="$CB$4">
      <xdr:nvSpPr>
        <xdr:cNvPr id="579" name="tReporting52428888_79">
          <a:extLst>
            <a:ext uri="{FF2B5EF4-FFF2-40B4-BE49-F238E27FC236}">
              <a16:creationId xmlns:a16="http://schemas.microsoft.com/office/drawing/2014/main" id="{358B0C83-26AA-4C23-818E-9811DF3D2EAA}"/>
            </a:ext>
          </a:extLst>
        </xdr:cNvPr>
        <xdr:cNvSpPr/>
      </xdr:nvSpPr>
      <xdr:spPr>
        <a:xfrm>
          <a:off x="86534625" y="571500"/>
          <a:ext cx="1114425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31495AB8-471D-4A50-8553-EEC0C62E7ED3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RF_EntUseDefaultAfterTran</a:t>
          </a:fld>
          <a:endParaRPr lang="en-US" sz="1100"/>
        </a:p>
      </xdr:txBody>
    </xdr:sp>
    <xdr:clientData/>
  </xdr:twoCellAnchor>
  <xdr:twoCellAnchor>
    <xdr:from>
      <xdr:col>80</xdr:col>
      <xdr:colOff>0</xdr:colOff>
      <xdr:row>3</xdr:row>
      <xdr:rowOff>0</xdr:rowOff>
    </xdr:from>
    <xdr:to>
      <xdr:col>81</xdr:col>
      <xdr:colOff>0</xdr:colOff>
      <xdr:row>5</xdr:row>
      <xdr:rowOff>0</xdr:rowOff>
    </xdr:to>
    <xdr:sp macro="JSON_TableHeaderClick" textlink="$CC$4">
      <xdr:nvSpPr>
        <xdr:cNvPr id="580" name="tReporting52428888_80">
          <a:extLst>
            <a:ext uri="{FF2B5EF4-FFF2-40B4-BE49-F238E27FC236}">
              <a16:creationId xmlns:a16="http://schemas.microsoft.com/office/drawing/2014/main" id="{E5B3E40F-1F75-4127-87E5-8D380CEC6E3E}"/>
            </a:ext>
          </a:extLst>
        </xdr:cNvPr>
        <xdr:cNvSpPr/>
      </xdr:nvSpPr>
      <xdr:spPr>
        <a:xfrm>
          <a:off x="87649050" y="571500"/>
          <a:ext cx="1114425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6FE693E9-0B93-406E-896D-752A29F7CE3A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RF_EntAftTranStandard</a:t>
          </a:fld>
          <a:endParaRPr lang="en-US" sz="1100"/>
        </a:p>
      </xdr:txBody>
    </xdr:sp>
    <xdr:clientData/>
  </xdr:twoCellAnchor>
  <xdr:twoCellAnchor>
    <xdr:from>
      <xdr:col>81</xdr:col>
      <xdr:colOff>0</xdr:colOff>
      <xdr:row>3</xdr:row>
      <xdr:rowOff>0</xdr:rowOff>
    </xdr:from>
    <xdr:to>
      <xdr:col>82</xdr:col>
      <xdr:colOff>0</xdr:colOff>
      <xdr:row>5</xdr:row>
      <xdr:rowOff>0</xdr:rowOff>
    </xdr:to>
    <xdr:sp macro="JSON_TableHeaderClick" textlink="$CD$4">
      <xdr:nvSpPr>
        <xdr:cNvPr id="581" name="tReporting52428888_81">
          <a:extLst>
            <a:ext uri="{FF2B5EF4-FFF2-40B4-BE49-F238E27FC236}">
              <a16:creationId xmlns:a16="http://schemas.microsoft.com/office/drawing/2014/main" id="{B1819D48-F5E6-4BBC-8FCD-B74EB6DCED95}"/>
            </a:ext>
          </a:extLst>
        </xdr:cNvPr>
        <xdr:cNvSpPr/>
      </xdr:nvSpPr>
      <xdr:spPr>
        <a:xfrm>
          <a:off x="88763475" y="571500"/>
          <a:ext cx="1114425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2A2378D1-6A02-4263-990F-4A0DD3DFC2EA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RF_EntAftTranSpecial</a:t>
          </a:fld>
          <a:endParaRPr lang="en-US" sz="1100"/>
        </a:p>
      </xdr:txBody>
    </xdr:sp>
    <xdr:clientData/>
  </xdr:twoCellAnchor>
  <xdr:twoCellAnchor>
    <xdr:from>
      <xdr:col>82</xdr:col>
      <xdr:colOff>0</xdr:colOff>
      <xdr:row>3</xdr:row>
      <xdr:rowOff>0</xdr:rowOff>
    </xdr:from>
    <xdr:to>
      <xdr:col>83</xdr:col>
      <xdr:colOff>0</xdr:colOff>
      <xdr:row>5</xdr:row>
      <xdr:rowOff>0</xdr:rowOff>
    </xdr:to>
    <xdr:sp macro="JSON_TableHeaderClick" textlink="$CE$4">
      <xdr:nvSpPr>
        <xdr:cNvPr id="582" name="tReporting52428888_82">
          <a:extLst>
            <a:ext uri="{FF2B5EF4-FFF2-40B4-BE49-F238E27FC236}">
              <a16:creationId xmlns:a16="http://schemas.microsoft.com/office/drawing/2014/main" id="{0A255B2C-548E-4B8C-8BDC-2AFF178DE400}"/>
            </a:ext>
          </a:extLst>
        </xdr:cNvPr>
        <xdr:cNvSpPr/>
      </xdr:nvSpPr>
      <xdr:spPr>
        <a:xfrm>
          <a:off x="89877900" y="571500"/>
          <a:ext cx="1114425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6AA220B4-9BD2-43B4-A5C6-4C2B69570AA8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RF_EntAftTranAdvanced</a:t>
          </a:fld>
          <a:endParaRPr lang="en-US" sz="1100"/>
        </a:p>
      </xdr:txBody>
    </xdr:sp>
    <xdr:clientData/>
  </xdr:twoCellAnchor>
  <xdr:twoCellAnchor>
    <xdr:from>
      <xdr:col>83</xdr:col>
      <xdr:colOff>0</xdr:colOff>
      <xdr:row>3</xdr:row>
      <xdr:rowOff>0</xdr:rowOff>
    </xdr:from>
    <xdr:to>
      <xdr:col>84</xdr:col>
      <xdr:colOff>0</xdr:colOff>
      <xdr:row>5</xdr:row>
      <xdr:rowOff>0</xdr:rowOff>
    </xdr:to>
    <xdr:sp macro="JSON_TableHeaderClick" textlink="$CF$4">
      <xdr:nvSpPr>
        <xdr:cNvPr id="583" name="tReporting52428888_83">
          <a:extLst>
            <a:ext uri="{FF2B5EF4-FFF2-40B4-BE49-F238E27FC236}">
              <a16:creationId xmlns:a16="http://schemas.microsoft.com/office/drawing/2014/main" id="{6D2BA39D-9F14-4644-BCC2-B090BD86778D}"/>
            </a:ext>
          </a:extLst>
        </xdr:cNvPr>
        <xdr:cNvSpPr/>
      </xdr:nvSpPr>
      <xdr:spPr>
        <a:xfrm>
          <a:off x="90992325" y="571500"/>
          <a:ext cx="1114425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168ACCCB-F8E1-4098-BE8E-325B309D8DEF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RF_EntAftTranLevel</a:t>
          </a:fld>
          <a:endParaRPr lang="en-US" sz="1100"/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CB6F7BF-5FE3-40E9-BB76-1B1109785A66}" name="tReportings" displayName="tReportings" ref="C13:F41" totalsRowShown="0" headerRowDxfId="5" dataDxfId="0">
  <autoFilter ref="C13:F41" xr:uid="{A3F4FBB9-6C39-43E5-A84C-35510F7CF436}"/>
  <tableColumns count="4">
    <tableColumn id="1" xr3:uid="{A12345B8-1154-4495-9D2A-967693D2F746}" name=" 1" dataDxfId="4"/>
    <tableColumn id="2" xr3:uid="{2E2A4A1C-376D-4E4F-9297-B093B5139F48}" name=" 2" dataDxfId="3"/>
    <tableColumn id="3" xr3:uid="{59828105-2E7F-4629-B14E-A183648F8A20}" name=" 3" dataDxfId="2"/>
    <tableColumn id="4" xr3:uid="{469F56BE-D835-4CCA-930A-41E40DF0DA9A}" name=" 4" dataDxfId="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5ED8D86A-DF62-4E33-ACBC-5A9584077AD9}" name="tReporting52428888" displayName="tReporting52428888" ref="B5:CF6" totalsRowShown="0" headerRowDxfId="134" dataDxfId="133" tableBorderDxfId="132">
  <autoFilter ref="B5:CF6" xr:uid="{EA4A614D-6EC5-498C-8268-310814CA4DA7}"/>
  <tableColumns count="83">
    <tableColumn id="1" xr3:uid="{90BCC135-6011-4C6A-A235-4455F5A5D701}" name=" 1" dataDxfId="131"/>
    <tableColumn id="2" xr3:uid="{818329C8-65A9-4E4E-8452-3E77CCEF8508}" name=" 2" dataDxfId="130"/>
    <tableColumn id="3" xr3:uid="{991D4D18-82BA-4B60-9FDE-38979F8EF6E1}" name=" 3" dataDxfId="129"/>
    <tableColumn id="4" xr3:uid="{59BF4E9D-6DF5-4774-AF62-34E592CB50F4}" name=" 4" dataDxfId="128"/>
    <tableColumn id="5" xr3:uid="{86DCE8EB-010C-4A88-B5D8-580226CB6012}" name=" 5" dataDxfId="127"/>
    <tableColumn id="6" xr3:uid="{93E4E716-71CD-4DD6-B28A-BBEC1299DAD6}" name=" 6" dataDxfId="126"/>
    <tableColumn id="7" xr3:uid="{CFF3F261-5CCB-48C3-B914-B9D31968641A}" name=" 7" dataDxfId="125"/>
    <tableColumn id="8" xr3:uid="{42471EB4-5C13-43D3-A5EF-BFBEB527E7ED}" name=" 8" dataDxfId="124"/>
    <tableColumn id="9" xr3:uid="{3C8F730D-6238-483D-B2BD-CDAE3229DBDE}" name=" 9" dataDxfId="123"/>
    <tableColumn id="10" xr3:uid="{F56E722C-444B-40F9-8AA7-75DCC06EC565}" name=" 10" dataDxfId="122"/>
    <tableColumn id="11" xr3:uid="{0EE1F0EB-BD62-44A4-A960-6A569681FF49}" name=" 11" dataDxfId="121"/>
    <tableColumn id="12" xr3:uid="{5D95395B-86F1-497C-818F-88B86ED32F05}" name=" 12" dataDxfId="120"/>
    <tableColumn id="13" xr3:uid="{668D0ED9-28BA-4A01-A71E-17C654FED1B4}" name=" 13" dataDxfId="119"/>
    <tableColumn id="14" xr3:uid="{87CD3FAA-8E21-4BCC-BE26-DDF2F1B66141}" name=" 14" dataDxfId="118"/>
    <tableColumn id="15" xr3:uid="{C4653639-F0FE-4DA2-BA4B-C24737330C24}" name=" 15" dataDxfId="117"/>
    <tableColumn id="16" xr3:uid="{48A80539-8E5F-4072-817E-A9BBE5F26127}" name=" 16" dataDxfId="116"/>
    <tableColumn id="17" xr3:uid="{DEB0B8F1-9E17-4F79-9C2A-F6084F41C7A0}" name=" 17" dataDxfId="115"/>
    <tableColumn id="18" xr3:uid="{A74D81DE-CA70-44AB-B6DE-0B438EB62B07}" name=" 18" dataDxfId="114"/>
    <tableColumn id="19" xr3:uid="{8583B409-BC01-4444-8985-5063A12B3018}" name=" 19" dataDxfId="113"/>
    <tableColumn id="20" xr3:uid="{8ED8808A-34B1-437D-B561-531B10D8E86C}" name=" 20" dataDxfId="112"/>
    <tableColumn id="21" xr3:uid="{6CF17C6A-0567-4581-9D0E-B36EFEE36F2D}" name=" 21" dataDxfId="111"/>
    <tableColumn id="22" xr3:uid="{8D85C462-D822-46DE-8C84-529F57A0C444}" name=" 22" dataDxfId="110"/>
    <tableColumn id="23" xr3:uid="{D8BE2669-A232-450C-9818-53F2F3BC6E0C}" name=" 23" dataDxfId="109"/>
    <tableColumn id="24" xr3:uid="{B58B1099-D73E-4866-839C-26AB00A6C660}" name=" 24" dataDxfId="108"/>
    <tableColumn id="25" xr3:uid="{B4A366B7-8499-48E0-9310-1346B3C35E6B}" name=" 25" dataDxfId="107"/>
    <tableColumn id="26" xr3:uid="{B6A56F0B-77C6-435F-877B-A5B0CB00920B}" name=" 26" dataDxfId="106"/>
    <tableColumn id="27" xr3:uid="{0FF6ECEB-A261-48B2-BD9E-ABAA850EE6B3}" name=" 27" dataDxfId="105"/>
    <tableColumn id="28" xr3:uid="{28A6BA8C-DE2D-4C3E-82CC-224A1797D15B}" name=" 28" dataDxfId="104"/>
    <tableColumn id="29" xr3:uid="{490A48F4-ED08-424B-A7EC-53D05B001AFB}" name=" 29" dataDxfId="103"/>
    <tableColumn id="30" xr3:uid="{D3609963-F321-4D4D-A03D-00942A0679FF}" name=" 30" dataDxfId="102"/>
    <tableColumn id="31" xr3:uid="{0E837827-B9F7-4E9E-9418-27C80BDCD49E}" name=" 31" dataDxfId="101"/>
    <tableColumn id="32" xr3:uid="{95885F3F-5442-461D-A28A-B7F50BB303A6}" name=" 32" dataDxfId="100"/>
    <tableColumn id="33" xr3:uid="{A1533B56-814F-4095-8877-D5F96BB9E32F}" name=" 33" dataDxfId="99"/>
    <tableColumn id="34" xr3:uid="{D8E8E5E4-719E-493C-9DAE-D44A67CD5FC7}" name=" 34" dataDxfId="98"/>
    <tableColumn id="35" xr3:uid="{81261D1C-BD43-4350-B177-48E03121CFF6}" name=" 35" dataDxfId="97"/>
    <tableColumn id="36" xr3:uid="{E882A2E2-5272-4704-9EDB-EA99000E154B}" name=" 36" dataDxfId="96"/>
    <tableColumn id="37" xr3:uid="{A6F94B19-D856-4B3D-9E65-2304C5936D91}" name=" 37" dataDxfId="95"/>
    <tableColumn id="38" xr3:uid="{A90FB391-63BA-4956-9CF3-A0B651E231D3}" name=" 38" dataDxfId="94"/>
    <tableColumn id="39" xr3:uid="{73081878-F0CF-4EC6-B2EE-B2B19CB82D12}" name=" 39" dataDxfId="93"/>
    <tableColumn id="40" xr3:uid="{2800BE47-CD0A-4D85-9942-04E48C43AD3C}" name=" 40" dataDxfId="92"/>
    <tableColumn id="41" xr3:uid="{F4AF8243-8B2A-452E-A90C-9DD339B5DC19}" name=" 41" dataDxfId="91"/>
    <tableColumn id="42" xr3:uid="{57A42940-E407-4615-AF88-E2E1C827270D}" name=" 42" dataDxfId="90"/>
    <tableColumn id="43" xr3:uid="{CE47505B-FEFE-40A4-8F0B-1A8D5DB13D45}" name=" 43" dataDxfId="89"/>
    <tableColumn id="44" xr3:uid="{6103B1ED-634F-4EAC-A60C-F0F123009066}" name=" 44" dataDxfId="88"/>
    <tableColumn id="45" xr3:uid="{E581F6FF-9741-47EB-9320-25E03CEA8AD6}" name=" 45" dataDxfId="87"/>
    <tableColumn id="46" xr3:uid="{C2B25FAB-60F8-4C6D-81DC-74276817350F}" name=" 46" dataDxfId="86"/>
    <tableColumn id="47" xr3:uid="{E5113348-3F12-4D98-AF18-7919511B7777}" name=" 47" dataDxfId="85"/>
    <tableColumn id="48" xr3:uid="{A8707D10-DB01-49F5-AF0D-38310897D99B}" name=" 48" dataDxfId="84"/>
    <tableColumn id="49" xr3:uid="{90F0D1C5-3C17-41F5-8B18-611A67A1004C}" name=" 49" dataDxfId="83"/>
    <tableColumn id="50" xr3:uid="{0A4ED68B-0F9E-4DCC-A423-1139E1C57DBE}" name=" 50" dataDxfId="82"/>
    <tableColumn id="51" xr3:uid="{4068062B-B5C4-4980-91C9-5BD0FA2C5827}" name=" 51" dataDxfId="81"/>
    <tableColumn id="52" xr3:uid="{B22E7F33-7C29-453D-9DB7-A6E02FE7CAD9}" name=" 52" dataDxfId="80"/>
    <tableColumn id="53" xr3:uid="{09BD12EA-FCD2-466E-A3FE-892A016A7805}" name=" 53" dataDxfId="79"/>
    <tableColumn id="54" xr3:uid="{1B5C6841-7B70-4E0E-944F-756F66A5B6EE}" name=" 54" dataDxfId="78"/>
    <tableColumn id="55" xr3:uid="{32D08BD5-03F6-4D1B-8972-03EFB26B6A44}" name=" 55" dataDxfId="77"/>
    <tableColumn id="56" xr3:uid="{CBDF2F0C-C243-4781-9FE4-4A3F50F8457D}" name=" 56" dataDxfId="76"/>
    <tableColumn id="57" xr3:uid="{CD8081A8-62BC-47A8-8D04-AA90C1BB76E7}" name=" 57" dataDxfId="75"/>
    <tableColumn id="58" xr3:uid="{1578C485-49A8-4F83-A102-656D563A3538}" name=" 58" dataDxfId="74"/>
    <tableColumn id="59" xr3:uid="{BA1D9897-2230-4183-9DFA-A94FD9917348}" name=" 59" dataDxfId="73"/>
    <tableColumn id="60" xr3:uid="{484A4A62-4C65-4DDA-B2E2-5195A9739AB4}" name=" 60" dataDxfId="72"/>
    <tableColumn id="61" xr3:uid="{3D8A86CC-113C-45BB-B2B1-DC9AB7E3F80E}" name=" 61" dataDxfId="71"/>
    <tableColumn id="62" xr3:uid="{0BEDD66B-5872-43E9-9F15-922F999ADF9F}" name=" 62" dataDxfId="70"/>
    <tableColumn id="63" xr3:uid="{F262418B-A11B-414B-92D1-5EE8B46DF0B7}" name=" 63" dataDxfId="69"/>
    <tableColumn id="64" xr3:uid="{5D1C9ED5-A12D-4FDE-B87F-72B21C455E9E}" name=" 64" dataDxfId="68"/>
    <tableColumn id="65" xr3:uid="{942C0F16-56B4-44FA-BEB4-679520E91F7C}" name=" 65" dataDxfId="67"/>
    <tableColumn id="66" xr3:uid="{92987C7B-30DC-450F-ACA7-0619A43DE411}" name=" 66" dataDxfId="66"/>
    <tableColumn id="67" xr3:uid="{5DCB5944-E004-4D0E-8004-77D507E3BC6E}" name=" 67" dataDxfId="65"/>
    <tableColumn id="68" xr3:uid="{491E9825-A9A2-41D9-9121-7B298BBA44DF}" name=" 68" dataDxfId="64"/>
    <tableColumn id="69" xr3:uid="{FEF7C236-2038-4934-86CE-904763D81691}" name=" 69" dataDxfId="63"/>
    <tableColumn id="70" xr3:uid="{76D49E6F-3633-4A2C-97B5-0D99074BDB70}" name=" 70" dataDxfId="62"/>
    <tableColumn id="71" xr3:uid="{7A95FCEA-3D4F-4939-95EC-B58B8C8069F4}" name=" 71" dataDxfId="61"/>
    <tableColumn id="72" xr3:uid="{DE6C01E4-20C1-4F03-8C2E-3657D6E0E3AF}" name=" 72" dataDxfId="60"/>
    <tableColumn id="73" xr3:uid="{D2A22B32-FC1F-4FD3-8373-BF8C41237A5C}" name=" 73" dataDxfId="59"/>
    <tableColumn id="74" xr3:uid="{6F4CB342-A917-4AD3-89B6-D70C7A9A3B5B}" name=" 74" dataDxfId="58"/>
    <tableColumn id="75" xr3:uid="{739BDEC9-C04D-4A0B-ABED-A069DA21D484}" name=" 75" dataDxfId="57"/>
    <tableColumn id="76" xr3:uid="{9E55C217-5915-4AE8-8671-45547E32DE0E}" name=" 76" dataDxfId="56"/>
    <tableColumn id="77" xr3:uid="{B73CE0DC-8D4A-456A-B3FC-3BE916662D6B}" name=" 77" dataDxfId="55"/>
    <tableColumn id="78" xr3:uid="{F465BDE4-32AE-40F3-8E7F-10719A59C0E0}" name=" 78" dataDxfId="54"/>
    <tableColumn id="79" xr3:uid="{21788198-B634-4F10-9EB3-AC4AFB6C4F42}" name=" 79" dataDxfId="53"/>
    <tableColumn id="80" xr3:uid="{CF975431-D037-410A-8CE3-7EB8E5CB0A41}" name=" 80" dataDxfId="52"/>
    <tableColumn id="81" xr3:uid="{1D8A1D02-0B4E-49CE-B6E5-5AE84571DAD8}" name=" 81" dataDxfId="51"/>
    <tableColumn id="82" xr3:uid="{7F7D02D9-3FAF-4E34-95E2-8F435A3FA00D}" name=" 82" dataDxfId="50"/>
    <tableColumn id="83" xr3:uid="{D62BE47E-0588-46C8-8B9F-CCF985CADC0F}" name=" 83" dataDxfId="49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207F5DB-134F-4B73-89E2-70E1DD563C03}" name="tI18N" displayName="tI18N" ref="A3:H114" totalsRowShown="0" dataDxfId="6">
  <autoFilter ref="A3:H114" xr:uid="{20495ABC-A0D8-40BE-8188-61D0FEE75739}"/>
  <tableColumns count="8">
    <tableColumn id="1" xr3:uid="{73903A16-45BE-4CB3-B71C-3468798E69E6}" name="ID" dataDxfId="14"/>
    <tableColumn id="3" xr3:uid="{02ADB156-C3E9-44A8-BC1B-FB2018DC836B}" name="Param1" dataDxfId="13"/>
    <tableColumn id="4" xr3:uid="{CF8C7CB6-4B86-4085-ACCC-19CBFD4C59FE}" name="Param2" dataDxfId="12"/>
    <tableColumn id="5" xr3:uid="{1227E0CB-DF13-4AEB-9B7C-A5B66DBC0C3F}" name="Param3" dataDxfId="11"/>
    <tableColumn id="6" xr3:uid="{2E60890B-30E9-4D21-92C9-7B06D14BAF00}" name="Param4" dataDxfId="10"/>
    <tableColumn id="7" xr3:uid="{03AC2232-F9FA-428A-BCAB-A8039123FBB5}" name="Param5" dataDxfId="9"/>
    <tableColumn id="9" xr3:uid="{5D6B89C0-1432-4927-AC0D-CC962FDD7705}" name="en_US" dataDxfId="8"/>
    <tableColumn id="8" xr3:uid="{8F5786B6-467E-46BD-A85E-B24EA01C31DC}" name="fr_FR" dataDxfId="7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C3AF48E-7774-4B4C-A458-0353297BFF2A}" name="tJSON" displayName="tJSON" ref="B3:Q91" totalsRowShown="0" dataDxfId="48">
  <autoFilter ref="B3:Q91" xr:uid="{D9E8808B-D9E1-4272-8694-E8D5F2C45F29}"/>
  <tableColumns count="16">
    <tableColumn id="1" xr3:uid="{3A646773-BE89-4522-98D7-B786E44BE0DC}" name="Query" dataDxfId="47"/>
    <tableColumn id="9" xr3:uid="{C4EB6F9D-3EAD-42F0-84FF-9BBD170B0DE5}" name="Table" dataDxfId="46"/>
    <tableColumn id="8" xr3:uid="{70E4004F-52ED-4A60-A759-27AFE028F894}" name="I18N" dataDxfId="45"/>
    <tableColumn id="13" xr3:uid="{A78438C4-24D6-4E6E-A29B-E72CABDED5AB}" name="JSON Row Array" dataDxfId="44"/>
    <tableColumn id="2" xr3:uid="{DFC5B263-91CC-4653-8ADC-74A0368CD202}" name="JSON Column" dataDxfId="43"/>
    <tableColumn id="3" xr3:uid="{D5540814-CF2F-4ACB-B92D-22093C535E0C}" name="JSON Type" dataDxfId="42"/>
    <tableColumn id="11" xr3:uid="{EDC8EA7C-C33C-4E55-9909-B09F730AE94B}" name="Required" dataDxfId="41"/>
    <tableColumn id="4" xr3:uid="{8D0A36EB-752B-47BA-B4F5-009678ACFDD0}" name="Title" dataDxfId="40"/>
    <tableColumn id="12" xr3:uid="{B7222461-457D-4B90-9925-68BAF8D1E421}" name="Editor" dataDxfId="39"/>
    <tableColumn id="14" xr3:uid="{C8DD975C-C222-4560-AD83-9B3E4EF275CD}" name="Format" dataDxfId="38"/>
    <tableColumn id="15" xr3:uid="{30CC9560-5D67-406A-B687-D2883B19A560}" name="Level" dataDxfId="37"/>
    <tableColumn id="5" xr3:uid="{3613A1E0-361B-4D77-AB85-A190D3D733FC}" name="Hidden" dataDxfId="36"/>
    <tableColumn id="6" xr3:uid="{4FC768DF-246E-41E4-8A37-38EE7A822849}" name="Command" dataDxfId="35"/>
    <tableColumn id="10" xr3:uid="{08F0F3AA-70C9-46BE-9E8F-F9089FF43A15}" name="Params" dataDxfId="34"/>
    <tableColumn id="7" xr3:uid="{C3148FB9-B4AC-439B-977D-F7DC6FE2F875}" name="Position" dataDxfId="33"/>
    <tableColumn id="17" xr3:uid="{AAA7A96E-0AF3-43EB-9CAA-11C66E543F5D}" name="ReturnCol" dataDxfId="3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17B71501-A343-4D2E-A1D3-AC7530771EC1}" name="tJSON6" displayName="tJSON6" ref="B3:Q4" insertRow="1" totalsRowShown="0" dataDxfId="31">
  <autoFilter ref="B3:Q4" xr:uid="{D9E8808B-D9E1-4272-8694-E8D5F2C45F29}"/>
  <tableColumns count="16">
    <tableColumn id="1" xr3:uid="{848A5172-BE10-4671-A96C-19CB95280C30}" name="Query" dataDxfId="30"/>
    <tableColumn id="9" xr3:uid="{D4503C74-5BC6-42E3-9059-14AE6DF0435F}" name="Table" dataDxfId="29"/>
    <tableColumn id="8" xr3:uid="{6B1E570F-3015-4379-A06B-47DE792E9FF7}" name="I18N" dataDxfId="28"/>
    <tableColumn id="13" xr3:uid="{1F3DA983-C15A-44A1-9F86-08FE41BABCC4}" name="JSON Row Array" dataDxfId="27"/>
    <tableColumn id="2" xr3:uid="{2146287D-FA7C-4DC4-A184-861C99FB53FA}" name="JSON Column" dataDxfId="26"/>
    <tableColumn id="3" xr3:uid="{41F1B5AB-7B7D-4E20-9599-A4A18E607AC2}" name="JSON Type" dataDxfId="25"/>
    <tableColumn id="11" xr3:uid="{6B6D5F65-9066-427A-9E8E-83BC24FDA24E}" name="Required" dataDxfId="24"/>
    <tableColumn id="4" xr3:uid="{5632F87F-624C-41CA-9F02-FC8191282D24}" name="Title" dataDxfId="23"/>
    <tableColumn id="12" xr3:uid="{42F4ED45-AB09-422F-A7F0-D0219F6C21FB}" name="Editor" dataDxfId="22"/>
    <tableColumn id="14" xr3:uid="{2AA5569E-51E1-495E-B26C-0E3F01504CAF}" name="Format" dataDxfId="21"/>
    <tableColumn id="15" xr3:uid="{9FF31EFB-98A5-441C-AEEE-A8D70F766993}" name="Level" dataDxfId="20"/>
    <tableColumn id="5" xr3:uid="{AAEEF1F0-17A9-4995-BF9B-AB4346088E71}" name="Hidden" dataDxfId="19"/>
    <tableColumn id="6" xr3:uid="{7BDF45C7-3CB9-461B-82E3-465AF4328F16}" name="Command" dataDxfId="18"/>
    <tableColumn id="10" xr3:uid="{CC86848F-2654-487A-90EA-707ECEAFF905}" name="Params" dataDxfId="17"/>
    <tableColumn id="7" xr3:uid="{EB4FA941-2795-46FC-8CA9-7D002B610299}" name="Position" dataDxfId="16"/>
    <tableColumn id="17" xr3:uid="{CA1F3260-0D6C-4F7F-B7AE-4DFA8A856532}" name="ReturnCol" dataDxfId="15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hyperlink" Target="http://20.188.62.95/reportingmanager/api/reporting" TargetMode="External"/><Relationship Id="rId1" Type="http://schemas.openxmlformats.org/officeDocument/2006/relationships/hyperlink" Target="http://20.188.62.95/reportingmanager/api/reporting/%7bID%7d" TargetMode="Externa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0C1812-B0DA-4338-9FC4-A2A2F04E9A5D}">
  <sheetPr codeName="RF_I18N_Sheet"/>
  <dimension ref="B3:L47"/>
  <sheetViews>
    <sheetView showGridLines="0" tabSelected="1" zoomScaleNormal="100" workbookViewId="0">
      <selection activeCell="C3" sqref="C3"/>
    </sheetView>
  </sheetViews>
  <sheetFormatPr baseColWidth="10" defaultRowHeight="15" outlineLevelCol="1" x14ac:dyDescent="0.25"/>
  <cols>
    <col min="1" max="1" width="2.85546875" style="4" customWidth="1"/>
    <col min="2" max="2" width="7.85546875" style="4" customWidth="1"/>
    <col min="3" max="3" width="26.28515625" style="4" hidden="1" customWidth="1" outlineLevel="1"/>
    <col min="4" max="4" width="22.28515625" style="4" customWidth="1" collapsed="1"/>
    <col min="5" max="5" width="22.28515625" style="4" customWidth="1"/>
    <col min="6" max="6" width="27.140625" style="4" bestFit="1" customWidth="1"/>
    <col min="7" max="7" width="4" style="4" customWidth="1"/>
    <col min="8" max="8" width="14.28515625" style="4" customWidth="1"/>
    <col min="9" max="10" width="12.28515625" style="4" customWidth="1"/>
    <col min="11" max="11" width="6.7109375" style="4" customWidth="1"/>
    <col min="12" max="12" width="32.85546875" style="4" customWidth="1"/>
    <col min="13" max="16384" width="11.42578125" style="4"/>
  </cols>
  <sheetData>
    <row r="3" spans="2:12" x14ac:dyDescent="0.25">
      <c r="D3" s="17"/>
    </row>
    <row r="4" spans="2:12" x14ac:dyDescent="0.25">
      <c r="B4" s="4" t="str" cm="1">
        <f t="array" ref="B4">I18N_T(cellLanguage, "RF_Title")</f>
        <v>CTS Reporting Factory</v>
      </c>
      <c r="F4" s="12"/>
      <c r="I4" s="5" t="str" cm="1">
        <f t="array" ref="I4">I18N_Version(cellLanguage)</f>
        <v>Version 0.92 - 03/05/21</v>
      </c>
    </row>
    <row r="5" spans="2:12" x14ac:dyDescent="0.25">
      <c r="C5" s="20"/>
      <c r="D5" s="21"/>
      <c r="E5" s="22"/>
      <c r="F5" s="23"/>
    </row>
    <row r="6" spans="2:12" x14ac:dyDescent="0.25">
      <c r="C6" s="24"/>
      <c r="D6" s="24"/>
      <c r="E6" s="24"/>
      <c r="F6" s="24"/>
    </row>
    <row r="7" spans="2:12" x14ac:dyDescent="0.25">
      <c r="C7"/>
      <c r="D7"/>
      <c r="E7"/>
      <c r="F7"/>
    </row>
    <row r="10" spans="2:12" x14ac:dyDescent="0.25">
      <c r="C10"/>
      <c r="D10" s="11" t="str">
        <f>I18N_T(cellLanguage, "RF_Refresh")</f>
        <v>Refresh list</v>
      </c>
      <c r="E10"/>
      <c r="F10"/>
      <c r="G10"/>
      <c r="I10" s="7"/>
      <c r="J10" s="7"/>
      <c r="L10" s="6"/>
    </row>
    <row r="11" spans="2:12" x14ac:dyDescent="0.25">
      <c r="C11"/>
      <c r="D11"/>
      <c r="E11"/>
      <c r="F11" s="25">
        <f>SUBTOTAL(103, $D$14:$D$41)</f>
        <v>28</v>
      </c>
      <c r="G11"/>
      <c r="H11" s="17"/>
      <c r="I11" s="13"/>
      <c r="J11" s="13"/>
    </row>
    <row r="12" spans="2:12" hidden="1" x14ac:dyDescent="0.25">
      <c r="C12" s="9" t="str">
        <f>I18N_T(cellLanguage, "RF_ID")</f>
        <v>ID</v>
      </c>
      <c r="D12" s="22" t="str">
        <f>I18N_T(cellLanguage, "RF_Phase")</f>
        <v>Category</v>
      </c>
      <c r="E12" s="22" t="str">
        <f>I18N_T(cellLanguage, "RF_UpdatePeriod")</f>
        <v>Update Period</v>
      </c>
      <c r="F12" s="23" t="str">
        <f>I18N_T(cellLanguage, "RF_CreationDate")</f>
        <v>Created</v>
      </c>
      <c r="G12"/>
      <c r="H12" s="17"/>
      <c r="I12" s="13"/>
      <c r="J12" s="13"/>
    </row>
    <row r="13" spans="2:12" ht="15" customHeight="1" x14ac:dyDescent="0.25">
      <c r="C13" s="24" t="s">
        <v>206</v>
      </c>
      <c r="D13" s="24" t="s">
        <v>207</v>
      </c>
      <c r="E13" s="24" t="s">
        <v>208</v>
      </c>
      <c r="F13" s="24" t="s">
        <v>209</v>
      </c>
      <c r="H13" s="17"/>
      <c r="I13" s="13"/>
      <c r="J13" s="13"/>
    </row>
    <row r="14" spans="2:12" x14ac:dyDescent="0.25">
      <c r="C14" s="45">
        <v>52428888</v>
      </c>
      <c r="D14" s="45" t="s">
        <v>21</v>
      </c>
      <c r="E14" s="45" t="s">
        <v>517</v>
      </c>
      <c r="F14" s="45" t="s">
        <v>621</v>
      </c>
      <c r="H14" s="11" t="str">
        <f>I18N_T(cellLanguage, "RF_Modify")</f>
        <v>Modify</v>
      </c>
      <c r="I14" s="11" t="str">
        <f>I18N_T(cellLanguage, "RF_Duplicate")</f>
        <v>Duplicate</v>
      </c>
      <c r="J14" s="13"/>
      <c r="L14" s="8"/>
    </row>
    <row r="15" spans="2:12" x14ac:dyDescent="0.25">
      <c r="C15" s="45">
        <v>52428859</v>
      </c>
      <c r="D15" s="45" t="s">
        <v>21</v>
      </c>
      <c r="E15" s="45" t="s">
        <v>622</v>
      </c>
      <c r="F15" s="45" t="s">
        <v>623</v>
      </c>
      <c r="H15" s="11" t="str">
        <f>I18N_T(cellLanguage, "RF_Modify")</f>
        <v>Modify</v>
      </c>
      <c r="I15" s="11" t="str">
        <f>I18N_T(cellLanguage, "RF_Duplicate")</f>
        <v>Duplicate</v>
      </c>
      <c r="J15" s="13"/>
    </row>
    <row r="16" spans="2:12" x14ac:dyDescent="0.25">
      <c r="C16" s="45">
        <v>52428858</v>
      </c>
      <c r="D16" s="45" t="s">
        <v>21</v>
      </c>
      <c r="E16" s="45" t="s">
        <v>624</v>
      </c>
      <c r="F16" s="45" t="s">
        <v>625</v>
      </c>
      <c r="H16" s="11" t="str">
        <f>I18N_T(cellLanguage, "RF_Modify")</f>
        <v>Modify</v>
      </c>
      <c r="I16" s="11" t="str">
        <f>I18N_T(cellLanguage, "RF_Duplicate")</f>
        <v>Duplicate</v>
      </c>
      <c r="J16" s="13"/>
    </row>
    <row r="17" spans="3:10" x14ac:dyDescent="0.25">
      <c r="C17" s="45">
        <v>52428847</v>
      </c>
      <c r="D17" s="45" t="s">
        <v>21</v>
      </c>
      <c r="E17" s="45" t="s">
        <v>626</v>
      </c>
      <c r="F17" s="45" t="s">
        <v>627</v>
      </c>
      <c r="H17" s="11" t="str">
        <f>I18N_T(cellLanguage, "RF_Modify")</f>
        <v>Modify</v>
      </c>
      <c r="I17" s="11" t="str">
        <f>I18N_T(cellLanguage, "RF_Duplicate")</f>
        <v>Duplicate</v>
      </c>
      <c r="J17" s="13"/>
    </row>
    <row r="18" spans="3:10" x14ac:dyDescent="0.25">
      <c r="C18" s="45">
        <v>52428855</v>
      </c>
      <c r="D18" s="45" t="s">
        <v>21</v>
      </c>
      <c r="E18" s="45" t="s">
        <v>628</v>
      </c>
      <c r="F18" s="45" t="s">
        <v>629</v>
      </c>
      <c r="H18" s="11" t="str">
        <f>I18N_T(cellLanguage, "RF_Modify")</f>
        <v>Modify</v>
      </c>
      <c r="I18" s="11" t="str">
        <f>I18N_T(cellLanguage, "RF_Duplicate")</f>
        <v>Duplicate</v>
      </c>
      <c r="J18" s="13"/>
    </row>
    <row r="19" spans="3:10" x14ac:dyDescent="0.25">
      <c r="C19" s="45">
        <v>52428853</v>
      </c>
      <c r="D19" s="45" t="s">
        <v>21</v>
      </c>
      <c r="E19" s="45" t="s">
        <v>630</v>
      </c>
      <c r="F19" s="45" t="s">
        <v>631</v>
      </c>
      <c r="H19" s="11" t="str">
        <f>I18N_T(cellLanguage, "RF_Modify")</f>
        <v>Modify</v>
      </c>
      <c r="I19" s="11" t="str">
        <f>I18N_T(cellLanguage, "RF_Duplicate")</f>
        <v>Duplicate</v>
      </c>
      <c r="J19" s="13"/>
    </row>
    <row r="20" spans="3:10" x14ac:dyDescent="0.25">
      <c r="C20" s="45">
        <v>52428851</v>
      </c>
      <c r="D20" s="45" t="s">
        <v>21</v>
      </c>
      <c r="E20" s="45" t="s">
        <v>632</v>
      </c>
      <c r="F20" s="45" t="s">
        <v>633</v>
      </c>
      <c r="H20" s="11" t="str">
        <f>I18N_T(cellLanguage, "RF_Modify")</f>
        <v>Modify</v>
      </c>
      <c r="I20" s="11" t="str">
        <f>I18N_T(cellLanguage, "RF_Duplicate")</f>
        <v>Duplicate</v>
      </c>
      <c r="J20" s="13"/>
    </row>
    <row r="21" spans="3:10" x14ac:dyDescent="0.25">
      <c r="C21" s="45">
        <v>52428848</v>
      </c>
      <c r="D21" s="45" t="s">
        <v>21</v>
      </c>
      <c r="E21" s="45" t="s">
        <v>634</v>
      </c>
      <c r="F21" s="45" t="s">
        <v>635</v>
      </c>
      <c r="H21" s="11" t="str">
        <f>I18N_T(cellLanguage, "RF_Modify")</f>
        <v>Modify</v>
      </c>
      <c r="I21" s="11" t="str">
        <f>I18N_T(cellLanguage, "RF_Duplicate")</f>
        <v>Duplicate</v>
      </c>
      <c r="J21" s="13"/>
    </row>
    <row r="22" spans="3:10" x14ac:dyDescent="0.25">
      <c r="C22" s="45">
        <v>52428841</v>
      </c>
      <c r="D22" s="45" t="s">
        <v>21</v>
      </c>
      <c r="E22" s="45" t="s">
        <v>636</v>
      </c>
      <c r="F22" s="45" t="s">
        <v>637</v>
      </c>
      <c r="H22" s="11" t="str">
        <f>I18N_T(cellLanguage, "RF_Modify")</f>
        <v>Modify</v>
      </c>
      <c r="I22" s="11" t="str">
        <f>I18N_T(cellLanguage, "RF_Duplicate")</f>
        <v>Duplicate</v>
      </c>
      <c r="J22" s="13"/>
    </row>
    <row r="23" spans="3:10" x14ac:dyDescent="0.25">
      <c r="C23" s="45">
        <v>52428840</v>
      </c>
      <c r="D23" s="45" t="s">
        <v>21</v>
      </c>
      <c r="E23" s="45" t="s">
        <v>638</v>
      </c>
      <c r="F23" s="45" t="s">
        <v>639</v>
      </c>
      <c r="H23" s="11" t="str">
        <f>I18N_T(cellLanguage, "RF_Modify")</f>
        <v>Modify</v>
      </c>
      <c r="I23" s="11" t="str">
        <f>I18N_T(cellLanguage, "RF_Duplicate")</f>
        <v>Duplicate</v>
      </c>
      <c r="J23" s="13"/>
    </row>
    <row r="24" spans="3:10" x14ac:dyDescent="0.25">
      <c r="C24" s="45">
        <v>52428838</v>
      </c>
      <c r="D24" s="45" t="s">
        <v>21</v>
      </c>
      <c r="E24" s="45" t="s">
        <v>640</v>
      </c>
      <c r="F24" s="45" t="s">
        <v>641</v>
      </c>
      <c r="H24" s="11" t="str">
        <f>I18N_T(cellLanguage, "RF_Modify")</f>
        <v>Modify</v>
      </c>
      <c r="I24" s="11" t="str">
        <f>I18N_T(cellLanguage, "RF_Duplicate")</f>
        <v>Duplicate</v>
      </c>
      <c r="J24" s="13"/>
    </row>
    <row r="25" spans="3:10" x14ac:dyDescent="0.25">
      <c r="C25" s="45">
        <v>52428832</v>
      </c>
      <c r="D25" s="45" t="s">
        <v>21</v>
      </c>
      <c r="E25" s="45" t="s">
        <v>642</v>
      </c>
      <c r="F25" s="45" t="s">
        <v>643</v>
      </c>
      <c r="H25" s="11" t="str">
        <f>I18N_T(cellLanguage, "RF_Modify")</f>
        <v>Modify</v>
      </c>
      <c r="I25" s="11" t="str">
        <f>I18N_T(cellLanguage, "RF_Duplicate")</f>
        <v>Duplicate</v>
      </c>
      <c r="J25" s="13"/>
    </row>
    <row r="26" spans="3:10" x14ac:dyDescent="0.25">
      <c r="C26" s="45">
        <v>52428830</v>
      </c>
      <c r="D26" s="45" t="s">
        <v>21</v>
      </c>
      <c r="E26" s="45" t="s">
        <v>644</v>
      </c>
      <c r="F26" s="45" t="s">
        <v>645</v>
      </c>
      <c r="H26" s="11" t="str">
        <f>I18N_T(cellLanguage, "RF_Modify")</f>
        <v>Modify</v>
      </c>
      <c r="I26" s="11" t="str">
        <f>I18N_T(cellLanguage, "RF_Duplicate")</f>
        <v>Duplicate</v>
      </c>
      <c r="J26" s="13"/>
    </row>
    <row r="27" spans="3:10" x14ac:dyDescent="0.25">
      <c r="C27" s="45">
        <v>52428829</v>
      </c>
      <c r="D27" s="45" t="s">
        <v>21</v>
      </c>
      <c r="E27" s="45" t="s">
        <v>646</v>
      </c>
      <c r="F27" s="45" t="s">
        <v>647</v>
      </c>
      <c r="H27" s="11" t="str">
        <f>I18N_T(cellLanguage, "RF_Modify")</f>
        <v>Modify</v>
      </c>
      <c r="I27" s="11" t="str">
        <f>I18N_T(cellLanguage, "RF_Duplicate")</f>
        <v>Duplicate</v>
      </c>
      <c r="J27" s="13"/>
    </row>
    <row r="28" spans="3:10" x14ac:dyDescent="0.25">
      <c r="C28" s="45">
        <v>52428827</v>
      </c>
      <c r="D28" s="45" t="s">
        <v>21</v>
      </c>
      <c r="E28" s="45" t="s">
        <v>648</v>
      </c>
      <c r="F28" s="45" t="s">
        <v>649</v>
      </c>
      <c r="H28" s="11" t="str">
        <f>I18N_T(cellLanguage, "RF_Modify")</f>
        <v>Modify</v>
      </c>
      <c r="I28" s="11" t="str">
        <f>I18N_T(cellLanguage, "RF_Duplicate")</f>
        <v>Duplicate</v>
      </c>
      <c r="J28" s="13"/>
    </row>
    <row r="29" spans="3:10" x14ac:dyDescent="0.25">
      <c r="C29" s="45">
        <v>79</v>
      </c>
      <c r="D29" s="45" t="s">
        <v>21</v>
      </c>
      <c r="E29" s="45" t="s">
        <v>650</v>
      </c>
      <c r="F29" s="45" t="s">
        <v>651</v>
      </c>
      <c r="H29" s="11" t="str">
        <f>I18N_T(cellLanguage, "RF_Modify")</f>
        <v>Modify</v>
      </c>
      <c r="I29" s="11" t="str">
        <f>I18N_T(cellLanguage, "RF_Duplicate")</f>
        <v>Duplicate</v>
      </c>
      <c r="J29" s="13"/>
    </row>
    <row r="30" spans="3:10" x14ac:dyDescent="0.25">
      <c r="C30" s="45">
        <v>77</v>
      </c>
      <c r="D30" s="45" t="s">
        <v>21</v>
      </c>
      <c r="E30" s="45" t="s">
        <v>652</v>
      </c>
      <c r="F30" s="45" t="s">
        <v>653</v>
      </c>
      <c r="H30" s="11" t="str">
        <f>I18N_T(cellLanguage, "RF_Modify")</f>
        <v>Modify</v>
      </c>
      <c r="I30" s="11" t="str">
        <f>I18N_T(cellLanguage, "RF_Duplicate")</f>
        <v>Duplicate</v>
      </c>
      <c r="J30" s="13"/>
    </row>
    <row r="31" spans="3:10" x14ac:dyDescent="0.25">
      <c r="C31" s="45">
        <v>55</v>
      </c>
      <c r="D31" s="45" t="s">
        <v>21</v>
      </c>
      <c r="E31" s="45" t="s">
        <v>654</v>
      </c>
      <c r="F31" s="45" t="s">
        <v>655</v>
      </c>
      <c r="H31" s="11" t="str">
        <f>I18N_T(cellLanguage, "RF_Modify")</f>
        <v>Modify</v>
      </c>
      <c r="I31" s="11" t="str">
        <f>I18N_T(cellLanguage, "RF_Duplicate")</f>
        <v>Duplicate</v>
      </c>
      <c r="J31" s="13"/>
    </row>
    <row r="32" spans="3:10" x14ac:dyDescent="0.25">
      <c r="C32" s="45">
        <v>67</v>
      </c>
      <c r="D32" s="45" t="s">
        <v>21</v>
      </c>
      <c r="E32" s="45" t="s">
        <v>656</v>
      </c>
      <c r="F32" s="45" t="s">
        <v>657</v>
      </c>
      <c r="H32" s="11" t="str">
        <f>I18N_T(cellLanguage, "RF_Modify")</f>
        <v>Modify</v>
      </c>
      <c r="I32" s="11" t="str">
        <f>I18N_T(cellLanguage, "RF_Duplicate")</f>
        <v>Duplicate</v>
      </c>
      <c r="J32" s="13"/>
    </row>
    <row r="33" spans="3:10" x14ac:dyDescent="0.25">
      <c r="C33" s="45">
        <v>68</v>
      </c>
      <c r="D33" s="45" t="s">
        <v>21</v>
      </c>
      <c r="E33" s="45" t="s">
        <v>658</v>
      </c>
      <c r="F33" s="45" t="s">
        <v>659</v>
      </c>
      <c r="H33" s="11" t="str">
        <f>I18N_T(cellLanguage, "RF_Modify")</f>
        <v>Modify</v>
      </c>
      <c r="I33" s="11" t="str">
        <f>I18N_T(cellLanguage, "RF_Duplicate")</f>
        <v>Duplicate</v>
      </c>
      <c r="J33" s="13"/>
    </row>
    <row r="34" spans="3:10" x14ac:dyDescent="0.25">
      <c r="C34" s="45">
        <v>69</v>
      </c>
      <c r="D34" s="45" t="s">
        <v>21</v>
      </c>
      <c r="E34" s="45" t="s">
        <v>660</v>
      </c>
      <c r="F34" s="45" t="s">
        <v>661</v>
      </c>
      <c r="H34" s="11" t="str">
        <f>I18N_T(cellLanguage, "RF_Modify")</f>
        <v>Modify</v>
      </c>
      <c r="I34" s="11" t="str">
        <f>I18N_T(cellLanguage, "RF_Duplicate")</f>
        <v>Duplicate</v>
      </c>
      <c r="J34" s="13"/>
    </row>
    <row r="35" spans="3:10" x14ac:dyDescent="0.25">
      <c r="C35" s="45">
        <v>56</v>
      </c>
      <c r="D35" s="45" t="s">
        <v>21</v>
      </c>
      <c r="E35" s="45" t="s">
        <v>662</v>
      </c>
      <c r="F35" s="45" t="s">
        <v>663</v>
      </c>
      <c r="H35" s="11" t="str">
        <f>I18N_T(cellLanguage, "RF_Modify")</f>
        <v>Modify</v>
      </c>
      <c r="I35" s="11" t="str">
        <f>I18N_T(cellLanguage, "RF_Duplicate")</f>
        <v>Duplicate</v>
      </c>
      <c r="J35" s="13"/>
    </row>
    <row r="36" spans="3:10" x14ac:dyDescent="0.25">
      <c r="C36" s="45">
        <v>52428802</v>
      </c>
      <c r="D36" s="45" t="s">
        <v>21</v>
      </c>
      <c r="E36" s="45" t="s">
        <v>664</v>
      </c>
      <c r="F36" s="45" t="s">
        <v>665</v>
      </c>
      <c r="H36" s="11" t="str">
        <f>I18N_T(cellLanguage, "RF_Modify")</f>
        <v>Modify</v>
      </c>
      <c r="I36" s="11" t="str">
        <f>I18N_T(cellLanguage, "RF_Duplicate")</f>
        <v>Duplicate</v>
      </c>
      <c r="J36" s="13"/>
    </row>
    <row r="37" spans="3:10" x14ac:dyDescent="0.25">
      <c r="C37" s="45">
        <v>71</v>
      </c>
      <c r="D37" s="45" t="s">
        <v>21</v>
      </c>
      <c r="E37" s="45" t="s">
        <v>666</v>
      </c>
      <c r="F37" s="45" t="s">
        <v>667</v>
      </c>
      <c r="H37" s="11" t="str">
        <f>I18N_T(cellLanguage, "RF_Modify")</f>
        <v>Modify</v>
      </c>
      <c r="I37" s="11" t="str">
        <f>I18N_T(cellLanguage, "RF_Duplicate")</f>
        <v>Duplicate</v>
      </c>
      <c r="J37" s="13"/>
    </row>
    <row r="38" spans="3:10" x14ac:dyDescent="0.25">
      <c r="C38" s="45">
        <v>73</v>
      </c>
      <c r="D38" s="45" t="s">
        <v>21</v>
      </c>
      <c r="E38" s="45" t="s">
        <v>668</v>
      </c>
      <c r="F38" s="45" t="s">
        <v>669</v>
      </c>
      <c r="H38" s="11" t="str">
        <f>I18N_T(cellLanguage, "RF_Modify")</f>
        <v>Modify</v>
      </c>
      <c r="I38" s="11" t="str">
        <f>I18N_T(cellLanguage, "RF_Duplicate")</f>
        <v>Duplicate</v>
      </c>
      <c r="J38" s="13"/>
    </row>
    <row r="39" spans="3:10" x14ac:dyDescent="0.25">
      <c r="C39" s="45">
        <v>61</v>
      </c>
      <c r="D39" s="45" t="s">
        <v>21</v>
      </c>
      <c r="E39" s="45" t="s">
        <v>670</v>
      </c>
      <c r="F39" s="45" t="s">
        <v>671</v>
      </c>
      <c r="H39" s="11" t="str">
        <f>I18N_T(cellLanguage, "RF_Modify")</f>
        <v>Modify</v>
      </c>
      <c r="I39" s="11" t="str">
        <f>I18N_T(cellLanguage, "RF_Duplicate")</f>
        <v>Duplicate</v>
      </c>
      <c r="J39" s="13"/>
    </row>
    <row r="40" spans="3:10" x14ac:dyDescent="0.25">
      <c r="C40" s="45">
        <v>59</v>
      </c>
      <c r="D40" s="45" t="s">
        <v>21</v>
      </c>
      <c r="E40" s="45" t="s">
        <v>672</v>
      </c>
      <c r="F40" s="45" t="s">
        <v>673</v>
      </c>
      <c r="H40" s="11" t="str">
        <f>I18N_T(cellLanguage, "RF_Modify")</f>
        <v>Modify</v>
      </c>
      <c r="I40" s="11" t="str">
        <f>I18N_T(cellLanguage, "RF_Duplicate")</f>
        <v>Duplicate</v>
      </c>
      <c r="J40" s="13"/>
    </row>
    <row r="41" spans="3:10" x14ac:dyDescent="0.25">
      <c r="C41" s="45">
        <v>60</v>
      </c>
      <c r="D41" s="45" t="s">
        <v>21</v>
      </c>
      <c r="E41" s="45" t="s">
        <v>674</v>
      </c>
      <c r="F41" s="45" t="s">
        <v>675</v>
      </c>
      <c r="H41" s="11" t="str">
        <f>I18N_T(cellLanguage, "RF_Modify")</f>
        <v>Modify</v>
      </c>
      <c r="I41" s="11" t="str">
        <f>I18N_T(cellLanguage, "RF_Duplicate")</f>
        <v>Duplicate</v>
      </c>
      <c r="J41" s="13"/>
    </row>
    <row r="42" spans="3:10" x14ac:dyDescent="0.25">
      <c r="C42"/>
      <c r="D42"/>
      <c r="E42"/>
      <c r="F42"/>
      <c r="H42"/>
      <c r="I42"/>
      <c r="J42" s="13"/>
    </row>
    <row r="43" spans="3:10" x14ac:dyDescent="0.25">
      <c r="C43"/>
      <c r="D43"/>
      <c r="E43"/>
      <c r="F43"/>
      <c r="H43"/>
      <c r="I43"/>
      <c r="J43" s="13"/>
    </row>
    <row r="44" spans="3:10" x14ac:dyDescent="0.25">
      <c r="C44"/>
      <c r="D44"/>
      <c r="E44"/>
      <c r="F44"/>
      <c r="H44"/>
      <c r="I44"/>
      <c r="J44" s="13"/>
    </row>
    <row r="45" spans="3:10" x14ac:dyDescent="0.25">
      <c r="C45"/>
      <c r="D45"/>
      <c r="E45"/>
      <c r="F45"/>
      <c r="H45"/>
      <c r="I45"/>
      <c r="J45" s="13"/>
    </row>
    <row r="46" spans="3:10" x14ac:dyDescent="0.25">
      <c r="C46"/>
      <c r="D46"/>
      <c r="E46"/>
      <c r="F46"/>
      <c r="H46"/>
      <c r="I46"/>
      <c r="J46" s="13"/>
    </row>
    <row r="47" spans="3:10" x14ac:dyDescent="0.25">
      <c r="C47"/>
      <c r="D47"/>
      <c r="E47"/>
      <c r="F47"/>
      <c r="H47"/>
      <c r="I47"/>
      <c r="J47" s="13"/>
    </row>
  </sheetData>
  <sheetProtection sheet="1" objects="1" scenarios="1" formatCells="0" formatColumns="0" formatRows="0" insertRows="0" sort="0" autoFilter="0"/>
  <hyperlinks>
    <hyperlink ref="D10" location="C3" tooltip=" " display="C3" xr:uid="{E2EADE0D-7B86-4F9E-9562-4621FB0B1FFE}"/>
    <hyperlink ref="H14" location="C3" tooltip=" " display="C3" xr:uid="{F8AEA047-E13B-4A3B-BAD7-7931CF09D4C3}"/>
    <hyperlink ref="I14" location="C3" tooltip=" " display="C3" xr:uid="{205CA077-C2E9-4DCF-811C-C75EF0C6C499}"/>
    <hyperlink ref="H15" location="C3" tooltip=" " display="C3" xr:uid="{F7BD8E05-1B79-4BD3-B8FA-1D2376F5A055}"/>
    <hyperlink ref="H16" location="C3" tooltip=" " display="C3" xr:uid="{1F551AB2-1882-47E3-8986-6A39253251C2}"/>
    <hyperlink ref="H17" location="C3" tooltip=" " display="C3" xr:uid="{B2579C20-9576-45B6-B1CB-5EFBD7F0C3C8}"/>
    <hyperlink ref="H18" location="C3" tooltip=" " display="C3" xr:uid="{6C1DFED9-7FB7-4063-9161-25676A3F91EC}"/>
    <hyperlink ref="H19" location="C3" tooltip=" " display="C3" xr:uid="{0FB3691F-0920-482A-A150-BC71F8FA54EE}"/>
    <hyperlink ref="H20" location="C3" tooltip=" " display="C3" xr:uid="{D549D1E2-F980-48DE-827D-0F92D5014904}"/>
    <hyperlink ref="H21" location="C3" tooltip=" " display="C3" xr:uid="{89FDD39E-17BF-406F-8776-301D7F1AA56A}"/>
    <hyperlink ref="H22" location="C3" tooltip=" " display="C3" xr:uid="{8B0FC26D-B0A1-4B47-A0AD-344A15B46DF0}"/>
    <hyperlink ref="H23" location="C3" tooltip=" " display="C3" xr:uid="{A1750170-3058-43AF-96DD-BCB38CAAF080}"/>
    <hyperlink ref="H24" location="C3" tooltip=" " display="C3" xr:uid="{280BE0A1-2B51-494B-9A41-E25863DFDF9E}"/>
    <hyperlink ref="H25" location="C3" tooltip=" " display="C3" xr:uid="{592F61A5-BFB1-4EAF-A938-B3B67DCD82D9}"/>
    <hyperlink ref="H26" location="C3" tooltip=" " display="C3" xr:uid="{A18DD8DB-54F9-4124-8993-118C1DD1B551}"/>
    <hyperlink ref="H27" location="C3" tooltip=" " display="C3" xr:uid="{1D773D41-FB0F-4524-BC77-3A6B7CF24D0E}"/>
    <hyperlink ref="H28" location="C3" tooltip=" " display="C3" xr:uid="{35C63FF1-21D2-436B-8316-921C5CDF2CAE}"/>
    <hyperlink ref="H29" location="C3" tooltip=" " display="C3" xr:uid="{F3EE7105-EB86-4F80-BDA4-87DD44E4E7E0}"/>
    <hyperlink ref="H30" location="C3" tooltip=" " display="C3" xr:uid="{A0F107B8-F74A-4F8B-95DF-C0A1073B563C}"/>
    <hyperlink ref="H31" location="C3" tooltip=" " display="C3" xr:uid="{2E77159A-34D3-48D2-A443-314952FEAFB6}"/>
    <hyperlink ref="H32" location="C3" tooltip=" " display="C3" xr:uid="{F63CBE67-DD63-4590-9B81-CC444E4EBC74}"/>
    <hyperlink ref="H33" location="C3" tooltip=" " display="C3" xr:uid="{C7202B6D-897D-4FDE-B491-F93075D38A5D}"/>
    <hyperlink ref="H34" location="C3" tooltip=" " display="C3" xr:uid="{80D7F415-994C-4304-A540-C1C6B3F7D255}"/>
    <hyperlink ref="H35" location="C3" tooltip=" " display="C3" xr:uid="{E544F721-5876-4125-8401-AA913BAF3E60}"/>
    <hyperlink ref="H36" location="C3" tooltip=" " display="C3" xr:uid="{DE036BAA-EC75-4B1D-9F23-AFF44C96F4A5}"/>
    <hyperlink ref="H37" location="C3" tooltip=" " display="C3" xr:uid="{9F7CB555-6F63-4E18-A5AE-3AE31DFCAF26}"/>
    <hyperlink ref="H38" location="C3" tooltip=" " display="C3" xr:uid="{D2BE43EC-4BE2-4D03-B8D4-F93EBFCD52FB}"/>
    <hyperlink ref="H39" location="C3" tooltip=" " display="C3" xr:uid="{63D57CF6-483F-4E8C-99A5-1D715C6E69FF}"/>
    <hyperlink ref="H40" location="C3" tooltip=" " display="C3" xr:uid="{90FDFC65-1472-4490-BCAB-485BC618BB0E}"/>
    <hyperlink ref="H41" location="C3" tooltip=" " display="C3" xr:uid="{F238A013-D9B9-496C-9E44-5939FF3ED4A4}"/>
    <hyperlink ref="I15" location="C3" tooltip=" " display="C3" xr:uid="{BDA34785-674C-4862-A354-15675DAF8E73}"/>
    <hyperlink ref="I16" location="C3" tooltip=" " display="C3" xr:uid="{AE1F89FF-B02F-49B4-BFB2-2FE653D6DC7C}"/>
    <hyperlink ref="I17" location="C3" tooltip=" " display="C3" xr:uid="{1CC3D41B-6BEA-4FB4-98E0-60195E6DF7BA}"/>
    <hyperlink ref="I18" location="C3" tooltip=" " display="C3" xr:uid="{942A851F-387C-4B37-946B-A7C73D51F7BC}"/>
    <hyperlink ref="I19" location="C3" tooltip=" " display="C3" xr:uid="{A6637BD2-726B-489D-B17F-6D576E7E647F}"/>
    <hyperlink ref="I20" location="C3" tooltip=" " display="C3" xr:uid="{FBE66B0C-0C56-4368-9EF2-83EDEF818DB1}"/>
    <hyperlink ref="I21" location="C3" tooltip=" " display="C3" xr:uid="{C83CCE69-B08D-4957-9FE9-2B861044072D}"/>
    <hyperlink ref="I22" location="C3" tooltip=" " display="C3" xr:uid="{675F0721-D004-4A42-AC70-E89FCE0841CE}"/>
    <hyperlink ref="I23" location="C3" tooltip=" " display="C3" xr:uid="{B9BB0A88-7BFC-4F72-A7BA-79D0EED7DDA5}"/>
    <hyperlink ref="I24" location="C3" tooltip=" " display="C3" xr:uid="{F7C1CF9F-2D38-4C6A-ACD5-1D3764207460}"/>
    <hyperlink ref="I25" location="C3" tooltip=" " display="C3" xr:uid="{005FE7E0-002A-4E5C-9F5A-F096272D3A9F}"/>
    <hyperlink ref="I26" location="C3" tooltip=" " display="C3" xr:uid="{A20955B4-00CD-4819-86DB-1E68CF6B5352}"/>
    <hyperlink ref="I27" location="C3" tooltip=" " display="C3" xr:uid="{2350E584-89AA-4C56-9E15-E9B7058F5E22}"/>
    <hyperlink ref="I28" location="C3" tooltip=" " display="C3" xr:uid="{CAB77909-01C9-4793-844D-3F73708CFE85}"/>
    <hyperlink ref="I29" location="C3" tooltip=" " display="C3" xr:uid="{87E0F098-6A93-44A5-B153-6AB8B8588ED1}"/>
    <hyperlink ref="I30" location="C3" tooltip=" " display="C3" xr:uid="{C56B8163-7581-41FE-B976-EEE6AFEC9979}"/>
    <hyperlink ref="I31" location="C3" tooltip=" " display="C3" xr:uid="{F79F83C2-BAD8-4118-A8DF-36F1FA919F18}"/>
    <hyperlink ref="I32" location="C3" tooltip=" " display="C3" xr:uid="{24C574F3-AEC6-4662-9F51-4B6937FA6BA8}"/>
    <hyperlink ref="I33" location="C3" tooltip=" " display="C3" xr:uid="{422EF702-BF8E-4D08-B5FD-09878D0E1481}"/>
    <hyperlink ref="I34" location="C3" tooltip=" " display="C3" xr:uid="{33CD962B-605B-4537-8FCB-4C705E150661}"/>
    <hyperlink ref="I35" location="C3" tooltip=" " display="C3" xr:uid="{126BEE11-66B5-4BAF-BFEF-08FD287151D6}"/>
    <hyperlink ref="I36" location="C3" tooltip=" " display="C3" xr:uid="{C11E3E29-9516-4D2D-B0BF-11C61BFFC81C}"/>
    <hyperlink ref="I37" location="C3" tooltip=" " display="C3" xr:uid="{699DAF66-DDD6-42BF-ACBF-2E58387922FC}"/>
    <hyperlink ref="I38" location="C3" tooltip=" " display="C3" xr:uid="{90721A7D-5F80-4EBE-A95F-466251B43335}"/>
    <hyperlink ref="I39" location="C3" tooltip=" " display="C3" xr:uid="{E8111294-603A-41DC-814D-645BF197249E}"/>
    <hyperlink ref="I40" location="C3" tooltip=" " display="C3" xr:uid="{0D5AAEC5-6675-4CD6-8155-0E820BCBEC36}"/>
    <hyperlink ref="I41" location="C3" tooltip=" " display="C3" xr:uid="{6C481136-06DD-4E92-B992-EDBE11D39DE4}"/>
  </hyperlinks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7E9367-2B92-4236-85BD-999E040CA7C0}">
  <sheetPr codeName="Feuil1">
    <outlinePr summaryRight="0"/>
  </sheetPr>
  <dimension ref="B2:CF6"/>
  <sheetViews>
    <sheetView showGridLines="0" workbookViewId="0">
      <selection activeCell="C3" sqref="C3"/>
    </sheetView>
  </sheetViews>
  <sheetFormatPr baseColWidth="10" defaultColWidth="16.7109375" defaultRowHeight="15" outlineLevelCol="3" x14ac:dyDescent="0.25"/>
  <cols>
    <col min="1" max="1" width="16.7109375" style="18"/>
    <col min="2" max="2" width="6.7109375" style="18" customWidth="1"/>
    <col min="3" max="5" width="16.7109375" style="18" outlineLevel="3"/>
    <col min="6" max="7" width="21.42578125" style="18" bestFit="1" customWidth="1" outlineLevel="3"/>
    <col min="8" max="8" width="11.7109375" style="18" bestFit="1" customWidth="1" outlineLevel="1"/>
    <col min="9" max="9" width="9.7109375" style="18" bestFit="1" customWidth="1" outlineLevel="1"/>
    <col min="10" max="29" width="16.7109375" style="18" customWidth="1" outlineLevel="3"/>
    <col min="30" max="30" width="16.7109375" style="18" outlineLevel="1"/>
    <col min="31" max="32" width="16.7109375" style="18" customWidth="1" outlineLevel="3"/>
    <col min="33" max="33" width="16.7109375" style="18" customWidth="1" outlineLevel="2"/>
    <col min="34" max="37" width="16.7109375" style="18" customWidth="1" outlineLevel="3"/>
    <col min="38" max="38" width="16.7109375" style="18" customWidth="1" outlineLevel="2"/>
    <col min="39" max="42" width="16.7109375" style="18" customWidth="1" outlineLevel="3"/>
    <col min="43" max="43" width="6.7109375" style="18" customWidth="1"/>
    <col min="44" max="47" width="16.7109375" style="18" outlineLevel="3"/>
    <col min="48" max="48" width="16.7109375" style="18" outlineLevel="1"/>
    <col min="49" max="68" width="16.7109375" style="18" outlineLevel="3"/>
    <col min="69" max="69" width="16.7109375" style="18" outlineLevel="1"/>
    <col min="70" max="72" width="16.7109375" style="18" outlineLevel="3"/>
    <col min="73" max="73" width="16.7109375" style="18" outlineLevel="2"/>
    <col min="74" max="78" width="16.7109375" style="18" outlineLevel="3"/>
    <col min="79" max="79" width="16.7109375" style="18" outlineLevel="2"/>
    <col min="80" max="84" width="16.7109375" style="18" outlineLevel="3"/>
    <col min="85" max="16384" width="16.7109375" style="18"/>
  </cols>
  <sheetData>
    <row r="2" spans="2:84" x14ac:dyDescent="0.25">
      <c r="B2" s="11" t="str">
        <f>I18N_T(cellLanguage, "RF_Save")</f>
        <v>Save changes</v>
      </c>
    </row>
    <row r="3" spans="2:84" x14ac:dyDescent="0.25">
      <c r="CF3" s="25">
        <f>SUBTOTAL(103, $C$6)</f>
        <v>1</v>
      </c>
    </row>
    <row r="4" spans="2:84" ht="19.5" hidden="1" customHeight="1" x14ac:dyDescent="0.25">
      <c r="B4" s="39" t="str">
        <f>I18N_T(cellLanguage, "RF_Reporting")</f>
        <v>Reporting</v>
      </c>
      <c r="C4" s="40" t="str">
        <f>I18N_T(cellLanguage, "RF_Phase")</f>
        <v>Category</v>
      </c>
      <c r="D4" s="40" t="str">
        <f>I18N_T(cellLanguage, "RF_UpdatePeriod")</f>
        <v>Update Period</v>
      </c>
      <c r="E4" s="40" t="str">
        <f>I18N_T(cellLanguage, "RF_FrameworkVersion")</f>
        <v>Category version</v>
      </c>
      <c r="F4" s="40" t="str">
        <f>I18N_T(cellLanguage, "RF_Start")</f>
        <v>Start date</v>
      </c>
      <c r="G4" s="40" t="str">
        <f>I18N_T(cellLanguage, "RF_End")</f>
        <v>End date</v>
      </c>
      <c r="H4" s="40" t="str">
        <f>I18N_T(cellLanguage, "RF_RepDesc")</f>
        <v>RF_RepDesc</v>
      </c>
      <c r="I4" s="40" t="str">
        <f>I18N_T(cellLanguage, "RF_RepPack")</f>
        <v>Package</v>
      </c>
      <c r="J4" s="40" t="str">
        <f>I18N_T(cellLanguage, "RF_UseDefaultWindowsFolder")</f>
        <v>Default Windows Folder?</v>
      </c>
      <c r="K4" s="40" t="str">
        <f>I18N_T(cellLanguage, "RF_WindowsFolder")</f>
        <v>Windows folder</v>
      </c>
      <c r="L4" s="40" t="str">
        <f>I18N_T(cellLanguage, "RF_UseDefaultInternetFolder")</f>
        <v>Default Internet Folder?</v>
      </c>
      <c r="M4" s="40" t="str">
        <f>I18N_T(cellLanguage, "RF_InternetFolder")</f>
        <v>Internet folder</v>
      </c>
      <c r="N4" s="40" t="str">
        <f>I18N_T(cellLanguage, "RF_UseDefaultSetOfControls")</f>
        <v>Control Set: default?</v>
      </c>
      <c r="O4" s="40" t="str">
        <f>I18N_T(cellLanguage, "RF_SetOfControls")</f>
        <v>Control Set</v>
      </c>
      <c r="P4" s="40" t="str">
        <f>I18N_T(cellLanguage, "RF_UseDefaultLevel")</f>
        <v>Default Level?</v>
      </c>
      <c r="Q4" s="40" t="str">
        <f>I18N_T(cellLanguage, "RF_LevelToReach")</f>
        <v>Control Level</v>
      </c>
      <c r="R4" s="40" t="str">
        <f>I18N_T(cellLanguage, "RF_Blocking")</f>
        <v>Blocking?</v>
      </c>
      <c r="S4" s="40" t="str">
        <f>I18N_T(cellLanguage, "RF_UseDefaultLock")</f>
        <v>RF_UseDefaultLock</v>
      </c>
      <c r="T4" s="40" t="str">
        <f>I18N_T(cellLanguage, "RF_LockOnPublication")</f>
        <v>RF_LockOnPublication</v>
      </c>
      <c r="U4" s="40" t="str">
        <f>I18N_T(cellLanguage, "RF_UseDefaultRuleSet")</f>
        <v>RF_UseDefaultRuleSet</v>
      </c>
      <c r="V4" s="40" t="str">
        <f>I18N_T(cellLanguage, "RF_RuleSet")</f>
        <v>RF_RuleSet</v>
      </c>
      <c r="W4" s="40" t="str">
        <f>I18N_T(cellLanguage, "RF_UseDefaultOpbal")</f>
        <v>RF_UseDefaultOpbal</v>
      </c>
      <c r="X4" s="40" t="str">
        <f>I18N_T(cellLanguage, "RF_HasOpBal")</f>
        <v>RF_HasOpBal</v>
      </c>
      <c r="Y4" s="40" t="str">
        <f>I18N_T(cellLanguage, "RF_OpbPhase")</f>
        <v>RF_OpbPhase</v>
      </c>
      <c r="Z4" s="40" t="str">
        <f>I18N_T(cellLanguage, "RF_OpbUpdatePeriod")</f>
        <v>RF_OpbUpdatePeriod</v>
      </c>
      <c r="AA4" s="40" t="str">
        <f>I18N_T(cellLanguage, "RF_OpbScope")</f>
        <v>RF_OpbScope</v>
      </c>
      <c r="AB4" s="40" t="str">
        <f>I18N_T(cellLanguage, "RF_OpbVariant")</f>
        <v>RF_OpbVariant</v>
      </c>
      <c r="AC4" s="40" t="str">
        <f>I18N_T(cellLanguage, "RF_OpbConsCurrency")</f>
        <v>RF_OpbConsCurrency</v>
      </c>
      <c r="AD4" s="40" t="str">
        <f>I18N_T(cellLanguage, "RF_RepOp")</f>
        <v>RF_RepOp</v>
      </c>
      <c r="AE4" s="40" t="str">
        <f>I18N_T(cellLanguage, "RF_CutoffDate")</f>
        <v>Cutoff Date</v>
      </c>
      <c r="AF4" s="40" t="str">
        <f>I18N_T(cellLanguage, "RF_EarlyPublishing")</f>
        <v>Early publishing</v>
      </c>
      <c r="AG4" s="40" t="str">
        <f>I18N_T(cellLanguage, "RF_RepOpAftPub")</f>
        <v>RF_RepOpAftPub</v>
      </c>
      <c r="AH4" s="40" t="str">
        <f>I18N_T(cellLanguage, "RF_RepOpAftPubStd")</f>
        <v>RF_RepOpAftPubStd</v>
      </c>
      <c r="AI4" s="40" t="str">
        <f>I18N_T(cellLanguage, "RF_RepOpAftPubSpe")</f>
        <v>RF_RepOpAftPubSpe</v>
      </c>
      <c r="AJ4" s="40" t="str">
        <f>I18N_T(cellLanguage, "RF_RepOpAftPubAdv")</f>
        <v>RF_RepOpAftPubAdv</v>
      </c>
      <c r="AK4" s="40" t="str">
        <f>I18N_T(cellLanguage, "RF_RepOpAftPubLvl")</f>
        <v>RF_RepOpAftPubLvl</v>
      </c>
      <c r="AL4" s="40" t="str">
        <f>I18N_T(cellLanguage, "RF_RepOpAftTran")</f>
        <v>RF_RepOpAftTran</v>
      </c>
      <c r="AM4" s="40" t="str">
        <f>I18N_T(cellLanguage, "RF_RepOpAftTranStd")</f>
        <v>RF_RepOpAftTranStd</v>
      </c>
      <c r="AN4" s="40" t="str">
        <f>I18N_T(cellLanguage, "RF_RepOpAftTranSpe")</f>
        <v>RF_RepOpAftTranSpe</v>
      </c>
      <c r="AO4" s="40" t="str">
        <f>I18N_T(cellLanguage, "RF_RepOpAftTranAdv")</f>
        <v>RF_RepOpAftTranAdv</v>
      </c>
      <c r="AP4" s="40" t="str">
        <f>I18N_T(cellLanguage, "RF_RepOpAftTranLvl")</f>
        <v>RF_RepOpAftTranLvl</v>
      </c>
      <c r="AQ4" s="40" t="str">
        <f>I18N_T(cellLanguage, "RF_Entity")</f>
        <v>Entity</v>
      </c>
      <c r="AR4" s="40" t="str">
        <f>I18N_T(cellLanguage, "RF_Entity2")</f>
        <v>Name</v>
      </c>
      <c r="AS4" s="40" t="str">
        <f>I18N_T(cellLanguage, "RF_InputCurrency")</f>
        <v>Currency</v>
      </c>
      <c r="AT4" s="40" t="str">
        <f>I18N_T(cellLanguage, "RF_InputSite")</f>
        <v>RF_InputSite</v>
      </c>
      <c r="AU4" s="40" t="str">
        <f>I18N_T(cellLanguage, "RF_PublicationSite")</f>
        <v>RF_PublicationSite</v>
      </c>
      <c r="AV4" s="40" t="str">
        <f>I18N_T(cellLanguage, "RF_EntPack")</f>
        <v>RF_EntPack</v>
      </c>
      <c r="AW4" s="40" t="str">
        <f>I18N_T(cellLanguage, "RF_EntUseDefaultWindowsFolder")</f>
        <v>RF_EntUseDefaultWindowsFolder</v>
      </c>
      <c r="AX4" s="40" t="str">
        <f>I18N_T(cellLanguage, "RF_EntWindowsFolder")</f>
        <v>RF_EntWindowsFolder</v>
      </c>
      <c r="AY4" s="40" t="str">
        <f>I18N_T(cellLanguage, "RF_EntUseDefaultInternetFolder")</f>
        <v>RF_EntUseDefaultInternetFolder</v>
      </c>
      <c r="AZ4" s="40" t="str">
        <f>I18N_T(cellLanguage, "RF_EntInternetFolder")</f>
        <v>RF_EntInternetFolder</v>
      </c>
      <c r="BA4" s="40" t="str">
        <f>I18N_T(cellLanguage, "RF_EntUseDefaultSetOfControls")</f>
        <v>RF_EntUseDefaultSetOfControls</v>
      </c>
      <c r="BB4" s="40" t="str">
        <f>I18N_T(cellLanguage, "RF_EntSetOfControls")</f>
        <v>RF_EntSetOfControls</v>
      </c>
      <c r="BC4" s="40" t="str">
        <f>I18N_T(cellLanguage, "RF_EntUseDefaultLevel")</f>
        <v>RF_EntUseDefaultLevel</v>
      </c>
      <c r="BD4" s="40" t="str">
        <f>I18N_T(cellLanguage, "RF_EntLevelToReach")</f>
        <v>RF_EntLevelToReach</v>
      </c>
      <c r="BE4" s="40" t="str">
        <f>I18N_T(cellLanguage, "RF_EntBlocking")</f>
        <v>RF_EntBlocking</v>
      </c>
      <c r="BF4" s="40" t="str">
        <f>I18N_T(cellLanguage, "RF_EntUseDefaultLock")</f>
        <v>RF_EntUseDefaultLock</v>
      </c>
      <c r="BG4" s="40" t="str">
        <f>I18N_T(cellLanguage, "RF_EntLockOnPublication")</f>
        <v>RF_EntLockOnPublication</v>
      </c>
      <c r="BH4" s="40" t="str">
        <f>I18N_T(cellLanguage, "RF_EntUseDefaultRuleSet")</f>
        <v>RF_EntUseDefaultRuleSet</v>
      </c>
      <c r="BI4" s="40" t="str">
        <f>I18N_T(cellLanguage, "RF_EntRuleSet")</f>
        <v>RF_EntRuleSet</v>
      </c>
      <c r="BJ4" s="40" t="str">
        <f>I18N_T(cellLanguage, "RF_EntUseDefaultOpbal")</f>
        <v>RF_EntUseDefaultOpbal</v>
      </c>
      <c r="BK4" s="40" t="str">
        <f>I18N_T(cellLanguage, "RF_EntHasOpBal")</f>
        <v>RF_EntHasOpBal</v>
      </c>
      <c r="BL4" s="40" t="str">
        <f>I18N_T(cellLanguage, "RF_EntOpbPhase")</f>
        <v>RF_EntOpbPhase</v>
      </c>
      <c r="BM4" s="40" t="str">
        <f>I18N_T(cellLanguage, "RF_EntOpbUpdatePeriod")</f>
        <v>RF_EntOpbUpdatePeriod</v>
      </c>
      <c r="BN4" s="40" t="str">
        <f>I18N_T(cellLanguage, "RF_EntOpbScope")</f>
        <v>RF_EntOpbScope</v>
      </c>
      <c r="BO4" s="40" t="str">
        <f>I18N_T(cellLanguage, "RF_EntOpbVariant")</f>
        <v>RF_EntOpbVariant</v>
      </c>
      <c r="BP4" s="40" t="str">
        <f>I18N_T(cellLanguage, "RF_EntOpbConsCurrency")</f>
        <v>RF_EntOpbConsCurrency</v>
      </c>
      <c r="BQ4" s="40" t="str">
        <f>I18N_T(cellLanguage, "RF_EntOp")</f>
        <v>RF_EntOp</v>
      </c>
      <c r="BR4" s="40" t="str">
        <f>I18N_T(cellLanguage, "RF_EntUseDefaultPublish")</f>
        <v>RF_EntUseDefaultPublish</v>
      </c>
      <c r="BS4" s="40" t="str">
        <f>I18N_T(cellLanguage, "RF_EntPackPublishingCutOffDate")</f>
        <v>RF_EntPackPublishingCutOffDate</v>
      </c>
      <c r="BT4" s="40" t="str">
        <f>I18N_T(cellLanguage, "RF_EntAllowEarlyPublishing")</f>
        <v>RF_EntAllowEarlyPublishing</v>
      </c>
      <c r="BU4" s="40" t="str">
        <f>I18N_T(cellLanguage, "RF_EntOpAftPub")</f>
        <v>RF_EntOpAftPub</v>
      </c>
      <c r="BV4" s="40" t="str">
        <f>I18N_T(cellLanguage, "RF_EntUseDefaultAfterPub")</f>
        <v>RF_EntUseDefaultAfterPub</v>
      </c>
      <c r="BW4" s="40" t="str">
        <f>I18N_T(cellLanguage, "RF_EntAftPubStandard")</f>
        <v>RF_EntAftPubStandard</v>
      </c>
      <c r="BX4" s="40" t="str">
        <f>I18N_T(cellLanguage, "RF_EntAftPubSpecial")</f>
        <v>RF_EntAftPubSpecial</v>
      </c>
      <c r="BY4" s="40" t="str">
        <f>I18N_T(cellLanguage, "RF_EntAftPubAdvanced")</f>
        <v>RF_EntAftPubAdvanced</v>
      </c>
      <c r="BZ4" s="40" t="str">
        <f>I18N_T(cellLanguage, "RF_EntAftPubLevel")</f>
        <v>RF_EntAftPubLevel</v>
      </c>
      <c r="CA4" s="40" t="str">
        <f>I18N_T(cellLanguage, "RF_EntOpAftTran")</f>
        <v>RF_EntOpAftTran</v>
      </c>
      <c r="CB4" s="40" t="str">
        <f>I18N_T(cellLanguage, "RF_EntUseDefaultAfterTran")</f>
        <v>RF_EntUseDefaultAfterTran</v>
      </c>
      <c r="CC4" s="40" t="str">
        <f>I18N_T(cellLanguage, "RF_EntAftTranStandard")</f>
        <v>RF_EntAftTranStandard</v>
      </c>
      <c r="CD4" s="40" t="str">
        <f>I18N_T(cellLanguage, "RF_EntAftTranSpecial")</f>
        <v>RF_EntAftTranSpecial</v>
      </c>
      <c r="CE4" s="40" t="str">
        <f>I18N_T(cellLanguage, "RF_EntAftTranAdvanced")</f>
        <v>RF_EntAftTranAdvanced</v>
      </c>
      <c r="CF4" s="41" t="str">
        <f>I18N_T(cellLanguage, "RF_EntAftTranLevel")</f>
        <v>RF_EntAftTranLevel</v>
      </c>
    </row>
    <row r="5" spans="2:84" ht="66" customHeight="1" x14ac:dyDescent="0.25">
      <c r="B5" s="38" t="s">
        <v>206</v>
      </c>
      <c r="C5" s="38" t="s">
        <v>207</v>
      </c>
      <c r="D5" s="38" t="s">
        <v>208</v>
      </c>
      <c r="E5" s="38" t="s">
        <v>209</v>
      </c>
      <c r="F5" s="38" t="s">
        <v>518</v>
      </c>
      <c r="G5" s="38" t="s">
        <v>519</v>
      </c>
      <c r="H5" s="38" t="s">
        <v>520</v>
      </c>
      <c r="I5" s="38" t="s">
        <v>521</v>
      </c>
      <c r="J5" s="38" t="s">
        <v>522</v>
      </c>
      <c r="K5" s="38" t="s">
        <v>523</v>
      </c>
      <c r="L5" s="38" t="s">
        <v>524</v>
      </c>
      <c r="M5" s="38" t="s">
        <v>525</v>
      </c>
      <c r="N5" s="38" t="s">
        <v>526</v>
      </c>
      <c r="O5" s="38" t="s">
        <v>527</v>
      </c>
      <c r="P5" s="38" t="s">
        <v>528</v>
      </c>
      <c r="Q5" s="38" t="s">
        <v>529</v>
      </c>
      <c r="R5" s="38" t="s">
        <v>530</v>
      </c>
      <c r="S5" s="38" t="s">
        <v>531</v>
      </c>
      <c r="T5" s="38" t="s">
        <v>532</v>
      </c>
      <c r="U5" s="38" t="s">
        <v>533</v>
      </c>
      <c r="V5" s="38" t="s">
        <v>534</v>
      </c>
      <c r="W5" s="38" t="s">
        <v>535</v>
      </c>
      <c r="X5" s="38" t="s">
        <v>536</v>
      </c>
      <c r="Y5" s="38" t="s">
        <v>537</v>
      </c>
      <c r="Z5" s="38" t="s">
        <v>538</v>
      </c>
      <c r="AA5" s="38" t="s">
        <v>539</v>
      </c>
      <c r="AB5" s="38" t="s">
        <v>540</v>
      </c>
      <c r="AC5" s="38" t="s">
        <v>541</v>
      </c>
      <c r="AD5" s="38" t="s">
        <v>542</v>
      </c>
      <c r="AE5" s="38" t="s">
        <v>543</v>
      </c>
      <c r="AF5" s="38" t="s">
        <v>544</v>
      </c>
      <c r="AG5" s="38" t="s">
        <v>545</v>
      </c>
      <c r="AH5" s="38" t="s">
        <v>546</v>
      </c>
      <c r="AI5" s="38" t="s">
        <v>547</v>
      </c>
      <c r="AJ5" s="38" t="s">
        <v>548</v>
      </c>
      <c r="AK5" s="38" t="s">
        <v>549</v>
      </c>
      <c r="AL5" s="38" t="s">
        <v>550</v>
      </c>
      <c r="AM5" s="38" t="s">
        <v>551</v>
      </c>
      <c r="AN5" s="38" t="s">
        <v>552</v>
      </c>
      <c r="AO5" s="38" t="s">
        <v>553</v>
      </c>
      <c r="AP5" s="38" t="s">
        <v>554</v>
      </c>
      <c r="AQ5" s="38" t="s">
        <v>555</v>
      </c>
      <c r="AR5" s="38" t="s">
        <v>556</v>
      </c>
      <c r="AS5" s="38" t="s">
        <v>557</v>
      </c>
      <c r="AT5" s="38" t="s">
        <v>558</v>
      </c>
      <c r="AU5" s="38" t="s">
        <v>559</v>
      </c>
      <c r="AV5" s="38" t="s">
        <v>560</v>
      </c>
      <c r="AW5" s="38" t="s">
        <v>561</v>
      </c>
      <c r="AX5" s="38" t="s">
        <v>562</v>
      </c>
      <c r="AY5" s="38" t="s">
        <v>563</v>
      </c>
      <c r="AZ5" s="38" t="s">
        <v>564</v>
      </c>
      <c r="BA5" s="38" t="s">
        <v>565</v>
      </c>
      <c r="BB5" s="38" t="s">
        <v>566</v>
      </c>
      <c r="BC5" s="38" t="s">
        <v>567</v>
      </c>
      <c r="BD5" s="38" t="s">
        <v>568</v>
      </c>
      <c r="BE5" s="38" t="s">
        <v>569</v>
      </c>
      <c r="BF5" s="38" t="s">
        <v>570</v>
      </c>
      <c r="BG5" s="38" t="s">
        <v>571</v>
      </c>
      <c r="BH5" s="38" t="s">
        <v>572</v>
      </c>
      <c r="BI5" s="38" t="s">
        <v>573</v>
      </c>
      <c r="BJ5" s="38" t="s">
        <v>574</v>
      </c>
      <c r="BK5" s="38" t="s">
        <v>575</v>
      </c>
      <c r="BL5" s="38" t="s">
        <v>576</v>
      </c>
      <c r="BM5" s="38" t="s">
        <v>577</v>
      </c>
      <c r="BN5" s="38" t="s">
        <v>578</v>
      </c>
      <c r="BO5" s="38" t="s">
        <v>579</v>
      </c>
      <c r="BP5" s="38" t="s">
        <v>580</v>
      </c>
      <c r="BQ5" s="38" t="s">
        <v>581</v>
      </c>
      <c r="BR5" s="38" t="s">
        <v>582</v>
      </c>
      <c r="BS5" s="38" t="s">
        <v>583</v>
      </c>
      <c r="BT5" s="38" t="s">
        <v>584</v>
      </c>
      <c r="BU5" s="38" t="s">
        <v>585</v>
      </c>
      <c r="BV5" s="38" t="s">
        <v>586</v>
      </c>
      <c r="BW5" s="38" t="s">
        <v>587</v>
      </c>
      <c r="BX5" s="38" t="s">
        <v>588</v>
      </c>
      <c r="BY5" s="38" t="s">
        <v>589</v>
      </c>
      <c r="BZ5" s="38" t="s">
        <v>590</v>
      </c>
      <c r="CA5" s="38" t="s">
        <v>591</v>
      </c>
      <c r="CB5" s="38" t="s">
        <v>592</v>
      </c>
      <c r="CC5" s="38" t="s">
        <v>593</v>
      </c>
      <c r="CD5" s="38" t="s">
        <v>594</v>
      </c>
      <c r="CE5" s="38" t="s">
        <v>595</v>
      </c>
      <c r="CF5" s="38" t="s">
        <v>596</v>
      </c>
    </row>
    <row r="6" spans="2:84" x14ac:dyDescent="0.25">
      <c r="B6" s="44"/>
      <c r="C6" s="44" t="s">
        <v>21</v>
      </c>
      <c r="D6" s="44" t="s">
        <v>517</v>
      </c>
      <c r="E6" s="44" t="s">
        <v>22</v>
      </c>
      <c r="F6" s="44" t="s">
        <v>617</v>
      </c>
      <c r="G6" s="44" t="s">
        <v>618</v>
      </c>
      <c r="H6" s="44"/>
      <c r="I6" s="44"/>
      <c r="J6" s="44" t="b">
        <v>1</v>
      </c>
      <c r="K6" s="44"/>
      <c r="L6" s="44" t="b">
        <v>1</v>
      </c>
      <c r="M6" s="44"/>
      <c r="N6" s="44" t="b">
        <v>1</v>
      </c>
      <c r="O6" s="44"/>
      <c r="P6" s="44" t="b">
        <v>1</v>
      </c>
      <c r="Q6" s="44"/>
      <c r="R6" s="44" t="b">
        <v>0</v>
      </c>
      <c r="S6" s="44" t="b">
        <v>1</v>
      </c>
      <c r="T6" s="44">
        <v>0</v>
      </c>
      <c r="U6" s="44" t="b">
        <v>1</v>
      </c>
      <c r="V6" s="44"/>
      <c r="W6" s="44" t="b">
        <v>1</v>
      </c>
      <c r="X6" s="44" t="b">
        <v>0</v>
      </c>
      <c r="Y6" s="44"/>
      <c r="Z6" s="44"/>
      <c r="AA6" s="44"/>
      <c r="AB6" s="44"/>
      <c r="AC6" s="44"/>
      <c r="AD6" s="44"/>
      <c r="AE6" s="44" t="s">
        <v>619</v>
      </c>
      <c r="AF6" s="44" t="b">
        <v>1</v>
      </c>
      <c r="AG6" s="44"/>
      <c r="AH6" s="44" t="b">
        <v>1</v>
      </c>
      <c r="AI6" s="44" t="b">
        <v>1</v>
      </c>
      <c r="AJ6" s="44" t="b">
        <v>1</v>
      </c>
      <c r="AK6" s="44">
        <v>2</v>
      </c>
      <c r="AL6" s="44"/>
      <c r="AM6" s="44" t="b">
        <v>0</v>
      </c>
      <c r="AN6" s="44" t="b">
        <v>1</v>
      </c>
      <c r="AO6" s="44" t="b">
        <v>0</v>
      </c>
      <c r="AP6" s="44"/>
      <c r="AQ6" s="44"/>
      <c r="AR6" s="44" t="s">
        <v>611</v>
      </c>
      <c r="AS6" s="44" t="s">
        <v>612</v>
      </c>
      <c r="AT6" s="44" t="s">
        <v>613</v>
      </c>
      <c r="AU6" s="44" t="s">
        <v>613</v>
      </c>
      <c r="AV6" s="44"/>
      <c r="AW6" s="44" t="b">
        <v>1</v>
      </c>
      <c r="AX6" s="44"/>
      <c r="AY6" s="44" t="b">
        <v>1</v>
      </c>
      <c r="AZ6" s="44"/>
      <c r="BA6" s="44" t="b">
        <v>1</v>
      </c>
      <c r="BB6" s="44"/>
      <c r="BC6" s="44" t="b">
        <v>1</v>
      </c>
      <c r="BD6" s="44"/>
      <c r="BE6" s="44" t="b">
        <v>0</v>
      </c>
      <c r="BF6" s="44" t="b">
        <v>1</v>
      </c>
      <c r="BG6" s="44">
        <v>0</v>
      </c>
      <c r="BH6" s="44" t="b">
        <v>1</v>
      </c>
      <c r="BI6" s="44"/>
      <c r="BJ6" s="44" t="b">
        <v>1</v>
      </c>
      <c r="BK6" s="44" t="b">
        <v>0</v>
      </c>
      <c r="BL6" s="44"/>
      <c r="BM6" s="44"/>
      <c r="BN6" s="44"/>
      <c r="BO6" s="44"/>
      <c r="BP6" s="44"/>
      <c r="BQ6" s="44"/>
      <c r="BR6" s="44" t="b">
        <v>1</v>
      </c>
      <c r="BS6" s="44" t="s">
        <v>620</v>
      </c>
      <c r="BT6" s="44" t="b">
        <v>0</v>
      </c>
      <c r="BU6" s="44"/>
      <c r="BV6" s="44" t="b">
        <v>1</v>
      </c>
      <c r="BW6" s="44" t="b">
        <v>0</v>
      </c>
      <c r="BX6" s="44" t="b">
        <v>0</v>
      </c>
      <c r="BY6" s="44" t="b">
        <v>0</v>
      </c>
      <c r="BZ6" s="44"/>
      <c r="CA6" s="44"/>
      <c r="CB6" s="44" t="b">
        <v>1</v>
      </c>
      <c r="CC6" s="44" t="b">
        <v>0</v>
      </c>
      <c r="CD6" s="44" t="b">
        <v>0</v>
      </c>
      <c r="CE6" s="44" t="b">
        <v>0</v>
      </c>
      <c r="CF6" s="44"/>
    </row>
  </sheetData>
  <sheetProtection sheet="1" objects="1" scenarios="1" formatCells="0" formatColumns="0" formatRows="0" insertRows="0" sort="0" autoFilter="0"/>
  <hyperlinks>
    <hyperlink ref="B2" location="C3" tooltip=" " display="C3" xr:uid="{C0404F55-A944-4EC1-94D3-E8E25D759DC4}"/>
  </hyperlinks>
  <pageMargins left="0.7" right="0.7" top="0.75" bottom="0.75" header="0.3" footer="0.3"/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85FD37-1A81-48CB-B23A-0FEEF1F711B1}">
  <sheetPr codeName="D_Cache"/>
  <dimension ref="A1:K7"/>
  <sheetViews>
    <sheetView workbookViewId="0">
      <selection activeCell="M13" sqref="M13"/>
    </sheetView>
  </sheetViews>
  <sheetFormatPr baseColWidth="10" defaultRowHeight="15" x14ac:dyDescent="0.25"/>
  <cols>
    <col min="1" max="1" width="18" style="2" bestFit="1" customWidth="1"/>
    <col min="2" max="2" width="18.5703125" style="2" bestFit="1" customWidth="1"/>
    <col min="3" max="3" width="9.140625" style="2" bestFit="1" customWidth="1"/>
    <col min="4" max="4" width="24.42578125" style="31" customWidth="1"/>
    <col min="5" max="5" width="5.85546875" style="2" customWidth="1"/>
    <col min="6" max="6" width="11.7109375" style="2" bestFit="1" customWidth="1"/>
    <col min="7" max="7" width="16.5703125" style="2" bestFit="1" customWidth="1"/>
    <col min="8" max="8" width="7.28515625" style="2" bestFit="1" customWidth="1"/>
    <col min="9" max="9" width="5.28515625" style="2" bestFit="1" customWidth="1"/>
    <col min="10" max="10" width="6.28515625" style="2" bestFit="1" customWidth="1"/>
    <col min="11" max="11" width="21.7109375" style="2" bestFit="1" customWidth="1"/>
    <col min="12" max="16384" width="11.42578125" style="2"/>
  </cols>
  <sheetData>
    <row r="1" spans="1:11" x14ac:dyDescent="0.25">
      <c r="B1" s="2" t="s">
        <v>233</v>
      </c>
      <c r="C1" s="32">
        <v>1</v>
      </c>
      <c r="F1" s="42" t="s">
        <v>507</v>
      </c>
      <c r="G1" s="42" t="s">
        <v>508</v>
      </c>
      <c r="H1" s="42" t="s">
        <v>509</v>
      </c>
      <c r="I1" s="42" t="s">
        <v>510</v>
      </c>
      <c r="J1" s="42" t="s">
        <v>511</v>
      </c>
      <c r="K1" s="42" t="s">
        <v>512</v>
      </c>
    </row>
    <row r="3" spans="1:11" x14ac:dyDescent="0.25">
      <c r="A3" s="2" t="s">
        <v>232</v>
      </c>
      <c r="B3" s="2" t="s">
        <v>240</v>
      </c>
      <c r="C3" s="2" t="s">
        <v>237</v>
      </c>
      <c r="D3" s="31" t="s">
        <v>238</v>
      </c>
      <c r="E3" s="2" t="s">
        <v>231</v>
      </c>
    </row>
    <row r="4" spans="1:11" x14ac:dyDescent="0.25">
      <c r="A4" s="2" t="s">
        <v>503</v>
      </c>
      <c r="B4" s="2" t="s">
        <v>113</v>
      </c>
      <c r="C4" s="2" t="s">
        <v>516</v>
      </c>
      <c r="D4" s="31">
        <v>44256.943935185183</v>
      </c>
      <c r="E4" s="2" t="s">
        <v>598</v>
      </c>
    </row>
    <row r="5" spans="1:11" x14ac:dyDescent="0.25">
      <c r="A5" s="2" t="s">
        <v>503</v>
      </c>
      <c r="B5" s="2" t="s">
        <v>113</v>
      </c>
      <c r="C5" s="2" t="s">
        <v>516</v>
      </c>
      <c r="D5" s="31">
        <v>44256.948796296296</v>
      </c>
      <c r="E5" s="2" t="s">
        <v>598</v>
      </c>
    </row>
    <row r="6" spans="1:11" x14ac:dyDescent="0.25">
      <c r="A6" s="2" t="s">
        <v>502</v>
      </c>
      <c r="B6" s="2" t="s">
        <v>599</v>
      </c>
      <c r="C6" s="2" t="s">
        <v>516</v>
      </c>
      <c r="D6" s="31">
        <v>44256.952337962961</v>
      </c>
      <c r="E6" s="2" t="s">
        <v>600</v>
      </c>
    </row>
    <row r="7" spans="1:11" x14ac:dyDescent="0.25">
      <c r="A7" s="2" t="s">
        <v>502</v>
      </c>
      <c r="B7" s="2" t="s">
        <v>597</v>
      </c>
      <c r="C7" s="2" t="s">
        <v>516</v>
      </c>
      <c r="D7" s="31">
        <v>44256.960173611114</v>
      </c>
      <c r="E7" s="2" t="s">
        <v>601</v>
      </c>
    </row>
  </sheetData>
  <dataConsolidate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A9FDC2-088B-41C0-89BA-6E02F9E4F0F2}">
  <sheetPr codeName="Feuil4" filterMode="1"/>
  <dimension ref="A3:J69"/>
  <sheetViews>
    <sheetView topLeftCell="A36" zoomScaleNormal="100" workbookViewId="0">
      <selection activeCell="J55" sqref="J55"/>
    </sheetView>
  </sheetViews>
  <sheetFormatPr baseColWidth="10" defaultRowHeight="15" x14ac:dyDescent="0.25"/>
  <cols>
    <col min="1" max="1" width="15.85546875" bestFit="1" customWidth="1"/>
    <col min="2" max="2" width="39.140625" bestFit="1" customWidth="1"/>
    <col min="6" max="6" width="11.42578125" style="18"/>
  </cols>
  <sheetData>
    <row r="3" spans="1:3" x14ac:dyDescent="0.25">
      <c r="A3" t="s">
        <v>20</v>
      </c>
      <c r="B3" t="s">
        <v>21</v>
      </c>
      <c r="C3" t="s">
        <v>24</v>
      </c>
    </row>
    <row r="4" spans="1:3" x14ac:dyDescent="0.25">
      <c r="B4" t="s">
        <v>25</v>
      </c>
      <c r="C4" t="s">
        <v>26</v>
      </c>
    </row>
    <row r="5" spans="1:3" x14ac:dyDescent="0.25">
      <c r="B5" t="s">
        <v>23</v>
      </c>
      <c r="C5" t="s">
        <v>27</v>
      </c>
    </row>
    <row r="9" spans="1:3" x14ac:dyDescent="0.25">
      <c r="A9" t="s">
        <v>28</v>
      </c>
      <c r="B9" t="s">
        <v>22</v>
      </c>
      <c r="C9" t="s">
        <v>29</v>
      </c>
    </row>
    <row r="12" spans="1:3" x14ac:dyDescent="0.25">
      <c r="A12" t="s">
        <v>30</v>
      </c>
      <c r="B12" t="s">
        <v>31</v>
      </c>
    </row>
    <row r="13" spans="1:3" x14ac:dyDescent="0.25">
      <c r="B13" t="s">
        <v>36</v>
      </c>
    </row>
    <row r="17" spans="1:10" x14ac:dyDescent="0.25">
      <c r="A17" t="s">
        <v>37</v>
      </c>
      <c r="C17" t="s">
        <v>64</v>
      </c>
      <c r="D17" t="s">
        <v>66</v>
      </c>
      <c r="F17" s="19">
        <v>44019</v>
      </c>
      <c r="G17" s="26">
        <v>44033</v>
      </c>
      <c r="H17" s="26">
        <v>44039</v>
      </c>
      <c r="I17" s="26">
        <v>44171</v>
      </c>
      <c r="J17" s="26">
        <v>44255</v>
      </c>
    </row>
    <row r="18" spans="1:10" hidden="1" x14ac:dyDescent="0.25">
      <c r="B18" t="s">
        <v>70</v>
      </c>
      <c r="D18">
        <v>1</v>
      </c>
      <c r="F18" s="18" t="s">
        <v>138</v>
      </c>
      <c r="G18" t="s">
        <v>138</v>
      </c>
      <c r="H18" t="s">
        <v>138</v>
      </c>
      <c r="I18" t="s">
        <v>138</v>
      </c>
      <c r="J18" t="s">
        <v>138</v>
      </c>
    </row>
    <row r="19" spans="1:10" hidden="1" x14ac:dyDescent="0.25">
      <c r="B19" t="s">
        <v>65</v>
      </c>
      <c r="C19">
        <v>0.25</v>
      </c>
      <c r="D19">
        <v>0.25</v>
      </c>
      <c r="F19" s="18" t="s">
        <v>138</v>
      </c>
      <c r="G19" t="s">
        <v>138</v>
      </c>
      <c r="H19" t="s">
        <v>138</v>
      </c>
      <c r="I19" t="s">
        <v>138</v>
      </c>
      <c r="J19" t="s">
        <v>138</v>
      </c>
    </row>
    <row r="20" spans="1:10" hidden="1" x14ac:dyDescent="0.25">
      <c r="B20" t="s">
        <v>85</v>
      </c>
      <c r="D20">
        <v>0.25</v>
      </c>
      <c r="G20" t="s">
        <v>138</v>
      </c>
      <c r="H20" t="s">
        <v>138</v>
      </c>
      <c r="I20" t="s">
        <v>138</v>
      </c>
      <c r="J20" t="s">
        <v>138</v>
      </c>
    </row>
    <row r="21" spans="1:10" hidden="1" x14ac:dyDescent="0.25">
      <c r="B21" t="s">
        <v>152</v>
      </c>
      <c r="G21" t="s">
        <v>138</v>
      </c>
      <c r="H21" t="s">
        <v>138</v>
      </c>
      <c r="I21" t="s">
        <v>138</v>
      </c>
      <c r="J21" t="s">
        <v>138</v>
      </c>
    </row>
    <row r="22" spans="1:10" hidden="1" x14ac:dyDescent="0.25">
      <c r="B22" t="s">
        <v>153</v>
      </c>
      <c r="G22" t="s">
        <v>138</v>
      </c>
      <c r="H22" t="s">
        <v>138</v>
      </c>
      <c r="I22" t="s">
        <v>138</v>
      </c>
      <c r="J22" t="s">
        <v>138</v>
      </c>
    </row>
    <row r="23" spans="1:10" x14ac:dyDescent="0.25">
      <c r="B23" t="s">
        <v>86</v>
      </c>
      <c r="D23">
        <v>0.25</v>
      </c>
    </row>
    <row r="24" spans="1:10" hidden="1" x14ac:dyDescent="0.25">
      <c r="B24" t="s">
        <v>220</v>
      </c>
      <c r="H24">
        <v>0.25</v>
      </c>
      <c r="I24" t="s">
        <v>138</v>
      </c>
      <c r="J24" t="s">
        <v>138</v>
      </c>
    </row>
    <row r="25" spans="1:10" x14ac:dyDescent="0.25">
      <c r="B25" t="s">
        <v>210</v>
      </c>
      <c r="H25">
        <v>0.25</v>
      </c>
      <c r="I25">
        <v>0.25</v>
      </c>
      <c r="J25">
        <v>0.25</v>
      </c>
    </row>
    <row r="26" spans="1:10" hidden="1" x14ac:dyDescent="0.25">
      <c r="B26" t="s">
        <v>221</v>
      </c>
      <c r="H26">
        <v>0.25</v>
      </c>
      <c r="I26">
        <v>0.25</v>
      </c>
      <c r="J26" t="s">
        <v>138</v>
      </c>
    </row>
    <row r="27" spans="1:10" hidden="1" x14ac:dyDescent="0.25">
      <c r="B27" t="s">
        <v>230</v>
      </c>
      <c r="I27">
        <v>0.25</v>
      </c>
      <c r="J27" t="s">
        <v>138</v>
      </c>
    </row>
    <row r="28" spans="1:10" x14ac:dyDescent="0.25">
      <c r="B28" t="s">
        <v>143</v>
      </c>
      <c r="I28">
        <v>0.25</v>
      </c>
      <c r="J28">
        <v>0.25</v>
      </c>
    </row>
    <row r="29" spans="1:10" hidden="1" x14ac:dyDescent="0.25">
      <c r="B29" t="s">
        <v>141</v>
      </c>
      <c r="D29">
        <v>0.25</v>
      </c>
      <c r="G29" t="s">
        <v>138</v>
      </c>
      <c r="H29" t="s">
        <v>138</v>
      </c>
      <c r="I29" t="s">
        <v>138</v>
      </c>
      <c r="J29" t="s">
        <v>138</v>
      </c>
    </row>
    <row r="30" spans="1:10" x14ac:dyDescent="0.25">
      <c r="B30" t="s">
        <v>144</v>
      </c>
      <c r="D30">
        <v>0.25</v>
      </c>
    </row>
    <row r="31" spans="1:10" hidden="1" x14ac:dyDescent="0.25">
      <c r="B31" t="s">
        <v>142</v>
      </c>
      <c r="D31">
        <v>0.25</v>
      </c>
      <c r="G31" t="s">
        <v>138</v>
      </c>
      <c r="H31" t="s">
        <v>138</v>
      </c>
      <c r="I31" t="s">
        <v>138</v>
      </c>
      <c r="J31" t="s">
        <v>138</v>
      </c>
    </row>
    <row r="32" spans="1:10" x14ac:dyDescent="0.25">
      <c r="B32" t="s">
        <v>176</v>
      </c>
      <c r="D32">
        <v>0.25</v>
      </c>
    </row>
    <row r="33" spans="2:10" hidden="1" x14ac:dyDescent="0.25">
      <c r="B33" t="s">
        <v>179</v>
      </c>
      <c r="H33">
        <v>0.25</v>
      </c>
      <c r="I33" t="s">
        <v>138</v>
      </c>
      <c r="J33" t="s">
        <v>138</v>
      </c>
    </row>
    <row r="34" spans="2:10" hidden="1" x14ac:dyDescent="0.25">
      <c r="B34" t="s">
        <v>205</v>
      </c>
      <c r="H34">
        <v>0.25</v>
      </c>
      <c r="I34" t="s">
        <v>138</v>
      </c>
      <c r="J34" t="s">
        <v>138</v>
      </c>
    </row>
    <row r="35" spans="2:10" x14ac:dyDescent="0.25">
      <c r="B35" t="s">
        <v>145</v>
      </c>
      <c r="D35">
        <v>0.5</v>
      </c>
    </row>
    <row r="36" spans="2:10" x14ac:dyDescent="0.25">
      <c r="B36" t="s">
        <v>243</v>
      </c>
      <c r="I36">
        <v>0.5</v>
      </c>
      <c r="J36">
        <v>0.5</v>
      </c>
    </row>
    <row r="37" spans="2:10" x14ac:dyDescent="0.25">
      <c r="B37" t="s">
        <v>67</v>
      </c>
      <c r="C37">
        <v>0.5</v>
      </c>
      <c r="D37">
        <v>1</v>
      </c>
      <c r="I37">
        <v>0.5</v>
      </c>
      <c r="J37">
        <v>0.5</v>
      </c>
    </row>
    <row r="38" spans="2:10" hidden="1" x14ac:dyDescent="0.25">
      <c r="B38" t="s">
        <v>68</v>
      </c>
      <c r="C38">
        <v>0.25</v>
      </c>
      <c r="D38">
        <v>0.25</v>
      </c>
      <c r="I38" t="s">
        <v>138</v>
      </c>
      <c r="J38" t="s">
        <v>138</v>
      </c>
    </row>
    <row r="39" spans="2:10" x14ac:dyDescent="0.25">
      <c r="B39" t="s">
        <v>30</v>
      </c>
      <c r="C39">
        <v>0.25</v>
      </c>
    </row>
    <row r="40" spans="2:10" hidden="1" x14ac:dyDescent="0.25">
      <c r="B40" t="s">
        <v>38</v>
      </c>
      <c r="D40">
        <v>0.5</v>
      </c>
      <c r="I40" t="s">
        <v>138</v>
      </c>
      <c r="J40" t="s">
        <v>138</v>
      </c>
    </row>
    <row r="41" spans="2:10" hidden="1" x14ac:dyDescent="0.25">
      <c r="B41" t="s">
        <v>39</v>
      </c>
      <c r="D41">
        <v>0.5</v>
      </c>
      <c r="I41" t="s">
        <v>138</v>
      </c>
      <c r="J41" t="s">
        <v>138</v>
      </c>
    </row>
    <row r="42" spans="2:10" x14ac:dyDescent="0.25">
      <c r="B42" t="s">
        <v>35</v>
      </c>
      <c r="D42">
        <v>0.5</v>
      </c>
    </row>
    <row r="43" spans="2:10" hidden="1" x14ac:dyDescent="0.25">
      <c r="B43" t="s">
        <v>40</v>
      </c>
      <c r="D43">
        <v>0.5</v>
      </c>
      <c r="I43" t="s">
        <v>138</v>
      </c>
      <c r="J43" t="s">
        <v>138</v>
      </c>
    </row>
    <row r="44" spans="2:10" x14ac:dyDescent="0.25">
      <c r="B44" t="s">
        <v>32</v>
      </c>
      <c r="C44">
        <v>0.25</v>
      </c>
    </row>
    <row r="45" spans="2:10" x14ac:dyDescent="0.25">
      <c r="B45" t="s">
        <v>41</v>
      </c>
    </row>
    <row r="46" spans="2:10" x14ac:dyDescent="0.25">
      <c r="B46" t="s">
        <v>33</v>
      </c>
      <c r="C46">
        <v>0.25</v>
      </c>
    </row>
    <row r="47" spans="2:10" x14ac:dyDescent="0.25">
      <c r="B47" t="s">
        <v>42</v>
      </c>
      <c r="C47">
        <v>0.25</v>
      </c>
    </row>
    <row r="48" spans="2:10" x14ac:dyDescent="0.25">
      <c r="B48" t="s">
        <v>43</v>
      </c>
      <c r="D48">
        <v>0.5</v>
      </c>
    </row>
    <row r="49" spans="2:10" x14ac:dyDescent="0.25">
      <c r="B49" t="s">
        <v>44</v>
      </c>
      <c r="C49">
        <v>0.25</v>
      </c>
    </row>
    <row r="50" spans="2:10" x14ac:dyDescent="0.25">
      <c r="B50" t="s">
        <v>45</v>
      </c>
      <c r="C50">
        <v>0.25</v>
      </c>
    </row>
    <row r="51" spans="2:10" hidden="1" x14ac:dyDescent="0.25">
      <c r="B51" t="s">
        <v>69</v>
      </c>
      <c r="C51">
        <v>2</v>
      </c>
      <c r="D51">
        <v>0.5</v>
      </c>
      <c r="I51">
        <v>2</v>
      </c>
      <c r="J51" t="s">
        <v>138</v>
      </c>
    </row>
    <row r="52" spans="2:10" hidden="1" x14ac:dyDescent="0.25">
      <c r="B52" t="s">
        <v>71</v>
      </c>
      <c r="C52">
        <v>4</v>
      </c>
      <c r="D52">
        <v>4</v>
      </c>
      <c r="J52" t="s">
        <v>138</v>
      </c>
    </row>
    <row r="53" spans="2:10" x14ac:dyDescent="0.25">
      <c r="B53" t="s">
        <v>605</v>
      </c>
      <c r="J53" t="s">
        <v>138</v>
      </c>
    </row>
    <row r="54" spans="2:10" x14ac:dyDescent="0.25">
      <c r="B54" t="s">
        <v>616</v>
      </c>
      <c r="J54">
        <v>0.25</v>
      </c>
    </row>
    <row r="55" spans="2:10" x14ac:dyDescent="0.25">
      <c r="B55" t="s">
        <v>606</v>
      </c>
      <c r="J55">
        <v>0.25</v>
      </c>
    </row>
    <row r="56" spans="2:10" x14ac:dyDescent="0.25">
      <c r="B56" t="s">
        <v>614</v>
      </c>
      <c r="J56">
        <v>0.25</v>
      </c>
    </row>
    <row r="57" spans="2:10" x14ac:dyDescent="0.25">
      <c r="B57" t="s">
        <v>615</v>
      </c>
      <c r="J57">
        <v>0.25</v>
      </c>
    </row>
    <row r="58" spans="2:10" x14ac:dyDescent="0.25">
      <c r="B58" t="s">
        <v>609</v>
      </c>
      <c r="J58">
        <v>0.5</v>
      </c>
    </row>
    <row r="59" spans="2:10" x14ac:dyDescent="0.25">
      <c r="B59" t="s">
        <v>604</v>
      </c>
      <c r="J59">
        <v>0.25</v>
      </c>
    </row>
    <row r="60" spans="2:10" x14ac:dyDescent="0.25">
      <c r="B60" t="s">
        <v>608</v>
      </c>
      <c r="J60">
        <v>0.25</v>
      </c>
    </row>
    <row r="61" spans="2:10" x14ac:dyDescent="0.25">
      <c r="B61" t="s">
        <v>607</v>
      </c>
      <c r="J61">
        <v>0.5</v>
      </c>
    </row>
    <row r="62" spans="2:10" x14ac:dyDescent="0.25">
      <c r="B62" t="s">
        <v>603</v>
      </c>
      <c r="J62">
        <v>1</v>
      </c>
    </row>
    <row r="63" spans="2:10" x14ac:dyDescent="0.25">
      <c r="B63" t="s">
        <v>602</v>
      </c>
      <c r="J63">
        <v>0.5</v>
      </c>
    </row>
    <row r="64" spans="2:10" x14ac:dyDescent="0.25">
      <c r="B64" t="s">
        <v>72</v>
      </c>
      <c r="C64">
        <v>3</v>
      </c>
      <c r="D64">
        <v>3</v>
      </c>
      <c r="J64">
        <v>2</v>
      </c>
    </row>
    <row r="66" spans="2:10" x14ac:dyDescent="0.25">
      <c r="B66" s="28">
        <f>0+C66+D66</f>
        <v>26</v>
      </c>
      <c r="C66" s="29">
        <f>SUM(C18:C64)</f>
        <v>11.5</v>
      </c>
      <c r="D66" s="30">
        <f>SUM(D18:D64)</f>
        <v>14.5</v>
      </c>
      <c r="F66" s="18">
        <f>SUMIF(F18:F65,"",$C18:$C65)+SUMIF(F18:F65,"",$D18:$D65)+SUBTOTAL(109,F18:F65)</f>
        <v>24.5</v>
      </c>
      <c r="G66" s="18">
        <f>SUMIF(G18:G65,"",$C18:$C65)+SUMIF(G18:G65,"",$D18:$D65)+SUBTOTAL(109,G18:G65)</f>
        <v>23.75</v>
      </c>
      <c r="H66" s="18">
        <f>SUMIF(H18:H65,"",$C18:$C65)+SUMIF(H18:H65,"",$D18:$D65)+SUBTOTAL(109,H18:H65)</f>
        <v>24</v>
      </c>
      <c r="I66" s="18">
        <f>SUMIF(I18:I65,"",$C18:$C65)+SUMIF(I18:I65,"",$D18:$D65)+SUBTOTAL(109,I18:I65)</f>
        <v>19.25</v>
      </c>
      <c r="J66" s="18">
        <f>SUMIF(J18:J65,"",$C18:$C65)+SUMIF(J18:J65,"",$D18:$D65)+SUBTOTAL(109,J18:J65)</f>
        <v>11.25</v>
      </c>
    </row>
    <row r="69" spans="2:10" x14ac:dyDescent="0.25">
      <c r="B69" t="s">
        <v>46</v>
      </c>
    </row>
  </sheetData>
  <autoFilter ref="A17:J64" xr:uid="{BB647366-35C4-492E-B035-621946E0AEBD}">
    <filterColumn colId="9">
      <filters blank="1">
        <filter val="0,25"/>
        <filter val="0,5"/>
      </filters>
    </filterColumn>
  </autoFilter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62AB17-4C01-46D2-A8A8-94F27E949FEE}">
  <sheetPr codeName="Feuil6">
    <outlinePr summaryBelow="0"/>
  </sheetPr>
  <dimension ref="A3:C73"/>
  <sheetViews>
    <sheetView workbookViewId="0">
      <selection activeCell="B8" sqref="B8"/>
    </sheetView>
  </sheetViews>
  <sheetFormatPr baseColWidth="10" defaultRowHeight="15" outlineLevelRow="2" x14ac:dyDescent="0.25"/>
  <cols>
    <col min="1" max="1" width="13.42578125" bestFit="1" customWidth="1"/>
  </cols>
  <sheetData>
    <row r="3" spans="1:3" x14ac:dyDescent="0.25">
      <c r="A3" t="s">
        <v>84</v>
      </c>
    </row>
    <row r="4" spans="1:3" outlineLevel="1" x14ac:dyDescent="0.25">
      <c r="B4" t="s">
        <v>222</v>
      </c>
    </row>
    <row r="5" spans="1:3" outlineLevel="1" x14ac:dyDescent="0.25">
      <c r="B5" t="s">
        <v>223</v>
      </c>
    </row>
    <row r="6" spans="1:3" outlineLevel="1" x14ac:dyDescent="0.25">
      <c r="B6" t="s">
        <v>224</v>
      </c>
    </row>
    <row r="7" spans="1:3" outlineLevel="1" x14ac:dyDescent="0.25">
      <c r="B7" t="s">
        <v>515</v>
      </c>
    </row>
    <row r="8" spans="1:3" outlineLevel="1" x14ac:dyDescent="0.25"/>
    <row r="12" spans="1:3" collapsed="1" x14ac:dyDescent="0.25">
      <c r="A12" t="s">
        <v>249</v>
      </c>
      <c r="B12" t="s">
        <v>250</v>
      </c>
      <c r="C12" t="s">
        <v>251</v>
      </c>
    </row>
    <row r="13" spans="1:3" hidden="1" outlineLevel="1" x14ac:dyDescent="0.25">
      <c r="B13" t="s">
        <v>504</v>
      </c>
    </row>
    <row r="14" spans="1:3" hidden="1" outlineLevel="1" x14ac:dyDescent="0.25">
      <c r="B14" t="s">
        <v>505</v>
      </c>
    </row>
    <row r="15" spans="1:3" hidden="1" outlineLevel="1" x14ac:dyDescent="0.25">
      <c r="B15" t="s">
        <v>506</v>
      </c>
    </row>
    <row r="16" spans="1:3" hidden="1" outlineLevel="1" x14ac:dyDescent="0.25"/>
    <row r="18" spans="1:3" collapsed="1" x14ac:dyDescent="0.25">
      <c r="A18" t="s">
        <v>248</v>
      </c>
      <c r="B18" t="s">
        <v>229</v>
      </c>
      <c r="C18" t="s">
        <v>245</v>
      </c>
    </row>
    <row r="19" spans="1:3" hidden="1" outlineLevel="1" x14ac:dyDescent="0.25"/>
    <row r="20" spans="1:3" hidden="1" outlineLevel="1" x14ac:dyDescent="0.25"/>
    <row r="21" spans="1:3" hidden="1" outlineLevel="1" x14ac:dyDescent="0.25"/>
    <row r="23" spans="1:3" collapsed="1" x14ac:dyDescent="0.25">
      <c r="A23" t="s">
        <v>244</v>
      </c>
      <c r="B23" t="s">
        <v>229</v>
      </c>
      <c r="C23" t="s">
        <v>245</v>
      </c>
    </row>
    <row r="24" spans="1:3" hidden="1" outlineLevel="1" x14ac:dyDescent="0.25">
      <c r="B24" t="s">
        <v>246</v>
      </c>
    </row>
    <row r="25" spans="1:3" hidden="1" outlineLevel="1" x14ac:dyDescent="0.25">
      <c r="B25" t="s">
        <v>247</v>
      </c>
    </row>
    <row r="26" spans="1:3" hidden="1" outlineLevel="1" x14ac:dyDescent="0.25"/>
    <row r="28" spans="1:3" collapsed="1" x14ac:dyDescent="0.25">
      <c r="A28" t="s">
        <v>228</v>
      </c>
      <c r="B28" t="s">
        <v>229</v>
      </c>
      <c r="C28" t="s">
        <v>80</v>
      </c>
    </row>
    <row r="29" spans="1:3" hidden="1" outlineLevel="1" x14ac:dyDescent="0.25">
      <c r="B29" t="s">
        <v>234</v>
      </c>
    </row>
    <row r="30" spans="1:3" hidden="1" outlineLevel="1" x14ac:dyDescent="0.25">
      <c r="B30" t="s">
        <v>235</v>
      </c>
    </row>
    <row r="31" spans="1:3" hidden="1" outlineLevel="1" x14ac:dyDescent="0.25">
      <c r="B31" t="s">
        <v>236</v>
      </c>
    </row>
    <row r="32" spans="1:3" hidden="1" outlineLevel="1" x14ac:dyDescent="0.25">
      <c r="B32" t="s">
        <v>242</v>
      </c>
    </row>
    <row r="33" spans="1:3" hidden="1" outlineLevel="1" x14ac:dyDescent="0.25"/>
    <row r="35" spans="1:3" collapsed="1" x14ac:dyDescent="0.25">
      <c r="A35" t="s">
        <v>212</v>
      </c>
      <c r="B35" t="s">
        <v>213</v>
      </c>
      <c r="C35" t="s">
        <v>226</v>
      </c>
    </row>
    <row r="36" spans="1:3" hidden="1" outlineLevel="1" x14ac:dyDescent="0.25">
      <c r="B36" t="s">
        <v>216</v>
      </c>
    </row>
    <row r="37" spans="1:3" hidden="1" outlineLevel="1" x14ac:dyDescent="0.25">
      <c r="B37" t="s">
        <v>214</v>
      </c>
    </row>
    <row r="38" spans="1:3" hidden="1" outlineLevel="1" x14ac:dyDescent="0.25">
      <c r="B38" t="s">
        <v>215</v>
      </c>
    </row>
    <row r="39" spans="1:3" hidden="1" outlineLevel="1" x14ac:dyDescent="0.25"/>
    <row r="41" spans="1:3" collapsed="1" x14ac:dyDescent="0.25">
      <c r="A41" t="s">
        <v>217</v>
      </c>
      <c r="B41" t="s">
        <v>218</v>
      </c>
      <c r="C41" t="s">
        <v>227</v>
      </c>
    </row>
    <row r="42" spans="1:3" hidden="1" outlineLevel="1" x14ac:dyDescent="0.25">
      <c r="B42" t="s">
        <v>219</v>
      </c>
    </row>
    <row r="43" spans="1:3" hidden="1" outlineLevel="1" x14ac:dyDescent="0.25"/>
    <row r="44" spans="1:3" hidden="1" outlineLevel="1" x14ac:dyDescent="0.25"/>
    <row r="45" spans="1:3" hidden="1" outlineLevel="1" x14ac:dyDescent="0.25"/>
    <row r="48" spans="1:3" collapsed="1" x14ac:dyDescent="0.25">
      <c r="A48" t="s">
        <v>139</v>
      </c>
    </row>
    <row r="49" spans="2:2" hidden="1" outlineLevel="1" collapsed="1" x14ac:dyDescent="0.25">
      <c r="B49" t="s">
        <v>225</v>
      </c>
    </row>
    <row r="50" spans="2:2" hidden="1" outlineLevel="2" x14ac:dyDescent="0.25">
      <c r="B50" t="s">
        <v>117</v>
      </c>
    </row>
    <row r="51" spans="2:2" hidden="1" outlineLevel="2" x14ac:dyDescent="0.25"/>
    <row r="52" spans="2:2" hidden="1" outlineLevel="2" x14ac:dyDescent="0.25">
      <c r="B52" t="s">
        <v>118</v>
      </c>
    </row>
    <row r="53" spans="2:2" hidden="1" outlineLevel="2" x14ac:dyDescent="0.25"/>
    <row r="54" spans="2:2" hidden="1" outlineLevel="2" x14ac:dyDescent="0.25">
      <c r="B54" t="s">
        <v>119</v>
      </c>
    </row>
    <row r="55" spans="2:2" hidden="1" outlineLevel="2" x14ac:dyDescent="0.25">
      <c r="B55" t="s">
        <v>120</v>
      </c>
    </row>
    <row r="56" spans="2:2" hidden="1" outlineLevel="2" x14ac:dyDescent="0.25">
      <c r="B56" t="s">
        <v>121</v>
      </c>
    </row>
    <row r="57" spans="2:2" hidden="1" outlineLevel="2" x14ac:dyDescent="0.25">
      <c r="B57" t="s">
        <v>122</v>
      </c>
    </row>
    <row r="58" spans="2:2" hidden="1" outlineLevel="2" x14ac:dyDescent="0.25">
      <c r="B58" t="s">
        <v>123</v>
      </c>
    </row>
    <row r="59" spans="2:2" hidden="1" outlineLevel="2" x14ac:dyDescent="0.25">
      <c r="B59" t="s">
        <v>124</v>
      </c>
    </row>
    <row r="60" spans="2:2" hidden="1" outlineLevel="2" x14ac:dyDescent="0.25"/>
    <row r="61" spans="2:2" hidden="1" outlineLevel="2" x14ac:dyDescent="0.25">
      <c r="B61" t="s">
        <v>125</v>
      </c>
    </row>
    <row r="62" spans="2:2" hidden="1" outlineLevel="2" x14ac:dyDescent="0.25">
      <c r="B62" t="s">
        <v>126</v>
      </c>
    </row>
    <row r="63" spans="2:2" hidden="1" outlineLevel="2" x14ac:dyDescent="0.25"/>
    <row r="64" spans="2:2" hidden="1" outlineLevel="2" x14ac:dyDescent="0.25">
      <c r="B64" t="s">
        <v>127</v>
      </c>
    </row>
    <row r="65" spans="2:3" hidden="1" outlineLevel="2" x14ac:dyDescent="0.25">
      <c r="B65" t="s">
        <v>128</v>
      </c>
    </row>
    <row r="66" spans="2:3" hidden="1" outlineLevel="2" x14ac:dyDescent="0.25">
      <c r="B66" t="s">
        <v>129</v>
      </c>
    </row>
    <row r="67" spans="2:3" hidden="1" outlineLevel="2" x14ac:dyDescent="0.25">
      <c r="B67" t="s">
        <v>130</v>
      </c>
    </row>
    <row r="68" spans="2:3" hidden="1" outlineLevel="2" x14ac:dyDescent="0.25">
      <c r="B68" t="s">
        <v>131</v>
      </c>
    </row>
    <row r="69" spans="2:3" hidden="1" outlineLevel="2" x14ac:dyDescent="0.25">
      <c r="B69" t="s">
        <v>132</v>
      </c>
    </row>
    <row r="70" spans="2:3" hidden="1" outlineLevel="2" x14ac:dyDescent="0.25">
      <c r="B70" t="s">
        <v>133</v>
      </c>
    </row>
    <row r="71" spans="2:3" hidden="1" outlineLevel="1" x14ac:dyDescent="0.25"/>
    <row r="72" spans="2:3" hidden="1" outlineLevel="1" collapsed="1" x14ac:dyDescent="0.25">
      <c r="B72" t="s">
        <v>140</v>
      </c>
    </row>
    <row r="73" spans="2:3" hidden="1" outlineLevel="2" x14ac:dyDescent="0.25">
      <c r="C73" t="s">
        <v>56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E9C7FF-75F3-40F3-9B2F-D3EAF1CD8DB9}">
  <sheetPr codeName="I18N_Data"/>
  <dimension ref="A1:L114"/>
  <sheetViews>
    <sheetView workbookViewId="0">
      <selection activeCell="G70" sqref="G70"/>
    </sheetView>
  </sheetViews>
  <sheetFormatPr baseColWidth="10" defaultRowHeight="15" x14ac:dyDescent="0.25"/>
  <cols>
    <col min="1" max="1" width="20.7109375" bestFit="1" customWidth="1"/>
    <col min="3" max="3" width="12.5703125" bestFit="1" customWidth="1"/>
    <col min="4" max="4" width="11.28515625" bestFit="1" customWidth="1"/>
    <col min="7" max="7" width="25.42578125" bestFit="1" customWidth="1"/>
    <col min="8" max="8" width="24.5703125" bestFit="1" customWidth="1"/>
  </cols>
  <sheetData>
    <row r="1" spans="1:12" ht="17.25" customHeight="1" x14ac:dyDescent="0.25">
      <c r="J1" s="1" t="s">
        <v>11</v>
      </c>
      <c r="L1" t="s">
        <v>56</v>
      </c>
    </row>
    <row r="2" spans="1:12" ht="17.25" customHeight="1" x14ac:dyDescent="0.25"/>
    <row r="3" spans="1:12" x14ac:dyDescent="0.25">
      <c r="A3" t="s">
        <v>0</v>
      </c>
      <c r="B3" t="s">
        <v>1</v>
      </c>
      <c r="C3" t="s">
        <v>2</v>
      </c>
      <c r="D3" t="s">
        <v>3</v>
      </c>
      <c r="E3" t="s">
        <v>4</v>
      </c>
      <c r="F3" t="s">
        <v>5</v>
      </c>
      <c r="G3" t="s">
        <v>11</v>
      </c>
      <c r="H3" t="s">
        <v>12</v>
      </c>
    </row>
    <row r="4" spans="1:12" x14ac:dyDescent="0.25">
      <c r="A4" s="2" t="s">
        <v>12</v>
      </c>
      <c r="B4" s="2"/>
      <c r="C4" s="2"/>
      <c r="D4" s="2"/>
      <c r="E4" s="2"/>
      <c r="F4" s="2"/>
      <c r="G4" s="2" t="s">
        <v>15</v>
      </c>
      <c r="H4" s="2" t="s">
        <v>13</v>
      </c>
    </row>
    <row r="5" spans="1:12" x14ac:dyDescent="0.25">
      <c r="A5" s="2" t="s">
        <v>11</v>
      </c>
      <c r="B5" s="2"/>
      <c r="C5" s="2"/>
      <c r="D5" s="2"/>
      <c r="E5" s="2"/>
      <c r="F5" s="2"/>
      <c r="G5" s="2" t="s">
        <v>16</v>
      </c>
      <c r="H5" s="2" t="s">
        <v>14</v>
      </c>
    </row>
    <row r="6" spans="1:12" x14ac:dyDescent="0.25">
      <c r="A6" s="2" t="s">
        <v>157</v>
      </c>
      <c r="B6" s="2"/>
      <c r="C6" s="3"/>
      <c r="D6" s="3"/>
      <c r="E6" s="2" t="s">
        <v>63</v>
      </c>
      <c r="F6" s="2" t="s">
        <v>63</v>
      </c>
      <c r="G6" s="2" t="s">
        <v>158</v>
      </c>
      <c r="H6" s="2" t="s">
        <v>159</v>
      </c>
    </row>
    <row r="7" spans="1:12" x14ac:dyDescent="0.25">
      <c r="A7" s="2" t="s">
        <v>160</v>
      </c>
      <c r="B7" s="2"/>
      <c r="C7" s="3"/>
      <c r="D7" s="3"/>
      <c r="E7" s="2"/>
      <c r="F7" s="2"/>
      <c r="G7" s="2" t="s">
        <v>161</v>
      </c>
      <c r="H7" s="2" t="s">
        <v>168</v>
      </c>
    </row>
    <row r="8" spans="1:12" x14ac:dyDescent="0.25">
      <c r="A8" s="2" t="s">
        <v>162</v>
      </c>
      <c r="B8" s="2"/>
      <c r="C8" s="3"/>
      <c r="D8" s="3"/>
      <c r="E8" s="2"/>
      <c r="F8" s="2"/>
      <c r="G8" s="2" t="s">
        <v>163</v>
      </c>
      <c r="H8" s="2" t="s">
        <v>164</v>
      </c>
    </row>
    <row r="9" spans="1:12" x14ac:dyDescent="0.25">
      <c r="A9" s="2" t="s">
        <v>167</v>
      </c>
      <c r="B9" s="2"/>
      <c r="C9" s="3"/>
      <c r="D9" s="3"/>
      <c r="E9" s="2"/>
      <c r="F9" s="2"/>
      <c r="G9" s="2" t="s">
        <v>169</v>
      </c>
      <c r="H9" s="2" t="s">
        <v>170</v>
      </c>
    </row>
    <row r="10" spans="1:12" x14ac:dyDescent="0.25">
      <c r="A10" s="2" t="s">
        <v>53</v>
      </c>
      <c r="B10" s="2" t="s">
        <v>165</v>
      </c>
      <c r="C10" s="3" t="s">
        <v>166</v>
      </c>
      <c r="D10" s="3"/>
      <c r="E10" s="2"/>
      <c r="F10" s="2"/>
      <c r="G10" s="2" t="str">
        <f xml:space="preserve"> "Version " &amp; tI18N[[#This Row],[Param1]] &amp; " - " &amp; tI18N[[#This Row],[Param2]]</f>
        <v>Version 01 - 10 12 15</v>
      </c>
      <c r="H10" s="2" t="str">
        <f xml:space="preserve"> "Version " &amp; tI18N[[#This Row],[Param1]] &amp; " du " &amp; tI18N[[#This Row],[Param2]]</f>
        <v>Version 01 du 10 12 15</v>
      </c>
    </row>
    <row r="11" spans="1:12" x14ac:dyDescent="0.25">
      <c r="A11" s="2" t="s">
        <v>57</v>
      </c>
      <c r="B11" s="2" t="s">
        <v>63</v>
      </c>
      <c r="C11" s="2" t="s">
        <v>63</v>
      </c>
      <c r="D11" s="2" t="s">
        <v>63</v>
      </c>
      <c r="E11" s="2" t="s">
        <v>63</v>
      </c>
      <c r="F11" s="2" t="s">
        <v>63</v>
      </c>
      <c r="G11" s="2" t="s">
        <v>58</v>
      </c>
      <c r="H11" s="2" t="s">
        <v>59</v>
      </c>
    </row>
    <row r="12" spans="1:12" x14ac:dyDescent="0.25">
      <c r="A12" s="2" t="s">
        <v>60</v>
      </c>
      <c r="B12" s="2" t="s">
        <v>63</v>
      </c>
      <c r="C12" s="2" t="s">
        <v>63</v>
      </c>
      <c r="D12" s="2" t="s">
        <v>63</v>
      </c>
      <c r="E12" s="2" t="s">
        <v>63</v>
      </c>
      <c r="F12" s="2" t="s">
        <v>63</v>
      </c>
      <c r="G12" s="2" t="s">
        <v>62</v>
      </c>
      <c r="H12" s="2" t="s">
        <v>61</v>
      </c>
    </row>
    <row r="13" spans="1:12" x14ac:dyDescent="0.25">
      <c r="A13" s="2" t="s">
        <v>49</v>
      </c>
      <c r="B13" s="2"/>
      <c r="C13" s="2"/>
      <c r="D13" s="2"/>
      <c r="E13" s="2"/>
      <c r="F13" s="2"/>
      <c r="G13" s="2" t="s">
        <v>6</v>
      </c>
      <c r="H13" s="2" t="s">
        <v>18</v>
      </c>
    </row>
    <row r="14" spans="1:12" x14ac:dyDescent="0.25">
      <c r="A14" s="2" t="s">
        <v>50</v>
      </c>
      <c r="B14" s="2"/>
      <c r="C14" s="2"/>
      <c r="D14" s="2"/>
      <c r="E14" s="2"/>
      <c r="F14" s="2"/>
      <c r="G14" s="2" t="s">
        <v>7</v>
      </c>
      <c r="H14" s="2" t="s">
        <v>7</v>
      </c>
    </row>
    <row r="15" spans="1:12" x14ac:dyDescent="0.25">
      <c r="A15" s="2" t="s">
        <v>51</v>
      </c>
      <c r="B15" s="2"/>
      <c r="C15" s="2"/>
      <c r="D15" s="2"/>
      <c r="E15" s="2"/>
      <c r="F15" s="2"/>
      <c r="G15" s="2" t="s">
        <v>8</v>
      </c>
      <c r="H15" s="2" t="s">
        <v>8</v>
      </c>
    </row>
    <row r="16" spans="1:12" x14ac:dyDescent="0.25">
      <c r="A16" s="2" t="s">
        <v>52</v>
      </c>
      <c r="B16" s="2"/>
      <c r="C16" s="2"/>
      <c r="D16" s="2"/>
      <c r="E16" s="2"/>
      <c r="F16" s="2"/>
      <c r="G16" s="2" t="s">
        <v>9</v>
      </c>
      <c r="H16" s="2" t="s">
        <v>17</v>
      </c>
    </row>
    <row r="17" spans="1:8" x14ac:dyDescent="0.25">
      <c r="A17" s="2" t="s">
        <v>10</v>
      </c>
      <c r="B17" s="2">
        <v>10</v>
      </c>
      <c r="C17" s="2"/>
      <c r="D17" s="2"/>
      <c r="E17" s="2"/>
      <c r="F17" s="2"/>
      <c r="G17" s="2" t="str">
        <f>"End after " &amp; TEXT(tI18N[[#This Row],[Param1]], "### ### ###") &amp; " second" &amp; IF(tI18N[[#This Row],[Param1]] &gt; 1, "s", "")</f>
        <v>End after 10 seconds</v>
      </c>
      <c r="H17" s="2" t="str">
        <f>"Terminé en " &amp; TEXT(tI18N[[#This Row],[Param1]], "### ### ###") &amp; " seconde" &amp; IF(tI18N[[#This Row],[Param1]] &gt; 1, "s", "")</f>
        <v>Terminé en 10 secondes</v>
      </c>
    </row>
    <row r="18" spans="1:8" x14ac:dyDescent="0.25">
      <c r="A18" s="2" t="s">
        <v>171</v>
      </c>
      <c r="B18" s="2"/>
      <c r="C18" s="2"/>
      <c r="D18" s="2"/>
      <c r="E18" s="2"/>
      <c r="F18" s="2"/>
      <c r="G18" s="2" t="s">
        <v>501</v>
      </c>
      <c r="H18" s="2" t="s">
        <v>239</v>
      </c>
    </row>
    <row r="19" spans="1:8" x14ac:dyDescent="0.25">
      <c r="A19" s="2" t="s">
        <v>172</v>
      </c>
      <c r="B19" s="2"/>
      <c r="C19" s="2"/>
      <c r="D19" s="2"/>
      <c r="E19" s="2"/>
      <c r="F19" s="2"/>
      <c r="G19" s="2" t="s">
        <v>174</v>
      </c>
      <c r="H19" s="2" t="s">
        <v>173</v>
      </c>
    </row>
    <row r="20" spans="1:8" x14ac:dyDescent="0.25">
      <c r="A20" s="2" t="s">
        <v>175</v>
      </c>
      <c r="B20" s="2"/>
      <c r="C20" s="2"/>
      <c r="D20" s="2"/>
      <c r="E20" s="2"/>
      <c r="F20" s="2"/>
      <c r="G20" s="2" t="s">
        <v>115</v>
      </c>
      <c r="H20" s="2" t="s">
        <v>65</v>
      </c>
    </row>
    <row r="21" spans="1:8" x14ac:dyDescent="0.25">
      <c r="A21" s="2" t="s">
        <v>75</v>
      </c>
      <c r="B21" s="2"/>
      <c r="C21" s="2"/>
      <c r="D21" s="2"/>
      <c r="E21" s="2"/>
      <c r="F21" s="2"/>
      <c r="G21" s="2" t="s">
        <v>76</v>
      </c>
      <c r="H21" s="2" t="s">
        <v>77</v>
      </c>
    </row>
    <row r="22" spans="1:8" x14ac:dyDescent="0.25">
      <c r="A22" s="2" t="s">
        <v>93</v>
      </c>
      <c r="B22" s="2"/>
      <c r="C22" s="2"/>
      <c r="D22" s="2"/>
      <c r="E22" s="2"/>
      <c r="F22" s="2"/>
      <c r="G22" s="2" t="s">
        <v>0</v>
      </c>
      <c r="H22" s="2" t="s">
        <v>0</v>
      </c>
    </row>
    <row r="23" spans="1:8" x14ac:dyDescent="0.25">
      <c r="A23" s="2" t="s">
        <v>73</v>
      </c>
      <c r="B23" s="2"/>
      <c r="C23" s="2"/>
      <c r="D23" s="2"/>
      <c r="E23" s="2"/>
      <c r="F23" s="2"/>
      <c r="G23" s="2" t="s">
        <v>20</v>
      </c>
      <c r="H23" s="2" t="s">
        <v>47</v>
      </c>
    </row>
    <row r="24" spans="1:8" x14ac:dyDescent="0.25">
      <c r="A24" s="2" t="s">
        <v>105</v>
      </c>
      <c r="B24" s="2"/>
      <c r="C24" s="2"/>
      <c r="D24" s="2"/>
      <c r="E24" s="2"/>
      <c r="F24" s="2"/>
      <c r="G24" s="2" t="s">
        <v>28</v>
      </c>
      <c r="H24" s="2" t="s">
        <v>107</v>
      </c>
    </row>
    <row r="25" spans="1:8" x14ac:dyDescent="0.25">
      <c r="A25" s="2" t="s">
        <v>103</v>
      </c>
      <c r="B25" s="2"/>
      <c r="C25" s="2"/>
      <c r="D25" s="2"/>
      <c r="E25" s="2"/>
      <c r="F25" s="2"/>
      <c r="G25" s="2" t="s">
        <v>104</v>
      </c>
      <c r="H25" s="2" t="s">
        <v>48</v>
      </c>
    </row>
    <row r="26" spans="1:8" x14ac:dyDescent="0.25">
      <c r="A26" s="2" t="s">
        <v>74</v>
      </c>
      <c r="B26" s="2"/>
      <c r="C26" s="2"/>
      <c r="D26" s="2"/>
      <c r="E26" s="2"/>
      <c r="F26" s="2"/>
      <c r="G26" s="2" t="s">
        <v>54</v>
      </c>
      <c r="H26" s="2" t="s">
        <v>55</v>
      </c>
    </row>
    <row r="27" spans="1:8" x14ac:dyDescent="0.25">
      <c r="A27" s="2" t="s">
        <v>87</v>
      </c>
      <c r="B27" s="2"/>
      <c r="C27" s="2"/>
      <c r="D27" s="2"/>
      <c r="E27" s="2"/>
      <c r="F27" s="2"/>
      <c r="G27" s="2" t="s">
        <v>88</v>
      </c>
      <c r="H27" s="2" t="s">
        <v>89</v>
      </c>
    </row>
    <row r="28" spans="1:8" x14ac:dyDescent="0.25">
      <c r="A28" s="2" t="s">
        <v>83</v>
      </c>
      <c r="B28" s="2"/>
      <c r="C28" s="2"/>
      <c r="D28" s="2"/>
      <c r="E28" s="2"/>
      <c r="F28" s="2"/>
      <c r="G28" s="2" t="s">
        <v>79</v>
      </c>
      <c r="H28" s="2" t="s">
        <v>81</v>
      </c>
    </row>
    <row r="29" spans="1:8" x14ac:dyDescent="0.25">
      <c r="A29" s="2" t="s">
        <v>78</v>
      </c>
      <c r="B29" s="2"/>
      <c r="C29" s="2"/>
      <c r="D29" s="2"/>
      <c r="E29" s="2"/>
      <c r="F29" s="2"/>
      <c r="G29" s="2" t="s">
        <v>80</v>
      </c>
      <c r="H29" s="2" t="s">
        <v>82</v>
      </c>
    </row>
    <row r="30" spans="1:8" x14ac:dyDescent="0.25">
      <c r="A30" s="27" t="s">
        <v>146</v>
      </c>
      <c r="B30" s="2"/>
      <c r="C30" s="2"/>
      <c r="D30" s="2"/>
      <c r="E30" s="2"/>
      <c r="F30" s="2"/>
      <c r="G30" s="2" t="s">
        <v>181</v>
      </c>
      <c r="H30" s="2" t="s">
        <v>182</v>
      </c>
    </row>
    <row r="31" spans="1:8" x14ac:dyDescent="0.25">
      <c r="A31" s="27" t="s">
        <v>147</v>
      </c>
      <c r="B31" s="2"/>
      <c r="C31" s="2"/>
      <c r="D31" s="2"/>
      <c r="E31" s="2"/>
      <c r="F31" s="2"/>
      <c r="G31" s="2" t="s">
        <v>45</v>
      </c>
      <c r="H31" s="2" t="s">
        <v>183</v>
      </c>
    </row>
    <row r="32" spans="1:8" x14ac:dyDescent="0.25">
      <c r="A32" s="27" t="s">
        <v>148</v>
      </c>
      <c r="B32" s="2"/>
      <c r="C32" s="2"/>
      <c r="D32" s="2"/>
      <c r="E32" s="2"/>
      <c r="F32" s="2"/>
      <c r="G32" s="2" t="s">
        <v>184</v>
      </c>
      <c r="H32" s="2" t="s">
        <v>185</v>
      </c>
    </row>
    <row r="33" spans="1:8" x14ac:dyDescent="0.25">
      <c r="A33" s="27" t="s">
        <v>180</v>
      </c>
      <c r="B33" s="2"/>
      <c r="C33" s="2"/>
      <c r="D33" s="2"/>
      <c r="E33" s="2"/>
      <c r="F33" s="2"/>
      <c r="G33" s="2" t="s">
        <v>186</v>
      </c>
      <c r="H33" s="2" t="s">
        <v>187</v>
      </c>
    </row>
    <row r="34" spans="1:8" x14ac:dyDescent="0.25">
      <c r="A34" s="27" t="s">
        <v>150</v>
      </c>
      <c r="B34" s="2"/>
      <c r="C34" s="2"/>
      <c r="D34" s="2"/>
      <c r="E34" s="2"/>
      <c r="F34" s="2"/>
      <c r="G34" s="2" t="s">
        <v>188</v>
      </c>
      <c r="H34" s="2" t="s">
        <v>190</v>
      </c>
    </row>
    <row r="35" spans="1:8" x14ac:dyDescent="0.25">
      <c r="A35" s="27" t="s">
        <v>151</v>
      </c>
      <c r="B35" s="2"/>
      <c r="C35" s="2"/>
      <c r="D35" s="2"/>
      <c r="E35" s="2"/>
      <c r="F35" s="2"/>
      <c r="G35" s="2" t="s">
        <v>189</v>
      </c>
      <c r="H35" s="2" t="s">
        <v>191</v>
      </c>
    </row>
    <row r="36" spans="1:8" x14ac:dyDescent="0.25">
      <c r="A36" s="2" t="s">
        <v>134</v>
      </c>
      <c r="B36" s="2"/>
      <c r="C36" s="2"/>
      <c r="D36" s="2"/>
      <c r="E36" s="2"/>
      <c r="F36" s="2"/>
      <c r="G36" s="2" t="s">
        <v>211</v>
      </c>
      <c r="H36" s="2" t="s">
        <v>192</v>
      </c>
    </row>
    <row r="37" spans="1:8" x14ac:dyDescent="0.25">
      <c r="A37" s="27" t="s">
        <v>201</v>
      </c>
      <c r="B37" s="2"/>
      <c r="C37" s="2"/>
      <c r="D37" s="2"/>
      <c r="E37" s="2"/>
      <c r="F37" s="2"/>
      <c r="G37" s="2" t="s">
        <v>19</v>
      </c>
      <c r="H37" s="2" t="s">
        <v>19</v>
      </c>
    </row>
    <row r="38" spans="1:8" x14ac:dyDescent="0.25">
      <c r="A38" s="27" t="s">
        <v>199</v>
      </c>
      <c r="B38" s="2"/>
      <c r="C38" s="2"/>
      <c r="D38" s="2"/>
      <c r="E38" s="2"/>
      <c r="F38" s="2"/>
      <c r="G38" s="2" t="s">
        <v>203</v>
      </c>
      <c r="H38" s="2" t="s">
        <v>202</v>
      </c>
    </row>
    <row r="39" spans="1:8" x14ac:dyDescent="0.25">
      <c r="A39" s="27" t="s">
        <v>200</v>
      </c>
      <c r="B39" s="2"/>
      <c r="C39" s="2"/>
      <c r="D39" s="2"/>
      <c r="E39" s="2"/>
      <c r="F39" s="2"/>
      <c r="G39" s="2" t="s">
        <v>34</v>
      </c>
      <c r="H39" s="2" t="s">
        <v>204</v>
      </c>
    </row>
    <row r="40" spans="1:8" x14ac:dyDescent="0.25">
      <c r="A40" s="37" t="s">
        <v>380</v>
      </c>
      <c r="B40" s="2"/>
      <c r="C40" s="2"/>
      <c r="D40" s="2"/>
      <c r="E40" s="2"/>
      <c r="F40" s="2"/>
      <c r="G40" s="2" t="s">
        <v>478</v>
      </c>
      <c r="H40" s="2" t="s">
        <v>17</v>
      </c>
    </row>
    <row r="41" spans="1:8" x14ac:dyDescent="0.25">
      <c r="A41" s="37" t="s">
        <v>381</v>
      </c>
      <c r="B41" s="2"/>
      <c r="C41" s="2"/>
      <c r="D41" s="2"/>
      <c r="E41" s="2"/>
      <c r="F41" s="2"/>
      <c r="G41" s="2" t="s">
        <v>479</v>
      </c>
      <c r="H41" s="2" t="s">
        <v>480</v>
      </c>
    </row>
    <row r="42" spans="1:8" x14ac:dyDescent="0.25">
      <c r="A42" s="36" t="s">
        <v>325</v>
      </c>
      <c r="B42" s="2"/>
      <c r="C42" s="2"/>
      <c r="D42" s="2"/>
      <c r="E42" s="2"/>
      <c r="F42" s="2"/>
      <c r="G42" s="2" t="s">
        <v>481</v>
      </c>
      <c r="H42" s="2" t="s">
        <v>482</v>
      </c>
    </row>
    <row r="43" spans="1:8" x14ac:dyDescent="0.25">
      <c r="A43" s="37" t="s">
        <v>458</v>
      </c>
      <c r="B43" s="2"/>
      <c r="C43" s="2"/>
      <c r="D43" s="2"/>
      <c r="E43" s="2"/>
      <c r="F43" s="2"/>
      <c r="G43" s="2" t="s">
        <v>483</v>
      </c>
      <c r="H43" s="43" t="s">
        <v>491</v>
      </c>
    </row>
    <row r="44" spans="1:8" x14ac:dyDescent="0.25">
      <c r="A44" s="37" t="s">
        <v>459</v>
      </c>
      <c r="B44" s="2"/>
      <c r="C44" s="2"/>
      <c r="D44" s="2"/>
      <c r="E44" s="2"/>
      <c r="F44" s="2"/>
      <c r="G44" s="2" t="s">
        <v>487</v>
      </c>
      <c r="H44" s="2" t="s">
        <v>489</v>
      </c>
    </row>
    <row r="45" spans="1:8" x14ac:dyDescent="0.25">
      <c r="A45" s="37" t="s">
        <v>460</v>
      </c>
      <c r="B45" s="2"/>
      <c r="C45" s="2"/>
      <c r="D45" s="2"/>
      <c r="E45" s="2"/>
      <c r="F45" s="2"/>
      <c r="G45" s="2" t="s">
        <v>484</v>
      </c>
      <c r="H45" s="43" t="s">
        <v>492</v>
      </c>
    </row>
    <row r="46" spans="1:8" x14ac:dyDescent="0.25">
      <c r="A46" s="37" t="s">
        <v>461</v>
      </c>
      <c r="B46" s="2"/>
      <c r="C46" s="2"/>
      <c r="D46" s="2"/>
      <c r="E46" s="2"/>
      <c r="F46" s="2"/>
      <c r="G46" s="2" t="s">
        <v>488</v>
      </c>
      <c r="H46" s="2" t="s">
        <v>490</v>
      </c>
    </row>
    <row r="47" spans="1:8" x14ac:dyDescent="0.25">
      <c r="A47" s="37" t="s">
        <v>462</v>
      </c>
      <c r="B47" s="2"/>
      <c r="C47" s="2"/>
      <c r="D47" s="2"/>
      <c r="E47" s="2"/>
      <c r="F47" s="2"/>
      <c r="G47" s="2" t="s">
        <v>493</v>
      </c>
      <c r="H47" s="2" t="s">
        <v>494</v>
      </c>
    </row>
    <row r="48" spans="1:8" x14ac:dyDescent="0.25">
      <c r="A48" s="37" t="s">
        <v>463</v>
      </c>
      <c r="B48" s="2"/>
      <c r="C48" s="2"/>
      <c r="D48" s="2"/>
      <c r="E48" s="2"/>
      <c r="F48" s="2"/>
      <c r="G48" s="2" t="s">
        <v>495</v>
      </c>
      <c r="H48" s="2" t="s">
        <v>496</v>
      </c>
    </row>
    <row r="49" spans="1:8" x14ac:dyDescent="0.25">
      <c r="A49" s="37" t="s">
        <v>464</v>
      </c>
      <c r="B49" s="2"/>
      <c r="C49" s="2"/>
      <c r="D49" s="2"/>
      <c r="E49" s="2"/>
      <c r="F49" s="2"/>
      <c r="G49" s="2" t="s">
        <v>485</v>
      </c>
      <c r="H49" s="2" t="s">
        <v>497</v>
      </c>
    </row>
    <row r="50" spans="1:8" x14ac:dyDescent="0.25">
      <c r="A50" s="37" t="s">
        <v>465</v>
      </c>
      <c r="B50" s="2"/>
      <c r="C50" s="2"/>
      <c r="D50" s="2"/>
      <c r="E50" s="2"/>
      <c r="F50" s="2"/>
      <c r="G50" s="2" t="s">
        <v>498</v>
      </c>
      <c r="H50" s="2" t="s">
        <v>499</v>
      </c>
    </row>
    <row r="51" spans="1:8" x14ac:dyDescent="0.25">
      <c r="A51" s="37" t="s">
        <v>466</v>
      </c>
      <c r="B51" s="2"/>
      <c r="C51" s="2"/>
      <c r="D51" s="2"/>
      <c r="E51" s="2"/>
      <c r="F51" s="2"/>
      <c r="G51" s="2" t="s">
        <v>486</v>
      </c>
      <c r="H51" s="2" t="s">
        <v>500</v>
      </c>
    </row>
    <row r="52" spans="1:8" x14ac:dyDescent="0.25">
      <c r="A52" s="37" t="s">
        <v>467</v>
      </c>
      <c r="B52" s="2"/>
      <c r="C52" s="2"/>
      <c r="D52" s="2"/>
      <c r="E52" s="2"/>
      <c r="F52" s="2"/>
      <c r="G52" s="37" t="s">
        <v>467</v>
      </c>
      <c r="H52" s="37" t="s">
        <v>467</v>
      </c>
    </row>
    <row r="53" spans="1:8" x14ac:dyDescent="0.25">
      <c r="A53" s="37" t="s">
        <v>468</v>
      </c>
      <c r="B53" s="2"/>
      <c r="C53" s="2"/>
      <c r="D53" s="2"/>
      <c r="E53" s="2"/>
      <c r="F53" s="2"/>
      <c r="G53" s="37" t="s">
        <v>468</v>
      </c>
      <c r="H53" s="37" t="s">
        <v>468</v>
      </c>
    </row>
    <row r="54" spans="1:8" x14ac:dyDescent="0.25">
      <c r="A54" s="37" t="s">
        <v>469</v>
      </c>
      <c r="B54" s="2"/>
      <c r="C54" s="2"/>
      <c r="D54" s="2"/>
      <c r="E54" s="2"/>
      <c r="F54" s="2"/>
      <c r="G54" s="37" t="s">
        <v>469</v>
      </c>
      <c r="H54" s="37" t="s">
        <v>469</v>
      </c>
    </row>
    <row r="55" spans="1:8" x14ac:dyDescent="0.25">
      <c r="A55" s="37" t="s">
        <v>470</v>
      </c>
      <c r="B55" s="2"/>
      <c r="C55" s="2"/>
      <c r="D55" s="2"/>
      <c r="E55" s="2"/>
      <c r="F55" s="2"/>
      <c r="G55" s="37" t="s">
        <v>470</v>
      </c>
      <c r="H55" s="37" t="s">
        <v>470</v>
      </c>
    </row>
    <row r="56" spans="1:8" x14ac:dyDescent="0.25">
      <c r="A56" s="37" t="s">
        <v>471</v>
      </c>
      <c r="B56" s="2"/>
      <c r="C56" s="2"/>
      <c r="D56" s="2"/>
      <c r="E56" s="2"/>
      <c r="F56" s="2"/>
      <c r="G56" s="37" t="s">
        <v>471</v>
      </c>
      <c r="H56" s="37" t="s">
        <v>471</v>
      </c>
    </row>
    <row r="57" spans="1:8" x14ac:dyDescent="0.25">
      <c r="A57" s="37" t="s">
        <v>472</v>
      </c>
      <c r="B57" s="2"/>
      <c r="C57" s="2"/>
      <c r="D57" s="2"/>
      <c r="E57" s="2"/>
      <c r="F57" s="2"/>
      <c r="G57" s="37" t="s">
        <v>472</v>
      </c>
      <c r="H57" s="37" t="s">
        <v>472</v>
      </c>
    </row>
    <row r="58" spans="1:8" x14ac:dyDescent="0.25">
      <c r="A58" s="37" t="s">
        <v>473</v>
      </c>
      <c r="B58" s="2"/>
      <c r="C58" s="2"/>
      <c r="D58" s="2"/>
      <c r="E58" s="2"/>
      <c r="F58" s="2"/>
      <c r="G58" s="37" t="s">
        <v>473</v>
      </c>
      <c r="H58" s="37" t="s">
        <v>473</v>
      </c>
    </row>
    <row r="59" spans="1:8" x14ac:dyDescent="0.25">
      <c r="A59" s="37" t="s">
        <v>474</v>
      </c>
      <c r="B59" s="2"/>
      <c r="C59" s="2"/>
      <c r="D59" s="2"/>
      <c r="E59" s="2"/>
      <c r="F59" s="2"/>
      <c r="G59" s="37" t="s">
        <v>474</v>
      </c>
      <c r="H59" s="37" t="s">
        <v>474</v>
      </c>
    </row>
    <row r="60" spans="1:8" x14ac:dyDescent="0.25">
      <c r="A60" s="37" t="s">
        <v>475</v>
      </c>
      <c r="B60" s="2"/>
      <c r="C60" s="2"/>
      <c r="D60" s="2"/>
      <c r="E60" s="2"/>
      <c r="F60" s="2"/>
      <c r="G60" s="37" t="s">
        <v>475</v>
      </c>
      <c r="H60" s="37" t="s">
        <v>475</v>
      </c>
    </row>
    <row r="61" spans="1:8" x14ac:dyDescent="0.25">
      <c r="A61" s="37" t="s">
        <v>476</v>
      </c>
      <c r="B61" s="2"/>
      <c r="C61" s="2"/>
      <c r="D61" s="2"/>
      <c r="E61" s="2"/>
      <c r="F61" s="2"/>
      <c r="G61" s="37" t="s">
        <v>476</v>
      </c>
      <c r="H61" s="37" t="s">
        <v>476</v>
      </c>
    </row>
    <row r="62" spans="1:8" x14ac:dyDescent="0.25">
      <c r="A62" s="37" t="s">
        <v>477</v>
      </c>
      <c r="B62" s="2"/>
      <c r="C62" s="2"/>
      <c r="D62" s="2"/>
      <c r="E62" s="2"/>
      <c r="F62" s="2"/>
      <c r="G62" s="37" t="s">
        <v>477</v>
      </c>
      <c r="H62" s="37" t="s">
        <v>477</v>
      </c>
    </row>
    <row r="63" spans="1:8" x14ac:dyDescent="0.25">
      <c r="A63" s="36" t="s">
        <v>326</v>
      </c>
      <c r="B63" s="2"/>
      <c r="C63" s="2"/>
      <c r="D63" s="2"/>
      <c r="E63" s="2"/>
      <c r="F63" s="2"/>
      <c r="G63" s="36" t="s">
        <v>326</v>
      </c>
      <c r="H63" s="36" t="s">
        <v>326</v>
      </c>
    </row>
    <row r="64" spans="1:8" x14ac:dyDescent="0.25">
      <c r="A64" s="36" t="s">
        <v>327</v>
      </c>
      <c r="B64" s="2"/>
      <c r="C64" s="2"/>
      <c r="D64" s="2"/>
      <c r="E64" s="2"/>
      <c r="F64" s="2"/>
      <c r="G64" s="36" t="s">
        <v>327</v>
      </c>
      <c r="H64" s="36" t="s">
        <v>327</v>
      </c>
    </row>
    <row r="65" spans="1:8" x14ac:dyDescent="0.25">
      <c r="A65" s="37" t="s">
        <v>415</v>
      </c>
      <c r="B65" s="2"/>
      <c r="C65" s="2"/>
      <c r="D65" s="2"/>
      <c r="E65" s="2"/>
      <c r="F65" s="2"/>
      <c r="G65" s="37" t="s">
        <v>415</v>
      </c>
      <c r="H65" s="37" t="s">
        <v>415</v>
      </c>
    </row>
    <row r="66" spans="1:8" x14ac:dyDescent="0.25">
      <c r="A66" s="37" t="s">
        <v>416</v>
      </c>
      <c r="B66" s="2"/>
      <c r="C66" s="2"/>
      <c r="D66" s="2"/>
      <c r="E66" s="2"/>
      <c r="F66" s="2"/>
      <c r="G66" s="37" t="s">
        <v>416</v>
      </c>
      <c r="H66" s="37" t="s">
        <v>416</v>
      </c>
    </row>
    <row r="67" spans="1:8" x14ac:dyDescent="0.25">
      <c r="A67" s="37" t="s">
        <v>417</v>
      </c>
      <c r="B67" s="2"/>
      <c r="C67" s="2"/>
      <c r="D67" s="2"/>
      <c r="E67" s="2"/>
      <c r="F67" s="2"/>
      <c r="G67" s="37" t="s">
        <v>417</v>
      </c>
      <c r="H67" s="37" t="s">
        <v>417</v>
      </c>
    </row>
    <row r="68" spans="1:8" x14ac:dyDescent="0.25">
      <c r="A68" s="37" t="s">
        <v>418</v>
      </c>
      <c r="B68" s="2"/>
      <c r="C68" s="2"/>
      <c r="D68" s="2"/>
      <c r="E68" s="2"/>
      <c r="F68" s="2"/>
      <c r="G68" s="37" t="s">
        <v>418</v>
      </c>
      <c r="H68" s="37" t="s">
        <v>418</v>
      </c>
    </row>
    <row r="69" spans="1:8" x14ac:dyDescent="0.25">
      <c r="A69" s="36" t="s">
        <v>328</v>
      </c>
      <c r="B69" s="2"/>
      <c r="C69" s="2"/>
      <c r="D69" s="2"/>
      <c r="E69" s="2"/>
      <c r="F69" s="2"/>
      <c r="G69" s="36" t="s">
        <v>328</v>
      </c>
      <c r="H69" s="36" t="s">
        <v>328</v>
      </c>
    </row>
    <row r="70" spans="1:8" x14ac:dyDescent="0.25">
      <c r="A70" s="37" t="s">
        <v>419</v>
      </c>
      <c r="B70" s="2"/>
      <c r="C70" s="2"/>
      <c r="D70" s="2"/>
      <c r="E70" s="2"/>
      <c r="F70" s="2"/>
      <c r="G70" s="37" t="s">
        <v>419</v>
      </c>
      <c r="H70" s="37" t="s">
        <v>419</v>
      </c>
    </row>
    <row r="71" spans="1:8" x14ac:dyDescent="0.25">
      <c r="A71" s="37" t="s">
        <v>420</v>
      </c>
      <c r="B71" s="2"/>
      <c r="C71" s="2"/>
      <c r="D71" s="2"/>
      <c r="E71" s="2"/>
      <c r="F71" s="2"/>
      <c r="G71" s="37" t="s">
        <v>420</v>
      </c>
      <c r="H71" s="37" t="s">
        <v>420</v>
      </c>
    </row>
    <row r="72" spans="1:8" x14ac:dyDescent="0.25">
      <c r="A72" s="37" t="s">
        <v>421</v>
      </c>
      <c r="B72" s="2"/>
      <c r="C72" s="2"/>
      <c r="D72" s="2"/>
      <c r="E72" s="2"/>
      <c r="F72" s="2"/>
      <c r="G72" s="37" t="s">
        <v>421</v>
      </c>
      <c r="H72" s="37" t="s">
        <v>421</v>
      </c>
    </row>
    <row r="73" spans="1:8" x14ac:dyDescent="0.25">
      <c r="A73" s="37" t="s">
        <v>422</v>
      </c>
      <c r="B73" s="2"/>
      <c r="C73" s="2"/>
      <c r="D73" s="2"/>
      <c r="E73" s="2"/>
      <c r="F73" s="2"/>
      <c r="G73" s="37" t="s">
        <v>422</v>
      </c>
      <c r="H73" s="37" t="s">
        <v>422</v>
      </c>
    </row>
    <row r="74" spans="1:8" x14ac:dyDescent="0.25">
      <c r="A74" s="36" t="s">
        <v>329</v>
      </c>
      <c r="B74" s="2"/>
      <c r="C74" s="2"/>
      <c r="D74" s="2"/>
      <c r="E74" s="2"/>
      <c r="F74" s="2"/>
      <c r="G74" s="36" t="s">
        <v>329</v>
      </c>
      <c r="H74" s="36" t="s">
        <v>329</v>
      </c>
    </row>
    <row r="75" spans="1:8" x14ac:dyDescent="0.25">
      <c r="A75" s="37" t="s">
        <v>253</v>
      </c>
      <c r="B75" s="2"/>
      <c r="C75" s="2"/>
      <c r="D75" s="2"/>
      <c r="E75" s="2"/>
      <c r="F75" s="2"/>
      <c r="G75" s="37" t="s">
        <v>253</v>
      </c>
      <c r="H75" s="37" t="s">
        <v>253</v>
      </c>
    </row>
    <row r="76" spans="1:8" x14ac:dyDescent="0.25">
      <c r="A76" s="37" t="s">
        <v>423</v>
      </c>
      <c r="B76" s="2"/>
      <c r="C76" s="2"/>
      <c r="D76" s="2"/>
      <c r="E76" s="2"/>
      <c r="F76" s="2"/>
      <c r="G76" s="37" t="s">
        <v>423</v>
      </c>
      <c r="H76" s="37" t="s">
        <v>423</v>
      </c>
    </row>
    <row r="77" spans="1:8" x14ac:dyDescent="0.25">
      <c r="A77" s="37" t="s">
        <v>424</v>
      </c>
      <c r="B77" s="2"/>
      <c r="C77" s="2"/>
      <c r="D77" s="2"/>
      <c r="E77" s="2"/>
      <c r="F77" s="2"/>
      <c r="G77" s="37" t="s">
        <v>424</v>
      </c>
      <c r="H77" s="37" t="s">
        <v>424</v>
      </c>
    </row>
    <row r="78" spans="1:8" x14ac:dyDescent="0.25">
      <c r="A78" s="36" t="s">
        <v>366</v>
      </c>
      <c r="B78" s="2"/>
      <c r="C78" s="2"/>
      <c r="D78" s="2"/>
      <c r="E78" s="2"/>
      <c r="F78" s="2"/>
      <c r="G78" s="36" t="s">
        <v>366</v>
      </c>
      <c r="H78" s="36" t="s">
        <v>366</v>
      </c>
    </row>
    <row r="79" spans="1:8" x14ac:dyDescent="0.25">
      <c r="A79" s="37" t="s">
        <v>425</v>
      </c>
      <c r="B79" s="2"/>
      <c r="C79" s="2"/>
      <c r="D79" s="2"/>
      <c r="E79" s="2"/>
      <c r="F79" s="2"/>
      <c r="G79" s="37" t="s">
        <v>425</v>
      </c>
      <c r="H79" s="37" t="s">
        <v>425</v>
      </c>
    </row>
    <row r="80" spans="1:8" x14ac:dyDescent="0.25">
      <c r="A80" s="37" t="s">
        <v>444</v>
      </c>
      <c r="B80" s="2"/>
      <c r="C80" s="2"/>
      <c r="D80" s="2"/>
      <c r="E80" s="2"/>
      <c r="F80" s="2"/>
      <c r="G80" s="37" t="s">
        <v>444</v>
      </c>
      <c r="H80" s="37" t="s">
        <v>444</v>
      </c>
    </row>
    <row r="81" spans="1:8" x14ac:dyDescent="0.25">
      <c r="A81" s="37" t="s">
        <v>426</v>
      </c>
      <c r="B81" s="2"/>
      <c r="C81" s="2"/>
      <c r="D81" s="2"/>
      <c r="E81" s="2"/>
      <c r="F81" s="2"/>
      <c r="G81" s="37" t="s">
        <v>426</v>
      </c>
      <c r="H81" s="37" t="s">
        <v>426</v>
      </c>
    </row>
    <row r="82" spans="1:8" x14ac:dyDescent="0.25">
      <c r="A82" s="37" t="s">
        <v>457</v>
      </c>
      <c r="B82" s="2"/>
      <c r="C82" s="2"/>
      <c r="D82" s="2"/>
      <c r="E82" s="2"/>
      <c r="F82" s="2"/>
      <c r="G82" s="37" t="s">
        <v>457</v>
      </c>
      <c r="H82" s="37" t="s">
        <v>457</v>
      </c>
    </row>
    <row r="83" spans="1:8" x14ac:dyDescent="0.25">
      <c r="A83" s="37" t="s">
        <v>427</v>
      </c>
      <c r="B83" s="2"/>
      <c r="C83" s="2"/>
      <c r="D83" s="2"/>
      <c r="E83" s="2"/>
      <c r="F83" s="2"/>
      <c r="G83" s="37" t="s">
        <v>427</v>
      </c>
      <c r="H83" s="37" t="s">
        <v>427</v>
      </c>
    </row>
    <row r="84" spans="1:8" x14ac:dyDescent="0.25">
      <c r="A84" s="37" t="s">
        <v>445</v>
      </c>
      <c r="B84" s="2"/>
      <c r="C84" s="2"/>
      <c r="D84" s="2"/>
      <c r="E84" s="2"/>
      <c r="F84" s="2"/>
      <c r="G84" s="37" t="s">
        <v>445</v>
      </c>
      <c r="H84" s="37" t="s">
        <v>445</v>
      </c>
    </row>
    <row r="85" spans="1:8" x14ac:dyDescent="0.25">
      <c r="A85" s="37" t="s">
        <v>428</v>
      </c>
      <c r="B85" s="2"/>
      <c r="C85" s="2"/>
      <c r="D85" s="2"/>
      <c r="E85" s="2"/>
      <c r="F85" s="2"/>
      <c r="G85" s="37" t="s">
        <v>428</v>
      </c>
      <c r="H85" s="37" t="s">
        <v>428</v>
      </c>
    </row>
    <row r="86" spans="1:8" x14ac:dyDescent="0.25">
      <c r="A86" s="37" t="s">
        <v>429</v>
      </c>
      <c r="B86" s="2"/>
      <c r="C86" s="2"/>
      <c r="D86" s="2"/>
      <c r="E86" s="2"/>
      <c r="F86" s="2"/>
      <c r="G86" s="37" t="s">
        <v>429</v>
      </c>
      <c r="H86" s="37" t="s">
        <v>429</v>
      </c>
    </row>
    <row r="87" spans="1:8" x14ac:dyDescent="0.25">
      <c r="A87" s="37" t="s">
        <v>430</v>
      </c>
      <c r="B87" s="2"/>
      <c r="C87" s="2"/>
      <c r="D87" s="2"/>
      <c r="E87" s="2"/>
      <c r="F87" s="2"/>
      <c r="G87" s="37" t="s">
        <v>430</v>
      </c>
      <c r="H87" s="37" t="s">
        <v>430</v>
      </c>
    </row>
    <row r="88" spans="1:8" x14ac:dyDescent="0.25">
      <c r="A88" s="37" t="s">
        <v>431</v>
      </c>
      <c r="B88" s="2"/>
      <c r="C88" s="2"/>
      <c r="D88" s="2"/>
      <c r="E88" s="2"/>
      <c r="F88" s="2"/>
      <c r="G88" s="37" t="s">
        <v>431</v>
      </c>
      <c r="H88" s="37" t="s">
        <v>431</v>
      </c>
    </row>
    <row r="89" spans="1:8" x14ac:dyDescent="0.25">
      <c r="A89" s="37" t="s">
        <v>446</v>
      </c>
      <c r="B89" s="2"/>
      <c r="C89" s="2"/>
      <c r="D89" s="2"/>
      <c r="E89" s="2"/>
      <c r="F89" s="2"/>
      <c r="G89" s="37" t="s">
        <v>446</v>
      </c>
      <c r="H89" s="37" t="s">
        <v>446</v>
      </c>
    </row>
    <row r="90" spans="1:8" x14ac:dyDescent="0.25">
      <c r="A90" s="37" t="s">
        <v>432</v>
      </c>
      <c r="B90" s="2"/>
      <c r="C90" s="2"/>
      <c r="D90" s="2"/>
      <c r="E90" s="2"/>
      <c r="F90" s="2"/>
      <c r="G90" s="37" t="s">
        <v>432</v>
      </c>
      <c r="H90" s="37" t="s">
        <v>432</v>
      </c>
    </row>
    <row r="91" spans="1:8" x14ac:dyDescent="0.25">
      <c r="A91" s="37" t="s">
        <v>447</v>
      </c>
      <c r="B91" s="2"/>
      <c r="C91" s="2"/>
      <c r="D91" s="2"/>
      <c r="E91" s="2"/>
      <c r="F91" s="2"/>
      <c r="G91" s="37" t="s">
        <v>447</v>
      </c>
      <c r="H91" s="37" t="s">
        <v>447</v>
      </c>
    </row>
    <row r="92" spans="1:8" x14ac:dyDescent="0.25">
      <c r="A92" s="37" t="s">
        <v>433</v>
      </c>
      <c r="B92" s="2"/>
      <c r="C92" s="2"/>
      <c r="D92" s="2"/>
      <c r="E92" s="2"/>
      <c r="F92" s="2"/>
      <c r="G92" s="37" t="s">
        <v>433</v>
      </c>
      <c r="H92" s="37" t="s">
        <v>433</v>
      </c>
    </row>
    <row r="93" spans="1:8" x14ac:dyDescent="0.25">
      <c r="A93" s="37" t="s">
        <v>434</v>
      </c>
      <c r="B93" s="2"/>
      <c r="C93" s="2"/>
      <c r="D93" s="2"/>
      <c r="E93" s="2"/>
      <c r="F93" s="2"/>
      <c r="G93" s="37" t="s">
        <v>434</v>
      </c>
      <c r="H93" s="37" t="s">
        <v>434</v>
      </c>
    </row>
    <row r="94" spans="1:8" x14ac:dyDescent="0.25">
      <c r="A94" s="37" t="s">
        <v>448</v>
      </c>
      <c r="B94" s="2"/>
      <c r="C94" s="2"/>
      <c r="D94" s="2"/>
      <c r="E94" s="2"/>
      <c r="F94" s="2"/>
      <c r="G94" s="37" t="s">
        <v>448</v>
      </c>
      <c r="H94" s="37" t="s">
        <v>448</v>
      </c>
    </row>
    <row r="95" spans="1:8" x14ac:dyDescent="0.25">
      <c r="A95" s="37" t="s">
        <v>435</v>
      </c>
      <c r="B95" s="2"/>
      <c r="C95" s="2"/>
      <c r="D95" s="2"/>
      <c r="E95" s="2"/>
      <c r="F95" s="2"/>
      <c r="G95" s="37" t="s">
        <v>435</v>
      </c>
      <c r="H95" s="37" t="s">
        <v>435</v>
      </c>
    </row>
    <row r="96" spans="1:8" x14ac:dyDescent="0.25">
      <c r="A96" s="37" t="s">
        <v>436</v>
      </c>
      <c r="B96" s="2"/>
      <c r="C96" s="2"/>
      <c r="D96" s="2"/>
      <c r="E96" s="2"/>
      <c r="F96" s="2"/>
      <c r="G96" s="37" t="s">
        <v>436</v>
      </c>
      <c r="H96" s="37" t="s">
        <v>436</v>
      </c>
    </row>
    <row r="97" spans="1:8" x14ac:dyDescent="0.25">
      <c r="A97" s="37" t="s">
        <v>437</v>
      </c>
      <c r="B97" s="2"/>
      <c r="C97" s="2"/>
      <c r="D97" s="2"/>
      <c r="E97" s="2"/>
      <c r="F97" s="2"/>
      <c r="G97" s="37" t="s">
        <v>437</v>
      </c>
      <c r="H97" s="37" t="s">
        <v>437</v>
      </c>
    </row>
    <row r="98" spans="1:8" x14ac:dyDescent="0.25">
      <c r="A98" s="37" t="s">
        <v>438</v>
      </c>
      <c r="B98" s="2"/>
      <c r="C98" s="2"/>
      <c r="D98" s="2"/>
      <c r="E98" s="2"/>
      <c r="F98" s="2"/>
      <c r="G98" s="37" t="s">
        <v>438</v>
      </c>
      <c r="H98" s="37" t="s">
        <v>438</v>
      </c>
    </row>
    <row r="99" spans="1:8" x14ac:dyDescent="0.25">
      <c r="A99" s="36" t="s">
        <v>367</v>
      </c>
      <c r="B99" s="2"/>
      <c r="C99" s="2"/>
      <c r="D99" s="2"/>
      <c r="E99" s="2"/>
      <c r="F99" s="2"/>
      <c r="G99" s="36" t="s">
        <v>367</v>
      </c>
      <c r="H99" s="36" t="s">
        <v>367</v>
      </c>
    </row>
    <row r="100" spans="1:8" x14ac:dyDescent="0.25">
      <c r="A100" s="37" t="s">
        <v>439</v>
      </c>
      <c r="B100" s="2"/>
      <c r="C100" s="2"/>
      <c r="D100" s="2"/>
      <c r="E100" s="2"/>
      <c r="F100" s="2"/>
      <c r="G100" s="37" t="s">
        <v>439</v>
      </c>
      <c r="H100" s="37" t="s">
        <v>439</v>
      </c>
    </row>
    <row r="101" spans="1:8" x14ac:dyDescent="0.25">
      <c r="A101" s="37" t="s">
        <v>440</v>
      </c>
      <c r="B101" s="2"/>
      <c r="C101" s="2"/>
      <c r="D101" s="2"/>
      <c r="E101" s="2"/>
      <c r="F101" s="2"/>
      <c r="G101" s="37" t="s">
        <v>440</v>
      </c>
      <c r="H101" s="37" t="s">
        <v>440</v>
      </c>
    </row>
    <row r="102" spans="1:8" x14ac:dyDescent="0.25">
      <c r="A102" s="37" t="s">
        <v>441</v>
      </c>
      <c r="B102" s="2"/>
      <c r="C102" s="2"/>
      <c r="D102" s="2"/>
      <c r="E102" s="2"/>
      <c r="F102" s="2"/>
      <c r="G102" s="37" t="s">
        <v>441</v>
      </c>
      <c r="H102" s="37" t="s">
        <v>441</v>
      </c>
    </row>
    <row r="103" spans="1:8" x14ac:dyDescent="0.25">
      <c r="A103" s="36" t="s">
        <v>368</v>
      </c>
      <c r="B103" s="2"/>
      <c r="C103" s="2"/>
      <c r="D103" s="2"/>
      <c r="E103" s="2"/>
      <c r="F103" s="2"/>
      <c r="G103" s="36" t="s">
        <v>368</v>
      </c>
      <c r="H103" s="36" t="s">
        <v>368</v>
      </c>
    </row>
    <row r="104" spans="1:8" x14ac:dyDescent="0.25">
      <c r="A104" s="37" t="s">
        <v>442</v>
      </c>
      <c r="B104" s="2"/>
      <c r="C104" s="2"/>
      <c r="D104" s="2"/>
      <c r="E104" s="2"/>
      <c r="F104" s="2"/>
      <c r="G104" s="37" t="s">
        <v>442</v>
      </c>
      <c r="H104" s="37" t="s">
        <v>442</v>
      </c>
    </row>
    <row r="105" spans="1:8" x14ac:dyDescent="0.25">
      <c r="A105" s="37" t="s">
        <v>449</v>
      </c>
      <c r="B105" s="2"/>
      <c r="C105" s="2"/>
      <c r="D105" s="2"/>
      <c r="E105" s="2"/>
      <c r="F105" s="2"/>
      <c r="G105" s="37" t="s">
        <v>449</v>
      </c>
      <c r="H105" s="37" t="s">
        <v>449</v>
      </c>
    </row>
    <row r="106" spans="1:8" x14ac:dyDescent="0.25">
      <c r="A106" s="37" t="s">
        <v>455</v>
      </c>
      <c r="B106" s="2"/>
      <c r="C106" s="2"/>
      <c r="D106" s="2"/>
      <c r="E106" s="2"/>
      <c r="F106" s="2"/>
      <c r="G106" s="37" t="s">
        <v>455</v>
      </c>
      <c r="H106" s="37" t="s">
        <v>455</v>
      </c>
    </row>
    <row r="107" spans="1:8" x14ac:dyDescent="0.25">
      <c r="A107" s="37" t="s">
        <v>456</v>
      </c>
      <c r="B107" s="2"/>
      <c r="C107" s="2"/>
      <c r="D107" s="2"/>
      <c r="E107" s="2"/>
      <c r="F107" s="2"/>
      <c r="G107" s="37" t="s">
        <v>456</v>
      </c>
      <c r="H107" s="37" t="s">
        <v>456</v>
      </c>
    </row>
    <row r="108" spans="1:8" x14ac:dyDescent="0.25">
      <c r="A108" s="37" t="s">
        <v>450</v>
      </c>
      <c r="B108" s="2"/>
      <c r="C108" s="2"/>
      <c r="D108" s="2"/>
      <c r="E108" s="2"/>
      <c r="F108" s="2"/>
      <c r="G108" s="37" t="s">
        <v>450</v>
      </c>
      <c r="H108" s="37" t="s">
        <v>450</v>
      </c>
    </row>
    <row r="109" spans="1:8" x14ac:dyDescent="0.25">
      <c r="A109" s="36" t="s">
        <v>369</v>
      </c>
      <c r="B109" s="2"/>
      <c r="C109" s="2"/>
      <c r="D109" s="2"/>
      <c r="E109" s="2"/>
      <c r="F109" s="2"/>
      <c r="G109" s="36" t="s">
        <v>369</v>
      </c>
      <c r="H109" s="36" t="s">
        <v>369</v>
      </c>
    </row>
    <row r="110" spans="1:8" x14ac:dyDescent="0.25">
      <c r="A110" s="37" t="s">
        <v>443</v>
      </c>
      <c r="B110" s="2"/>
      <c r="C110" s="2"/>
      <c r="D110" s="2"/>
      <c r="E110" s="2"/>
      <c r="F110" s="2"/>
      <c r="G110" s="37" t="s">
        <v>443</v>
      </c>
      <c r="H110" s="37" t="s">
        <v>443</v>
      </c>
    </row>
    <row r="111" spans="1:8" x14ac:dyDescent="0.25">
      <c r="A111" s="37" t="s">
        <v>451</v>
      </c>
      <c r="B111" s="2"/>
      <c r="C111" s="2"/>
      <c r="D111" s="2"/>
      <c r="E111" s="2"/>
      <c r="F111" s="2"/>
      <c r="G111" s="37" t="s">
        <v>451</v>
      </c>
      <c r="H111" s="37" t="s">
        <v>451</v>
      </c>
    </row>
    <row r="112" spans="1:8" x14ac:dyDescent="0.25">
      <c r="A112" s="37" t="s">
        <v>452</v>
      </c>
      <c r="B112" s="2"/>
      <c r="C112" s="2"/>
      <c r="D112" s="2"/>
      <c r="E112" s="2"/>
      <c r="F112" s="2"/>
      <c r="G112" s="37" t="s">
        <v>452</v>
      </c>
      <c r="H112" s="37" t="s">
        <v>452</v>
      </c>
    </row>
    <row r="113" spans="1:8" x14ac:dyDescent="0.25">
      <c r="A113" s="37" t="s">
        <v>453</v>
      </c>
      <c r="B113" s="2"/>
      <c r="C113" s="2"/>
      <c r="D113" s="2"/>
      <c r="E113" s="2"/>
      <c r="F113" s="2"/>
      <c r="G113" s="37" t="s">
        <v>453</v>
      </c>
      <c r="H113" s="37" t="s">
        <v>453</v>
      </c>
    </row>
    <row r="114" spans="1:8" x14ac:dyDescent="0.25">
      <c r="A114" s="37" t="s">
        <v>454</v>
      </c>
      <c r="B114" s="2"/>
      <c r="C114" s="2"/>
      <c r="D114" s="2"/>
      <c r="E114" s="2"/>
      <c r="F114" s="2"/>
      <c r="G114" s="37" t="s">
        <v>454</v>
      </c>
      <c r="H114" s="37" t="s">
        <v>454</v>
      </c>
    </row>
  </sheetData>
  <phoneticPr fontId="1" type="noConversion"/>
  <dataValidations count="1">
    <dataValidation type="list" showInputMessage="1" promptTitle="Language" prompt="Choose a language" sqref="J1" xr:uid="{CCB1E06A-8CCF-4F7B-9486-14BD9D80E745}">
      <formula1>"en_US,fr_FR"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D0D0AF-103F-435D-B985-1FB32C40F8E2}">
  <sheetPr codeName="Feuil7"/>
  <dimension ref="B1:Q91"/>
  <sheetViews>
    <sheetView zoomScale="82" zoomScaleNormal="82" workbookViewId="0">
      <selection activeCell="F57" sqref="F57"/>
    </sheetView>
  </sheetViews>
  <sheetFormatPr baseColWidth="10" defaultRowHeight="15" x14ac:dyDescent="0.25"/>
  <cols>
    <col min="2" max="2" width="10.5703125" customWidth="1"/>
    <col min="3" max="3" width="14.5703125" customWidth="1"/>
    <col min="4" max="4" width="7.28515625" bestFit="1" customWidth="1"/>
    <col min="5" max="5" width="24.85546875" customWidth="1"/>
    <col min="6" max="6" width="51.42578125" bestFit="1" customWidth="1"/>
    <col min="7" max="7" width="12.7109375" customWidth="1"/>
    <col min="8" max="8" width="11.42578125" bestFit="1" customWidth="1"/>
    <col min="9" max="9" width="30.85546875" bestFit="1" customWidth="1"/>
    <col min="10" max="10" width="16.5703125" customWidth="1"/>
    <col min="11" max="11" width="19.140625" bestFit="1" customWidth="1"/>
    <col min="12" max="12" width="9.7109375" bestFit="1" customWidth="1"/>
    <col min="13" max="13" width="12.5703125" bestFit="1" customWidth="1"/>
    <col min="14" max="14" width="12.5703125" customWidth="1"/>
    <col min="15" max="15" width="15.28515625" bestFit="1" customWidth="1"/>
    <col min="16" max="16" width="23.28515625" bestFit="1" customWidth="1"/>
    <col min="17" max="17" width="12.5703125" customWidth="1"/>
  </cols>
  <sheetData>
    <row r="1" spans="2:17" x14ac:dyDescent="0.25">
      <c r="B1" t="s">
        <v>114</v>
      </c>
      <c r="I1" s="10"/>
    </row>
    <row r="3" spans="2:17" x14ac:dyDescent="0.25">
      <c r="B3" t="s">
        <v>90</v>
      </c>
      <c r="C3" t="s">
        <v>112</v>
      </c>
      <c r="D3" t="s">
        <v>110</v>
      </c>
      <c r="E3" t="s">
        <v>136</v>
      </c>
      <c r="F3" t="s">
        <v>97</v>
      </c>
      <c r="G3" t="s">
        <v>100</v>
      </c>
      <c r="H3" t="s">
        <v>135</v>
      </c>
      <c r="I3" t="s">
        <v>91</v>
      </c>
      <c r="J3" t="s">
        <v>155</v>
      </c>
      <c r="K3" t="s">
        <v>154</v>
      </c>
      <c r="L3" t="s">
        <v>198</v>
      </c>
      <c r="M3" t="s">
        <v>92</v>
      </c>
      <c r="N3" t="s">
        <v>111</v>
      </c>
      <c r="O3" t="s">
        <v>116</v>
      </c>
      <c r="P3" t="s">
        <v>108</v>
      </c>
      <c r="Q3" t="s">
        <v>324</v>
      </c>
    </row>
    <row r="4" spans="2:17" ht="30" x14ac:dyDescent="0.25">
      <c r="B4" s="14" t="s">
        <v>503</v>
      </c>
      <c r="C4" s="15" t="s">
        <v>113</v>
      </c>
      <c r="D4" s="15" t="s">
        <v>94</v>
      </c>
      <c r="E4" s="15" t="s">
        <v>137</v>
      </c>
      <c r="F4" s="15" t="s">
        <v>0</v>
      </c>
      <c r="G4" s="15" t="s">
        <v>98</v>
      </c>
      <c r="H4" s="15" t="s">
        <v>94</v>
      </c>
      <c r="I4" s="15" t="s">
        <v>93</v>
      </c>
      <c r="J4" s="15"/>
      <c r="K4" s="15"/>
      <c r="L4" s="15">
        <v>1</v>
      </c>
      <c r="M4" s="15" t="s">
        <v>94</v>
      </c>
      <c r="N4" s="15" t="s">
        <v>87</v>
      </c>
      <c r="O4" s="15" t="s">
        <v>177</v>
      </c>
      <c r="P4" s="15" t="s">
        <v>106</v>
      </c>
      <c r="Q4" s="15"/>
    </row>
    <row r="5" spans="2:17" x14ac:dyDescent="0.25">
      <c r="B5" s="15"/>
      <c r="C5" s="15"/>
      <c r="D5" s="15"/>
      <c r="E5" s="15"/>
      <c r="F5" s="15" t="s">
        <v>47</v>
      </c>
      <c r="G5" s="15" t="s">
        <v>101</v>
      </c>
      <c r="H5" s="15" t="s">
        <v>94</v>
      </c>
      <c r="I5" s="15" t="s">
        <v>73</v>
      </c>
      <c r="J5" s="15"/>
      <c r="K5" s="15"/>
      <c r="L5" s="15">
        <v>1</v>
      </c>
      <c r="M5" s="15" t="s">
        <v>96</v>
      </c>
      <c r="N5" s="15" t="s">
        <v>83</v>
      </c>
      <c r="O5" s="15" t="s">
        <v>178</v>
      </c>
      <c r="P5" s="15" t="s">
        <v>109</v>
      </c>
      <c r="Q5" s="15"/>
    </row>
    <row r="6" spans="2:17" x14ac:dyDescent="0.25">
      <c r="B6" s="15"/>
      <c r="C6" s="15"/>
      <c r="D6" s="15"/>
      <c r="E6" s="15"/>
      <c r="F6" s="15" t="s">
        <v>102</v>
      </c>
      <c r="G6" s="15" t="s">
        <v>101</v>
      </c>
      <c r="H6" s="15" t="s">
        <v>94</v>
      </c>
      <c r="I6" s="15" t="s">
        <v>103</v>
      </c>
      <c r="J6" s="15"/>
      <c r="K6" s="15"/>
      <c r="L6" s="15">
        <v>1</v>
      </c>
      <c r="M6" s="15" t="s">
        <v>96</v>
      </c>
      <c r="N6" s="15" t="s">
        <v>78</v>
      </c>
      <c r="O6" s="15" t="s">
        <v>178</v>
      </c>
      <c r="P6" s="15" t="s">
        <v>109</v>
      </c>
      <c r="Q6" s="15"/>
    </row>
    <row r="7" spans="2:17" x14ac:dyDescent="0.25">
      <c r="B7" s="15"/>
      <c r="C7" s="15"/>
      <c r="D7" s="15"/>
      <c r="E7" s="15"/>
      <c r="F7" s="15" t="s">
        <v>95</v>
      </c>
      <c r="G7" s="15" t="s">
        <v>99</v>
      </c>
      <c r="H7" s="15" t="s">
        <v>96</v>
      </c>
      <c r="I7" s="15" t="s">
        <v>74</v>
      </c>
      <c r="J7" s="15"/>
      <c r="K7" s="15" t="s">
        <v>156</v>
      </c>
      <c r="L7" s="15">
        <v>1</v>
      </c>
      <c r="M7" s="15" t="s">
        <v>96</v>
      </c>
      <c r="N7" s="15"/>
      <c r="O7" s="15"/>
      <c r="P7" s="15"/>
      <c r="Q7" s="15"/>
    </row>
    <row r="8" spans="2:17" x14ac:dyDescent="0.25">
      <c r="B8" s="15"/>
      <c r="C8" s="15"/>
      <c r="D8" s="15"/>
      <c r="E8" s="15"/>
      <c r="F8" s="15"/>
      <c r="G8" s="15"/>
      <c r="H8" s="15"/>
      <c r="I8" s="15"/>
      <c r="J8" s="15"/>
      <c r="K8" s="15"/>
      <c r="L8" s="15"/>
      <c r="M8" s="15"/>
      <c r="N8" s="15"/>
      <c r="O8" s="15"/>
      <c r="P8" s="15"/>
      <c r="Q8" s="15"/>
    </row>
    <row r="9" spans="2:17" ht="30" x14ac:dyDescent="0.25">
      <c r="B9" s="14" t="s">
        <v>502</v>
      </c>
      <c r="C9" s="15" t="s">
        <v>241</v>
      </c>
      <c r="D9" s="15" t="s">
        <v>94</v>
      </c>
      <c r="E9" s="16" t="s">
        <v>610</v>
      </c>
      <c r="F9" s="15" t="s">
        <v>197</v>
      </c>
      <c r="G9" s="15"/>
      <c r="H9" s="15"/>
      <c r="I9" s="15" t="s">
        <v>201</v>
      </c>
      <c r="J9" s="15"/>
      <c r="K9" s="15"/>
      <c r="L9" s="15">
        <v>1</v>
      </c>
      <c r="M9" s="15"/>
      <c r="N9" s="15" t="s">
        <v>134</v>
      </c>
      <c r="O9" s="15"/>
      <c r="P9" s="15" t="s">
        <v>106</v>
      </c>
      <c r="Q9" s="15"/>
    </row>
    <row r="10" spans="2:17" x14ac:dyDescent="0.25">
      <c r="B10" s="15"/>
      <c r="C10" s="15"/>
      <c r="D10" s="15"/>
      <c r="E10" s="15"/>
      <c r="F10" s="34" t="s">
        <v>193</v>
      </c>
      <c r="G10" s="34" t="s">
        <v>101</v>
      </c>
      <c r="H10" s="34" t="s">
        <v>94</v>
      </c>
      <c r="I10" s="33" t="s">
        <v>73</v>
      </c>
      <c r="J10" s="33" t="s">
        <v>370</v>
      </c>
      <c r="K10" s="34"/>
      <c r="L10" s="34">
        <v>4</v>
      </c>
      <c r="M10" s="34" t="s">
        <v>96</v>
      </c>
      <c r="N10" s="35"/>
      <c r="O10" s="35"/>
      <c r="P10" s="35"/>
      <c r="Q10" s="34" t="s">
        <v>252</v>
      </c>
    </row>
    <row r="11" spans="2:17" x14ac:dyDescent="0.25">
      <c r="B11" s="15"/>
      <c r="C11" s="15"/>
      <c r="D11" s="15"/>
      <c r="E11" s="15"/>
      <c r="F11" s="34" t="s">
        <v>194</v>
      </c>
      <c r="G11" s="34" t="s">
        <v>101</v>
      </c>
      <c r="H11" s="34" t="s">
        <v>94</v>
      </c>
      <c r="I11" s="33" t="s">
        <v>103</v>
      </c>
      <c r="J11" s="34" t="s">
        <v>371</v>
      </c>
      <c r="K11" s="34"/>
      <c r="L11" s="34">
        <v>4</v>
      </c>
      <c r="M11" s="34" t="s">
        <v>96</v>
      </c>
      <c r="N11" s="35"/>
      <c r="O11" s="35"/>
      <c r="P11" s="35"/>
      <c r="Q11" s="34" t="s">
        <v>283</v>
      </c>
    </row>
    <row r="12" spans="2:17" x14ac:dyDescent="0.25">
      <c r="B12" s="15"/>
      <c r="C12" s="15"/>
      <c r="D12" s="15"/>
      <c r="E12" s="15"/>
      <c r="F12" s="34" t="s">
        <v>195</v>
      </c>
      <c r="G12" s="34" t="s">
        <v>101</v>
      </c>
      <c r="H12" s="34" t="s">
        <v>94</v>
      </c>
      <c r="I12" s="33" t="s">
        <v>105</v>
      </c>
      <c r="J12" s="34" t="s">
        <v>372</v>
      </c>
      <c r="K12" s="34"/>
      <c r="L12" s="34">
        <v>4</v>
      </c>
      <c r="M12" s="34" t="s">
        <v>96</v>
      </c>
      <c r="N12" s="35"/>
      <c r="O12" s="35"/>
      <c r="P12" s="35"/>
      <c r="Q12" s="34" t="s">
        <v>284</v>
      </c>
    </row>
    <row r="13" spans="2:17" x14ac:dyDescent="0.25">
      <c r="B13" s="15"/>
      <c r="C13" s="15"/>
      <c r="D13" s="15"/>
      <c r="E13" s="15"/>
      <c r="F13" s="34" t="s">
        <v>382</v>
      </c>
      <c r="G13" s="34" t="s">
        <v>99</v>
      </c>
      <c r="H13" s="34" t="s">
        <v>94</v>
      </c>
      <c r="I13" s="34" t="s">
        <v>380</v>
      </c>
      <c r="J13" s="34"/>
      <c r="K13" s="33" t="s">
        <v>196</v>
      </c>
      <c r="L13" s="34">
        <v>4</v>
      </c>
      <c r="M13" s="34" t="s">
        <v>96</v>
      </c>
      <c r="N13" s="35"/>
      <c r="O13" s="35"/>
      <c r="P13" s="35"/>
      <c r="Q13" s="34" t="s">
        <v>285</v>
      </c>
    </row>
    <row r="14" spans="2:17" x14ac:dyDescent="0.25">
      <c r="B14" s="15"/>
      <c r="C14" s="15"/>
      <c r="D14" s="15"/>
      <c r="E14" s="15"/>
      <c r="F14" s="34" t="s">
        <v>383</v>
      </c>
      <c r="G14" s="34" t="s">
        <v>99</v>
      </c>
      <c r="H14" s="34" t="s">
        <v>94</v>
      </c>
      <c r="I14" s="34" t="s">
        <v>381</v>
      </c>
      <c r="J14" s="34"/>
      <c r="K14" s="33" t="s">
        <v>196</v>
      </c>
      <c r="L14" s="34">
        <v>4</v>
      </c>
      <c r="M14" s="34" t="s">
        <v>96</v>
      </c>
      <c r="N14" s="35"/>
      <c r="O14" s="35"/>
      <c r="P14" s="35"/>
      <c r="Q14" s="34" t="s">
        <v>286</v>
      </c>
    </row>
    <row r="15" spans="2:17" x14ac:dyDescent="0.25">
      <c r="B15" s="15"/>
      <c r="C15" s="15"/>
      <c r="D15" s="15"/>
      <c r="E15" s="15"/>
      <c r="F15" s="33" t="s">
        <v>197</v>
      </c>
      <c r="G15" s="33"/>
      <c r="H15" s="34"/>
      <c r="I15" s="33" t="s">
        <v>329</v>
      </c>
      <c r="J15" s="33"/>
      <c r="K15" s="33"/>
      <c r="L15" s="33">
        <v>2</v>
      </c>
      <c r="M15" s="34"/>
      <c r="N15" s="35"/>
      <c r="O15" s="35"/>
      <c r="P15" s="35"/>
      <c r="Q15" s="34"/>
    </row>
    <row r="16" spans="2:17" x14ac:dyDescent="0.25">
      <c r="B16" s="15"/>
      <c r="C16" s="15"/>
      <c r="D16" s="15"/>
      <c r="E16" s="15"/>
      <c r="F16" s="33" t="s">
        <v>197</v>
      </c>
      <c r="G16" s="33"/>
      <c r="H16" s="34"/>
      <c r="I16" s="33" t="s">
        <v>325</v>
      </c>
      <c r="J16" s="33"/>
      <c r="K16" s="33"/>
      <c r="L16" s="33">
        <v>2</v>
      </c>
      <c r="M16" s="34"/>
      <c r="N16" s="35"/>
      <c r="O16" s="35"/>
      <c r="P16" s="35"/>
      <c r="Q16" s="34"/>
    </row>
    <row r="17" spans="2:17" x14ac:dyDescent="0.25">
      <c r="B17" s="15"/>
      <c r="C17" s="15"/>
      <c r="D17" s="15"/>
      <c r="E17" s="15"/>
      <c r="F17" s="34" t="s">
        <v>384</v>
      </c>
      <c r="G17" s="34" t="s">
        <v>149</v>
      </c>
      <c r="H17" s="34" t="s">
        <v>96</v>
      </c>
      <c r="I17" s="34" t="s">
        <v>458</v>
      </c>
      <c r="J17" s="34"/>
      <c r="K17" s="34"/>
      <c r="L17" s="34">
        <v>4</v>
      </c>
      <c r="M17" s="34" t="s">
        <v>96</v>
      </c>
      <c r="N17" s="35"/>
      <c r="O17" s="35"/>
      <c r="P17" s="35"/>
      <c r="Q17" s="34" t="s">
        <v>254</v>
      </c>
    </row>
    <row r="18" spans="2:17" x14ac:dyDescent="0.25">
      <c r="B18" s="15"/>
      <c r="C18" s="15"/>
      <c r="D18" s="15"/>
      <c r="E18" s="15"/>
      <c r="F18" s="34" t="s">
        <v>385</v>
      </c>
      <c r="G18" s="34" t="s">
        <v>101</v>
      </c>
      <c r="H18" s="34" t="s">
        <v>96</v>
      </c>
      <c r="I18" s="34" t="s">
        <v>459</v>
      </c>
      <c r="J18" s="34" t="s">
        <v>373</v>
      </c>
      <c r="K18" s="34"/>
      <c r="L18" s="34">
        <v>4</v>
      </c>
      <c r="M18" s="34" t="s">
        <v>96</v>
      </c>
      <c r="N18" s="35"/>
      <c r="O18" s="35"/>
      <c r="P18" s="35"/>
      <c r="Q18" s="34" t="s">
        <v>255</v>
      </c>
    </row>
    <row r="19" spans="2:17" x14ac:dyDescent="0.25">
      <c r="B19" s="15"/>
      <c r="C19" s="15"/>
      <c r="D19" s="15"/>
      <c r="E19" s="15"/>
      <c r="F19" s="34" t="s">
        <v>386</v>
      </c>
      <c r="G19" s="34" t="s">
        <v>149</v>
      </c>
      <c r="H19" s="34" t="s">
        <v>96</v>
      </c>
      <c r="I19" s="34" t="s">
        <v>460</v>
      </c>
      <c r="J19" s="34"/>
      <c r="K19" s="34"/>
      <c r="L19" s="34">
        <v>4</v>
      </c>
      <c r="M19" s="34" t="s">
        <v>96</v>
      </c>
      <c r="N19" s="35"/>
      <c r="O19" s="35"/>
      <c r="P19" s="35"/>
      <c r="Q19" s="34" t="s">
        <v>256</v>
      </c>
    </row>
    <row r="20" spans="2:17" x14ac:dyDescent="0.25">
      <c r="B20" s="15"/>
      <c r="C20" s="15"/>
      <c r="D20" s="15"/>
      <c r="E20" s="15"/>
      <c r="F20" s="34" t="s">
        <v>387</v>
      </c>
      <c r="G20" s="34" t="s">
        <v>101</v>
      </c>
      <c r="H20" s="34" t="s">
        <v>96</v>
      </c>
      <c r="I20" s="34" t="s">
        <v>461</v>
      </c>
      <c r="J20" s="34" t="s">
        <v>373</v>
      </c>
      <c r="K20" s="34"/>
      <c r="L20" s="34">
        <v>4</v>
      </c>
      <c r="M20" s="34" t="s">
        <v>96</v>
      </c>
      <c r="N20" s="35"/>
      <c r="O20" s="35"/>
      <c r="P20" s="35"/>
      <c r="Q20" s="34" t="s">
        <v>257</v>
      </c>
    </row>
    <row r="21" spans="2:17" x14ac:dyDescent="0.25">
      <c r="B21" s="15"/>
      <c r="C21" s="15"/>
      <c r="D21" s="15"/>
      <c r="E21" s="15"/>
      <c r="F21" s="34" t="s">
        <v>388</v>
      </c>
      <c r="G21" s="34" t="s">
        <v>149</v>
      </c>
      <c r="H21" s="34" t="s">
        <v>96</v>
      </c>
      <c r="I21" s="34" t="s">
        <v>462</v>
      </c>
      <c r="J21" s="34"/>
      <c r="K21" s="34"/>
      <c r="L21" s="34">
        <v>4</v>
      </c>
      <c r="M21" s="34" t="s">
        <v>96</v>
      </c>
      <c r="N21" s="35"/>
      <c r="O21" s="35"/>
      <c r="P21" s="35"/>
      <c r="Q21" s="34" t="s">
        <v>258</v>
      </c>
    </row>
    <row r="22" spans="2:17" x14ac:dyDescent="0.25">
      <c r="B22" s="15"/>
      <c r="C22" s="15"/>
      <c r="D22" s="15"/>
      <c r="E22" s="15"/>
      <c r="F22" s="34" t="s">
        <v>389</v>
      </c>
      <c r="G22" s="34" t="s">
        <v>101</v>
      </c>
      <c r="H22" s="34" t="s">
        <v>96</v>
      </c>
      <c r="I22" s="34" t="s">
        <v>463</v>
      </c>
      <c r="J22" s="34" t="s">
        <v>374</v>
      </c>
      <c r="K22" s="34"/>
      <c r="L22" s="34">
        <v>4</v>
      </c>
      <c r="M22" s="34" t="s">
        <v>96</v>
      </c>
      <c r="N22" s="35"/>
      <c r="O22" s="35"/>
      <c r="P22" s="35"/>
      <c r="Q22" s="34" t="s">
        <v>259</v>
      </c>
    </row>
    <row r="23" spans="2:17" x14ac:dyDescent="0.25">
      <c r="B23" s="15"/>
      <c r="C23" s="15"/>
      <c r="D23" s="15"/>
      <c r="E23" s="15"/>
      <c r="F23" s="34" t="s">
        <v>390</v>
      </c>
      <c r="G23" s="34" t="s">
        <v>149</v>
      </c>
      <c r="H23" s="34" t="s">
        <v>96</v>
      </c>
      <c r="I23" s="34" t="s">
        <v>464</v>
      </c>
      <c r="J23" s="34"/>
      <c r="K23" s="34"/>
      <c r="L23" s="34">
        <v>4</v>
      </c>
      <c r="M23" s="34" t="s">
        <v>96</v>
      </c>
      <c r="N23" s="35"/>
      <c r="O23" s="35"/>
      <c r="P23" s="35"/>
      <c r="Q23" s="34" t="s">
        <v>260</v>
      </c>
    </row>
    <row r="24" spans="2:17" x14ac:dyDescent="0.25">
      <c r="B24" s="15"/>
      <c r="C24" s="15"/>
      <c r="D24" s="15"/>
      <c r="E24" s="15"/>
      <c r="F24" s="34" t="s">
        <v>391</v>
      </c>
      <c r="G24" s="34" t="s">
        <v>98</v>
      </c>
      <c r="H24" s="34" t="s">
        <v>96</v>
      </c>
      <c r="I24" s="34" t="s">
        <v>465</v>
      </c>
      <c r="J24" s="34"/>
      <c r="K24" s="34"/>
      <c r="L24" s="34">
        <v>4</v>
      </c>
      <c r="M24" s="34" t="s">
        <v>96</v>
      </c>
      <c r="N24" s="35"/>
      <c r="O24" s="35"/>
      <c r="P24" s="35"/>
      <c r="Q24" s="34" t="s">
        <v>261</v>
      </c>
    </row>
    <row r="25" spans="2:17" x14ac:dyDescent="0.25">
      <c r="B25" s="15"/>
      <c r="C25" s="15"/>
      <c r="D25" s="15"/>
      <c r="E25" s="15"/>
      <c r="F25" s="34" t="s">
        <v>392</v>
      </c>
      <c r="G25" s="34" t="s">
        <v>149</v>
      </c>
      <c r="H25" s="34" t="s">
        <v>96</v>
      </c>
      <c r="I25" s="34" t="s">
        <v>466</v>
      </c>
      <c r="J25" s="34"/>
      <c r="K25" s="34"/>
      <c r="L25" s="34">
        <v>4</v>
      </c>
      <c r="M25" s="34" t="s">
        <v>96</v>
      </c>
      <c r="N25" s="35"/>
      <c r="O25" s="35"/>
      <c r="P25" s="35"/>
      <c r="Q25" s="34" t="s">
        <v>262</v>
      </c>
    </row>
    <row r="26" spans="2:17" x14ac:dyDescent="0.25">
      <c r="B26" s="15"/>
      <c r="C26" s="15"/>
      <c r="D26" s="15"/>
      <c r="E26" s="15"/>
      <c r="F26" s="34" t="s">
        <v>393</v>
      </c>
      <c r="G26" s="34" t="s">
        <v>149</v>
      </c>
      <c r="H26" s="34" t="s">
        <v>96</v>
      </c>
      <c r="I26" s="34" t="s">
        <v>467</v>
      </c>
      <c r="J26" s="34"/>
      <c r="K26" s="34"/>
      <c r="L26" s="34">
        <v>4</v>
      </c>
      <c r="M26" s="34" t="s">
        <v>96</v>
      </c>
      <c r="N26" s="35"/>
      <c r="O26" s="35"/>
      <c r="P26" s="35"/>
      <c r="Q26" s="34" t="s">
        <v>263</v>
      </c>
    </row>
    <row r="27" spans="2:17" x14ac:dyDescent="0.25">
      <c r="B27" s="15"/>
      <c r="C27" s="15"/>
      <c r="D27" s="15"/>
      <c r="E27" s="15"/>
      <c r="F27" s="34" t="s">
        <v>394</v>
      </c>
      <c r="G27" s="34" t="s">
        <v>98</v>
      </c>
      <c r="H27" s="34" t="s">
        <v>96</v>
      </c>
      <c r="I27" s="34" t="s">
        <v>468</v>
      </c>
      <c r="J27" s="34" t="s">
        <v>375</v>
      </c>
      <c r="K27" s="34"/>
      <c r="L27" s="34">
        <v>4</v>
      </c>
      <c r="M27" s="34" t="s">
        <v>96</v>
      </c>
      <c r="N27" s="35"/>
      <c r="O27" s="35"/>
      <c r="P27" s="35"/>
      <c r="Q27" s="34" t="s">
        <v>264</v>
      </c>
    </row>
    <row r="28" spans="2:17" x14ac:dyDescent="0.25">
      <c r="B28" s="15"/>
      <c r="C28" s="15"/>
      <c r="D28" s="15"/>
      <c r="E28" s="15"/>
      <c r="F28" s="34" t="s">
        <v>395</v>
      </c>
      <c r="G28" s="34" t="s">
        <v>149</v>
      </c>
      <c r="H28" s="34" t="s">
        <v>96</v>
      </c>
      <c r="I28" s="34" t="s">
        <v>469</v>
      </c>
      <c r="J28" s="34"/>
      <c r="K28" s="34"/>
      <c r="L28" s="34">
        <v>4</v>
      </c>
      <c r="M28" s="34" t="s">
        <v>96</v>
      </c>
      <c r="N28" s="35"/>
      <c r="O28" s="35"/>
      <c r="P28" s="35"/>
      <c r="Q28" s="34" t="s">
        <v>265</v>
      </c>
    </row>
    <row r="29" spans="2:17" x14ac:dyDescent="0.25">
      <c r="B29" s="15"/>
      <c r="C29" s="15"/>
      <c r="D29" s="15"/>
      <c r="E29" s="15"/>
      <c r="F29" s="34" t="s">
        <v>396</v>
      </c>
      <c r="G29" s="34" t="s">
        <v>101</v>
      </c>
      <c r="H29" s="34" t="s">
        <v>96</v>
      </c>
      <c r="I29" s="34" t="s">
        <v>470</v>
      </c>
      <c r="J29" s="34" t="s">
        <v>376</v>
      </c>
      <c r="K29" s="34"/>
      <c r="L29" s="34">
        <v>4</v>
      </c>
      <c r="M29" s="34" t="s">
        <v>96</v>
      </c>
      <c r="N29" s="35"/>
      <c r="O29" s="35"/>
      <c r="P29" s="35"/>
      <c r="Q29" s="34" t="s">
        <v>266</v>
      </c>
    </row>
    <row r="30" spans="2:17" x14ac:dyDescent="0.25">
      <c r="B30" s="15"/>
      <c r="C30" s="15"/>
      <c r="D30" s="15"/>
      <c r="E30" s="15"/>
      <c r="F30" s="34" t="s">
        <v>397</v>
      </c>
      <c r="G30" s="34" t="s">
        <v>149</v>
      </c>
      <c r="H30" s="34" t="s">
        <v>96</v>
      </c>
      <c r="I30" s="34" t="s">
        <v>471</v>
      </c>
      <c r="J30" s="34"/>
      <c r="K30" s="34"/>
      <c r="L30" s="34">
        <v>4</v>
      </c>
      <c r="M30" s="34" t="s">
        <v>96</v>
      </c>
      <c r="N30" s="35"/>
      <c r="O30" s="35"/>
      <c r="P30" s="35"/>
      <c r="Q30" s="34" t="s">
        <v>267</v>
      </c>
    </row>
    <row r="31" spans="2:17" x14ac:dyDescent="0.25">
      <c r="B31" s="15"/>
      <c r="C31" s="15"/>
      <c r="D31" s="15"/>
      <c r="E31" s="15"/>
      <c r="F31" s="34" t="s">
        <v>398</v>
      </c>
      <c r="G31" s="34" t="s">
        <v>149</v>
      </c>
      <c r="H31" s="34" t="s">
        <v>96</v>
      </c>
      <c r="I31" s="34" t="s">
        <v>472</v>
      </c>
      <c r="J31" s="34"/>
      <c r="K31" s="34"/>
      <c r="L31" s="34">
        <v>4</v>
      </c>
      <c r="M31" s="34" t="s">
        <v>96</v>
      </c>
      <c r="N31" s="35"/>
      <c r="O31" s="35"/>
      <c r="P31" s="35"/>
      <c r="Q31" s="34" t="s">
        <v>268</v>
      </c>
    </row>
    <row r="32" spans="2:17" x14ac:dyDescent="0.25">
      <c r="B32" s="15"/>
      <c r="C32" s="15"/>
      <c r="D32" s="15"/>
      <c r="E32" s="15"/>
      <c r="F32" s="34" t="s">
        <v>399</v>
      </c>
      <c r="G32" s="34" t="s">
        <v>101</v>
      </c>
      <c r="H32" s="34" t="s">
        <v>96</v>
      </c>
      <c r="I32" s="34" t="s">
        <v>473</v>
      </c>
      <c r="J32" s="34" t="s">
        <v>370</v>
      </c>
      <c r="K32" s="34"/>
      <c r="L32" s="34">
        <v>4</v>
      </c>
      <c r="M32" s="34" t="s">
        <v>96</v>
      </c>
      <c r="N32" s="35"/>
      <c r="O32" s="35"/>
      <c r="P32" s="35"/>
      <c r="Q32" s="34" t="s">
        <v>269</v>
      </c>
    </row>
    <row r="33" spans="2:17" x14ac:dyDescent="0.25">
      <c r="B33" s="15"/>
      <c r="C33" s="15"/>
      <c r="D33" s="15"/>
      <c r="E33" s="15"/>
      <c r="F33" s="34" t="s">
        <v>400</v>
      </c>
      <c r="G33" s="34" t="s">
        <v>101</v>
      </c>
      <c r="H33" s="34" t="s">
        <v>96</v>
      </c>
      <c r="I33" s="34" t="s">
        <v>474</v>
      </c>
      <c r="J33" s="34"/>
      <c r="K33" s="34"/>
      <c r="L33" s="34">
        <v>4</v>
      </c>
      <c r="M33" s="34" t="s">
        <v>96</v>
      </c>
      <c r="N33" s="35"/>
      <c r="O33" s="35"/>
      <c r="P33" s="35"/>
      <c r="Q33" s="34" t="s">
        <v>270</v>
      </c>
    </row>
    <row r="34" spans="2:17" x14ac:dyDescent="0.25">
      <c r="B34" s="15"/>
      <c r="C34" s="15"/>
      <c r="D34" s="15"/>
      <c r="E34" s="15"/>
      <c r="F34" s="34" t="s">
        <v>401</v>
      </c>
      <c r="G34" s="34" t="s">
        <v>101</v>
      </c>
      <c r="H34" s="34" t="s">
        <v>96</v>
      </c>
      <c r="I34" s="34" t="s">
        <v>475</v>
      </c>
      <c r="J34" s="34"/>
      <c r="K34" s="34"/>
      <c r="L34" s="34">
        <v>4</v>
      </c>
      <c r="M34" s="34" t="s">
        <v>96</v>
      </c>
      <c r="N34" s="35"/>
      <c r="O34" s="35"/>
      <c r="P34" s="35"/>
      <c r="Q34" s="34" t="s">
        <v>271</v>
      </c>
    </row>
    <row r="35" spans="2:17" x14ac:dyDescent="0.25">
      <c r="B35" s="15"/>
      <c r="C35" s="15"/>
      <c r="D35" s="15"/>
      <c r="E35" s="15"/>
      <c r="F35" s="34" t="s">
        <v>402</v>
      </c>
      <c r="G35" s="34" t="s">
        <v>101</v>
      </c>
      <c r="H35" s="34" t="s">
        <v>96</v>
      </c>
      <c r="I35" s="34" t="s">
        <v>476</v>
      </c>
      <c r="J35" s="34"/>
      <c r="K35" s="34"/>
      <c r="L35" s="34">
        <v>4</v>
      </c>
      <c r="M35" s="34" t="s">
        <v>96</v>
      </c>
      <c r="N35" s="35"/>
      <c r="O35" s="35"/>
      <c r="P35" s="35"/>
      <c r="Q35" s="34" t="s">
        <v>272</v>
      </c>
    </row>
    <row r="36" spans="2:17" x14ac:dyDescent="0.25">
      <c r="B36" s="15"/>
      <c r="C36" s="15"/>
      <c r="D36" s="15"/>
      <c r="E36" s="15"/>
      <c r="F36" s="34" t="s">
        <v>403</v>
      </c>
      <c r="G36" s="34" t="s">
        <v>101</v>
      </c>
      <c r="H36" s="34" t="s">
        <v>96</v>
      </c>
      <c r="I36" s="34" t="s">
        <v>477</v>
      </c>
      <c r="J36" s="34"/>
      <c r="K36" s="34"/>
      <c r="L36" s="34">
        <v>4</v>
      </c>
      <c r="M36" s="34" t="s">
        <v>96</v>
      </c>
      <c r="N36" s="35"/>
      <c r="O36" s="35"/>
      <c r="P36" s="35"/>
      <c r="Q36" s="34" t="s">
        <v>273</v>
      </c>
    </row>
    <row r="37" spans="2:17" x14ac:dyDescent="0.25">
      <c r="B37" s="15"/>
      <c r="C37" s="15"/>
      <c r="D37" s="15"/>
      <c r="E37" s="15"/>
      <c r="F37" s="33" t="s">
        <v>197</v>
      </c>
      <c r="G37" s="33"/>
      <c r="H37" s="34"/>
      <c r="I37" s="33" t="s">
        <v>326</v>
      </c>
      <c r="J37" s="33"/>
      <c r="K37" s="33"/>
      <c r="L37" s="33">
        <v>2</v>
      </c>
      <c r="M37" s="34"/>
      <c r="N37" s="35"/>
      <c r="O37" s="35"/>
      <c r="P37" s="35"/>
      <c r="Q37" s="34"/>
    </row>
    <row r="38" spans="2:17" x14ac:dyDescent="0.25">
      <c r="B38" s="15"/>
      <c r="C38" s="15"/>
      <c r="D38" s="15"/>
      <c r="E38" s="15"/>
      <c r="F38" s="34" t="s">
        <v>404</v>
      </c>
      <c r="G38" s="34" t="s">
        <v>99</v>
      </c>
      <c r="H38" s="34" t="s">
        <v>96</v>
      </c>
      <c r="I38" s="33" t="s">
        <v>148</v>
      </c>
      <c r="J38" s="34"/>
      <c r="K38" s="33" t="s">
        <v>196</v>
      </c>
      <c r="L38" s="34">
        <v>4</v>
      </c>
      <c r="M38" s="34" t="s">
        <v>96</v>
      </c>
      <c r="N38" s="35"/>
      <c r="O38" s="35"/>
      <c r="P38" s="35"/>
      <c r="Q38" s="34" t="s">
        <v>274</v>
      </c>
    </row>
    <row r="39" spans="2:17" x14ac:dyDescent="0.25">
      <c r="B39" s="15"/>
      <c r="C39" s="15"/>
      <c r="D39" s="15"/>
      <c r="E39" s="15"/>
      <c r="F39" s="34" t="s">
        <v>405</v>
      </c>
      <c r="G39" s="34" t="s">
        <v>149</v>
      </c>
      <c r="H39" s="34" t="s">
        <v>96</v>
      </c>
      <c r="I39" s="33" t="s">
        <v>180</v>
      </c>
      <c r="J39" s="34"/>
      <c r="K39" s="34"/>
      <c r="L39" s="34">
        <v>4</v>
      </c>
      <c r="M39" s="34" t="s">
        <v>96</v>
      </c>
      <c r="N39" s="35"/>
      <c r="O39" s="35"/>
      <c r="P39" s="35"/>
      <c r="Q39" s="34" t="s">
        <v>138</v>
      </c>
    </row>
    <row r="40" spans="2:17" x14ac:dyDescent="0.25">
      <c r="B40" s="15"/>
      <c r="C40" s="15"/>
      <c r="D40" s="15"/>
      <c r="E40" s="15"/>
      <c r="F40" s="33" t="s">
        <v>197</v>
      </c>
      <c r="G40" s="33"/>
      <c r="H40" s="34"/>
      <c r="I40" s="33" t="s">
        <v>327</v>
      </c>
      <c r="J40" s="33"/>
      <c r="K40" s="33"/>
      <c r="L40" s="33">
        <v>3</v>
      </c>
      <c r="M40" s="34"/>
      <c r="N40" s="35"/>
      <c r="O40" s="35"/>
      <c r="P40" s="35"/>
      <c r="Q40" s="34"/>
    </row>
    <row r="41" spans="2:17" x14ac:dyDescent="0.25">
      <c r="B41" s="15"/>
      <c r="C41" s="15"/>
      <c r="D41" s="15"/>
      <c r="E41" s="15"/>
      <c r="F41" s="34" t="s">
        <v>406</v>
      </c>
      <c r="G41" s="34" t="s">
        <v>149</v>
      </c>
      <c r="H41" s="34" t="s">
        <v>96</v>
      </c>
      <c r="I41" s="34" t="s">
        <v>415</v>
      </c>
      <c r="J41" s="34"/>
      <c r="K41" s="34"/>
      <c r="L41" s="34">
        <v>4</v>
      </c>
      <c r="M41" s="34" t="s">
        <v>96</v>
      </c>
      <c r="N41" s="35"/>
      <c r="O41" s="35"/>
      <c r="P41" s="35"/>
      <c r="Q41" s="34" t="s">
        <v>275</v>
      </c>
    </row>
    <row r="42" spans="2:17" x14ac:dyDescent="0.25">
      <c r="B42" s="15"/>
      <c r="C42" s="15"/>
      <c r="D42" s="15"/>
      <c r="E42" s="15"/>
      <c r="F42" s="34" t="s">
        <v>407</v>
      </c>
      <c r="G42" s="34" t="s">
        <v>149</v>
      </c>
      <c r="H42" s="34" t="s">
        <v>96</v>
      </c>
      <c r="I42" s="34" t="s">
        <v>416</v>
      </c>
      <c r="J42" s="34"/>
      <c r="K42" s="34"/>
      <c r="L42" s="34">
        <v>4</v>
      </c>
      <c r="M42" s="34" t="s">
        <v>96</v>
      </c>
      <c r="N42" s="35"/>
      <c r="O42" s="35"/>
      <c r="P42" s="35"/>
      <c r="Q42" s="34" t="s">
        <v>276</v>
      </c>
    </row>
    <row r="43" spans="2:17" x14ac:dyDescent="0.25">
      <c r="B43" s="15"/>
      <c r="C43" s="15"/>
      <c r="D43" s="15"/>
      <c r="E43" s="15"/>
      <c r="F43" s="34" t="s">
        <v>408</v>
      </c>
      <c r="G43" s="34" t="s">
        <v>149</v>
      </c>
      <c r="H43" s="34" t="s">
        <v>96</v>
      </c>
      <c r="I43" s="34" t="s">
        <v>417</v>
      </c>
      <c r="J43" s="34"/>
      <c r="K43" s="34"/>
      <c r="L43" s="34">
        <v>4</v>
      </c>
      <c r="M43" s="34" t="s">
        <v>96</v>
      </c>
      <c r="N43" s="35"/>
      <c r="O43" s="35"/>
      <c r="P43" s="35"/>
      <c r="Q43" s="34" t="s">
        <v>277</v>
      </c>
    </row>
    <row r="44" spans="2:17" x14ac:dyDescent="0.25">
      <c r="B44" s="15"/>
      <c r="C44" s="15"/>
      <c r="D44" s="15"/>
      <c r="E44" s="15"/>
      <c r="F44" s="34" t="s">
        <v>409</v>
      </c>
      <c r="G44" s="34" t="s">
        <v>98</v>
      </c>
      <c r="H44" s="34" t="s">
        <v>96</v>
      </c>
      <c r="I44" s="34" t="s">
        <v>418</v>
      </c>
      <c r="J44" s="34"/>
      <c r="K44" s="34"/>
      <c r="L44" s="34">
        <v>4</v>
      </c>
      <c r="M44" s="34" t="s">
        <v>96</v>
      </c>
      <c r="N44" s="35"/>
      <c r="O44" s="35"/>
      <c r="P44" s="35"/>
      <c r="Q44" s="34" t="s">
        <v>278</v>
      </c>
    </row>
    <row r="45" spans="2:17" x14ac:dyDescent="0.25">
      <c r="B45" s="15"/>
      <c r="C45" s="15"/>
      <c r="D45" s="15"/>
      <c r="E45" s="15"/>
      <c r="F45" s="33" t="s">
        <v>197</v>
      </c>
      <c r="G45" s="33"/>
      <c r="H45" s="34"/>
      <c r="I45" s="33" t="s">
        <v>328</v>
      </c>
      <c r="J45" s="33"/>
      <c r="K45" s="33"/>
      <c r="L45" s="33">
        <v>3</v>
      </c>
      <c r="M45" s="34"/>
      <c r="N45" s="35"/>
      <c r="O45" s="35"/>
      <c r="P45" s="35"/>
      <c r="Q45" s="34"/>
    </row>
    <row r="46" spans="2:17" x14ac:dyDescent="0.25">
      <c r="B46" s="15"/>
      <c r="C46" s="15"/>
      <c r="D46" s="15"/>
      <c r="E46" s="15"/>
      <c r="F46" s="34" t="s">
        <v>410</v>
      </c>
      <c r="G46" s="34" t="s">
        <v>149</v>
      </c>
      <c r="H46" s="34" t="s">
        <v>96</v>
      </c>
      <c r="I46" s="34" t="s">
        <v>419</v>
      </c>
      <c r="J46" s="34"/>
      <c r="K46" s="34"/>
      <c r="L46" s="34">
        <v>4</v>
      </c>
      <c r="M46" s="34" t="s">
        <v>96</v>
      </c>
      <c r="N46" s="35"/>
      <c r="O46" s="35"/>
      <c r="P46" s="35"/>
      <c r="Q46" s="34" t="s">
        <v>279</v>
      </c>
    </row>
    <row r="47" spans="2:17" x14ac:dyDescent="0.25">
      <c r="B47" s="15"/>
      <c r="C47" s="15"/>
      <c r="D47" s="15"/>
      <c r="E47" s="15"/>
      <c r="F47" s="34" t="s">
        <v>411</v>
      </c>
      <c r="G47" s="34" t="s">
        <v>149</v>
      </c>
      <c r="H47" s="34" t="s">
        <v>96</v>
      </c>
      <c r="I47" s="34" t="s">
        <v>420</v>
      </c>
      <c r="J47" s="34"/>
      <c r="K47" s="34"/>
      <c r="L47" s="34">
        <v>4</v>
      </c>
      <c r="M47" s="34" t="s">
        <v>96</v>
      </c>
      <c r="N47" s="35"/>
      <c r="O47" s="35"/>
      <c r="P47" s="35"/>
      <c r="Q47" s="34" t="s">
        <v>280</v>
      </c>
    </row>
    <row r="48" spans="2:17" x14ac:dyDescent="0.25">
      <c r="B48" s="15"/>
      <c r="C48" s="15"/>
      <c r="D48" s="15"/>
      <c r="E48" s="15"/>
      <c r="F48" s="34" t="s">
        <v>412</v>
      </c>
      <c r="G48" s="34" t="s">
        <v>149</v>
      </c>
      <c r="H48" s="34" t="s">
        <v>96</v>
      </c>
      <c r="I48" s="34" t="s">
        <v>421</v>
      </c>
      <c r="J48" s="34"/>
      <c r="K48" s="34"/>
      <c r="L48" s="34">
        <v>4</v>
      </c>
      <c r="M48" s="34" t="s">
        <v>96</v>
      </c>
      <c r="N48" s="35"/>
      <c r="O48" s="35"/>
      <c r="P48" s="35"/>
      <c r="Q48" s="34" t="s">
        <v>281</v>
      </c>
    </row>
    <row r="49" spans="2:17" x14ac:dyDescent="0.25">
      <c r="B49" s="15"/>
      <c r="C49" s="15"/>
      <c r="D49" s="15"/>
      <c r="E49" s="15"/>
      <c r="F49" s="34" t="s">
        <v>413</v>
      </c>
      <c r="G49" s="34" t="s">
        <v>98</v>
      </c>
      <c r="H49" s="34" t="s">
        <v>96</v>
      </c>
      <c r="I49" s="34" t="s">
        <v>422</v>
      </c>
      <c r="J49" s="34"/>
      <c r="K49" s="34"/>
      <c r="L49" s="34">
        <v>4</v>
      </c>
      <c r="M49" s="34" t="s">
        <v>96</v>
      </c>
      <c r="N49" s="35"/>
      <c r="O49" s="35"/>
      <c r="P49" s="35"/>
      <c r="Q49" s="34" t="s">
        <v>282</v>
      </c>
    </row>
    <row r="50" spans="2:17" x14ac:dyDescent="0.25">
      <c r="B50" s="15"/>
      <c r="C50" s="15"/>
      <c r="D50" s="15"/>
      <c r="E50" s="15"/>
      <c r="F50" s="33" t="s">
        <v>197</v>
      </c>
      <c r="G50" s="33"/>
      <c r="H50" s="34"/>
      <c r="I50" s="33" t="s">
        <v>146</v>
      </c>
      <c r="J50" s="33"/>
      <c r="K50" s="33"/>
      <c r="L50" s="33">
        <v>1</v>
      </c>
      <c r="M50" s="34"/>
      <c r="N50" s="35"/>
      <c r="O50" s="35"/>
      <c r="P50" s="35"/>
      <c r="Q50" s="34"/>
    </row>
    <row r="51" spans="2:17" x14ac:dyDescent="0.25">
      <c r="B51" s="15"/>
      <c r="C51" s="15"/>
      <c r="D51" s="15"/>
      <c r="E51" s="15"/>
      <c r="F51" s="34" t="s">
        <v>181</v>
      </c>
      <c r="G51" s="34" t="s">
        <v>101</v>
      </c>
      <c r="H51" s="34" t="s">
        <v>94</v>
      </c>
      <c r="I51" s="33" t="s">
        <v>199</v>
      </c>
      <c r="J51" s="34" t="s">
        <v>377</v>
      </c>
      <c r="K51" s="34"/>
      <c r="L51" s="34">
        <v>4</v>
      </c>
      <c r="M51" s="34" t="s">
        <v>96</v>
      </c>
      <c r="N51" s="35"/>
      <c r="O51" s="35"/>
      <c r="P51" s="35"/>
      <c r="Q51" s="34" t="s">
        <v>287</v>
      </c>
    </row>
    <row r="52" spans="2:17" x14ac:dyDescent="0.25">
      <c r="B52" s="15"/>
      <c r="C52" s="15"/>
      <c r="D52" s="15"/>
      <c r="E52" s="15"/>
      <c r="F52" s="34" t="s">
        <v>330</v>
      </c>
      <c r="G52" s="34" t="s">
        <v>101</v>
      </c>
      <c r="H52" s="34" t="s">
        <v>94</v>
      </c>
      <c r="I52" s="33" t="s">
        <v>147</v>
      </c>
      <c r="J52" s="34" t="s">
        <v>378</v>
      </c>
      <c r="K52" s="34"/>
      <c r="L52" s="34">
        <v>4</v>
      </c>
      <c r="M52" s="34" t="s">
        <v>96</v>
      </c>
      <c r="N52" s="35"/>
      <c r="O52" s="35"/>
      <c r="P52" s="35"/>
      <c r="Q52" s="34" t="s">
        <v>288</v>
      </c>
    </row>
    <row r="53" spans="2:17" x14ac:dyDescent="0.25">
      <c r="B53" s="15"/>
      <c r="C53" s="15"/>
      <c r="D53" s="15"/>
      <c r="E53" s="15"/>
      <c r="F53" s="34" t="s">
        <v>331</v>
      </c>
      <c r="G53" s="34" t="s">
        <v>101</v>
      </c>
      <c r="H53" s="34" t="s">
        <v>94</v>
      </c>
      <c r="I53" s="34" t="s">
        <v>423</v>
      </c>
      <c r="J53" s="34" t="s">
        <v>379</v>
      </c>
      <c r="K53" s="34"/>
      <c r="L53" s="34">
        <v>4</v>
      </c>
      <c r="M53" s="34" t="s">
        <v>96</v>
      </c>
      <c r="N53" s="35"/>
      <c r="O53" s="35"/>
      <c r="P53" s="35"/>
      <c r="Q53" s="34" t="s">
        <v>289</v>
      </c>
    </row>
    <row r="54" spans="2:17" x14ac:dyDescent="0.25">
      <c r="B54" s="15"/>
      <c r="C54" s="15"/>
      <c r="D54" s="15"/>
      <c r="E54" s="15"/>
      <c r="F54" s="34" t="s">
        <v>332</v>
      </c>
      <c r="G54" s="34" t="s">
        <v>101</v>
      </c>
      <c r="H54" s="34" t="s">
        <v>94</v>
      </c>
      <c r="I54" s="34" t="s">
        <v>424</v>
      </c>
      <c r="J54" s="34" t="s">
        <v>379</v>
      </c>
      <c r="K54" s="34"/>
      <c r="L54" s="34">
        <v>4</v>
      </c>
      <c r="M54" s="34" t="s">
        <v>96</v>
      </c>
      <c r="N54" s="35"/>
      <c r="O54" s="35"/>
      <c r="P54" s="35"/>
      <c r="Q54" s="34" t="s">
        <v>290</v>
      </c>
    </row>
    <row r="55" spans="2:17" x14ac:dyDescent="0.25">
      <c r="B55" s="15"/>
      <c r="C55" s="15"/>
      <c r="D55" s="15"/>
      <c r="E55" s="15"/>
      <c r="F55" s="33" t="s">
        <v>197</v>
      </c>
      <c r="G55" s="33"/>
      <c r="H55" s="34"/>
      <c r="I55" s="33" t="s">
        <v>366</v>
      </c>
      <c r="J55" s="33"/>
      <c r="K55" s="33"/>
      <c r="L55" s="33">
        <v>2</v>
      </c>
      <c r="M55" s="34"/>
      <c r="N55" s="35"/>
      <c r="O55" s="35"/>
      <c r="P55" s="35"/>
      <c r="Q55" s="34"/>
    </row>
    <row r="56" spans="2:17" x14ac:dyDescent="0.25">
      <c r="B56" s="15"/>
      <c r="C56" s="15"/>
      <c r="D56" s="15"/>
      <c r="E56" s="15"/>
      <c r="F56" s="34" t="s">
        <v>333</v>
      </c>
      <c r="G56" s="34" t="s">
        <v>149</v>
      </c>
      <c r="H56" s="34" t="s">
        <v>96</v>
      </c>
      <c r="I56" s="34" t="s">
        <v>425</v>
      </c>
      <c r="J56" s="34"/>
      <c r="K56" s="34"/>
      <c r="L56" s="34">
        <v>4</v>
      </c>
      <c r="M56" s="34" t="s">
        <v>96</v>
      </c>
      <c r="N56" s="35"/>
      <c r="O56" s="35"/>
      <c r="P56" s="35"/>
      <c r="Q56" s="34" t="s">
        <v>291</v>
      </c>
    </row>
    <row r="57" spans="2:17" x14ac:dyDescent="0.25">
      <c r="B57" s="15"/>
      <c r="C57" s="15"/>
      <c r="D57" s="15"/>
      <c r="E57" s="15"/>
      <c r="F57" s="34" t="s">
        <v>334</v>
      </c>
      <c r="G57" s="34" t="s">
        <v>101</v>
      </c>
      <c r="H57" s="34" t="s">
        <v>96</v>
      </c>
      <c r="I57" s="34" t="s">
        <v>444</v>
      </c>
      <c r="J57" s="34" t="s">
        <v>373</v>
      </c>
      <c r="K57" s="34"/>
      <c r="L57" s="34">
        <v>4</v>
      </c>
      <c r="M57" s="34" t="s">
        <v>96</v>
      </c>
      <c r="N57" s="35"/>
      <c r="O57" s="35"/>
      <c r="P57" s="35"/>
      <c r="Q57" s="34" t="s">
        <v>292</v>
      </c>
    </row>
    <row r="58" spans="2:17" x14ac:dyDescent="0.25">
      <c r="B58" s="15"/>
      <c r="C58" s="15"/>
      <c r="D58" s="15"/>
      <c r="E58" s="15"/>
      <c r="F58" s="34" t="s">
        <v>335</v>
      </c>
      <c r="G58" s="34" t="s">
        <v>149</v>
      </c>
      <c r="H58" s="34" t="s">
        <v>96</v>
      </c>
      <c r="I58" s="34" t="s">
        <v>426</v>
      </c>
      <c r="J58" s="34"/>
      <c r="K58" s="34"/>
      <c r="L58" s="34">
        <v>4</v>
      </c>
      <c r="M58" s="34" t="s">
        <v>96</v>
      </c>
      <c r="N58" s="35"/>
      <c r="O58" s="35"/>
      <c r="P58" s="35"/>
      <c r="Q58" s="34" t="s">
        <v>293</v>
      </c>
    </row>
    <row r="59" spans="2:17" x14ac:dyDescent="0.25">
      <c r="B59" s="15"/>
      <c r="C59" s="15"/>
      <c r="D59" s="15"/>
      <c r="E59" s="15"/>
      <c r="F59" s="34" t="s">
        <v>336</v>
      </c>
      <c r="G59" s="34" t="s">
        <v>101</v>
      </c>
      <c r="H59" s="34" t="s">
        <v>96</v>
      </c>
      <c r="I59" s="34" t="s">
        <v>457</v>
      </c>
      <c r="J59" s="34" t="s">
        <v>373</v>
      </c>
      <c r="K59" s="34"/>
      <c r="L59" s="34">
        <v>4</v>
      </c>
      <c r="M59" s="34" t="s">
        <v>96</v>
      </c>
      <c r="N59" s="35"/>
      <c r="O59" s="35"/>
      <c r="P59" s="35"/>
      <c r="Q59" s="34" t="s">
        <v>294</v>
      </c>
    </row>
    <row r="60" spans="2:17" x14ac:dyDescent="0.25">
      <c r="B60" s="15"/>
      <c r="C60" s="15"/>
      <c r="D60" s="15"/>
      <c r="E60" s="15"/>
      <c r="F60" s="34" t="s">
        <v>337</v>
      </c>
      <c r="G60" s="34" t="s">
        <v>149</v>
      </c>
      <c r="H60" s="34" t="s">
        <v>96</v>
      </c>
      <c r="I60" s="34" t="s">
        <v>427</v>
      </c>
      <c r="J60" s="34"/>
      <c r="K60" s="34"/>
      <c r="L60" s="34">
        <v>4</v>
      </c>
      <c r="M60" s="34" t="s">
        <v>96</v>
      </c>
      <c r="N60" s="35"/>
      <c r="O60" s="35"/>
      <c r="P60" s="35"/>
      <c r="Q60" s="34" t="s">
        <v>295</v>
      </c>
    </row>
    <row r="61" spans="2:17" x14ac:dyDescent="0.25">
      <c r="B61" s="15"/>
      <c r="C61" s="15"/>
      <c r="D61" s="15"/>
      <c r="E61" s="15"/>
      <c r="F61" s="34" t="s">
        <v>338</v>
      </c>
      <c r="G61" s="34" t="s">
        <v>101</v>
      </c>
      <c r="H61" s="34" t="s">
        <v>96</v>
      </c>
      <c r="I61" s="34" t="s">
        <v>445</v>
      </c>
      <c r="J61" s="34" t="s">
        <v>374</v>
      </c>
      <c r="K61" s="34"/>
      <c r="L61" s="34">
        <v>4</v>
      </c>
      <c r="M61" s="34" t="s">
        <v>96</v>
      </c>
      <c r="N61" s="35"/>
      <c r="O61" s="35"/>
      <c r="P61" s="35"/>
      <c r="Q61" s="34" t="s">
        <v>296</v>
      </c>
    </row>
    <row r="62" spans="2:17" x14ac:dyDescent="0.25">
      <c r="B62" s="15"/>
      <c r="C62" s="15"/>
      <c r="D62" s="15"/>
      <c r="E62" s="15"/>
      <c r="F62" s="34" t="s">
        <v>339</v>
      </c>
      <c r="G62" s="34" t="s">
        <v>149</v>
      </c>
      <c r="H62" s="34" t="s">
        <v>96</v>
      </c>
      <c r="I62" s="34" t="s">
        <v>428</v>
      </c>
      <c r="J62" s="34"/>
      <c r="K62" s="34"/>
      <c r="L62" s="34">
        <v>4</v>
      </c>
      <c r="M62" s="34" t="s">
        <v>96</v>
      </c>
      <c r="N62" s="35"/>
      <c r="O62" s="35"/>
      <c r="P62" s="35"/>
      <c r="Q62" s="34" t="s">
        <v>297</v>
      </c>
    </row>
    <row r="63" spans="2:17" x14ac:dyDescent="0.25">
      <c r="B63" s="15"/>
      <c r="C63" s="15"/>
      <c r="D63" s="15"/>
      <c r="E63" s="15"/>
      <c r="F63" s="34" t="s">
        <v>340</v>
      </c>
      <c r="G63" s="34" t="s">
        <v>98</v>
      </c>
      <c r="H63" s="34" t="s">
        <v>96</v>
      </c>
      <c r="I63" s="34" t="s">
        <v>429</v>
      </c>
      <c r="J63" s="34"/>
      <c r="K63" s="34"/>
      <c r="L63" s="34">
        <v>4</v>
      </c>
      <c r="M63" s="34" t="s">
        <v>96</v>
      </c>
      <c r="N63" s="35"/>
      <c r="O63" s="35"/>
      <c r="P63" s="35"/>
      <c r="Q63" s="34" t="s">
        <v>298</v>
      </c>
    </row>
    <row r="64" spans="2:17" x14ac:dyDescent="0.25">
      <c r="B64" s="15"/>
      <c r="C64" s="15"/>
      <c r="D64" s="15"/>
      <c r="E64" s="15"/>
      <c r="F64" s="34" t="s">
        <v>341</v>
      </c>
      <c r="G64" s="34" t="s">
        <v>149</v>
      </c>
      <c r="H64" s="34" t="s">
        <v>96</v>
      </c>
      <c r="I64" s="34" t="s">
        <v>430</v>
      </c>
      <c r="J64" s="34"/>
      <c r="K64" s="34"/>
      <c r="L64" s="34">
        <v>4</v>
      </c>
      <c r="M64" s="34" t="s">
        <v>96</v>
      </c>
      <c r="N64" s="35"/>
      <c r="O64" s="35"/>
      <c r="P64" s="35"/>
      <c r="Q64" s="34" t="s">
        <v>299</v>
      </c>
    </row>
    <row r="65" spans="2:17" x14ac:dyDescent="0.25">
      <c r="B65" s="15"/>
      <c r="C65" s="15"/>
      <c r="D65" s="15"/>
      <c r="E65" s="15"/>
      <c r="F65" s="34" t="s">
        <v>342</v>
      </c>
      <c r="G65" s="34" t="s">
        <v>149</v>
      </c>
      <c r="H65" s="34" t="s">
        <v>96</v>
      </c>
      <c r="I65" s="34" t="s">
        <v>431</v>
      </c>
      <c r="J65" s="34"/>
      <c r="K65" s="34"/>
      <c r="L65" s="34">
        <v>4</v>
      </c>
      <c r="M65" s="34" t="s">
        <v>96</v>
      </c>
      <c r="N65" s="35"/>
      <c r="O65" s="35"/>
      <c r="P65" s="35"/>
      <c r="Q65" s="34" t="s">
        <v>300</v>
      </c>
    </row>
    <row r="66" spans="2:17" x14ac:dyDescent="0.25">
      <c r="B66" s="15"/>
      <c r="C66" s="15"/>
      <c r="D66" s="15"/>
      <c r="E66" s="15"/>
      <c r="F66" s="34" t="s">
        <v>343</v>
      </c>
      <c r="G66" s="34" t="s">
        <v>98</v>
      </c>
      <c r="H66" s="34" t="s">
        <v>96</v>
      </c>
      <c r="I66" s="34" t="s">
        <v>446</v>
      </c>
      <c r="J66" s="34" t="s">
        <v>375</v>
      </c>
      <c r="K66" s="34"/>
      <c r="L66" s="34">
        <v>4</v>
      </c>
      <c r="M66" s="34" t="s">
        <v>96</v>
      </c>
      <c r="N66" s="35"/>
      <c r="O66" s="35"/>
      <c r="P66" s="35"/>
      <c r="Q66" s="34" t="s">
        <v>301</v>
      </c>
    </row>
    <row r="67" spans="2:17" x14ac:dyDescent="0.25">
      <c r="B67" s="15"/>
      <c r="C67" s="15"/>
      <c r="D67" s="15"/>
      <c r="E67" s="15"/>
      <c r="F67" s="34" t="s">
        <v>344</v>
      </c>
      <c r="G67" s="34" t="s">
        <v>149</v>
      </c>
      <c r="H67" s="34" t="s">
        <v>96</v>
      </c>
      <c r="I67" s="34" t="s">
        <v>432</v>
      </c>
      <c r="J67" s="34"/>
      <c r="K67" s="34"/>
      <c r="L67" s="34">
        <v>4</v>
      </c>
      <c r="M67" s="34" t="s">
        <v>96</v>
      </c>
      <c r="N67" s="35"/>
      <c r="O67" s="35"/>
      <c r="P67" s="35"/>
      <c r="Q67" s="34" t="s">
        <v>302</v>
      </c>
    </row>
    <row r="68" spans="2:17" x14ac:dyDescent="0.25">
      <c r="B68" s="15"/>
      <c r="C68" s="15"/>
      <c r="D68" s="15"/>
      <c r="E68" s="15"/>
      <c r="F68" s="34" t="s">
        <v>345</v>
      </c>
      <c r="G68" s="34" t="s">
        <v>101</v>
      </c>
      <c r="H68" s="34" t="s">
        <v>96</v>
      </c>
      <c r="I68" s="34" t="s">
        <v>447</v>
      </c>
      <c r="J68" s="34" t="s">
        <v>376</v>
      </c>
      <c r="K68" s="34"/>
      <c r="L68" s="34">
        <v>4</v>
      </c>
      <c r="M68" s="34" t="s">
        <v>96</v>
      </c>
      <c r="N68" s="35"/>
      <c r="O68" s="35"/>
      <c r="P68" s="35"/>
      <c r="Q68" s="34" t="s">
        <v>303</v>
      </c>
    </row>
    <row r="69" spans="2:17" x14ac:dyDescent="0.25">
      <c r="B69" s="15"/>
      <c r="C69" s="15"/>
      <c r="D69" s="15"/>
      <c r="E69" s="15"/>
      <c r="F69" s="34" t="s">
        <v>346</v>
      </c>
      <c r="G69" s="34" t="s">
        <v>149</v>
      </c>
      <c r="H69" s="34" t="s">
        <v>96</v>
      </c>
      <c r="I69" s="34" t="s">
        <v>433</v>
      </c>
      <c r="J69" s="34"/>
      <c r="K69" s="34"/>
      <c r="L69" s="34">
        <v>4</v>
      </c>
      <c r="M69" s="34" t="s">
        <v>96</v>
      </c>
      <c r="N69" s="35"/>
      <c r="O69" s="35"/>
      <c r="P69" s="35"/>
      <c r="Q69" s="34" t="s">
        <v>304</v>
      </c>
    </row>
    <row r="70" spans="2:17" x14ac:dyDescent="0.25">
      <c r="B70" s="15"/>
      <c r="C70" s="15"/>
      <c r="D70" s="15"/>
      <c r="E70" s="15"/>
      <c r="F70" s="34" t="s">
        <v>347</v>
      </c>
      <c r="G70" s="34" t="s">
        <v>149</v>
      </c>
      <c r="H70" s="34" t="s">
        <v>96</v>
      </c>
      <c r="I70" s="34" t="s">
        <v>434</v>
      </c>
      <c r="J70" s="34"/>
      <c r="K70" s="34"/>
      <c r="L70" s="34">
        <v>4</v>
      </c>
      <c r="M70" s="34" t="s">
        <v>96</v>
      </c>
      <c r="N70" s="35"/>
      <c r="O70" s="35"/>
      <c r="P70" s="35"/>
      <c r="Q70" s="34" t="s">
        <v>305</v>
      </c>
    </row>
    <row r="71" spans="2:17" x14ac:dyDescent="0.25">
      <c r="B71" s="15"/>
      <c r="C71" s="15"/>
      <c r="D71" s="15"/>
      <c r="E71" s="15"/>
      <c r="F71" s="34" t="s">
        <v>348</v>
      </c>
      <c r="G71" s="34" t="s">
        <v>101</v>
      </c>
      <c r="H71" s="34" t="s">
        <v>96</v>
      </c>
      <c r="I71" s="34" t="s">
        <v>448</v>
      </c>
      <c r="J71" s="34" t="s">
        <v>370</v>
      </c>
      <c r="K71" s="34"/>
      <c r="L71" s="34">
        <v>4</v>
      </c>
      <c r="M71" s="34" t="s">
        <v>96</v>
      </c>
      <c r="N71" s="35"/>
      <c r="O71" s="35"/>
      <c r="P71" s="35"/>
      <c r="Q71" s="34" t="s">
        <v>306</v>
      </c>
    </row>
    <row r="72" spans="2:17" x14ac:dyDescent="0.25">
      <c r="B72" s="15"/>
      <c r="C72" s="15"/>
      <c r="D72" s="15"/>
      <c r="E72" s="15"/>
      <c r="F72" s="34" t="s">
        <v>349</v>
      </c>
      <c r="G72" s="34" t="s">
        <v>101</v>
      </c>
      <c r="H72" s="34" t="s">
        <v>96</v>
      </c>
      <c r="I72" s="34" t="s">
        <v>435</v>
      </c>
      <c r="J72" s="34"/>
      <c r="K72" s="34"/>
      <c r="L72" s="34">
        <v>4</v>
      </c>
      <c r="M72" s="34" t="s">
        <v>96</v>
      </c>
      <c r="N72" s="35"/>
      <c r="O72" s="35"/>
      <c r="P72" s="35"/>
      <c r="Q72" s="34" t="s">
        <v>307</v>
      </c>
    </row>
    <row r="73" spans="2:17" x14ac:dyDescent="0.25">
      <c r="B73" s="15"/>
      <c r="C73" s="15"/>
      <c r="D73" s="15"/>
      <c r="E73" s="15"/>
      <c r="F73" s="34" t="s">
        <v>350</v>
      </c>
      <c r="G73" s="34" t="s">
        <v>101</v>
      </c>
      <c r="H73" s="34" t="s">
        <v>96</v>
      </c>
      <c r="I73" s="34" t="s">
        <v>436</v>
      </c>
      <c r="J73" s="34"/>
      <c r="K73" s="34"/>
      <c r="L73" s="34">
        <v>4</v>
      </c>
      <c r="M73" s="34" t="s">
        <v>96</v>
      </c>
      <c r="N73" s="35"/>
      <c r="O73" s="35"/>
      <c r="P73" s="35"/>
      <c r="Q73" s="34" t="s">
        <v>308</v>
      </c>
    </row>
    <row r="74" spans="2:17" x14ac:dyDescent="0.25">
      <c r="B74" s="15"/>
      <c r="C74" s="15"/>
      <c r="D74" s="15"/>
      <c r="E74" s="15"/>
      <c r="F74" s="34" t="s">
        <v>351</v>
      </c>
      <c r="G74" s="34" t="s">
        <v>101</v>
      </c>
      <c r="H74" s="34" t="s">
        <v>96</v>
      </c>
      <c r="I74" s="34" t="s">
        <v>437</v>
      </c>
      <c r="J74" s="34"/>
      <c r="K74" s="34"/>
      <c r="L74" s="34">
        <v>4</v>
      </c>
      <c r="M74" s="34" t="s">
        <v>96</v>
      </c>
      <c r="N74" s="35"/>
      <c r="O74" s="35"/>
      <c r="P74" s="35"/>
      <c r="Q74" s="34" t="s">
        <v>309</v>
      </c>
    </row>
    <row r="75" spans="2:17" x14ac:dyDescent="0.25">
      <c r="B75" s="15"/>
      <c r="C75" s="15"/>
      <c r="D75" s="15"/>
      <c r="E75" s="15"/>
      <c r="F75" s="34" t="s">
        <v>352</v>
      </c>
      <c r="G75" s="34" t="s">
        <v>101</v>
      </c>
      <c r="H75" s="34" t="s">
        <v>96</v>
      </c>
      <c r="I75" s="34" t="s">
        <v>438</v>
      </c>
      <c r="J75" s="34"/>
      <c r="K75" s="34"/>
      <c r="L75" s="34">
        <v>4</v>
      </c>
      <c r="M75" s="34" t="s">
        <v>96</v>
      </c>
      <c r="N75" s="35"/>
      <c r="O75" s="35"/>
      <c r="P75" s="35"/>
      <c r="Q75" s="34" t="s">
        <v>310</v>
      </c>
    </row>
    <row r="76" spans="2:17" x14ac:dyDescent="0.25">
      <c r="B76" s="15"/>
      <c r="C76" s="15"/>
      <c r="D76" s="15"/>
      <c r="E76" s="15"/>
      <c r="F76" s="33" t="s">
        <v>197</v>
      </c>
      <c r="G76" s="33"/>
      <c r="H76" s="34"/>
      <c r="I76" s="33" t="s">
        <v>367</v>
      </c>
      <c r="J76" s="33"/>
      <c r="K76" s="33"/>
      <c r="L76" s="33">
        <v>2</v>
      </c>
      <c r="M76" s="34"/>
      <c r="N76" s="35"/>
      <c r="O76" s="35"/>
      <c r="P76" s="35"/>
      <c r="Q76" s="34"/>
    </row>
    <row r="77" spans="2:17" x14ac:dyDescent="0.25">
      <c r="B77" s="15"/>
      <c r="C77" s="15"/>
      <c r="D77" s="15"/>
      <c r="E77" s="15"/>
      <c r="F77" s="34" t="s">
        <v>353</v>
      </c>
      <c r="G77" s="34" t="s">
        <v>149</v>
      </c>
      <c r="H77" s="34" t="s">
        <v>96</v>
      </c>
      <c r="I77" s="34" t="s">
        <v>439</v>
      </c>
      <c r="J77" s="34"/>
      <c r="K77" s="34"/>
      <c r="L77" s="34">
        <v>4</v>
      </c>
      <c r="M77" s="34" t="s">
        <v>96</v>
      </c>
      <c r="N77" s="35"/>
      <c r="O77" s="35"/>
      <c r="P77" s="35"/>
      <c r="Q77" s="34" t="s">
        <v>311</v>
      </c>
    </row>
    <row r="78" spans="2:17" x14ac:dyDescent="0.25">
      <c r="B78" s="15"/>
      <c r="C78" s="15"/>
      <c r="D78" s="15"/>
      <c r="E78" s="15"/>
      <c r="F78" s="34" t="s">
        <v>354</v>
      </c>
      <c r="G78" s="34" t="s">
        <v>99</v>
      </c>
      <c r="H78" s="34" t="s">
        <v>96</v>
      </c>
      <c r="I78" s="34" t="s">
        <v>440</v>
      </c>
      <c r="J78" s="34"/>
      <c r="K78" s="33" t="s">
        <v>196</v>
      </c>
      <c r="L78" s="34">
        <v>4</v>
      </c>
      <c r="M78" s="34" t="s">
        <v>96</v>
      </c>
      <c r="N78" s="35"/>
      <c r="O78" s="35"/>
      <c r="P78" s="35"/>
      <c r="Q78" s="34" t="s">
        <v>312</v>
      </c>
    </row>
    <row r="79" spans="2:17" x14ac:dyDescent="0.25">
      <c r="B79" s="15"/>
      <c r="C79" s="15"/>
      <c r="D79" s="15"/>
      <c r="E79" s="15"/>
      <c r="F79" s="34" t="s">
        <v>355</v>
      </c>
      <c r="G79" s="34" t="s">
        <v>149</v>
      </c>
      <c r="H79" s="34" t="s">
        <v>96</v>
      </c>
      <c r="I79" s="34" t="s">
        <v>441</v>
      </c>
      <c r="J79" s="34"/>
      <c r="K79" s="34"/>
      <c r="L79" s="34">
        <v>4</v>
      </c>
      <c r="M79" s="34" t="s">
        <v>96</v>
      </c>
      <c r="N79" s="35"/>
      <c r="O79" s="35"/>
      <c r="P79" s="35"/>
      <c r="Q79" s="34" t="s">
        <v>313</v>
      </c>
    </row>
    <row r="80" spans="2:17" x14ac:dyDescent="0.25">
      <c r="B80" s="15"/>
      <c r="C80" s="15"/>
      <c r="D80" s="15"/>
      <c r="E80" s="15"/>
      <c r="F80" s="33" t="s">
        <v>197</v>
      </c>
      <c r="G80" s="33"/>
      <c r="H80" s="34"/>
      <c r="I80" s="33" t="s">
        <v>368</v>
      </c>
      <c r="J80" s="33"/>
      <c r="K80" s="33"/>
      <c r="L80" s="33">
        <v>3</v>
      </c>
      <c r="M80" s="34"/>
      <c r="N80" s="35"/>
      <c r="O80" s="35"/>
      <c r="P80" s="35"/>
      <c r="Q80" s="34"/>
    </row>
    <row r="81" spans="2:17" x14ac:dyDescent="0.25">
      <c r="B81" s="15"/>
      <c r="C81" s="15"/>
      <c r="D81" s="15"/>
      <c r="E81" s="15"/>
      <c r="F81" s="34" t="s">
        <v>356</v>
      </c>
      <c r="G81" s="34" t="s">
        <v>149</v>
      </c>
      <c r="H81" s="34" t="s">
        <v>96</v>
      </c>
      <c r="I81" s="34" t="s">
        <v>442</v>
      </c>
      <c r="J81" s="34"/>
      <c r="K81" s="34"/>
      <c r="L81" s="34">
        <v>4</v>
      </c>
      <c r="M81" s="34" t="s">
        <v>96</v>
      </c>
      <c r="N81" s="35"/>
      <c r="O81" s="35"/>
      <c r="P81" s="35"/>
      <c r="Q81" s="34" t="s">
        <v>314</v>
      </c>
    </row>
    <row r="82" spans="2:17" x14ac:dyDescent="0.25">
      <c r="B82" s="15"/>
      <c r="C82" s="15"/>
      <c r="D82" s="15"/>
      <c r="E82" s="15"/>
      <c r="F82" s="34" t="s">
        <v>357</v>
      </c>
      <c r="G82" s="34" t="s">
        <v>149</v>
      </c>
      <c r="H82" s="34" t="s">
        <v>96</v>
      </c>
      <c r="I82" s="34" t="s">
        <v>449</v>
      </c>
      <c r="J82" s="34"/>
      <c r="K82" s="34"/>
      <c r="L82" s="34">
        <v>4</v>
      </c>
      <c r="M82" s="34" t="s">
        <v>96</v>
      </c>
      <c r="N82" s="35"/>
      <c r="O82" s="35"/>
      <c r="P82" s="35"/>
      <c r="Q82" s="34" t="s">
        <v>315</v>
      </c>
    </row>
    <row r="83" spans="2:17" x14ac:dyDescent="0.25">
      <c r="B83" s="15"/>
      <c r="C83" s="15"/>
      <c r="D83" s="15"/>
      <c r="E83" s="15"/>
      <c r="F83" s="34" t="s">
        <v>358</v>
      </c>
      <c r="G83" s="34" t="s">
        <v>149</v>
      </c>
      <c r="H83" s="34" t="s">
        <v>96</v>
      </c>
      <c r="I83" s="34" t="s">
        <v>455</v>
      </c>
      <c r="J83" s="34"/>
      <c r="K83" s="34"/>
      <c r="L83" s="34">
        <v>4</v>
      </c>
      <c r="M83" s="34" t="s">
        <v>96</v>
      </c>
      <c r="N83" s="35"/>
      <c r="O83" s="35"/>
      <c r="P83" s="35"/>
      <c r="Q83" s="34" t="s">
        <v>316</v>
      </c>
    </row>
    <row r="84" spans="2:17" x14ac:dyDescent="0.25">
      <c r="B84" s="15"/>
      <c r="C84" s="15"/>
      <c r="D84" s="15"/>
      <c r="E84" s="15"/>
      <c r="F84" s="34" t="s">
        <v>359</v>
      </c>
      <c r="G84" s="34" t="s">
        <v>149</v>
      </c>
      <c r="H84" s="34" t="s">
        <v>96</v>
      </c>
      <c r="I84" s="34" t="s">
        <v>456</v>
      </c>
      <c r="J84" s="34"/>
      <c r="K84" s="34"/>
      <c r="L84" s="34">
        <v>4</v>
      </c>
      <c r="M84" s="34" t="s">
        <v>96</v>
      </c>
      <c r="N84" s="35"/>
      <c r="O84" s="35"/>
      <c r="P84" s="35"/>
      <c r="Q84" s="34" t="s">
        <v>317</v>
      </c>
    </row>
    <row r="85" spans="2:17" x14ac:dyDescent="0.25">
      <c r="B85" s="15"/>
      <c r="C85" s="15"/>
      <c r="D85" s="15"/>
      <c r="E85" s="15"/>
      <c r="F85" s="34" t="s">
        <v>360</v>
      </c>
      <c r="G85" s="34" t="s">
        <v>98</v>
      </c>
      <c r="H85" s="34" t="s">
        <v>96</v>
      </c>
      <c r="I85" s="34" t="s">
        <v>450</v>
      </c>
      <c r="J85" s="34"/>
      <c r="K85" s="34"/>
      <c r="L85" s="34">
        <v>4</v>
      </c>
      <c r="M85" s="34" t="s">
        <v>96</v>
      </c>
      <c r="N85" s="35"/>
      <c r="O85" s="35"/>
      <c r="P85" s="35"/>
      <c r="Q85" s="34" t="s">
        <v>318</v>
      </c>
    </row>
    <row r="86" spans="2:17" x14ac:dyDescent="0.25">
      <c r="B86" s="15"/>
      <c r="C86" s="15"/>
      <c r="D86" s="15"/>
      <c r="E86" s="15"/>
      <c r="F86" s="33" t="s">
        <v>197</v>
      </c>
      <c r="G86" s="33"/>
      <c r="H86" s="34"/>
      <c r="I86" s="33" t="s">
        <v>369</v>
      </c>
      <c r="J86" s="33"/>
      <c r="K86" s="33"/>
      <c r="L86" s="33">
        <v>3</v>
      </c>
      <c r="M86" s="34"/>
      <c r="N86" s="35"/>
      <c r="O86" s="35"/>
      <c r="P86" s="35"/>
      <c r="Q86" s="34"/>
    </row>
    <row r="87" spans="2:17" x14ac:dyDescent="0.25">
      <c r="B87" s="15"/>
      <c r="C87" s="15"/>
      <c r="D87" s="15"/>
      <c r="E87" s="15"/>
      <c r="F87" s="34" t="s">
        <v>361</v>
      </c>
      <c r="G87" s="34" t="s">
        <v>149</v>
      </c>
      <c r="H87" s="34" t="s">
        <v>96</v>
      </c>
      <c r="I87" s="34" t="s">
        <v>443</v>
      </c>
      <c r="J87" s="34"/>
      <c r="K87" s="34"/>
      <c r="L87" s="34">
        <v>4</v>
      </c>
      <c r="M87" s="34" t="s">
        <v>96</v>
      </c>
      <c r="N87" s="35"/>
      <c r="O87" s="35"/>
      <c r="P87" s="35"/>
      <c r="Q87" s="34" t="s">
        <v>319</v>
      </c>
    </row>
    <row r="88" spans="2:17" x14ac:dyDescent="0.25">
      <c r="B88" s="15"/>
      <c r="C88" s="15"/>
      <c r="D88" s="15"/>
      <c r="E88" s="15"/>
      <c r="F88" s="34" t="s">
        <v>362</v>
      </c>
      <c r="G88" s="34" t="s">
        <v>149</v>
      </c>
      <c r="H88" s="34" t="s">
        <v>96</v>
      </c>
      <c r="I88" s="34" t="s">
        <v>451</v>
      </c>
      <c r="J88" s="34"/>
      <c r="K88" s="34"/>
      <c r="L88" s="34">
        <v>4</v>
      </c>
      <c r="M88" s="34" t="s">
        <v>96</v>
      </c>
      <c r="N88" s="35"/>
      <c r="O88" s="35"/>
      <c r="P88" s="35"/>
      <c r="Q88" s="34" t="s">
        <v>320</v>
      </c>
    </row>
    <row r="89" spans="2:17" x14ac:dyDescent="0.25">
      <c r="B89" s="15"/>
      <c r="C89" s="15"/>
      <c r="D89" s="15"/>
      <c r="E89" s="15"/>
      <c r="F89" s="34" t="s">
        <v>363</v>
      </c>
      <c r="G89" s="34" t="s">
        <v>149</v>
      </c>
      <c r="H89" s="34" t="s">
        <v>96</v>
      </c>
      <c r="I89" s="34" t="s">
        <v>452</v>
      </c>
      <c r="J89" s="34"/>
      <c r="K89" s="34"/>
      <c r="L89" s="34">
        <v>4</v>
      </c>
      <c r="M89" s="34" t="s">
        <v>96</v>
      </c>
      <c r="N89" s="35"/>
      <c r="O89" s="35"/>
      <c r="P89" s="35"/>
      <c r="Q89" s="34" t="s">
        <v>321</v>
      </c>
    </row>
    <row r="90" spans="2:17" x14ac:dyDescent="0.25">
      <c r="B90" s="15"/>
      <c r="C90" s="15"/>
      <c r="D90" s="15"/>
      <c r="E90" s="15"/>
      <c r="F90" s="34" t="s">
        <v>364</v>
      </c>
      <c r="G90" s="34" t="s">
        <v>149</v>
      </c>
      <c r="H90" s="34" t="s">
        <v>96</v>
      </c>
      <c r="I90" s="34" t="s">
        <v>453</v>
      </c>
      <c r="J90" s="34"/>
      <c r="K90" s="34"/>
      <c r="L90" s="34">
        <v>4</v>
      </c>
      <c r="M90" s="34" t="s">
        <v>96</v>
      </c>
      <c r="N90" s="35"/>
      <c r="O90" s="35"/>
      <c r="P90" s="35"/>
      <c r="Q90" s="34" t="s">
        <v>322</v>
      </c>
    </row>
    <row r="91" spans="2:17" x14ac:dyDescent="0.25">
      <c r="B91" s="15"/>
      <c r="C91" s="15"/>
      <c r="D91" s="15"/>
      <c r="E91" s="15"/>
      <c r="F91" s="34" t="s">
        <v>365</v>
      </c>
      <c r="G91" s="34" t="s">
        <v>98</v>
      </c>
      <c r="H91" s="34" t="s">
        <v>96</v>
      </c>
      <c r="I91" s="34" t="s">
        <v>454</v>
      </c>
      <c r="J91" s="34"/>
      <c r="K91" s="34"/>
      <c r="L91" s="34">
        <v>4</v>
      </c>
      <c r="M91" s="34" t="s">
        <v>96</v>
      </c>
      <c r="N91" s="35"/>
      <c r="O91" s="35"/>
      <c r="P91" s="35"/>
      <c r="Q91" s="34" t="s">
        <v>323</v>
      </c>
    </row>
  </sheetData>
  <hyperlinks>
    <hyperlink ref="B9" r:id="rId1" display="http://20.188.62.95/reportingmanager/api/reporting/{ID}" xr:uid="{10FE6A28-D839-4124-AB92-F50F125C824C}"/>
    <hyperlink ref="B4" r:id="rId2" display="http://20.188.62.95/reportingmanager/api/reporting" xr:uid="{E4BC7E82-3420-4C54-88BD-3467497FFFFC}"/>
  </hyperlinks>
  <pageMargins left="0.7" right="0.7" top="0.75" bottom="0.75" header="0.3" footer="0.3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5641F5-F8A6-4AF1-BA7A-867EDA62C716}">
  <sheetPr codeName="Feuil8"/>
  <dimension ref="B1:Q7"/>
  <sheetViews>
    <sheetView topLeftCell="A68" zoomScale="82" zoomScaleNormal="82" workbookViewId="0">
      <selection activeCell="A95" sqref="A95"/>
    </sheetView>
  </sheetViews>
  <sheetFormatPr baseColWidth="10" defaultRowHeight="15" x14ac:dyDescent="0.25"/>
  <cols>
    <col min="2" max="2" width="10.5703125" customWidth="1"/>
    <col min="3" max="3" width="14.5703125" customWidth="1"/>
    <col min="4" max="4" width="7.28515625" bestFit="1" customWidth="1"/>
    <col min="5" max="5" width="24.85546875" customWidth="1"/>
    <col min="6" max="6" width="51.42578125" bestFit="1" customWidth="1"/>
    <col min="7" max="7" width="12.7109375" customWidth="1"/>
    <col min="8" max="8" width="11.42578125" bestFit="1" customWidth="1"/>
    <col min="9" max="9" width="30.85546875" bestFit="1" customWidth="1"/>
    <col min="10" max="10" width="16.5703125" customWidth="1"/>
    <col min="11" max="11" width="19.140625" bestFit="1" customWidth="1"/>
    <col min="12" max="12" width="9.7109375" bestFit="1" customWidth="1"/>
    <col min="13" max="13" width="12.5703125" bestFit="1" customWidth="1"/>
    <col min="14" max="14" width="12.5703125" customWidth="1"/>
    <col min="15" max="15" width="15.28515625" bestFit="1" customWidth="1"/>
    <col min="16" max="16" width="23.28515625" bestFit="1" customWidth="1"/>
    <col min="17" max="17" width="12.5703125" customWidth="1"/>
  </cols>
  <sheetData>
    <row r="1" spans="2:17" x14ac:dyDescent="0.25">
      <c r="B1" t="s">
        <v>114</v>
      </c>
      <c r="I1" s="10"/>
    </row>
    <row r="3" spans="2:17" x14ac:dyDescent="0.25">
      <c r="B3" t="s">
        <v>90</v>
      </c>
      <c r="C3" t="s">
        <v>112</v>
      </c>
      <c r="D3" t="s">
        <v>110</v>
      </c>
      <c r="E3" t="s">
        <v>136</v>
      </c>
      <c r="F3" t="s">
        <v>97</v>
      </c>
      <c r="G3" t="s">
        <v>100</v>
      </c>
      <c r="H3" t="s">
        <v>135</v>
      </c>
      <c r="I3" t="s">
        <v>91</v>
      </c>
      <c r="J3" t="s">
        <v>155</v>
      </c>
      <c r="K3" t="s">
        <v>154</v>
      </c>
      <c r="L3" t="s">
        <v>198</v>
      </c>
      <c r="M3" t="s">
        <v>92</v>
      </c>
      <c r="N3" t="s">
        <v>111</v>
      </c>
      <c r="O3" t="s">
        <v>116</v>
      </c>
      <c r="P3" t="s">
        <v>108</v>
      </c>
      <c r="Q3" t="s">
        <v>324</v>
      </c>
    </row>
    <row r="4" spans="2:17" x14ac:dyDescent="0.25">
      <c r="B4" s="14"/>
      <c r="C4" s="15"/>
      <c r="D4" s="15"/>
      <c r="E4" s="15"/>
      <c r="F4" s="15"/>
      <c r="G4" s="15"/>
      <c r="H4" s="15"/>
      <c r="I4" s="15"/>
      <c r="J4" s="15"/>
      <c r="K4" s="15"/>
      <c r="L4" s="15"/>
      <c r="M4" s="15"/>
      <c r="N4" s="15"/>
      <c r="O4" s="15"/>
      <c r="P4" s="15"/>
      <c r="Q4" s="15"/>
    </row>
    <row r="7" spans="2:17" x14ac:dyDescent="0.25">
      <c r="B7" s="15"/>
      <c r="C7" s="15"/>
      <c r="D7" s="15"/>
      <c r="E7" s="15"/>
      <c r="F7" s="34" t="s">
        <v>414</v>
      </c>
      <c r="G7" s="34" t="s">
        <v>101</v>
      </c>
      <c r="H7" s="34" t="s">
        <v>96</v>
      </c>
      <c r="I7" s="34" t="s">
        <v>514</v>
      </c>
      <c r="J7" s="34"/>
      <c r="K7" s="34"/>
      <c r="L7" s="34">
        <v>3</v>
      </c>
      <c r="M7" s="34" t="s">
        <v>96</v>
      </c>
      <c r="N7" s="35"/>
      <c r="O7" s="35"/>
      <c r="P7" s="35"/>
      <c r="Q7" s="34" t="s">
        <v>513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8</vt:i4>
      </vt:variant>
      <vt:variant>
        <vt:lpstr>Plages nommées</vt:lpstr>
      </vt:variant>
      <vt:variant>
        <vt:i4>9</vt:i4>
      </vt:variant>
    </vt:vector>
  </HeadingPairs>
  <TitlesOfParts>
    <vt:vector size="17" baseType="lpstr">
      <vt:lpstr>Reporting List</vt:lpstr>
      <vt:lpstr>A - 2000.12</vt:lpstr>
      <vt:lpstr>CACHE</vt:lpstr>
      <vt:lpstr>Planning</vt:lpstr>
      <vt:lpstr>History</vt:lpstr>
      <vt:lpstr>I18N</vt:lpstr>
      <vt:lpstr>JSON</vt:lpstr>
      <vt:lpstr>JSON (2)</vt:lpstr>
      <vt:lpstr>'JSON (2)'!cell_JSON_Param</vt:lpstr>
      <vt:lpstr>cell_JSON_Param</vt:lpstr>
      <vt:lpstr>cellLanguage</vt:lpstr>
      <vt:lpstr>lCategory</vt:lpstr>
      <vt:lpstr>lCategoryVersion</vt:lpstr>
      <vt:lpstr>lFolders</vt:lpstr>
      <vt:lpstr>tReporting52428888___RF_Save</vt:lpstr>
      <vt:lpstr>tReportings____ROWS_</vt:lpstr>
      <vt:lpstr>tReportings___RF_Refresh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Pierre</dc:creator>
  <cp:lastModifiedBy>Pierre</cp:lastModifiedBy>
  <dcterms:created xsi:type="dcterms:W3CDTF">2015-06-05T18:19:34Z</dcterms:created>
  <dcterms:modified xsi:type="dcterms:W3CDTF">2021-03-05T16:13:38Z</dcterms:modified>
</cp:coreProperties>
</file>